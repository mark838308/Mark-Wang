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1081281\Desktop\研究專題\讀書會\"/>
    </mc:Choice>
  </mc:AlternateContent>
  <xr:revisionPtr revIDLastSave="0" documentId="8_{AAE9E4AA-3286-4D1B-9478-725B2D3C803C}" xr6:coauthVersionLast="47" xr6:coauthVersionMax="47" xr10:uidLastSave="{00000000-0000-0000-0000-000000000000}"/>
  <bookViews>
    <workbookView xWindow="3570" yWindow="3480" windowWidth="32190" windowHeight="16935" tabRatio="500" xr2:uid="{00000000-000D-0000-FFFF-FFFF00000000}"/>
  </bookViews>
  <sheets>
    <sheet name="說明" sheetId="1" r:id="rId1"/>
    <sheet name="基差試算" sheetId="2" r:id="rId2"/>
    <sheet name="部位損益" sheetId="3" r:id="rId3"/>
    <sheet name="交割情境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4" l="1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B49" i="3"/>
  <c r="B45" i="3"/>
  <c r="B31" i="3"/>
  <c r="B28" i="3"/>
  <c r="B29" i="3" s="1"/>
  <c r="B30" i="3" s="1"/>
  <c r="B24" i="3"/>
  <c r="B37" i="3" s="1"/>
  <c r="B38" i="3" s="1"/>
  <c r="B23" i="3"/>
  <c r="B20" i="3"/>
  <c r="B18" i="3"/>
  <c r="B17" i="3"/>
  <c r="B42" i="3" s="1"/>
  <c r="B16" i="3"/>
  <c r="B15" i="3"/>
  <c r="B14" i="3"/>
  <c r="B8" i="3"/>
  <c r="B34" i="3" s="1"/>
  <c r="B34" i="2"/>
  <c r="Q24" i="2"/>
  <c r="R24" i="2" s="1"/>
  <c r="N24" i="2"/>
  <c r="O24" i="2" s="1"/>
  <c r="M24" i="2"/>
  <c r="L24" i="2"/>
  <c r="K24" i="2"/>
  <c r="J24" i="2"/>
  <c r="I24" i="2"/>
  <c r="S23" i="2"/>
  <c r="Q23" i="2"/>
  <c r="P23" i="2"/>
  <c r="N23" i="2"/>
  <c r="O23" i="2" s="1"/>
  <c r="M23" i="2"/>
  <c r="L23" i="2"/>
  <c r="K23" i="2"/>
  <c r="J23" i="2"/>
  <c r="I23" i="2"/>
  <c r="R22" i="2"/>
  <c r="Q22" i="2"/>
  <c r="N22" i="2"/>
  <c r="O22" i="2" s="1"/>
  <c r="M22" i="2"/>
  <c r="P22" i="2" s="1"/>
  <c r="K22" i="2"/>
  <c r="L22" i="2" s="1"/>
  <c r="J22" i="2"/>
  <c r="I22" i="2"/>
  <c r="Q21" i="2"/>
  <c r="R21" i="2" s="1"/>
  <c r="N21" i="2"/>
  <c r="O21" i="2" s="1"/>
  <c r="M21" i="2"/>
  <c r="K21" i="2"/>
  <c r="L21" i="2" s="1"/>
  <c r="J21" i="2"/>
  <c r="I21" i="2"/>
  <c r="Q20" i="2"/>
  <c r="R20" i="2" s="1"/>
  <c r="N20" i="2"/>
  <c r="O20" i="2" s="1"/>
  <c r="M20" i="2"/>
  <c r="P20" i="2" s="1"/>
  <c r="Y20" i="2" s="1"/>
  <c r="Z20" i="2" s="1"/>
  <c r="L20" i="2"/>
  <c r="U20" i="2" s="1"/>
  <c r="V20" i="2" s="1"/>
  <c r="K20" i="2"/>
  <c r="J20" i="2"/>
  <c r="I20" i="2"/>
  <c r="Q19" i="2"/>
  <c r="N19" i="2"/>
  <c r="O19" i="2" s="1"/>
  <c r="K19" i="2"/>
  <c r="L19" i="2" s="1"/>
  <c r="J19" i="2"/>
  <c r="M19" i="2" s="1"/>
  <c r="I19" i="2"/>
  <c r="R18" i="2"/>
  <c r="Q18" i="2"/>
  <c r="N18" i="2"/>
  <c r="O18" i="2" s="1"/>
  <c r="M18" i="2"/>
  <c r="P18" i="2" s="1"/>
  <c r="Y18" i="2" s="1"/>
  <c r="K18" i="2"/>
  <c r="L18" i="2" s="1"/>
  <c r="J18" i="2"/>
  <c r="I18" i="2"/>
  <c r="Q17" i="2"/>
  <c r="R17" i="2" s="1"/>
  <c r="B21" i="3" s="1"/>
  <c r="N17" i="2"/>
  <c r="O17" i="2" s="1"/>
  <c r="M17" i="2"/>
  <c r="K17" i="2"/>
  <c r="L17" i="2" s="1"/>
  <c r="J17" i="2"/>
  <c r="B25" i="3" s="1"/>
  <c r="I17" i="2"/>
  <c r="B9" i="2"/>
  <c r="Z18" i="2" l="1"/>
  <c r="U21" i="2"/>
  <c r="V21" i="2" s="1"/>
  <c r="S21" i="2"/>
  <c r="E11" i="4"/>
  <c r="P19" i="2"/>
  <c r="Y19" i="2" s="1"/>
  <c r="S19" i="2"/>
  <c r="T19" i="2" s="1"/>
  <c r="U19" i="2"/>
  <c r="V19" i="2" s="1"/>
  <c r="Z23" i="2"/>
  <c r="T21" i="2"/>
  <c r="Z17" i="2"/>
  <c r="U24" i="2"/>
  <c r="V24" i="2" s="1"/>
  <c r="D11" i="4"/>
  <c r="W20" i="2"/>
  <c r="X20" i="2" s="1"/>
  <c r="S18" i="2"/>
  <c r="U18" i="2"/>
  <c r="V18" i="2" s="1"/>
  <c r="T18" i="2"/>
  <c r="U23" i="2"/>
  <c r="V23" i="2" s="1"/>
  <c r="T23" i="2"/>
  <c r="Y23" i="2"/>
  <c r="Z19" i="2"/>
  <c r="Z22" i="2"/>
  <c r="S22" i="2"/>
  <c r="T22" i="2" s="1"/>
  <c r="U22" i="2"/>
  <c r="V22" i="2" s="1"/>
  <c r="B19" i="3"/>
  <c r="U17" i="2"/>
  <c r="V17" i="2" s="1"/>
  <c r="S17" i="2"/>
  <c r="T17" i="2" s="1"/>
  <c r="Y22" i="2"/>
  <c r="B50" i="3"/>
  <c r="B51" i="3" s="1"/>
  <c r="R23" i="2"/>
  <c r="R19" i="2"/>
  <c r="P17" i="2"/>
  <c r="Y17" i="2" s="1"/>
  <c r="S20" i="2"/>
  <c r="T20" i="2"/>
  <c r="AB20" i="2" s="1"/>
  <c r="B35" i="3"/>
  <c r="P24" i="2"/>
  <c r="Y24" i="2" s="1"/>
  <c r="Z24" i="2" s="1"/>
  <c r="S24" i="2"/>
  <c r="T24" i="2" s="1"/>
  <c r="P21" i="2"/>
  <c r="Y21" i="2" s="1"/>
  <c r="Z21" i="2" s="1"/>
  <c r="AB22" i="2" l="1"/>
  <c r="D13" i="4"/>
  <c r="E13" i="4" s="1"/>
  <c r="W22" i="2"/>
  <c r="X22" i="2" s="1"/>
  <c r="W17" i="2"/>
  <c r="X17" i="2" s="1"/>
  <c r="D8" i="4"/>
  <c r="E8" i="4" s="1"/>
  <c r="B36" i="3"/>
  <c r="B43" i="3" s="1"/>
  <c r="B46" i="3" s="1"/>
  <c r="B53" i="3" s="1"/>
  <c r="B44" i="3"/>
  <c r="B31" i="2"/>
  <c r="D14" i="4"/>
  <c r="E14" i="4" s="1"/>
  <c r="W23" i="2"/>
  <c r="W24" i="2"/>
  <c r="X24" i="2" s="1"/>
  <c r="D15" i="4"/>
  <c r="E15" i="4" s="1"/>
  <c r="W21" i="2"/>
  <c r="X21" i="2" s="1"/>
  <c r="D12" i="4"/>
  <c r="E12" i="4" s="1"/>
  <c r="AB21" i="2"/>
  <c r="W19" i="2"/>
  <c r="X19" i="2" s="1"/>
  <c r="D10" i="4"/>
  <c r="E10" i="4" s="1"/>
  <c r="J11" i="4"/>
  <c r="I11" i="4"/>
  <c r="H11" i="4"/>
  <c r="G11" i="4"/>
  <c r="F11" i="4"/>
  <c r="D9" i="4"/>
  <c r="E9" i="4" s="1"/>
  <c r="W18" i="2"/>
  <c r="X18" i="2" s="1"/>
  <c r="F15" i="4" l="1"/>
  <c r="J15" i="4"/>
  <c r="H15" i="4"/>
  <c r="I15" i="4"/>
  <c r="G15" i="4"/>
  <c r="AB18" i="2"/>
  <c r="X23" i="2"/>
  <c r="AA23" i="2" s="1"/>
  <c r="AB23" i="2"/>
  <c r="F14" i="4"/>
  <c r="I14" i="4"/>
  <c r="J14" i="4"/>
  <c r="H14" i="4"/>
  <c r="G14" i="4"/>
  <c r="L11" i="4"/>
  <c r="K11" i="4"/>
  <c r="M11" i="4"/>
  <c r="N11" i="4"/>
  <c r="J9" i="4"/>
  <c r="I9" i="4"/>
  <c r="H9" i="4"/>
  <c r="G9" i="4"/>
  <c r="F9" i="4"/>
  <c r="O11" i="4"/>
  <c r="I13" i="4"/>
  <c r="H13" i="4"/>
  <c r="G13" i="4"/>
  <c r="F13" i="4"/>
  <c r="J13" i="4"/>
  <c r="H8" i="4"/>
  <c r="G8" i="4"/>
  <c r="F8" i="4"/>
  <c r="J8" i="4"/>
  <c r="I8" i="4"/>
  <c r="AA20" i="2"/>
  <c r="B29" i="2"/>
  <c r="B22" i="3"/>
  <c r="B52" i="3" s="1"/>
  <c r="B33" i="2"/>
  <c r="B32" i="2"/>
  <c r="B30" i="2"/>
  <c r="B28" i="2"/>
  <c r="AA17" i="2"/>
  <c r="B27" i="2"/>
  <c r="AB24" i="2"/>
  <c r="J12" i="4"/>
  <c r="I12" i="4"/>
  <c r="H12" i="4"/>
  <c r="G12" i="4"/>
  <c r="F12" i="4"/>
  <c r="AB19" i="2"/>
  <c r="F10" i="4"/>
  <c r="G10" i="4"/>
  <c r="J10" i="4"/>
  <c r="I10" i="4"/>
  <c r="H10" i="4"/>
  <c r="AA22" i="2"/>
  <c r="AA19" i="2"/>
  <c r="AA21" i="2"/>
  <c r="AB17" i="2"/>
  <c r="N13" i="4" l="1"/>
  <c r="L14" i="4"/>
  <c r="M13" i="4"/>
  <c r="M14" i="4"/>
  <c r="M10" i="4"/>
  <c r="O14" i="4"/>
  <c r="N10" i="4"/>
  <c r="K9" i="4"/>
  <c r="N14" i="4"/>
  <c r="O10" i="4"/>
  <c r="L9" i="4"/>
  <c r="K14" i="4"/>
  <c r="L10" i="4"/>
  <c r="M9" i="4"/>
  <c r="K10" i="4"/>
  <c r="N9" i="4"/>
  <c r="N8" i="4"/>
  <c r="O9" i="4"/>
  <c r="AA18" i="2"/>
  <c r="K12" i="4"/>
  <c r="O8" i="4"/>
  <c r="L12" i="4"/>
  <c r="K8" i="4"/>
  <c r="AA24" i="2"/>
  <c r="M12" i="4"/>
  <c r="L8" i="4"/>
  <c r="L15" i="4"/>
  <c r="N12" i="4"/>
  <c r="M8" i="4"/>
  <c r="N15" i="4"/>
  <c r="O12" i="4"/>
  <c r="O13" i="4"/>
  <c r="M15" i="4"/>
  <c r="K13" i="4"/>
  <c r="O15" i="4"/>
  <c r="L13" i="4"/>
  <c r="K15" i="4"/>
  <c r="P17" i="4" l="1"/>
  <c r="K17" i="4"/>
  <c r="K16" i="4"/>
  <c r="T17" i="4"/>
  <c r="O17" i="4"/>
  <c r="O16" i="4"/>
  <c r="R17" i="4"/>
  <c r="M17" i="4"/>
  <c r="M16" i="4"/>
  <c r="Q17" i="4"/>
  <c r="L17" i="4"/>
  <c r="L16" i="4"/>
  <c r="N16" i="4"/>
  <c r="S17" i="4"/>
  <c r="N17" i="4"/>
  <c r="R11" i="4" l="1"/>
  <c r="R13" i="4"/>
  <c r="R14" i="4"/>
  <c r="R8" i="4"/>
  <c r="R10" i="4"/>
  <c r="R12" i="4"/>
  <c r="R15" i="4"/>
  <c r="R9" i="4"/>
  <c r="Q11" i="4"/>
  <c r="Q13" i="4"/>
  <c r="Q10" i="4"/>
  <c r="Q14" i="4"/>
  <c r="Q15" i="4"/>
  <c r="Q9" i="4"/>
  <c r="Q12" i="4"/>
  <c r="Q8" i="4"/>
  <c r="T11" i="4"/>
  <c r="T9" i="4"/>
  <c r="T10" i="4"/>
  <c r="T15" i="4"/>
  <c r="T8" i="4"/>
  <c r="T12" i="4"/>
  <c r="T13" i="4"/>
  <c r="T14" i="4"/>
  <c r="P11" i="4"/>
  <c r="P14" i="4"/>
  <c r="P10" i="4"/>
  <c r="P13" i="4"/>
  <c r="P12" i="4"/>
  <c r="P15" i="4"/>
  <c r="P8" i="4"/>
  <c r="P9" i="4"/>
  <c r="S11" i="4"/>
  <c r="S9" i="4"/>
  <c r="S13" i="4"/>
  <c r="S12" i="4"/>
  <c r="S15" i="4"/>
  <c r="S8" i="4"/>
  <c r="S10" i="4"/>
  <c r="S14" i="4"/>
</calcChain>
</file>

<file path=xl/sharedStrings.xml><?xml version="1.0" encoding="utf-8"?>
<sst xmlns="http://schemas.openxmlformats.org/spreadsheetml/2006/main" count="242" uniqueCount="231">
  <si>
    <r>
      <rPr>
        <b/>
        <sz val="14"/>
        <color rgb="FF1F3864"/>
        <rFont val="Noto Sans CJK SC"/>
        <family val="2"/>
      </rPr>
      <t xml:space="preserve">美國公債期貨 基差 </t>
    </r>
    <r>
      <rPr>
        <b/>
        <sz val="14"/>
        <color rgb="FF1F3864"/>
        <rFont val="Arial"/>
        <family val="2"/>
      </rPr>
      <t xml:space="preserve">/ IRR / </t>
    </r>
    <r>
      <rPr>
        <b/>
        <sz val="14"/>
        <color rgb="FF1F3864"/>
        <rFont val="Noto Sans CJK SC"/>
        <family val="2"/>
      </rPr>
      <t>部位損益 試算模型</t>
    </r>
  </si>
  <si>
    <r>
      <rPr>
        <i/>
        <sz val="9"/>
        <color rgb="FF808080"/>
        <rFont val="Noto Sans CJK SC"/>
        <family val="2"/>
      </rPr>
      <t xml:space="preserve">依 </t>
    </r>
    <r>
      <rPr>
        <i/>
        <sz val="9"/>
        <color rgb="FF808080"/>
        <rFont val="Arial"/>
        <family val="2"/>
      </rPr>
      <t>BofA Global Research</t>
    </r>
    <r>
      <rPr>
        <i/>
        <sz val="9"/>
        <color rgb="FF808080"/>
        <rFont val="Noto Sans CJK SC"/>
        <family val="2"/>
      </rPr>
      <t>《</t>
    </r>
    <r>
      <rPr>
        <i/>
        <sz val="9"/>
        <color rgb="FF808080"/>
        <rFont val="Arial"/>
        <family val="2"/>
      </rPr>
      <t>Primer: US Treasury futures and basis</t>
    </r>
    <r>
      <rPr>
        <i/>
        <sz val="9"/>
        <color rgb="FF808080"/>
        <rFont val="Noto Sans CJK SC"/>
        <family val="2"/>
      </rPr>
      <t>》</t>
    </r>
    <r>
      <rPr>
        <i/>
        <sz val="9"/>
        <color rgb="FF808080"/>
        <rFont val="Arial"/>
        <family val="2"/>
      </rPr>
      <t xml:space="preserve">(2025/7/10) </t>
    </r>
    <r>
      <rPr>
        <i/>
        <sz val="9"/>
        <color rgb="FF808080"/>
        <rFont val="Noto Sans CJK SC"/>
        <family val="2"/>
      </rPr>
      <t>之定義建構</t>
    </r>
  </si>
  <si>
    <t>一、色彩圖例（哪些格子可以改）</t>
  </si>
  <si>
    <t>藍色字</t>
  </si>
  <si>
    <t>輸入值（直接手動修改）</t>
  </si>
  <si>
    <r>
      <rPr>
        <sz val="9"/>
        <color rgb="FF595959"/>
        <rFont val="Noto Sans CJK SC"/>
        <family val="2"/>
      </rPr>
      <t>期貨價格、乾淨價、轉換因子、票息、</t>
    </r>
    <r>
      <rPr>
        <sz val="9"/>
        <color rgb="FF595959"/>
        <rFont val="Arial"/>
        <family val="2"/>
      </rPr>
      <t>repo</t>
    </r>
    <r>
      <rPr>
        <sz val="9"/>
        <color rgb="FF595959"/>
        <rFont val="Noto Sans CJK SC"/>
        <family val="2"/>
      </rPr>
      <t>、付息日</t>
    </r>
  </si>
  <si>
    <t>黑色字</t>
  </si>
  <si>
    <t>公式（請勿覆寫）</t>
  </si>
  <si>
    <r>
      <rPr>
        <sz val="9"/>
        <color rgb="FF595959"/>
        <rFont val="Arial"/>
        <family val="2"/>
      </rPr>
      <t>IRR</t>
    </r>
    <r>
      <rPr>
        <sz val="9"/>
        <color rgb="FF595959"/>
        <rFont val="Noto Sans CJK SC"/>
        <family val="2"/>
      </rPr>
      <t>、毛基差、淨基差、</t>
    </r>
    <r>
      <rPr>
        <sz val="9"/>
        <color rgb="FF595959"/>
        <rFont val="Arial"/>
        <family val="2"/>
      </rPr>
      <t>carry</t>
    </r>
    <r>
      <rPr>
        <sz val="9"/>
        <color rgb="FF595959"/>
        <rFont val="Noto Sans CJK SC"/>
        <family val="2"/>
      </rPr>
      <t>、損益</t>
    </r>
  </si>
  <si>
    <t>綠色字</t>
  </si>
  <si>
    <t>跨工作表連結</t>
  </si>
  <si>
    <t>由『基差試算』帶入『部位損益』『交割情境』</t>
  </si>
  <si>
    <t>黃色底</t>
  </si>
  <si>
    <t>關鍵假設</t>
  </si>
  <si>
    <r>
      <rPr>
        <sz val="9"/>
        <color rgb="FF595959"/>
        <rFont val="Noto Sans CJK SC"/>
        <family val="2"/>
      </rPr>
      <t>期貨價格、交割日、</t>
    </r>
    <r>
      <rPr>
        <sz val="9"/>
        <color rgb="FF595959"/>
        <rFont val="Arial"/>
        <family val="2"/>
      </rPr>
      <t xml:space="preserve">repo </t>
    </r>
    <r>
      <rPr>
        <sz val="9"/>
        <color rgb="FF595959"/>
        <rFont val="Noto Sans CJK SC"/>
        <family val="2"/>
      </rPr>
      <t>利率、計息基準</t>
    </r>
  </si>
  <si>
    <t>二、三張工作表的用途</t>
  </si>
  <si>
    <t>基差試算</t>
  </si>
  <si>
    <r>
      <rPr>
        <sz val="11"/>
        <color rgb="FF000000"/>
        <rFont val="Noto Sans CJK SC"/>
        <family val="2"/>
      </rPr>
      <t xml:space="preserve">輸入期貨價格、可交割券的乾淨價與轉換因子、實際 </t>
    </r>
    <r>
      <rPr>
        <sz val="11"/>
        <color rgb="FF000000"/>
        <rFont val="Arial"/>
        <family val="2"/>
      </rPr>
      <t>repo</t>
    </r>
    <r>
      <rPr>
        <sz val="11"/>
        <color rgb="FF000000"/>
        <rFont val="Noto Sans CJK SC"/>
        <family val="2"/>
      </rPr>
      <t>，算出每一檔的毛基差、</t>
    </r>
    <r>
      <rPr>
        <sz val="11"/>
        <color rgb="FF000000"/>
        <rFont val="Arial"/>
        <family val="2"/>
      </rPr>
      <t>carry</t>
    </r>
    <r>
      <rPr>
        <sz val="11"/>
        <color rgb="FF000000"/>
        <rFont val="Noto Sans CJK SC"/>
        <family val="2"/>
      </rPr>
      <t>、淨基差、隱含附買回利率</t>
    </r>
    <r>
      <rPr>
        <sz val="11"/>
        <color rgb="FF000000"/>
        <rFont val="Arial"/>
        <family val="2"/>
      </rPr>
      <t>(IRR)</t>
    </r>
    <r>
      <rPr>
        <sz val="11"/>
        <color rgb="FF000000"/>
        <rFont val="Noto Sans CJK SC"/>
        <family val="2"/>
      </rPr>
      <t>，並自動標出最便宜交割券</t>
    </r>
    <r>
      <rPr>
        <sz val="11"/>
        <color rgb="FF000000"/>
        <rFont val="Arial"/>
        <family val="2"/>
      </rPr>
      <t>(CTD)</t>
    </r>
    <r>
      <rPr>
        <sz val="11"/>
        <color rgb="FF000000"/>
        <rFont val="Noto Sans CJK SC"/>
        <family val="2"/>
      </rPr>
      <t>。</t>
    </r>
  </si>
  <si>
    <t>部位損益</t>
  </si>
  <si>
    <r>
      <rPr>
        <sz val="11"/>
        <color rgb="FF000000"/>
        <rFont val="Noto Sans CJK SC"/>
        <family val="2"/>
      </rPr>
      <t>設定買基差／賣基差的方向與名目金額，輸入出場時的乾淨價與期貨價，拆解現貨腿、票息、</t>
    </r>
    <r>
      <rPr>
        <sz val="11"/>
        <color rgb="FF000000"/>
        <rFont val="Arial"/>
        <family val="2"/>
      </rPr>
      <t xml:space="preserve">repo </t>
    </r>
    <r>
      <rPr>
        <sz val="11"/>
        <color rgb="FF000000"/>
        <rFont val="Noto Sans CJK SC"/>
        <family val="2"/>
      </rPr>
      <t>成本、期貨腿的損益，並與「持有至交割」的理論損益對照。</t>
    </r>
  </si>
  <si>
    <t>交割情境</t>
  </si>
  <si>
    <r>
      <rPr>
        <sz val="11"/>
        <color rgb="FF000000"/>
        <rFont val="Noto Sans CJK SC"/>
        <family val="2"/>
      </rPr>
      <t xml:space="preserve">模仿 </t>
    </r>
    <r>
      <rPr>
        <sz val="11"/>
        <color rgb="FF000000"/>
        <rFont val="Arial"/>
        <family val="2"/>
      </rPr>
      <t xml:space="preserve">Bloomberg CMS </t>
    </r>
    <r>
      <rPr>
        <sz val="11"/>
        <color rgb="FF000000"/>
        <rFont val="Noto Sans CJK SC"/>
        <family val="2"/>
      </rPr>
      <t xml:space="preserve">畫面：平行移動殖利率 </t>
    </r>
    <r>
      <rPr>
        <sz val="11"/>
        <color rgb="FF000000"/>
        <rFont val="Arial"/>
        <family val="2"/>
      </rPr>
      <t>±100bp</t>
    </r>
    <r>
      <rPr>
        <sz val="11"/>
        <color rgb="FF000000"/>
        <rFont val="Noto Sans CJK SC"/>
        <family val="2"/>
      </rPr>
      <t xml:space="preserve">，重算交割日各券遠期價格與基差，檢視 </t>
    </r>
    <r>
      <rPr>
        <sz val="11"/>
        <color rgb="FF000000"/>
        <rFont val="Arial"/>
        <family val="2"/>
      </rPr>
      <t xml:space="preserve">CTD </t>
    </r>
    <r>
      <rPr>
        <sz val="11"/>
        <color rgb="FF000000"/>
        <rFont val="Noto Sans CJK SC"/>
        <family val="2"/>
      </rPr>
      <t>是否轉換、以及基差的類選擇權</t>
    </r>
    <r>
      <rPr>
        <sz val="11"/>
        <color rgb="FF000000"/>
        <rFont val="Arial"/>
        <family val="2"/>
      </rPr>
      <t>(straddle)</t>
    </r>
    <r>
      <rPr>
        <sz val="11"/>
        <color rgb="FF000000"/>
        <rFont val="Noto Sans CJK SC"/>
        <family val="2"/>
      </rPr>
      <t>報酬型態。</t>
    </r>
  </si>
  <si>
    <t>三、符號定義（先講白話，再上公式）</t>
  </si>
  <si>
    <t>符號</t>
  </si>
  <si>
    <t>意義</t>
  </si>
  <si>
    <t>說明</t>
  </si>
  <si>
    <t>F</t>
  </si>
  <si>
    <t>期貨價格</t>
  </si>
  <si>
    <r>
      <rPr>
        <sz val="9"/>
        <color rgb="FF404040"/>
        <rFont val="Noto Sans CJK SC"/>
        <family val="2"/>
      </rPr>
      <t>以小數表示。</t>
    </r>
    <r>
      <rPr>
        <sz val="9"/>
        <color rgb="FF404040"/>
        <rFont val="Arial"/>
        <family val="2"/>
      </rPr>
      <t xml:space="preserve">108-07¾ </t>
    </r>
    <r>
      <rPr>
        <sz val="9"/>
        <color rgb="FF404040"/>
        <rFont val="Noto Sans CJK SC"/>
        <family val="2"/>
      </rPr>
      <t xml:space="preserve">需先換算為 </t>
    </r>
    <r>
      <rPr>
        <sz val="9"/>
        <color rgb="FF404040"/>
        <rFont val="Arial"/>
        <family val="2"/>
      </rPr>
      <t>108 + 7.75/32 = 108.242188</t>
    </r>
  </si>
  <si>
    <t>c</t>
  </si>
  <si>
    <r>
      <rPr>
        <sz val="11"/>
        <color rgb="FF000000"/>
        <rFont val="Noto Sans CJK SC"/>
        <family val="2"/>
      </rPr>
      <t xml:space="preserve">轉換因子 </t>
    </r>
    <r>
      <rPr>
        <sz val="11"/>
        <color rgb="FF000000"/>
        <rFont val="Arial"/>
        <family val="2"/>
      </rPr>
      <t>(conversion factor)</t>
    </r>
  </si>
  <si>
    <r>
      <rPr>
        <sz val="9"/>
        <color rgb="FF404040"/>
        <rFont val="Noto Sans CJK SC"/>
        <family val="2"/>
      </rPr>
      <t xml:space="preserve">該券以 </t>
    </r>
    <r>
      <rPr>
        <sz val="9"/>
        <color rgb="FF404040"/>
        <rFont val="Arial"/>
        <family val="2"/>
      </rPr>
      <t xml:space="preserve">6% </t>
    </r>
    <r>
      <rPr>
        <sz val="9"/>
        <color rgb="FF404040"/>
        <rFont val="Noto Sans CJK SC"/>
        <family val="2"/>
      </rPr>
      <t>殖利率計價的價格，合約存續期間固定不變</t>
    </r>
  </si>
  <si>
    <t>B</t>
  </si>
  <si>
    <r>
      <rPr>
        <sz val="11"/>
        <color rgb="FF000000"/>
        <rFont val="Noto Sans CJK SC"/>
        <family val="2"/>
      </rPr>
      <t xml:space="preserve">乾淨價 </t>
    </r>
    <r>
      <rPr>
        <sz val="11"/>
        <color rgb="FF000000"/>
        <rFont val="Arial"/>
        <family val="2"/>
      </rPr>
      <t>(clean price)</t>
    </r>
  </si>
  <si>
    <t>不含應計利息的市場報價</t>
  </si>
  <si>
    <t>AI</t>
  </si>
  <si>
    <r>
      <rPr>
        <sz val="11"/>
        <color rgb="FF000000"/>
        <rFont val="Noto Sans CJK SC"/>
        <family val="2"/>
      </rPr>
      <t xml:space="preserve">應計利息 </t>
    </r>
    <r>
      <rPr>
        <sz val="11"/>
        <color rgb="FF000000"/>
        <rFont val="Arial"/>
        <family val="2"/>
      </rPr>
      <t>(accrued interest)</t>
    </r>
  </si>
  <si>
    <r>
      <rPr>
        <sz val="9"/>
        <color rgb="FF404040"/>
        <rFont val="Noto Sans CJK SC"/>
        <family val="2"/>
      </rPr>
      <t xml:space="preserve">採 </t>
    </r>
    <r>
      <rPr>
        <sz val="9"/>
        <color rgb="FF404040"/>
        <rFont val="Arial"/>
        <family val="2"/>
      </rPr>
      <t>actual/actual</t>
    </r>
    <r>
      <rPr>
        <sz val="9"/>
        <color rgb="FF404040"/>
        <rFont val="Noto Sans CJK SC"/>
        <family val="2"/>
      </rPr>
      <t>：票息</t>
    </r>
    <r>
      <rPr>
        <sz val="9"/>
        <color rgb="FF404040"/>
        <rFont val="Arial"/>
        <family val="2"/>
      </rPr>
      <t>/2 × (</t>
    </r>
    <r>
      <rPr>
        <sz val="9"/>
        <color rgb="FF404040"/>
        <rFont val="Noto Sans CJK SC"/>
        <family val="2"/>
      </rPr>
      <t>結算日−上次付息日</t>
    </r>
    <r>
      <rPr>
        <sz val="9"/>
        <color rgb="FF404040"/>
        <rFont val="Arial"/>
        <family val="2"/>
      </rPr>
      <t>)/(</t>
    </r>
    <r>
      <rPr>
        <sz val="9"/>
        <color rgb="FF404040"/>
        <rFont val="Noto Sans CJK SC"/>
        <family val="2"/>
      </rPr>
      <t>付息期天數</t>
    </r>
    <r>
      <rPr>
        <sz val="9"/>
        <color rgb="FF404040"/>
        <rFont val="Arial"/>
        <family val="2"/>
      </rPr>
      <t>)</t>
    </r>
  </si>
  <si>
    <t>全價</t>
  </si>
  <si>
    <r>
      <rPr>
        <sz val="11"/>
        <color rgb="FF000000"/>
        <rFont val="Noto Sans CJK SC"/>
        <family val="2"/>
      </rPr>
      <t xml:space="preserve">＝ </t>
    </r>
    <r>
      <rPr>
        <sz val="11"/>
        <color rgb="FF000000"/>
        <rFont val="Arial"/>
        <family val="2"/>
      </rPr>
      <t>B + AI</t>
    </r>
  </si>
  <si>
    <r>
      <rPr>
        <sz val="9"/>
        <color rgb="FF404040"/>
        <rFont val="Noto Sans CJK SC"/>
        <family val="2"/>
      </rPr>
      <t xml:space="preserve">實際付出的現金，也是計算融資成本與 </t>
    </r>
    <r>
      <rPr>
        <sz val="9"/>
        <color rgb="FF404040"/>
        <rFont val="Arial"/>
        <family val="2"/>
      </rPr>
      <t xml:space="preserve">IRR </t>
    </r>
    <r>
      <rPr>
        <sz val="9"/>
        <color rgb="FF404040"/>
        <rFont val="Noto Sans CJK SC"/>
        <family val="2"/>
      </rPr>
      <t>的基礎</t>
    </r>
  </si>
  <si>
    <t>發票金額</t>
  </si>
  <si>
    <r>
      <rPr>
        <sz val="11"/>
        <color rgb="FF000000"/>
        <rFont val="Noto Sans CJK SC"/>
        <family val="2"/>
      </rPr>
      <t xml:space="preserve">＝ </t>
    </r>
    <r>
      <rPr>
        <sz val="11"/>
        <color rgb="FF000000"/>
        <rFont val="Arial"/>
        <family val="2"/>
      </rPr>
      <t>c × F + AI(</t>
    </r>
    <r>
      <rPr>
        <sz val="11"/>
        <color rgb="FF000000"/>
        <rFont val="Noto Sans CJK SC"/>
        <family val="2"/>
      </rPr>
      <t>交割日</t>
    </r>
    <r>
      <rPr>
        <sz val="11"/>
        <color rgb="FF000000"/>
        <rFont val="Arial"/>
        <family val="2"/>
      </rPr>
      <t>)</t>
    </r>
  </si>
  <si>
    <r>
      <rPr>
        <sz val="9"/>
        <color rgb="FF404040"/>
        <rFont val="Noto Sans CJK SC"/>
        <family val="2"/>
      </rPr>
      <t xml:space="preserve">空方交券時實際收到的每 </t>
    </r>
    <r>
      <rPr>
        <sz val="9"/>
        <color rgb="FF404040"/>
        <rFont val="Arial"/>
        <family val="2"/>
      </rPr>
      <t xml:space="preserve">100 </t>
    </r>
    <r>
      <rPr>
        <sz val="9"/>
        <color rgb="FF404040"/>
        <rFont val="Noto Sans CJK SC"/>
        <family val="2"/>
      </rPr>
      <t>面額金額</t>
    </r>
  </si>
  <si>
    <t>毛基差</t>
  </si>
  <si>
    <r>
      <rPr>
        <sz val="11"/>
        <color rgb="FF000000"/>
        <rFont val="Noto Sans CJK SC"/>
        <family val="2"/>
      </rPr>
      <t xml:space="preserve">＝ </t>
    </r>
    <r>
      <rPr>
        <sz val="11"/>
        <color rgb="FF000000"/>
        <rFont val="Arial"/>
        <family val="2"/>
      </rPr>
      <t>B − c × F</t>
    </r>
  </si>
  <si>
    <t>用「現貨」乾淨價；市場報價的基差就是這一個</t>
  </si>
  <si>
    <t>carry</t>
  </si>
  <si>
    <r>
      <rPr>
        <sz val="11"/>
        <color rgb="FF000000"/>
        <rFont val="Noto Sans CJK SC"/>
        <family val="2"/>
      </rPr>
      <t xml:space="preserve">＝ 票息收入 </t>
    </r>
    <r>
      <rPr>
        <sz val="11"/>
        <color rgb="FF000000"/>
        <rFont val="Arial"/>
        <family val="2"/>
      </rPr>
      <t xml:space="preserve">+ </t>
    </r>
    <r>
      <rPr>
        <sz val="11"/>
        <color rgb="FF000000"/>
        <rFont val="Noto Sans CJK SC"/>
        <family val="2"/>
      </rPr>
      <t xml:space="preserve">再投資 − </t>
    </r>
    <r>
      <rPr>
        <sz val="11"/>
        <color rgb="FF000000"/>
        <rFont val="Arial"/>
        <family val="2"/>
      </rPr>
      <t xml:space="preserve">repo </t>
    </r>
    <r>
      <rPr>
        <sz val="11"/>
        <color rgb="FF000000"/>
        <rFont val="Noto Sans CJK SC"/>
        <family val="2"/>
      </rPr>
      <t>融資成本</t>
    </r>
  </si>
  <si>
    <t>持有到交割日的淨持有收益</t>
  </si>
  <si>
    <t>淨基差</t>
  </si>
  <si>
    <r>
      <rPr>
        <sz val="11"/>
        <color rgb="FF000000"/>
        <rFont val="Noto Sans CJK SC"/>
        <family val="2"/>
      </rPr>
      <t xml:space="preserve">＝ 遠期乾淨價 − </t>
    </r>
    <r>
      <rPr>
        <sz val="11"/>
        <color rgb="FF000000"/>
        <rFont val="Arial"/>
        <family val="2"/>
      </rPr>
      <t xml:space="preserve">c × F </t>
    </r>
    <r>
      <rPr>
        <sz val="11"/>
        <color rgb="FF000000"/>
        <rFont val="Noto Sans CJK SC"/>
        <family val="2"/>
      </rPr>
      <t xml:space="preserve">＝ 毛基差 − </t>
    </r>
    <r>
      <rPr>
        <sz val="11"/>
        <color rgb="FF000000"/>
        <rFont val="Arial"/>
        <family val="2"/>
      </rPr>
      <t>carry</t>
    </r>
  </si>
  <si>
    <t>交割選擇權的市場價格</t>
  </si>
  <si>
    <t>IRR</t>
  </si>
  <si>
    <r>
      <rPr>
        <sz val="11"/>
        <color rgb="FF000000"/>
        <rFont val="Noto Sans CJK SC"/>
        <family val="2"/>
      </rPr>
      <t xml:space="preserve">隱含附買回利率 </t>
    </r>
    <r>
      <rPr>
        <sz val="11"/>
        <color rgb="FF000000"/>
        <rFont val="Arial"/>
        <family val="2"/>
      </rPr>
      <t>(implied repo rate)</t>
    </r>
  </si>
  <si>
    <t>買現貨、持有、交割進期貨所實現的年化報酬率</t>
  </si>
  <si>
    <t>CTD</t>
  </si>
  <si>
    <t>最便宜交割券</t>
  </si>
  <si>
    <r>
      <rPr>
        <sz val="9"/>
        <color rgb="FF404040"/>
        <rFont val="Noto Sans CJK SC"/>
        <family val="2"/>
      </rPr>
      <t xml:space="preserve">淨基差最低（等價於 </t>
    </r>
    <r>
      <rPr>
        <sz val="9"/>
        <color rgb="FF404040"/>
        <rFont val="Arial"/>
        <family val="2"/>
      </rPr>
      <t xml:space="preserve">IRR </t>
    </r>
    <r>
      <rPr>
        <sz val="9"/>
        <color rgb="FF404040"/>
        <rFont val="Noto Sans CJK SC"/>
        <family val="2"/>
      </rPr>
      <t>最高）的那一檔</t>
    </r>
  </si>
  <si>
    <t>四、模型使用的完整公式（逐檔債券）</t>
  </si>
  <si>
    <r>
      <rPr>
        <sz val="9"/>
        <rFont val="Noto Sans CJK SC"/>
        <family val="2"/>
      </rPr>
      <t xml:space="preserve">① 現貨應計利息 </t>
    </r>
    <r>
      <rPr>
        <sz val="9"/>
        <rFont val="Consolas"/>
        <family val="3"/>
      </rPr>
      <t xml:space="preserve">AI_s = </t>
    </r>
    <r>
      <rPr>
        <sz val="9"/>
        <rFont val="Noto Sans CJK SC"/>
        <family val="2"/>
      </rPr>
      <t>票息</t>
    </r>
    <r>
      <rPr>
        <sz val="9"/>
        <rFont val="Consolas"/>
        <family val="3"/>
      </rPr>
      <t>/2 × (</t>
    </r>
    <r>
      <rPr>
        <sz val="9"/>
        <rFont val="Noto Sans CJK SC"/>
        <family val="2"/>
      </rPr>
      <t>現貨交割日 − 上次付息日</t>
    </r>
    <r>
      <rPr>
        <sz val="9"/>
        <rFont val="Consolas"/>
        <family val="3"/>
      </rPr>
      <t>) ÷ (</t>
    </r>
    <r>
      <rPr>
        <sz val="9"/>
        <rFont val="Noto Sans CJK SC"/>
        <family val="2"/>
      </rPr>
      <t>下次付息日 − 上次付息日</t>
    </r>
    <r>
      <rPr>
        <sz val="9"/>
        <rFont val="Consolas"/>
        <family val="3"/>
      </rPr>
      <t>)</t>
    </r>
  </si>
  <si>
    <r>
      <rPr>
        <sz val="9"/>
        <rFont val="Noto Sans CJK SC"/>
        <family val="2"/>
      </rPr>
      <t xml:space="preserve">② 現貨全價 </t>
    </r>
    <r>
      <rPr>
        <sz val="9"/>
        <rFont val="Consolas"/>
        <family val="3"/>
      </rPr>
      <t>P = B + AI_s</t>
    </r>
  </si>
  <si>
    <r>
      <rPr>
        <sz val="9"/>
        <rFont val="Noto Sans CJK SC"/>
        <family val="2"/>
      </rPr>
      <t xml:space="preserve">③ 交割日應計利息 </t>
    </r>
    <r>
      <rPr>
        <sz val="9"/>
        <rFont val="Consolas"/>
        <family val="3"/>
      </rPr>
      <t>AI_d</t>
    </r>
    <r>
      <rPr>
        <sz val="9"/>
        <rFont val="Noto Sans CJK SC"/>
        <family val="2"/>
      </rPr>
      <t xml:space="preserve">：若交割日已過下次付息日，改用下一個付息期間計算，並認列期間收到的票息 </t>
    </r>
    <r>
      <rPr>
        <sz val="9"/>
        <rFont val="Consolas"/>
        <family val="3"/>
      </rPr>
      <t xml:space="preserve">C = </t>
    </r>
    <r>
      <rPr>
        <sz val="9"/>
        <rFont val="Noto Sans CJK SC"/>
        <family val="2"/>
      </rPr>
      <t>票息</t>
    </r>
    <r>
      <rPr>
        <sz val="9"/>
        <rFont val="Consolas"/>
        <family val="3"/>
      </rPr>
      <t>/2</t>
    </r>
  </si>
  <si>
    <r>
      <rPr>
        <sz val="9"/>
        <rFont val="Noto Sans CJK SC"/>
        <family val="2"/>
      </rPr>
      <t xml:space="preserve">④ 發票金額 </t>
    </r>
    <r>
      <rPr>
        <sz val="9"/>
        <rFont val="Consolas"/>
        <family val="3"/>
      </rPr>
      <t>= c × F + AI_d</t>
    </r>
  </si>
  <si>
    <r>
      <rPr>
        <sz val="9"/>
        <rFont val="Noto Sans CJK SC"/>
        <family val="2"/>
      </rPr>
      <t xml:space="preserve">⑤ 毛基差 </t>
    </r>
    <r>
      <rPr>
        <sz val="9"/>
        <rFont val="Consolas"/>
        <family val="3"/>
      </rPr>
      <t xml:space="preserve">= B − c × F         </t>
    </r>
    <r>
      <rPr>
        <sz val="9"/>
        <rFont val="Noto Sans CJK SC"/>
        <family val="2"/>
      </rPr>
      <t>（</t>
    </r>
    <r>
      <rPr>
        <sz val="9"/>
        <rFont val="Consolas"/>
        <family val="3"/>
      </rPr>
      <t xml:space="preserve">×32 </t>
    </r>
    <r>
      <rPr>
        <sz val="9"/>
        <rFont val="Noto Sans CJK SC"/>
        <family val="2"/>
      </rPr>
      <t xml:space="preserve">換成 </t>
    </r>
    <r>
      <rPr>
        <sz val="9"/>
        <rFont val="Consolas"/>
        <family val="3"/>
      </rPr>
      <t>tick</t>
    </r>
    <r>
      <rPr>
        <sz val="9"/>
        <rFont val="Noto Sans CJK SC"/>
        <family val="2"/>
      </rPr>
      <t>）</t>
    </r>
  </si>
  <si>
    <r>
      <rPr>
        <sz val="9"/>
        <rFont val="Noto Sans CJK SC"/>
        <family val="2"/>
      </rPr>
      <t xml:space="preserve">⑥ 融資成本 </t>
    </r>
    <r>
      <rPr>
        <sz val="9"/>
        <rFont val="Consolas"/>
        <family val="3"/>
      </rPr>
      <t>= P × repo × (</t>
    </r>
    <r>
      <rPr>
        <sz val="9"/>
        <rFont val="Noto Sans CJK SC"/>
        <family val="2"/>
      </rPr>
      <t>交割日 − 現貨交割日</t>
    </r>
    <r>
      <rPr>
        <sz val="9"/>
        <rFont val="Consolas"/>
        <family val="3"/>
      </rPr>
      <t>) ÷ 360</t>
    </r>
  </si>
  <si>
    <r>
      <rPr>
        <sz val="9"/>
        <rFont val="Consolas"/>
        <family val="3"/>
      </rPr>
      <t xml:space="preserve">⑦ carry = (AI_d − AI_s + C + C×repo×n_c/360) − </t>
    </r>
    <r>
      <rPr>
        <sz val="9"/>
        <rFont val="Noto Sans CJK SC"/>
        <family val="2"/>
      </rPr>
      <t>融資成本</t>
    </r>
  </si>
  <si>
    <r>
      <rPr>
        <sz val="9"/>
        <rFont val="Noto Sans CJK SC"/>
        <family val="2"/>
      </rPr>
      <t xml:space="preserve">⑧ 遠期全價 </t>
    </r>
    <r>
      <rPr>
        <sz val="9"/>
        <rFont val="Consolas"/>
        <family val="3"/>
      </rPr>
      <t>= P × (1 + repo×n/360) − C × (1 + repo×n_c/360)</t>
    </r>
    <r>
      <rPr>
        <sz val="9"/>
        <rFont val="Noto Sans CJK SC"/>
        <family val="2"/>
      </rPr>
      <t xml:space="preserve">；遠期乾淨價 </t>
    </r>
    <r>
      <rPr>
        <sz val="9"/>
        <rFont val="Consolas"/>
        <family val="3"/>
      </rPr>
      <t xml:space="preserve">= </t>
    </r>
    <r>
      <rPr>
        <sz val="9"/>
        <rFont val="Noto Sans CJK SC"/>
        <family val="2"/>
      </rPr>
      <t xml:space="preserve">遠期全價 − </t>
    </r>
    <r>
      <rPr>
        <sz val="9"/>
        <rFont val="Consolas"/>
        <family val="3"/>
      </rPr>
      <t>AI_d</t>
    </r>
  </si>
  <si>
    <r>
      <rPr>
        <sz val="9"/>
        <rFont val="Noto Sans CJK SC"/>
        <family val="2"/>
      </rPr>
      <t xml:space="preserve">⑨ 淨基差 </t>
    </r>
    <r>
      <rPr>
        <sz val="9"/>
        <rFont val="Consolas"/>
        <family val="3"/>
      </rPr>
      <t xml:space="preserve">= </t>
    </r>
    <r>
      <rPr>
        <sz val="9"/>
        <rFont val="Noto Sans CJK SC"/>
        <family val="2"/>
      </rPr>
      <t xml:space="preserve">遠期乾淨價 − </t>
    </r>
    <r>
      <rPr>
        <sz val="9"/>
        <rFont val="Consolas"/>
        <family val="3"/>
      </rPr>
      <t>c × F</t>
    </r>
    <r>
      <rPr>
        <sz val="9"/>
        <rFont val="Noto Sans CJK SC"/>
        <family val="2"/>
      </rPr>
      <t xml:space="preserve">（恆等於 毛基差 − </t>
    </r>
    <r>
      <rPr>
        <sz val="9"/>
        <rFont val="Consolas"/>
        <family val="3"/>
      </rPr>
      <t>carry</t>
    </r>
    <r>
      <rPr>
        <sz val="9"/>
        <rFont val="Noto Sans CJK SC"/>
        <family val="2"/>
      </rPr>
      <t>，模型內有交叉檢核）</t>
    </r>
  </si>
  <si>
    <r>
      <rPr>
        <sz val="9"/>
        <rFont val="Consolas"/>
        <family val="3"/>
      </rPr>
      <t>⑩ IRR = (</t>
    </r>
    <r>
      <rPr>
        <sz val="9"/>
        <rFont val="Noto Sans CJK SC"/>
        <family val="2"/>
      </rPr>
      <t xml:space="preserve">發票金額 </t>
    </r>
    <r>
      <rPr>
        <sz val="9"/>
        <rFont val="Consolas"/>
        <family val="3"/>
      </rPr>
      <t xml:space="preserve">+ C − P) ÷ ( P×n/360 − C×n_c/360 )   ← </t>
    </r>
    <r>
      <rPr>
        <sz val="9"/>
        <rFont val="Noto Sans CJK SC"/>
        <family val="2"/>
      </rPr>
      <t xml:space="preserve">票息以 </t>
    </r>
    <r>
      <rPr>
        <sz val="9"/>
        <rFont val="Consolas"/>
        <family val="3"/>
      </rPr>
      <t xml:space="preserve">IRR </t>
    </r>
    <r>
      <rPr>
        <sz val="9"/>
        <rFont val="Noto Sans CJK SC"/>
        <family val="2"/>
      </rPr>
      <t>本身再投資的精確解</t>
    </r>
  </si>
  <si>
    <r>
      <rPr>
        <sz val="9"/>
        <rFont val="Noto Sans CJK SC"/>
        <family val="2"/>
      </rPr>
      <t xml:space="preserve">⑪ 持有至交割的理論損益 </t>
    </r>
    <r>
      <rPr>
        <sz val="9"/>
        <rFont val="Consolas"/>
        <family val="3"/>
      </rPr>
      <t>= −(</t>
    </r>
    <r>
      <rPr>
        <sz val="9"/>
        <rFont val="Noto Sans CJK SC"/>
        <family val="2"/>
      </rPr>
      <t>淨基差</t>
    </r>
    <r>
      <rPr>
        <sz val="9"/>
        <rFont val="Consolas"/>
        <family val="3"/>
      </rPr>
      <t xml:space="preserve">) × </t>
    </r>
    <r>
      <rPr>
        <sz val="9"/>
        <rFont val="Noto Sans CJK SC"/>
        <family val="2"/>
      </rPr>
      <t xml:space="preserve">面額 </t>
    </r>
    <r>
      <rPr>
        <sz val="9"/>
        <rFont val="Consolas"/>
        <family val="3"/>
      </rPr>
      <t>÷ 100</t>
    </r>
    <r>
      <rPr>
        <sz val="9"/>
        <rFont val="Noto Sans CJK SC"/>
        <family val="2"/>
      </rPr>
      <t>（買基差方向）</t>
    </r>
  </si>
  <si>
    <t>五、範例資料來源與注意事項</t>
  </si>
  <si>
    <r>
      <rPr>
        <sz val="9"/>
        <color rgb="FF404040"/>
        <rFont val="Noto Sans CJK SC"/>
        <family val="2"/>
      </rPr>
      <t xml:space="preserve">• 範例採用 </t>
    </r>
    <r>
      <rPr>
        <sz val="9"/>
        <color rgb="FF404040"/>
        <rFont val="Arial"/>
        <family val="2"/>
      </rPr>
      <t xml:space="preserve">Primer </t>
    </r>
    <r>
      <rPr>
        <sz val="9"/>
        <color rgb="FF404040"/>
        <rFont val="Noto Sans CJK SC"/>
        <family val="2"/>
      </rPr>
      <t xml:space="preserve">中 </t>
    </r>
    <r>
      <rPr>
        <sz val="9"/>
        <color rgb="FF404040"/>
        <rFont val="Arial"/>
        <family val="2"/>
      </rPr>
      <t xml:space="preserve">Exhibit 2 </t>
    </r>
    <r>
      <rPr>
        <sz val="9"/>
        <color rgb="FF404040"/>
        <rFont val="Noto Sans CJK SC"/>
        <family val="2"/>
      </rPr>
      <t xml:space="preserve">的 </t>
    </r>
    <r>
      <rPr>
        <sz val="9"/>
        <color rgb="FF404040"/>
        <rFont val="Arial"/>
        <family val="2"/>
      </rPr>
      <t>FVU5</t>
    </r>
    <r>
      <rPr>
        <sz val="9"/>
        <color rgb="FF404040"/>
        <rFont val="Noto Sans CJK SC"/>
        <family val="2"/>
      </rPr>
      <t>（</t>
    </r>
    <r>
      <rPr>
        <sz val="9"/>
        <color rgb="FF404040"/>
        <rFont val="Arial"/>
        <family val="2"/>
      </rPr>
      <t>2025</t>
    </r>
    <r>
      <rPr>
        <sz val="9"/>
        <color rgb="FF404040"/>
        <rFont val="Noto Sans CJK SC"/>
        <family val="2"/>
      </rPr>
      <t>年</t>
    </r>
    <r>
      <rPr>
        <sz val="9"/>
        <color rgb="FF404040"/>
        <rFont val="Arial"/>
        <family val="2"/>
      </rPr>
      <t>9</t>
    </r>
    <r>
      <rPr>
        <sz val="9"/>
        <color rgb="FF404040"/>
        <rFont val="Noto Sans CJK SC"/>
        <family val="2"/>
      </rPr>
      <t xml:space="preserve">月 </t>
    </r>
    <r>
      <rPr>
        <sz val="9"/>
        <color rgb="FF404040"/>
        <rFont val="Arial"/>
        <family val="2"/>
      </rPr>
      <t>5</t>
    </r>
    <r>
      <rPr>
        <sz val="9"/>
        <color rgb="FF404040"/>
        <rFont val="Noto Sans CJK SC"/>
        <family val="2"/>
      </rPr>
      <t xml:space="preserve">年期公債期貨）交割籃，報價日 </t>
    </r>
    <r>
      <rPr>
        <sz val="9"/>
        <color rgb="FF404040"/>
        <rFont val="Arial"/>
        <family val="2"/>
      </rPr>
      <t>2025/7/7</t>
    </r>
    <r>
      <rPr>
        <sz val="9"/>
        <color rgb="FF404040"/>
        <rFont val="Noto Sans CJK SC"/>
        <family val="2"/>
      </rPr>
      <t xml:space="preserve">、現貨交割 </t>
    </r>
    <r>
      <rPr>
        <sz val="9"/>
        <color rgb="FF404040"/>
        <rFont val="Arial"/>
        <family val="2"/>
      </rPr>
      <t>2025/7/8</t>
    </r>
    <r>
      <rPr>
        <sz val="9"/>
        <color rgb="FF404040"/>
        <rFont val="Noto Sans CJK SC"/>
        <family val="2"/>
      </rPr>
      <t xml:space="preserve">、期貨交割 </t>
    </r>
    <r>
      <rPr>
        <sz val="9"/>
        <color rgb="FF404040"/>
        <rFont val="Arial"/>
        <family val="2"/>
      </rPr>
      <t>2025/9/2</t>
    </r>
    <r>
      <rPr>
        <sz val="9"/>
        <color rgb="FF404040"/>
        <rFont val="Noto Sans CJK SC"/>
        <family val="2"/>
      </rPr>
      <t>、</t>
    </r>
    <r>
      <rPr>
        <sz val="9"/>
        <color rgb="FF404040"/>
        <rFont val="Arial"/>
        <family val="2"/>
      </rPr>
      <t>GC repo 4.34%</t>
    </r>
    <r>
      <rPr>
        <sz val="9"/>
        <color rgb="FF404040"/>
        <rFont val="Noto Sans CJK SC"/>
        <family val="2"/>
      </rPr>
      <t>。</t>
    </r>
  </si>
  <si>
    <r>
      <rPr>
        <sz val="9"/>
        <color rgb="FF404040"/>
        <rFont val="Noto Sans CJK SC"/>
        <family val="2"/>
      </rPr>
      <t xml:space="preserve">• 價格與轉換因子由該份報告的 </t>
    </r>
    <r>
      <rPr>
        <sz val="9"/>
        <color rgb="FF404040"/>
        <rFont val="Arial"/>
        <family val="2"/>
      </rPr>
      <t xml:space="preserve">Bloomberg DLV </t>
    </r>
    <r>
      <rPr>
        <sz val="9"/>
        <color rgb="FF404040"/>
        <rFont val="Noto Sans CJK SC"/>
        <family val="2"/>
      </rPr>
      <t xml:space="preserve">截圖讀取，尾差可能造成與截圖數字相差約 </t>
    </r>
    <r>
      <rPr>
        <sz val="9"/>
        <color rgb="FF404040"/>
        <rFont val="Arial"/>
        <family val="2"/>
      </rPr>
      <t>0.05 tick</t>
    </r>
    <r>
      <rPr>
        <sz val="9"/>
        <color rgb="FF404040"/>
        <rFont val="Noto Sans CJK SC"/>
        <family val="2"/>
      </rPr>
      <t>，屬正常。</t>
    </r>
  </si>
  <si>
    <r>
      <rPr>
        <sz val="9"/>
        <color rgb="FF404040"/>
        <rFont val="Arial"/>
        <family val="2"/>
      </rPr>
      <t xml:space="preserve">• repo </t>
    </r>
    <r>
      <rPr>
        <sz val="9"/>
        <color rgb="FF404040"/>
        <rFont val="Noto Sans CJK SC"/>
        <family val="2"/>
      </rPr>
      <t xml:space="preserve">計息基準預設 </t>
    </r>
    <r>
      <rPr>
        <sz val="9"/>
        <color rgb="FF404040"/>
        <rFont val="Arial"/>
        <family val="2"/>
      </rPr>
      <t xml:space="preserve">360 </t>
    </r>
    <r>
      <rPr>
        <sz val="9"/>
        <color rgb="FF404040"/>
        <rFont val="Noto Sans CJK SC"/>
        <family val="2"/>
      </rPr>
      <t>天（</t>
    </r>
    <r>
      <rPr>
        <sz val="9"/>
        <color rgb="FF404040"/>
        <rFont val="Arial"/>
        <family val="2"/>
      </rPr>
      <t>Act/360</t>
    </r>
    <r>
      <rPr>
        <sz val="9"/>
        <color rgb="FF404040"/>
        <rFont val="Noto Sans CJK SC"/>
        <family val="2"/>
      </rPr>
      <t xml:space="preserve">，與截圖一致）；若要改用 </t>
    </r>
    <r>
      <rPr>
        <sz val="9"/>
        <color rgb="FF404040"/>
        <rFont val="Arial"/>
        <family val="2"/>
      </rPr>
      <t xml:space="preserve">365 </t>
    </r>
    <r>
      <rPr>
        <sz val="9"/>
        <color rgb="FF404040"/>
        <rFont val="Noto Sans CJK SC"/>
        <family val="2"/>
      </rPr>
      <t>天，直接修改參數區即可。</t>
    </r>
  </si>
  <si>
    <r>
      <rPr>
        <sz val="9"/>
        <color rgb="FF404040"/>
        <rFont val="Noto Sans CJK SC"/>
        <family val="2"/>
      </rPr>
      <t xml:space="preserve">• 本模型假設交割日為交割月首日（正 </t>
    </r>
    <r>
      <rPr>
        <sz val="9"/>
        <color rgb="FF404040"/>
        <rFont val="Arial"/>
        <family val="2"/>
      </rPr>
      <t xml:space="preserve">carry </t>
    </r>
    <r>
      <rPr>
        <sz val="9"/>
        <color rgb="FF404040"/>
        <rFont val="Noto Sans CJK SC"/>
        <family val="2"/>
      </rPr>
      <t>環境下市場多假設末日，可自行修改交割日參數）。</t>
    </r>
  </si>
  <si>
    <r>
      <rPr>
        <sz val="9"/>
        <color rgb="FF404040"/>
        <rFont val="Noto Sans CJK SC"/>
        <family val="2"/>
      </rPr>
      <t xml:space="preserve">• 交割情境表使用 </t>
    </r>
    <r>
      <rPr>
        <sz val="9"/>
        <color rgb="FF404040"/>
        <rFont val="Arial"/>
        <family val="2"/>
      </rPr>
      <t xml:space="preserve">Excel </t>
    </r>
    <r>
      <rPr>
        <sz val="9"/>
        <color rgb="FF404040"/>
        <rFont val="Noto Sans CJK SC"/>
        <family val="2"/>
      </rPr>
      <t xml:space="preserve">內建 </t>
    </r>
    <r>
      <rPr>
        <sz val="9"/>
        <color rgb="FF404040"/>
        <rFont val="Arial"/>
        <family val="2"/>
      </rPr>
      <t xml:space="preserve">PRICE/YIELD </t>
    </r>
    <r>
      <rPr>
        <sz val="9"/>
        <color rgb="FF404040"/>
        <rFont val="Noto Sans CJK SC"/>
        <family val="2"/>
      </rPr>
      <t xml:space="preserve">函數重算遠期價格，屬近似的平行移動情境，未納入曲線扭轉與 </t>
    </r>
    <r>
      <rPr>
        <sz val="9"/>
        <color rgb="FF404040"/>
        <rFont val="Arial"/>
        <family val="2"/>
      </rPr>
      <t xml:space="preserve">wild card </t>
    </r>
    <r>
      <rPr>
        <sz val="9"/>
        <color rgb="FF404040"/>
        <rFont val="Noto Sans CJK SC"/>
        <family val="2"/>
      </rPr>
      <t>選擇權。</t>
    </r>
  </si>
  <si>
    <r>
      <rPr>
        <b/>
        <sz val="14"/>
        <color rgb="FF1F3864"/>
        <rFont val="Noto Sans CJK SC"/>
        <family val="2"/>
      </rPr>
      <t xml:space="preserve">基差 </t>
    </r>
    <r>
      <rPr>
        <b/>
        <sz val="14"/>
        <color rgb="FF1F3864"/>
        <rFont val="Arial"/>
        <family val="2"/>
      </rPr>
      <t xml:space="preserve">/ IRR </t>
    </r>
    <r>
      <rPr>
        <b/>
        <sz val="14"/>
        <color rgb="FF1F3864"/>
        <rFont val="Noto Sans CJK SC"/>
        <family val="2"/>
      </rPr>
      <t>試算表</t>
    </r>
  </si>
  <si>
    <r>
      <rPr>
        <i/>
        <sz val="9"/>
        <color rgb="FF808080"/>
        <rFont val="Noto Sans CJK SC"/>
        <family val="2"/>
      </rPr>
      <t xml:space="preserve">藍色 </t>
    </r>
    <r>
      <rPr>
        <i/>
        <sz val="9"/>
        <color rgb="FF808080"/>
        <rFont val="Arial"/>
        <family val="2"/>
      </rPr>
      <t xml:space="preserve">= </t>
    </r>
    <r>
      <rPr>
        <i/>
        <sz val="9"/>
        <color rgb="FF808080"/>
        <rFont val="Noto Sans CJK SC"/>
        <family val="2"/>
      </rPr>
      <t xml:space="preserve">可輸入；黃底 </t>
    </r>
    <r>
      <rPr>
        <i/>
        <sz val="9"/>
        <color rgb="FF808080"/>
        <rFont val="Arial"/>
        <family val="2"/>
      </rPr>
      <t xml:space="preserve">= </t>
    </r>
    <r>
      <rPr>
        <i/>
        <sz val="9"/>
        <color rgb="FF808080"/>
        <rFont val="Noto Sans CJK SC"/>
        <family val="2"/>
      </rPr>
      <t xml:space="preserve">關鍵假設；黑色 </t>
    </r>
    <r>
      <rPr>
        <i/>
        <sz val="9"/>
        <color rgb="FF808080"/>
        <rFont val="Arial"/>
        <family val="2"/>
      </rPr>
      <t xml:space="preserve">= </t>
    </r>
    <r>
      <rPr>
        <i/>
        <sz val="9"/>
        <color rgb="FF808080"/>
        <rFont val="Noto Sans CJK SC"/>
        <family val="2"/>
      </rPr>
      <t>公式，請勿覆寫</t>
    </r>
  </si>
  <si>
    <t>一、契約參數</t>
  </si>
  <si>
    <t>契約代碼</t>
  </si>
  <si>
    <t>FVU5</t>
  </si>
  <si>
    <r>
      <rPr>
        <sz val="9"/>
        <color rgb="FF808080"/>
        <rFont val="Noto Sans CJK SC"/>
        <family val="2"/>
      </rPr>
      <t>例：</t>
    </r>
    <r>
      <rPr>
        <sz val="9"/>
        <color rgb="FF808080"/>
        <rFont val="Arial"/>
        <family val="2"/>
      </rPr>
      <t>FVU5 = 2025</t>
    </r>
    <r>
      <rPr>
        <sz val="9"/>
        <color rgb="FF808080"/>
        <rFont val="Noto Sans CJK SC"/>
        <family val="2"/>
      </rPr>
      <t>年</t>
    </r>
    <r>
      <rPr>
        <sz val="9"/>
        <color rgb="FF808080"/>
        <rFont val="Arial"/>
        <family val="2"/>
      </rPr>
      <t>9</t>
    </r>
    <r>
      <rPr>
        <sz val="9"/>
        <color rgb="FF808080"/>
        <rFont val="Noto Sans CJK SC"/>
        <family val="2"/>
      </rPr>
      <t xml:space="preserve">月 </t>
    </r>
    <r>
      <rPr>
        <sz val="9"/>
        <color rgb="FF808080"/>
        <rFont val="Arial"/>
        <family val="2"/>
      </rPr>
      <t>5</t>
    </r>
    <r>
      <rPr>
        <sz val="9"/>
        <color rgb="FF808080"/>
        <rFont val="Noto Sans CJK SC"/>
        <family val="2"/>
      </rPr>
      <t>年期</t>
    </r>
    <r>
      <rPr>
        <sz val="9"/>
        <color rgb="FF808080"/>
        <rFont val="Arial"/>
        <family val="2"/>
      </rPr>
      <t>(CME: ZF)</t>
    </r>
  </si>
  <si>
    <r>
      <rPr>
        <b/>
        <sz val="11"/>
        <rFont val="Noto Sans CJK SC"/>
        <family val="2"/>
      </rPr>
      <t xml:space="preserve">期貨價格 </t>
    </r>
    <r>
      <rPr>
        <b/>
        <sz val="11"/>
        <rFont val="Arial"/>
        <family val="2"/>
      </rPr>
      <t>F</t>
    </r>
    <r>
      <rPr>
        <b/>
        <sz val="11"/>
        <rFont val="Noto Sans CJK SC"/>
        <family val="2"/>
      </rPr>
      <t>（小數）</t>
    </r>
  </si>
  <si>
    <t>108-07¾ → 108 + 7.75/32</t>
  </si>
  <si>
    <r>
      <rPr>
        <b/>
        <sz val="11"/>
        <rFont val="Noto Sans CJK SC"/>
        <family val="2"/>
      </rPr>
      <t xml:space="preserve">合約規模（每口面額 </t>
    </r>
    <r>
      <rPr>
        <b/>
        <sz val="11"/>
        <rFont val="Arial"/>
        <family val="2"/>
      </rPr>
      <t>$</t>
    </r>
    <r>
      <rPr>
        <b/>
        <sz val="11"/>
        <rFont val="Noto Sans CJK SC"/>
        <family val="2"/>
      </rPr>
      <t>）</t>
    </r>
  </si>
  <si>
    <r>
      <rPr>
        <sz val="9"/>
        <color rgb="FF808080"/>
        <rFont val="Arial"/>
        <family val="2"/>
      </rPr>
      <t xml:space="preserve">TU/ZT </t>
    </r>
    <r>
      <rPr>
        <sz val="9"/>
        <color rgb="FF808080"/>
        <rFont val="Noto Sans CJK SC"/>
        <family val="2"/>
      </rPr>
      <t xml:space="preserve">為 </t>
    </r>
    <r>
      <rPr>
        <sz val="9"/>
        <color rgb="FF808080"/>
        <rFont val="Arial"/>
        <family val="2"/>
      </rPr>
      <t>200,000</t>
    </r>
    <r>
      <rPr>
        <sz val="9"/>
        <color rgb="FF808080"/>
        <rFont val="Noto Sans CJK SC"/>
        <family val="2"/>
      </rPr>
      <t xml:space="preserve">，其餘為 </t>
    </r>
    <r>
      <rPr>
        <sz val="9"/>
        <color rgb="FF808080"/>
        <rFont val="Arial"/>
        <family val="2"/>
      </rPr>
      <t>100,000</t>
    </r>
  </si>
  <si>
    <r>
      <rPr>
        <b/>
        <sz val="11"/>
        <rFont val="Noto Sans CJK SC"/>
        <family val="2"/>
      </rPr>
      <t xml:space="preserve">現貨交割日 </t>
    </r>
    <r>
      <rPr>
        <b/>
        <sz val="11"/>
        <rFont val="Arial"/>
        <family val="2"/>
      </rPr>
      <t>(Settle)</t>
    </r>
  </si>
  <si>
    <t>買入現貨的交割日</t>
  </si>
  <si>
    <r>
      <rPr>
        <b/>
        <sz val="11"/>
        <rFont val="Noto Sans CJK SC"/>
        <family val="2"/>
      </rPr>
      <t xml:space="preserve">期貨交割日 </t>
    </r>
    <r>
      <rPr>
        <b/>
        <sz val="11"/>
        <rFont val="Arial"/>
        <family val="2"/>
      </rPr>
      <t>(Delivery)</t>
    </r>
  </si>
  <si>
    <r>
      <rPr>
        <sz val="9"/>
        <color rgb="FF808080"/>
        <rFont val="Noto Sans CJK SC"/>
        <family val="2"/>
      </rPr>
      <t xml:space="preserve">正 </t>
    </r>
    <r>
      <rPr>
        <sz val="9"/>
        <color rgb="FF808080"/>
        <rFont val="Arial"/>
        <family val="2"/>
      </rPr>
      <t xml:space="preserve">carry </t>
    </r>
    <r>
      <rPr>
        <sz val="9"/>
        <color rgb="FF808080"/>
        <rFont val="Noto Sans CJK SC"/>
        <family val="2"/>
      </rPr>
      <t xml:space="preserve">假設末日、負 </t>
    </r>
    <r>
      <rPr>
        <sz val="9"/>
        <color rgb="FF808080"/>
        <rFont val="Arial"/>
        <family val="2"/>
      </rPr>
      <t xml:space="preserve">carry </t>
    </r>
    <r>
      <rPr>
        <sz val="9"/>
        <color rgb="FF808080"/>
        <rFont val="Noto Sans CJK SC"/>
        <family val="2"/>
      </rPr>
      <t>假設首日</t>
    </r>
  </si>
  <si>
    <r>
      <rPr>
        <b/>
        <sz val="11"/>
        <rFont val="Noto Sans CJK SC"/>
        <family val="2"/>
      </rPr>
      <t xml:space="preserve">持有天數 </t>
    </r>
    <r>
      <rPr>
        <b/>
        <sz val="11"/>
        <rFont val="Arial"/>
        <family val="2"/>
      </rPr>
      <t>n</t>
    </r>
  </si>
  <si>
    <t>現貨交割日 → 期貨交割日</t>
  </si>
  <si>
    <r>
      <rPr>
        <b/>
        <sz val="11"/>
        <rFont val="Noto Sans CJK SC"/>
        <family val="2"/>
      </rPr>
      <t xml:space="preserve">實際 </t>
    </r>
    <r>
      <rPr>
        <b/>
        <sz val="11"/>
        <rFont val="Arial"/>
        <family val="2"/>
      </rPr>
      <t xml:space="preserve">Repo </t>
    </r>
    <r>
      <rPr>
        <b/>
        <sz val="11"/>
        <rFont val="Noto Sans CJK SC"/>
        <family val="2"/>
      </rPr>
      <t>利率</t>
    </r>
  </si>
  <si>
    <r>
      <rPr>
        <sz val="9"/>
        <color rgb="FF808080"/>
        <rFont val="Noto Sans CJK SC"/>
        <family val="2"/>
      </rPr>
      <t xml:space="preserve">一般擔保品 </t>
    </r>
    <r>
      <rPr>
        <sz val="9"/>
        <color rgb="FF808080"/>
        <rFont val="Arial"/>
        <family val="2"/>
      </rPr>
      <t xml:space="preserve">(GC) </t>
    </r>
    <r>
      <rPr>
        <sz val="9"/>
        <color rgb="FF808080"/>
        <rFont val="Noto Sans CJK SC"/>
        <family val="2"/>
      </rPr>
      <t>利率，逐檔可另設</t>
    </r>
  </si>
  <si>
    <r>
      <rPr>
        <b/>
        <sz val="11"/>
        <rFont val="Arial"/>
        <family val="2"/>
      </rPr>
      <t xml:space="preserve">Repo </t>
    </r>
    <r>
      <rPr>
        <b/>
        <sz val="11"/>
        <rFont val="Noto Sans CJK SC"/>
        <family val="2"/>
      </rPr>
      <t>計息基準（天</t>
    </r>
    <r>
      <rPr>
        <b/>
        <sz val="11"/>
        <rFont val="Arial"/>
        <family val="2"/>
      </rPr>
      <t>/</t>
    </r>
    <r>
      <rPr>
        <b/>
        <sz val="11"/>
        <rFont val="Noto Sans CJK SC"/>
        <family val="2"/>
      </rPr>
      <t>年）</t>
    </r>
  </si>
  <si>
    <r>
      <rPr>
        <sz val="9"/>
        <color rgb="FF808080"/>
        <rFont val="Arial"/>
        <family val="2"/>
      </rPr>
      <t xml:space="preserve">Act/360 </t>
    </r>
    <r>
      <rPr>
        <sz val="9"/>
        <color rgb="FF808080"/>
        <rFont val="Noto Sans CJK SC"/>
        <family val="2"/>
      </rPr>
      <t xml:space="preserve">輸入 </t>
    </r>
    <r>
      <rPr>
        <sz val="9"/>
        <color rgb="FF808080"/>
        <rFont val="Arial"/>
        <family val="2"/>
      </rPr>
      <t>360</t>
    </r>
    <r>
      <rPr>
        <sz val="9"/>
        <color rgb="FF808080"/>
        <rFont val="Noto Sans CJK SC"/>
        <family val="2"/>
      </rPr>
      <t>；</t>
    </r>
    <r>
      <rPr>
        <sz val="9"/>
        <color rgb="FF808080"/>
        <rFont val="Arial"/>
        <family val="2"/>
      </rPr>
      <t xml:space="preserve">Act/365 </t>
    </r>
    <r>
      <rPr>
        <sz val="9"/>
        <color rgb="FF808080"/>
        <rFont val="Noto Sans CJK SC"/>
        <family val="2"/>
      </rPr>
      <t xml:space="preserve">輸入 </t>
    </r>
    <r>
      <rPr>
        <sz val="9"/>
        <color rgb="FF808080"/>
        <rFont val="Arial"/>
        <family val="2"/>
      </rPr>
      <t>365</t>
    </r>
  </si>
  <si>
    <r>
      <rPr>
        <b/>
        <sz val="11"/>
        <rFont val="Noto Sans CJK SC"/>
        <family val="2"/>
      </rPr>
      <t>票息頻率（次</t>
    </r>
    <r>
      <rPr>
        <b/>
        <sz val="11"/>
        <rFont val="Arial"/>
        <family val="2"/>
      </rPr>
      <t>/</t>
    </r>
    <r>
      <rPr>
        <b/>
        <sz val="11"/>
        <rFont val="Noto Sans CJK SC"/>
        <family val="2"/>
      </rPr>
      <t>年）</t>
    </r>
  </si>
  <si>
    <r>
      <rPr>
        <sz val="9"/>
        <color rgb="FF808080"/>
        <rFont val="Noto Sans CJK SC"/>
        <family val="2"/>
      </rPr>
      <t xml:space="preserve">美國公債固定為 </t>
    </r>
    <r>
      <rPr>
        <sz val="9"/>
        <color rgb="FF808080"/>
        <rFont val="Arial"/>
        <family val="2"/>
      </rPr>
      <t>2</t>
    </r>
  </si>
  <si>
    <r>
      <rPr>
        <b/>
        <sz val="11"/>
        <color rgb="FF1F3864"/>
        <rFont val="Noto Sans CJK SC"/>
        <family val="2"/>
      </rPr>
      <t>二、可交割券明細（藍色欄位為輸入；</t>
    </r>
    <r>
      <rPr>
        <b/>
        <sz val="11"/>
        <color rgb="FF1F3864"/>
        <rFont val="Arial"/>
        <family val="2"/>
      </rPr>
      <t xml:space="preserve">A~I </t>
    </r>
    <r>
      <rPr>
        <b/>
        <sz val="11"/>
        <color rgb="FF1F3864"/>
        <rFont val="Noto Sans CJK SC"/>
        <family val="2"/>
      </rPr>
      <t>欄可自行增刪列）</t>
    </r>
  </si>
  <si>
    <t>#</t>
  </si>
  <si>
    <t>可交割券</t>
  </si>
  <si>
    <t>到期日</t>
  </si>
  <si>
    <r>
      <rPr>
        <b/>
        <sz val="9"/>
        <color rgb="FFFFFFFF"/>
        <rFont val="Noto Sans CJK SC"/>
        <family val="2"/>
      </rPr>
      <t xml:space="preserve">票息 </t>
    </r>
    <r>
      <rPr>
        <b/>
        <sz val="9"/>
        <color rgb="FFFFFFFF"/>
        <rFont val="Arial"/>
        <family val="2"/>
      </rPr>
      <t>%</t>
    </r>
  </si>
  <si>
    <r>
      <rPr>
        <b/>
        <sz val="9"/>
        <color rgb="FFFFFFFF"/>
        <rFont val="Noto Sans CJK SC"/>
        <family val="2"/>
      </rPr>
      <t xml:space="preserve">乾淨價 </t>
    </r>
    <r>
      <rPr>
        <b/>
        <sz val="9"/>
        <color rgb="FFFFFFFF"/>
        <rFont val="Arial"/>
        <family val="2"/>
      </rPr>
      <t>B</t>
    </r>
  </si>
  <si>
    <r>
      <rPr>
        <b/>
        <sz val="9"/>
        <color rgb="FFFFFFFF"/>
        <rFont val="Noto Sans CJK SC"/>
        <family val="2"/>
      </rPr>
      <t xml:space="preserve">轉換因子 </t>
    </r>
    <r>
      <rPr>
        <b/>
        <sz val="9"/>
        <color rgb="FFFFFFFF"/>
        <rFont val="Arial"/>
        <family val="2"/>
      </rPr>
      <t>c</t>
    </r>
  </si>
  <si>
    <t>上次付息日</t>
  </si>
  <si>
    <t>下次付息日</t>
  </si>
  <si>
    <r>
      <rPr>
        <b/>
        <sz val="9"/>
        <color rgb="FFFFFFFF"/>
        <rFont val="Noto Sans CJK SC"/>
        <family val="2"/>
      </rPr>
      <t xml:space="preserve">該券 </t>
    </r>
    <r>
      <rPr>
        <b/>
        <sz val="9"/>
        <color rgb="FFFFFFFF"/>
        <rFont val="Arial"/>
        <family val="2"/>
      </rPr>
      <t>Repo</t>
    </r>
  </si>
  <si>
    <t>再下次付息日</t>
  </si>
  <si>
    <r>
      <rPr>
        <b/>
        <sz val="9"/>
        <color rgb="FFFFFFFF"/>
        <rFont val="Noto Sans CJK SC"/>
        <family val="2"/>
      </rPr>
      <t xml:space="preserve">現貨應計 </t>
    </r>
    <r>
      <rPr>
        <b/>
        <sz val="9"/>
        <color rgb="FFFFFFFF"/>
        <rFont val="Arial"/>
        <family val="2"/>
      </rPr>
      <t>AI_s</t>
    </r>
  </si>
  <si>
    <r>
      <rPr>
        <b/>
        <sz val="9"/>
        <color rgb="FFFFFFFF"/>
        <rFont val="Noto Sans CJK SC"/>
        <family val="2"/>
      </rPr>
      <t xml:space="preserve">現貨全價 </t>
    </r>
    <r>
      <rPr>
        <b/>
        <sz val="9"/>
        <color rgb="FFFFFFFF"/>
        <rFont val="Arial"/>
        <family val="2"/>
      </rPr>
      <t>P</t>
    </r>
  </si>
  <si>
    <r>
      <rPr>
        <b/>
        <sz val="9"/>
        <color rgb="FFFFFFFF"/>
        <rFont val="Noto Sans CJK SC"/>
        <family val="2"/>
      </rPr>
      <t xml:space="preserve">交割日應計 </t>
    </r>
    <r>
      <rPr>
        <b/>
        <sz val="9"/>
        <color rgb="FFFFFFFF"/>
        <rFont val="Arial"/>
        <family val="2"/>
      </rPr>
      <t>AI_d</t>
    </r>
  </si>
  <si>
    <r>
      <rPr>
        <b/>
        <sz val="9"/>
        <color rgb="FFFFFFFF"/>
        <rFont val="Noto Sans CJK SC"/>
        <family val="2"/>
      </rPr>
      <t xml:space="preserve">期間票息 </t>
    </r>
    <r>
      <rPr>
        <b/>
        <sz val="9"/>
        <color rgb="FFFFFFFF"/>
        <rFont val="Arial"/>
        <family val="2"/>
      </rPr>
      <t>C</t>
    </r>
  </si>
  <si>
    <t>票息→交割天數</t>
  </si>
  <si>
    <r>
      <rPr>
        <b/>
        <sz val="9"/>
        <color rgb="FFFFFFFF"/>
        <rFont val="Noto Sans CJK SC"/>
        <family val="2"/>
      </rPr>
      <t>毛基差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點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</si>
  <si>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毛基差</t>
    </r>
    <r>
      <rPr>
        <b/>
        <sz val="9"/>
        <color rgb="FFFFFFFF"/>
        <rFont val="Arial"/>
        <family val="2"/>
      </rPr>
      <t>(32nds)</t>
    </r>
  </si>
  <si>
    <t>融資成本</t>
  </si>
  <si>
    <r>
      <rPr>
        <b/>
        <sz val="9"/>
        <color rgb="FFFFFFFF"/>
        <rFont val="Arial"/>
        <family val="2"/>
      </rPr>
      <t>Carry(</t>
    </r>
    <r>
      <rPr>
        <b/>
        <sz val="9"/>
        <color rgb="FFFFFFFF"/>
        <rFont val="Noto Sans CJK SC"/>
        <family val="2"/>
      </rPr>
      <t>點</t>
    </r>
    <r>
      <rPr>
        <b/>
        <sz val="9"/>
        <color rgb="FFFFFFFF"/>
        <rFont val="Arial"/>
        <family val="2"/>
      </rPr>
      <t>)</t>
    </r>
  </si>
  <si>
    <t>遠期全價</t>
  </si>
  <si>
    <t>遠期乾淨價</t>
  </si>
  <si>
    <r>
      <rPr>
        <b/>
        <sz val="9"/>
        <color rgb="FFFFFFFF"/>
        <rFont val="Noto Sans CJK SC"/>
        <family val="2"/>
      </rPr>
      <t>淨基差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Noto Sans CJK SC"/>
        <family val="2"/>
      </rPr>
      <t>點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</si>
  <si>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>淨基差</t>
    </r>
    <r>
      <rPr>
        <b/>
        <sz val="9"/>
        <color rgb="FFFFFFFF"/>
        <rFont val="Arial"/>
        <family val="2"/>
      </rPr>
      <t>(32nds)</t>
    </r>
  </si>
  <si>
    <t>Repo−IRR(bp)</t>
  </si>
  <si>
    <t>檢核</t>
  </si>
  <si>
    <t>T 4⅛ 11/30/29</t>
  </si>
  <si>
    <t>T 4⅜ 12/31/29</t>
  </si>
  <si>
    <t>T 4¼ 01/31/30</t>
  </si>
  <si>
    <t>T 4 02/28/30</t>
  </si>
  <si>
    <t>T 4 03/31/30</t>
  </si>
  <si>
    <t>T 3⅞ 04/30/30</t>
  </si>
  <si>
    <t>T 4 05/31/30</t>
  </si>
  <si>
    <t>T 3⅞ 06/30/30</t>
  </si>
  <si>
    <r>
      <rPr>
        <b/>
        <sz val="11"/>
        <color rgb="FF1F3864"/>
        <rFont val="Noto Sans CJK SC"/>
        <family val="2"/>
      </rPr>
      <t>三、</t>
    </r>
    <r>
      <rPr>
        <b/>
        <sz val="11"/>
        <color rgb="FF1F3864"/>
        <rFont val="Arial"/>
        <family val="2"/>
      </rPr>
      <t xml:space="preserve">CTD </t>
    </r>
    <r>
      <rPr>
        <b/>
        <sz val="11"/>
        <color rgb="FF1F3864"/>
        <rFont val="Noto Sans CJK SC"/>
        <family val="2"/>
      </rPr>
      <t>判定摘要</t>
    </r>
  </si>
  <si>
    <r>
      <rPr>
        <b/>
        <sz val="11"/>
        <rFont val="Noto Sans CJK SC"/>
        <family val="2"/>
      </rPr>
      <t xml:space="preserve">最便宜交割券 </t>
    </r>
    <r>
      <rPr>
        <b/>
        <sz val="11"/>
        <rFont val="Arial"/>
        <family val="2"/>
      </rPr>
      <t>(CTD)</t>
    </r>
  </si>
  <si>
    <r>
      <rPr>
        <b/>
        <sz val="11"/>
        <rFont val="Arial"/>
        <family val="2"/>
      </rPr>
      <t xml:space="preserve">CTD </t>
    </r>
    <r>
      <rPr>
        <b/>
        <sz val="11"/>
        <rFont val="Noto Sans CJK SC"/>
        <family val="2"/>
      </rPr>
      <t xml:space="preserve">淨基差 </t>
    </r>
    <r>
      <rPr>
        <b/>
        <sz val="11"/>
        <rFont val="Arial"/>
        <family val="2"/>
      </rPr>
      <t>(32nds)</t>
    </r>
  </si>
  <si>
    <r>
      <rPr>
        <b/>
        <sz val="11"/>
        <rFont val="Arial"/>
        <family val="2"/>
      </rPr>
      <t xml:space="preserve">CTD </t>
    </r>
    <r>
      <rPr>
        <b/>
        <sz val="11"/>
        <rFont val="Noto Sans CJK SC"/>
        <family val="2"/>
      </rPr>
      <t xml:space="preserve">毛基差 </t>
    </r>
    <r>
      <rPr>
        <b/>
        <sz val="11"/>
        <rFont val="Arial"/>
        <family val="2"/>
      </rPr>
      <t>(32nds)</t>
    </r>
  </si>
  <si>
    <r>
      <rPr>
        <b/>
        <sz val="11"/>
        <rFont val="Arial"/>
        <family val="2"/>
      </rPr>
      <t xml:space="preserve">CTD </t>
    </r>
    <r>
      <rPr>
        <b/>
        <sz val="11"/>
        <rFont val="Noto Sans CJK SC"/>
        <family val="2"/>
      </rPr>
      <t xml:space="preserve">隱含附買回利率 </t>
    </r>
    <r>
      <rPr>
        <b/>
        <sz val="11"/>
        <rFont val="Arial"/>
        <family val="2"/>
      </rPr>
      <t>IRR</t>
    </r>
  </si>
  <si>
    <r>
      <rPr>
        <b/>
        <sz val="11"/>
        <rFont val="Noto Sans CJK SC"/>
        <family val="2"/>
      </rPr>
      <t xml:space="preserve">籃中最高 </t>
    </r>
    <r>
      <rPr>
        <b/>
        <sz val="11"/>
        <rFont val="Arial"/>
        <family val="2"/>
      </rPr>
      <t>IRR</t>
    </r>
    <r>
      <rPr>
        <b/>
        <sz val="11"/>
        <rFont val="Noto Sans CJK SC"/>
        <family val="2"/>
      </rPr>
      <t>（應等於上一列）</t>
    </r>
  </si>
  <si>
    <r>
      <rPr>
        <b/>
        <sz val="11"/>
        <rFont val="Arial"/>
        <family val="2"/>
      </rPr>
      <t xml:space="preserve">CTD </t>
    </r>
    <r>
      <rPr>
        <b/>
        <sz val="11"/>
        <rFont val="Noto Sans CJK SC"/>
        <family val="2"/>
      </rPr>
      <t xml:space="preserve">轉換因子 </t>
    </r>
    <r>
      <rPr>
        <b/>
        <sz val="11"/>
        <rFont val="Arial"/>
        <family val="2"/>
      </rPr>
      <t>c</t>
    </r>
  </si>
  <si>
    <r>
      <rPr>
        <b/>
        <sz val="11"/>
        <rFont val="Noto Sans CJK SC"/>
        <family val="2"/>
      </rPr>
      <t xml:space="preserve">隱含期貨價 </t>
    </r>
    <r>
      <rPr>
        <b/>
        <sz val="11"/>
        <rFont val="Arial"/>
        <family val="2"/>
      </rPr>
      <t xml:space="preserve">= CTD </t>
    </r>
    <r>
      <rPr>
        <b/>
        <sz val="11"/>
        <rFont val="Noto Sans CJK SC"/>
        <family val="2"/>
      </rPr>
      <t xml:space="preserve">遠期乾淨價 </t>
    </r>
    <r>
      <rPr>
        <b/>
        <sz val="11"/>
        <rFont val="Arial"/>
        <family val="2"/>
      </rPr>
      <t>/ c</t>
    </r>
  </si>
  <si>
    <r>
      <rPr>
        <b/>
        <sz val="11"/>
        <rFont val="Noto Sans CJK SC"/>
        <family val="2"/>
      </rPr>
      <t xml:space="preserve">每 </t>
    </r>
    <r>
      <rPr>
        <b/>
        <sz val="11"/>
        <rFont val="Arial"/>
        <family val="2"/>
      </rPr>
      <t xml:space="preserve">tick </t>
    </r>
    <r>
      <rPr>
        <b/>
        <sz val="11"/>
        <rFont val="Noto Sans CJK SC"/>
        <family val="2"/>
      </rPr>
      <t>價值（每口，</t>
    </r>
    <r>
      <rPr>
        <b/>
        <sz val="11"/>
        <rFont val="Arial"/>
        <family val="2"/>
      </rPr>
      <t>$</t>
    </r>
    <r>
      <rPr>
        <b/>
        <sz val="11"/>
        <rFont val="Noto Sans CJK SC"/>
        <family val="2"/>
      </rPr>
      <t>）</t>
    </r>
  </si>
  <si>
    <r>
      <rPr>
        <sz val="9"/>
        <color rgb="FF808080"/>
        <rFont val="Noto Sans CJK SC"/>
        <family val="2"/>
      </rPr>
      <t xml:space="preserve">註：淨基差最低 </t>
    </r>
    <r>
      <rPr>
        <sz val="9"/>
        <color rgb="FF808080"/>
        <rFont val="Arial"/>
        <family val="2"/>
      </rPr>
      <t xml:space="preserve">= IRR </t>
    </r>
    <r>
      <rPr>
        <sz val="9"/>
        <color rgb="FF808080"/>
        <rFont val="Noto Sans CJK SC"/>
        <family val="2"/>
      </rPr>
      <t xml:space="preserve">最高，兩種判定必然一致；若不一致代表各券 </t>
    </r>
    <r>
      <rPr>
        <sz val="9"/>
        <color rgb="FF808080"/>
        <rFont val="Arial"/>
        <family val="2"/>
      </rPr>
      <t xml:space="preserve">repo </t>
    </r>
    <r>
      <rPr>
        <sz val="9"/>
        <color rgb="FF808080"/>
        <rFont val="Noto Sans CJK SC"/>
        <family val="2"/>
      </rPr>
      <t>輸入不同。</t>
    </r>
  </si>
  <si>
    <t>基差部位損益試算</t>
  </si>
  <si>
    <t>設定方向與名目金額，輸入出場價格，即可拆解四段損益來源</t>
  </si>
  <si>
    <t>一、部位設定</t>
  </si>
  <si>
    <r>
      <rPr>
        <b/>
        <sz val="11"/>
        <rFont val="Noto Sans CJK SC"/>
        <family val="2"/>
      </rPr>
      <t xml:space="preserve">選擇債券（輸入 </t>
    </r>
    <r>
      <rPr>
        <b/>
        <sz val="11"/>
        <rFont val="Arial"/>
        <family val="2"/>
      </rPr>
      <t>1~8</t>
    </r>
    <r>
      <rPr>
        <b/>
        <sz val="11"/>
        <rFont val="Noto Sans CJK SC"/>
        <family val="2"/>
      </rPr>
      <t>）</t>
    </r>
  </si>
  <si>
    <t>對應『基差試算』表中的序號</t>
  </si>
  <si>
    <r>
      <rPr>
        <b/>
        <sz val="11"/>
        <rFont val="Noto Sans CJK SC"/>
        <family val="2"/>
      </rPr>
      <t xml:space="preserve">方向（買基差 </t>
    </r>
    <r>
      <rPr>
        <b/>
        <sz val="11"/>
        <rFont val="Arial"/>
        <family val="2"/>
      </rPr>
      <t>= 1</t>
    </r>
    <r>
      <rPr>
        <b/>
        <sz val="11"/>
        <rFont val="Noto Sans CJK SC"/>
        <family val="2"/>
      </rPr>
      <t xml:space="preserve">；賣基差 </t>
    </r>
    <r>
      <rPr>
        <b/>
        <sz val="11"/>
        <rFont val="Arial"/>
        <family val="2"/>
      </rPr>
      <t>= -1</t>
    </r>
    <r>
      <rPr>
        <b/>
        <sz val="11"/>
        <rFont val="Noto Sans CJK SC"/>
        <family val="2"/>
      </rPr>
      <t>）</t>
    </r>
  </si>
  <si>
    <r>
      <rPr>
        <sz val="9"/>
        <color rgb="FF808080"/>
        <rFont val="Noto Sans CJK SC"/>
        <family val="2"/>
      </rPr>
      <t xml:space="preserve">買基差 </t>
    </r>
    <r>
      <rPr>
        <sz val="9"/>
        <color rgb="FF808080"/>
        <rFont val="Arial"/>
        <family val="2"/>
      </rPr>
      <t xml:space="preserve">= </t>
    </r>
    <r>
      <rPr>
        <sz val="9"/>
        <color rgb="FF808080"/>
        <rFont val="Noto Sans CJK SC"/>
        <family val="2"/>
      </rPr>
      <t xml:space="preserve">買現貨 </t>
    </r>
    <r>
      <rPr>
        <sz val="9"/>
        <color rgb="FF808080"/>
        <rFont val="Arial"/>
        <family val="2"/>
      </rPr>
      <t xml:space="preserve">+ </t>
    </r>
    <r>
      <rPr>
        <sz val="9"/>
        <color rgb="FF808080"/>
        <rFont val="Noto Sans CJK SC"/>
        <family val="2"/>
      </rPr>
      <t xml:space="preserve">空期貨 </t>
    </r>
    <r>
      <rPr>
        <sz val="9"/>
        <color rgb="FF808080"/>
        <rFont val="Arial"/>
        <family val="2"/>
      </rPr>
      <t xml:space="preserve">= </t>
    </r>
    <r>
      <rPr>
        <sz val="9"/>
        <color rgb="FF808080"/>
        <rFont val="Noto Sans CJK SC"/>
        <family val="2"/>
      </rPr>
      <t>買進交割選擇權</t>
    </r>
  </si>
  <si>
    <r>
      <rPr>
        <b/>
        <sz val="11"/>
        <rFont val="Noto Sans CJK SC"/>
        <family val="2"/>
      </rPr>
      <t xml:space="preserve">現貨名目面額 </t>
    </r>
    <r>
      <rPr>
        <b/>
        <sz val="11"/>
        <rFont val="Arial"/>
        <family val="2"/>
      </rPr>
      <t>($)</t>
    </r>
  </si>
  <si>
    <r>
      <rPr>
        <sz val="9"/>
        <color rgb="FF808080"/>
        <rFont val="Noto Sans CJK SC"/>
        <family val="2"/>
      </rPr>
      <t>例：</t>
    </r>
    <r>
      <rPr>
        <sz val="9"/>
        <color rgb="FF808080"/>
        <rFont val="Arial"/>
        <family val="2"/>
      </rPr>
      <t>$100mm</t>
    </r>
  </si>
  <si>
    <t>進場日（現貨交割日）</t>
  </si>
  <si>
    <t>由參數區帶入</t>
  </si>
  <si>
    <t>出場日</t>
  </si>
  <si>
    <t>若等於期貨交割日即為持有至交割</t>
  </si>
  <si>
    <r>
      <rPr>
        <b/>
        <sz val="11"/>
        <rFont val="Noto Sans CJK SC"/>
        <family val="2"/>
      </rPr>
      <t xml:space="preserve">出場乾淨價 </t>
    </r>
    <r>
      <rPr>
        <b/>
        <sz val="11"/>
        <rFont val="Arial"/>
        <family val="2"/>
      </rPr>
      <t>B₁</t>
    </r>
  </si>
  <si>
    <t>現貨賣出時的乾淨價</t>
  </si>
  <si>
    <r>
      <rPr>
        <b/>
        <sz val="11"/>
        <rFont val="Noto Sans CJK SC"/>
        <family val="2"/>
      </rPr>
      <t xml:space="preserve">出場期貨價 </t>
    </r>
    <r>
      <rPr>
        <b/>
        <sz val="11"/>
        <rFont val="Arial"/>
        <family val="2"/>
      </rPr>
      <t>F₁</t>
    </r>
  </si>
  <si>
    <t>期貨回補時的價格</t>
  </si>
  <si>
    <t>二、由『基差試算』帶入的進場條件</t>
  </si>
  <si>
    <t>債券名稱</t>
  </si>
  <si>
    <r>
      <rPr>
        <b/>
        <sz val="11"/>
        <rFont val="Noto Sans CJK SC"/>
        <family val="2"/>
      </rPr>
      <t xml:space="preserve">票息 </t>
    </r>
    <r>
      <rPr>
        <b/>
        <sz val="11"/>
        <rFont val="Arial"/>
        <family val="2"/>
      </rPr>
      <t>(%)</t>
    </r>
  </si>
  <si>
    <r>
      <rPr>
        <b/>
        <sz val="11"/>
        <rFont val="Noto Sans CJK SC"/>
        <family val="2"/>
      </rPr>
      <t xml:space="preserve">轉換因子 </t>
    </r>
    <r>
      <rPr>
        <b/>
        <sz val="11"/>
        <rFont val="Arial"/>
        <family val="2"/>
      </rPr>
      <t>c</t>
    </r>
  </si>
  <si>
    <r>
      <rPr>
        <b/>
        <sz val="11"/>
        <rFont val="Noto Sans CJK SC"/>
        <family val="2"/>
      </rPr>
      <t xml:space="preserve">進場乾淨價 </t>
    </r>
    <r>
      <rPr>
        <b/>
        <sz val="11"/>
        <rFont val="Arial"/>
        <family val="2"/>
      </rPr>
      <t>B₀</t>
    </r>
  </si>
  <si>
    <r>
      <rPr>
        <b/>
        <sz val="11"/>
        <rFont val="Noto Sans CJK SC"/>
        <family val="2"/>
      </rPr>
      <t xml:space="preserve">進場期貨價 </t>
    </r>
    <r>
      <rPr>
        <b/>
        <sz val="11"/>
        <rFont val="Arial"/>
        <family val="2"/>
      </rPr>
      <t>F₀</t>
    </r>
  </si>
  <si>
    <r>
      <rPr>
        <b/>
        <sz val="11"/>
        <rFont val="Noto Sans CJK SC"/>
        <family val="2"/>
      </rPr>
      <t xml:space="preserve">進場現貨全價 </t>
    </r>
    <r>
      <rPr>
        <b/>
        <sz val="11"/>
        <rFont val="Arial"/>
        <family val="2"/>
      </rPr>
      <t>P₀</t>
    </r>
  </si>
  <si>
    <r>
      <rPr>
        <b/>
        <sz val="11"/>
        <rFont val="Arial"/>
        <family val="2"/>
      </rPr>
      <t xml:space="preserve">Repo </t>
    </r>
    <r>
      <rPr>
        <b/>
        <sz val="11"/>
        <rFont val="Noto Sans CJK SC"/>
        <family val="2"/>
      </rPr>
      <t>利率</t>
    </r>
  </si>
  <si>
    <r>
      <rPr>
        <b/>
        <sz val="11"/>
        <rFont val="Noto Sans CJK SC"/>
        <family val="2"/>
      </rPr>
      <t xml:space="preserve">進場毛基差 </t>
    </r>
    <r>
      <rPr>
        <b/>
        <sz val="11"/>
        <rFont val="Arial"/>
        <family val="2"/>
      </rPr>
      <t>(32nds)</t>
    </r>
  </si>
  <si>
    <r>
      <rPr>
        <b/>
        <sz val="11"/>
        <rFont val="Noto Sans CJK SC"/>
        <family val="2"/>
      </rPr>
      <t xml:space="preserve">進場淨基差 </t>
    </r>
    <r>
      <rPr>
        <b/>
        <sz val="11"/>
        <rFont val="Arial"/>
        <family val="2"/>
      </rPr>
      <t>(32nds)</t>
    </r>
  </si>
  <si>
    <t>三、部位規模</t>
  </si>
  <si>
    <t>期貨口數（轉換因子加權，四捨五入）</t>
  </si>
  <si>
    <r>
      <rPr>
        <b/>
        <sz val="11"/>
        <rFont val="Noto Sans CJK SC"/>
        <family val="2"/>
      </rPr>
      <t xml:space="preserve">期貨名目金額 </t>
    </r>
    <r>
      <rPr>
        <b/>
        <sz val="11"/>
        <rFont val="Arial"/>
        <family val="2"/>
      </rPr>
      <t>($)</t>
    </r>
  </si>
  <si>
    <r>
      <rPr>
        <b/>
        <sz val="11"/>
        <rFont val="Noto Sans CJK SC"/>
        <family val="2"/>
      </rPr>
      <t xml:space="preserve">尾差 </t>
    </r>
    <r>
      <rPr>
        <b/>
        <sz val="11"/>
        <rFont val="Arial"/>
        <family val="2"/>
      </rPr>
      <t>tail</t>
    </r>
    <r>
      <rPr>
        <b/>
        <sz val="11"/>
        <rFont val="Noto Sans CJK SC"/>
        <family val="2"/>
      </rPr>
      <t>（現貨 − 期貨名目，</t>
    </r>
    <r>
      <rPr>
        <b/>
        <sz val="11"/>
        <rFont val="Arial"/>
        <family val="2"/>
      </rPr>
      <t>$</t>
    </r>
    <r>
      <rPr>
        <b/>
        <sz val="11"/>
        <rFont val="Noto Sans CJK SC"/>
        <family val="2"/>
      </rPr>
      <t>）</t>
    </r>
  </si>
  <si>
    <r>
      <rPr>
        <b/>
        <sz val="11"/>
        <rFont val="Noto Sans CJK SC"/>
        <family val="2"/>
      </rPr>
      <t xml:space="preserve">每 </t>
    </r>
    <r>
      <rPr>
        <b/>
        <sz val="11"/>
        <rFont val="Arial"/>
        <family val="2"/>
      </rPr>
      <t xml:space="preserve">1 tick </t>
    </r>
    <r>
      <rPr>
        <b/>
        <sz val="11"/>
        <rFont val="Noto Sans CJK SC"/>
        <family val="2"/>
      </rPr>
      <t xml:space="preserve">基差變動的損益 </t>
    </r>
    <r>
      <rPr>
        <b/>
        <sz val="11"/>
        <rFont val="Arial"/>
        <family val="2"/>
      </rPr>
      <t>($)</t>
    </r>
  </si>
  <si>
    <t>四、持有期間中間計算</t>
  </si>
  <si>
    <t>持有天數</t>
  </si>
  <si>
    <r>
      <rPr>
        <b/>
        <sz val="11"/>
        <rFont val="Noto Sans CJK SC"/>
        <family val="2"/>
      </rPr>
      <t xml:space="preserve">出場日應計利息 </t>
    </r>
    <r>
      <rPr>
        <b/>
        <sz val="11"/>
        <rFont val="Arial"/>
        <family val="2"/>
      </rPr>
      <t>AI₁</t>
    </r>
  </si>
  <si>
    <r>
      <rPr>
        <b/>
        <sz val="11"/>
        <rFont val="Noto Sans CJK SC"/>
        <family val="2"/>
      </rPr>
      <t xml:space="preserve">進場日應計利息 </t>
    </r>
    <r>
      <rPr>
        <b/>
        <sz val="11"/>
        <rFont val="Arial"/>
        <family val="2"/>
      </rPr>
      <t>AI₀</t>
    </r>
  </si>
  <si>
    <r>
      <rPr>
        <b/>
        <sz val="11"/>
        <rFont val="Noto Sans CJK SC"/>
        <family val="2"/>
      </rPr>
      <t xml:space="preserve">期間收到票息 </t>
    </r>
    <r>
      <rPr>
        <b/>
        <sz val="11"/>
        <rFont val="Arial"/>
        <family val="2"/>
      </rPr>
      <t>C</t>
    </r>
  </si>
  <si>
    <t>票息→出場天數</t>
  </si>
  <si>
    <t>五、損益拆解</t>
  </si>
  <si>
    <t>損益來源</t>
  </si>
  <si>
    <r>
      <rPr>
        <b/>
        <sz val="9"/>
        <color rgb="FFFFFFFF"/>
        <rFont val="Noto Sans CJK SC"/>
        <family val="2"/>
      </rPr>
      <t xml:space="preserve">金額 </t>
    </r>
    <r>
      <rPr>
        <b/>
        <sz val="9"/>
        <color rgb="FFFFFFFF"/>
        <rFont val="Arial"/>
        <family val="2"/>
      </rPr>
      <t>($)</t>
    </r>
  </si>
  <si>
    <t>① 現貨資本利得</t>
  </si>
  <si>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>出場乾淨價 − 進場乾淨價</t>
    </r>
    <r>
      <rPr>
        <sz val="9"/>
        <color rgb="FF808080"/>
        <rFont val="Arial"/>
        <family val="2"/>
      </rPr>
      <t xml:space="preserve">) × </t>
    </r>
    <r>
      <rPr>
        <sz val="9"/>
        <color rgb="FF808080"/>
        <rFont val="Noto Sans CJK SC"/>
        <family val="2"/>
      </rPr>
      <t>面額</t>
    </r>
    <r>
      <rPr>
        <sz val="9"/>
        <color rgb="FF808080"/>
        <rFont val="Arial"/>
        <family val="2"/>
      </rPr>
      <t>/100</t>
    </r>
  </si>
  <si>
    <t>② 票息收入（含再投資）</t>
  </si>
  <si>
    <r>
      <rPr>
        <sz val="9"/>
        <color rgb="FF808080"/>
        <rFont val="Noto Sans CJK SC"/>
        <family val="2"/>
      </rPr>
      <t xml:space="preserve">應計利息增加 </t>
    </r>
    <r>
      <rPr>
        <sz val="9"/>
        <color rgb="FF808080"/>
        <rFont val="Arial"/>
        <family val="2"/>
      </rPr>
      <t xml:space="preserve">+ </t>
    </r>
    <r>
      <rPr>
        <sz val="9"/>
        <color rgb="FF808080"/>
        <rFont val="Noto Sans CJK SC"/>
        <family val="2"/>
      </rPr>
      <t xml:space="preserve">期間票息 </t>
    </r>
    <r>
      <rPr>
        <sz val="9"/>
        <color rgb="FF808080"/>
        <rFont val="Arial"/>
        <family val="2"/>
      </rPr>
      <t xml:space="preserve">+ </t>
    </r>
    <r>
      <rPr>
        <sz val="9"/>
        <color rgb="FF808080"/>
        <rFont val="Noto Sans CJK SC"/>
        <family val="2"/>
      </rPr>
      <t>票息再投資</t>
    </r>
  </si>
  <si>
    <r>
      <rPr>
        <sz val="11"/>
        <color rgb="FF000000"/>
        <rFont val="Arial"/>
        <family val="2"/>
      </rPr>
      <t xml:space="preserve">③ Repo </t>
    </r>
    <r>
      <rPr>
        <sz val="11"/>
        <color rgb="FF000000"/>
        <rFont val="Noto Sans CJK SC"/>
        <family val="2"/>
      </rPr>
      <t>融資成本</t>
    </r>
  </si>
  <si>
    <t>以全價融資；買基差為成本、賣基差為收益</t>
  </si>
  <si>
    <t>④ 期貨腿損益</t>
  </si>
  <si>
    <r>
      <rPr>
        <sz val="9"/>
        <color rgb="FF808080"/>
        <rFont val="Noto Sans CJK SC"/>
        <family val="2"/>
      </rPr>
      <t xml:space="preserve">買基差 </t>
    </r>
    <r>
      <rPr>
        <sz val="9"/>
        <color rgb="FF808080"/>
        <rFont val="Arial"/>
        <family val="2"/>
      </rPr>
      <t xml:space="preserve">= </t>
    </r>
    <r>
      <rPr>
        <sz val="9"/>
        <color rgb="FF808080"/>
        <rFont val="Noto Sans CJK SC"/>
        <family val="2"/>
      </rPr>
      <t>空期貨，期貨漲則虧</t>
    </r>
  </si>
  <si>
    <t>合計損益</t>
  </si>
  <si>
    <t>六、交叉檢核與對照</t>
  </si>
  <si>
    <r>
      <rPr>
        <b/>
        <sz val="11"/>
        <rFont val="Noto Sans CJK SC"/>
        <family val="2"/>
      </rPr>
      <t xml:space="preserve">出場毛基差 </t>
    </r>
    <r>
      <rPr>
        <b/>
        <sz val="11"/>
        <rFont val="Arial"/>
        <family val="2"/>
      </rPr>
      <t>(32nds)</t>
    </r>
  </si>
  <si>
    <r>
      <rPr>
        <sz val="9"/>
        <color rgb="FF808080"/>
        <rFont val="Noto Sans CJK SC"/>
        <family val="2"/>
      </rPr>
      <t xml:space="preserve">出場乾淨價 − </t>
    </r>
    <r>
      <rPr>
        <sz val="9"/>
        <color rgb="FF808080"/>
        <rFont val="Arial"/>
        <family val="2"/>
      </rPr>
      <t xml:space="preserve">c × </t>
    </r>
    <r>
      <rPr>
        <sz val="9"/>
        <color rgb="FF808080"/>
        <rFont val="Noto Sans CJK SC"/>
        <family val="2"/>
      </rPr>
      <t>出場期貨價</t>
    </r>
  </si>
  <si>
    <r>
      <rPr>
        <b/>
        <sz val="11"/>
        <rFont val="Noto Sans CJK SC"/>
        <family val="2"/>
      </rPr>
      <t xml:space="preserve">毛基差變動 </t>
    </r>
    <r>
      <rPr>
        <b/>
        <sz val="11"/>
        <rFont val="Arial"/>
        <family val="2"/>
      </rPr>
      <t>(32nds)</t>
    </r>
  </si>
  <si>
    <t>正值代表基差擴大</t>
  </si>
  <si>
    <r>
      <rPr>
        <b/>
        <sz val="11"/>
        <rFont val="Noto Sans CJK SC"/>
        <family val="2"/>
      </rPr>
      <t>價差項損益（①</t>
    </r>
    <r>
      <rPr>
        <b/>
        <sz val="11"/>
        <rFont val="Arial"/>
        <family val="2"/>
      </rPr>
      <t>+④</t>
    </r>
    <r>
      <rPr>
        <b/>
        <sz val="11"/>
        <rFont val="Noto Sans CJK SC"/>
        <family val="2"/>
      </rPr>
      <t>）驗算</t>
    </r>
  </si>
  <si>
    <r>
      <rPr>
        <sz val="9"/>
        <color rgb="FF808080"/>
        <rFont val="Noto Sans CJK SC"/>
        <family val="2"/>
      </rPr>
      <t>應等於 ①</t>
    </r>
    <r>
      <rPr>
        <sz val="9"/>
        <color rgb="FF808080"/>
        <rFont val="Arial"/>
        <family val="2"/>
      </rPr>
      <t>+④</t>
    </r>
    <r>
      <rPr>
        <sz val="9"/>
        <color rgb="FF808080"/>
        <rFont val="Noto Sans CJK SC"/>
        <family val="2"/>
      </rPr>
      <t>（口數四捨五入會有微小差異）</t>
    </r>
  </si>
  <si>
    <t>持有至交割理論損益</t>
  </si>
  <si>
    <r>
      <rPr>
        <sz val="9"/>
        <color rgb="FF808080"/>
        <rFont val="Noto Sans CJK SC"/>
        <family val="2"/>
      </rPr>
      <t>＝ −</t>
    </r>
    <r>
      <rPr>
        <sz val="9"/>
        <color rgb="FF808080"/>
        <rFont val="Arial"/>
        <family val="2"/>
      </rPr>
      <t>(</t>
    </r>
    <r>
      <rPr>
        <sz val="9"/>
        <color rgb="FF808080"/>
        <rFont val="Noto Sans CJK SC"/>
        <family val="2"/>
      </rPr>
      <t>進場淨基差</t>
    </r>
    <r>
      <rPr>
        <sz val="9"/>
        <color rgb="FF808080"/>
        <rFont val="Arial"/>
        <family val="2"/>
      </rPr>
      <t xml:space="preserve">) × </t>
    </r>
    <r>
      <rPr>
        <sz val="9"/>
        <color rgb="FF808080"/>
        <rFont val="Noto Sans CJK SC"/>
        <family val="2"/>
      </rPr>
      <t>面額</t>
    </r>
    <r>
      <rPr>
        <sz val="9"/>
        <color rgb="FF808080"/>
        <rFont val="Arial"/>
        <family val="2"/>
      </rPr>
      <t>/100</t>
    </r>
    <r>
      <rPr>
        <sz val="9"/>
        <color rgb="FF808080"/>
        <rFont val="Noto Sans CJK SC"/>
        <family val="2"/>
      </rPr>
      <t>，買基差通常小虧</t>
    </r>
  </si>
  <si>
    <t>年化報酬（對名目面額）</t>
  </si>
  <si>
    <t>僅供比較，未考慮保證金與實際資金占用</t>
  </si>
  <si>
    <r>
      <rPr>
        <sz val="9"/>
        <color rgb="FFC00000"/>
        <rFont val="Noto Sans CJK SC"/>
        <family val="2"/>
      </rPr>
      <t xml:space="preserve">提醒：買基差 </t>
    </r>
    <r>
      <rPr>
        <sz val="9"/>
        <color rgb="FFC00000"/>
        <rFont val="Arial"/>
        <family val="2"/>
      </rPr>
      <t xml:space="preserve">= </t>
    </r>
    <r>
      <rPr>
        <sz val="9"/>
        <color rgb="FFC00000"/>
        <rFont val="Noto Sans CJK SC"/>
        <family val="2"/>
      </rPr>
      <t xml:space="preserve">買進交割選擇權，若持有至交割且 </t>
    </r>
    <r>
      <rPr>
        <sz val="9"/>
        <color rgb="FFC00000"/>
        <rFont val="Arial"/>
        <family val="2"/>
      </rPr>
      <t xml:space="preserve">CTD </t>
    </r>
    <r>
      <rPr>
        <sz val="9"/>
        <color rgb="FFC00000"/>
        <rFont val="Noto Sans CJK SC"/>
        <family val="2"/>
      </rPr>
      <t xml:space="preserve">未轉換，損益上限即為 −淨基差；獲利多半來自基差擴大或 </t>
    </r>
    <r>
      <rPr>
        <sz val="9"/>
        <color rgb="FFC00000"/>
        <rFont val="Arial"/>
        <family val="2"/>
      </rPr>
      <t xml:space="preserve">CTD </t>
    </r>
    <r>
      <rPr>
        <sz val="9"/>
        <color rgb="FFC00000"/>
        <rFont val="Noto Sans CJK SC"/>
        <family val="2"/>
      </rPr>
      <t>轉換。</t>
    </r>
  </si>
  <si>
    <r>
      <rPr>
        <b/>
        <sz val="14"/>
        <color rgb="FF1F3864"/>
        <rFont val="Noto Sans CJK SC"/>
        <family val="2"/>
      </rPr>
      <t xml:space="preserve">交割日情境分析（平行移動 </t>
    </r>
    <r>
      <rPr>
        <b/>
        <sz val="14"/>
        <color rgb="FF1F3864"/>
        <rFont val="Arial"/>
        <family val="2"/>
      </rPr>
      <t>±100bp</t>
    </r>
    <r>
      <rPr>
        <b/>
        <sz val="14"/>
        <color rgb="FF1F3864"/>
        <rFont val="Noto Sans CJK SC"/>
        <family val="2"/>
      </rPr>
      <t>）</t>
    </r>
  </si>
  <si>
    <r>
      <rPr>
        <i/>
        <sz val="9"/>
        <color rgb="FF808080"/>
        <rFont val="Noto Sans CJK SC"/>
        <family val="2"/>
      </rPr>
      <t xml:space="preserve">模仿 </t>
    </r>
    <r>
      <rPr>
        <i/>
        <sz val="9"/>
        <color rgb="FF808080"/>
        <rFont val="Arial"/>
        <family val="2"/>
      </rPr>
      <t xml:space="preserve">Bloomberg CMS </t>
    </r>
    <r>
      <rPr>
        <i/>
        <sz val="9"/>
        <color rgb="FF808080"/>
        <rFont val="Noto Sans CJK SC"/>
        <family val="2"/>
      </rPr>
      <t xml:space="preserve">畫面：在交割日將各券殖利率平行移動，重算遠期價格，取 </t>
    </r>
    <r>
      <rPr>
        <i/>
        <sz val="9"/>
        <color rgb="FF808080"/>
        <rFont val="Arial"/>
        <family val="2"/>
      </rPr>
      <t>F* = MIN(B/c)</t>
    </r>
    <r>
      <rPr>
        <i/>
        <sz val="9"/>
        <color rgb="FF808080"/>
        <rFont val="Noto Sans CJK SC"/>
        <family val="2"/>
      </rPr>
      <t>，再算各券基差</t>
    </r>
  </si>
  <si>
    <r>
      <rPr>
        <b/>
        <sz val="11"/>
        <color rgb="FF1F3864"/>
        <rFont val="Noto Sans CJK SC"/>
        <family val="2"/>
      </rPr>
      <t>一、情境設定（</t>
    </r>
    <r>
      <rPr>
        <b/>
        <sz val="11"/>
        <color rgb="FF1F3864"/>
        <rFont val="Arial"/>
        <family val="2"/>
      </rPr>
      <t>bp</t>
    </r>
    <r>
      <rPr>
        <b/>
        <sz val="11"/>
        <color rgb="FF1F3864"/>
        <rFont val="Noto Sans CJK SC"/>
        <family val="2"/>
      </rPr>
      <t>）</t>
    </r>
  </si>
  <si>
    <r>
      <rPr>
        <b/>
        <sz val="11"/>
        <rFont val="Noto Sans CJK SC"/>
        <family val="2"/>
      </rPr>
      <t xml:space="preserve">殖利率變動 </t>
    </r>
    <r>
      <rPr>
        <b/>
        <sz val="11"/>
        <rFont val="Arial"/>
        <family val="2"/>
      </rPr>
      <t>(bp) →</t>
    </r>
  </si>
  <si>
    <t>遠期殖利率</t>
  </si>
  <si>
    <r>
      <rPr>
        <b/>
        <sz val="9"/>
        <color rgb="FFFFFFFF"/>
        <rFont val="Noto Sans CJK SC"/>
        <family val="2"/>
      </rPr>
      <t xml:space="preserve">價格 </t>
    </r>
    <r>
      <rPr>
        <b/>
        <sz val="9"/>
        <color rgb="FFFFFFFF"/>
        <rFont val="Arial"/>
        <family val="2"/>
      </rPr>
      <t>-100bp</t>
    </r>
  </si>
  <si>
    <r>
      <rPr>
        <b/>
        <sz val="9"/>
        <color rgb="FFFFFFFF"/>
        <rFont val="Noto Sans CJK SC"/>
        <family val="2"/>
      </rPr>
      <t xml:space="preserve">價格 </t>
    </r>
    <r>
      <rPr>
        <b/>
        <sz val="9"/>
        <color rgb="FFFFFFFF"/>
        <rFont val="Arial"/>
        <family val="2"/>
      </rPr>
      <t>-50bp</t>
    </r>
  </si>
  <si>
    <r>
      <rPr>
        <b/>
        <sz val="9"/>
        <color rgb="FFFFFFFF"/>
        <rFont val="Noto Sans CJK SC"/>
        <family val="2"/>
      </rPr>
      <t xml:space="preserve">價格 </t>
    </r>
    <r>
      <rPr>
        <b/>
        <sz val="9"/>
        <color rgb="FFFFFFFF"/>
        <rFont val="Arial"/>
        <family val="2"/>
      </rPr>
      <t>+0bp</t>
    </r>
  </si>
  <si>
    <r>
      <rPr>
        <b/>
        <sz val="9"/>
        <color rgb="FFFFFFFF"/>
        <rFont val="Noto Sans CJK SC"/>
        <family val="2"/>
      </rPr>
      <t xml:space="preserve">價格 </t>
    </r>
    <r>
      <rPr>
        <b/>
        <sz val="9"/>
        <color rgb="FFFFFFFF"/>
        <rFont val="Arial"/>
        <family val="2"/>
      </rPr>
      <t>+50bp</t>
    </r>
  </si>
  <si>
    <r>
      <rPr>
        <b/>
        <sz val="9"/>
        <color rgb="FFFFFFFF"/>
        <rFont val="Noto Sans CJK SC"/>
        <family val="2"/>
      </rPr>
      <t xml:space="preserve">價格 </t>
    </r>
    <r>
      <rPr>
        <b/>
        <sz val="9"/>
        <color rgb="FFFFFFFF"/>
        <rFont val="Arial"/>
        <family val="2"/>
      </rPr>
      <t>+100bp</t>
    </r>
  </si>
  <si>
    <t>B/c -100bp</t>
  </si>
  <si>
    <t>B/c -50bp</t>
  </si>
  <si>
    <t>B/c +0bp</t>
  </si>
  <si>
    <t>B/c +50bp</t>
  </si>
  <si>
    <t>B/c +100bp</t>
  </si>
  <si>
    <r>
      <rPr>
        <b/>
        <sz val="9"/>
        <color rgb="FFFFFFFF"/>
        <rFont val="Noto Sans CJK SC"/>
        <family val="2"/>
      </rPr>
      <t xml:space="preserve">基差 </t>
    </r>
    <r>
      <rPr>
        <b/>
        <sz val="9"/>
        <color rgb="FFFFFFFF"/>
        <rFont val="Arial"/>
        <family val="2"/>
      </rPr>
      <t>-100bp (32nds)</t>
    </r>
  </si>
  <si>
    <r>
      <rPr>
        <b/>
        <sz val="9"/>
        <color rgb="FFFFFFFF"/>
        <rFont val="Noto Sans CJK SC"/>
        <family val="2"/>
      </rPr>
      <t xml:space="preserve">基差 </t>
    </r>
    <r>
      <rPr>
        <b/>
        <sz val="9"/>
        <color rgb="FFFFFFFF"/>
        <rFont val="Arial"/>
        <family val="2"/>
      </rPr>
      <t>-50bp (32nds)</t>
    </r>
  </si>
  <si>
    <r>
      <rPr>
        <b/>
        <sz val="9"/>
        <color rgb="FFFFFFFF"/>
        <rFont val="Noto Sans CJK SC"/>
        <family val="2"/>
      </rPr>
      <t xml:space="preserve">基差 </t>
    </r>
    <r>
      <rPr>
        <b/>
        <sz val="9"/>
        <color rgb="FFFFFFFF"/>
        <rFont val="Arial"/>
        <family val="2"/>
      </rPr>
      <t>+0bp (32nds)</t>
    </r>
  </si>
  <si>
    <r>
      <rPr>
        <b/>
        <sz val="9"/>
        <color rgb="FFFFFFFF"/>
        <rFont val="Noto Sans CJK SC"/>
        <family val="2"/>
      </rPr>
      <t xml:space="preserve">基差 </t>
    </r>
    <r>
      <rPr>
        <b/>
        <sz val="9"/>
        <color rgb="FFFFFFFF"/>
        <rFont val="Arial"/>
        <family val="2"/>
      </rPr>
      <t>+50bp (32nds)</t>
    </r>
  </si>
  <si>
    <r>
      <rPr>
        <b/>
        <sz val="9"/>
        <color rgb="FFFFFFFF"/>
        <rFont val="Noto Sans CJK SC"/>
        <family val="2"/>
      </rPr>
      <t xml:space="preserve">基差 </t>
    </r>
    <r>
      <rPr>
        <b/>
        <sz val="9"/>
        <color rgb="FFFFFFFF"/>
        <rFont val="Arial"/>
        <family val="2"/>
      </rPr>
      <t>+100bp (32nds)</t>
    </r>
  </si>
  <si>
    <t>F* = MIN(B/c)</t>
  </si>
  <si>
    <r>
      <rPr>
        <b/>
        <sz val="11"/>
        <rFont val="Noto Sans CJK SC"/>
        <family val="2"/>
      </rPr>
      <t xml:space="preserve">該情境 </t>
    </r>
    <r>
      <rPr>
        <b/>
        <sz val="11"/>
        <rFont val="Arial"/>
        <family val="2"/>
      </rPr>
      <t>CTD</t>
    </r>
  </si>
  <si>
    <r>
      <rPr>
        <sz val="9"/>
        <color rgb="FF404040"/>
        <rFont val="Noto Sans CJK SC"/>
        <family val="2"/>
      </rPr>
      <t>• 解讀：基差欄位顯示「該券在交割日、該殖利率情境下的基差（</t>
    </r>
    <r>
      <rPr>
        <sz val="9"/>
        <color rgb="FF404040"/>
        <rFont val="Arial"/>
        <family val="2"/>
      </rPr>
      <t>32nds</t>
    </r>
    <r>
      <rPr>
        <sz val="9"/>
        <color rgb="FF404040"/>
        <rFont val="Noto Sans CJK SC"/>
        <family val="2"/>
      </rPr>
      <t>）」。</t>
    </r>
    <r>
      <rPr>
        <sz val="9"/>
        <color rgb="FF404040"/>
        <rFont val="Arial"/>
        <family val="2"/>
      </rPr>
      <t xml:space="preserve">CTD </t>
    </r>
    <r>
      <rPr>
        <sz val="9"/>
        <color rgb="FF404040"/>
        <rFont val="Noto Sans CJK SC"/>
        <family val="2"/>
      </rPr>
      <t xml:space="preserve">的基差恆為 </t>
    </r>
    <r>
      <rPr>
        <sz val="9"/>
        <color rgb="FF404040"/>
        <rFont val="Arial"/>
        <family val="2"/>
      </rPr>
      <t>0</t>
    </r>
    <r>
      <rPr>
        <sz val="9"/>
        <color rgb="FF404040"/>
        <rFont val="Noto Sans CJK SC"/>
        <family val="2"/>
      </rPr>
      <t>，其餘各券為正。</t>
    </r>
  </si>
  <si>
    <r>
      <rPr>
        <sz val="9"/>
        <color rgb="FF404040"/>
        <rFont val="Noto Sans CJK SC"/>
        <family val="2"/>
      </rPr>
      <t xml:space="preserve">• 若今日 </t>
    </r>
    <r>
      <rPr>
        <sz val="9"/>
        <color rgb="FF404040"/>
        <rFont val="Arial"/>
        <family val="2"/>
      </rPr>
      <t xml:space="preserve">CTD </t>
    </r>
    <r>
      <rPr>
        <sz val="9"/>
        <color rgb="FF404040"/>
        <rFont val="Noto Sans CJK SC"/>
        <family val="2"/>
      </rPr>
      <t xml:space="preserve">在 </t>
    </r>
    <r>
      <rPr>
        <sz val="9"/>
        <color rgb="FF404040"/>
        <rFont val="Arial"/>
        <family val="2"/>
      </rPr>
      <t xml:space="preserve">±50bp </t>
    </r>
    <r>
      <rPr>
        <sz val="9"/>
        <color rgb="FF404040"/>
        <rFont val="Noto Sans CJK SC"/>
        <family val="2"/>
      </rPr>
      <t xml:space="preserve">情境下基差由 </t>
    </r>
    <r>
      <rPr>
        <sz val="9"/>
        <color rgb="FF404040"/>
        <rFont val="Arial"/>
        <family val="2"/>
      </rPr>
      <t xml:space="preserve">0 </t>
    </r>
    <r>
      <rPr>
        <sz val="9"/>
        <color rgb="FF404040"/>
        <rFont val="Noto Sans CJK SC"/>
        <family val="2"/>
      </rPr>
      <t xml:space="preserve">變正，代表 </t>
    </r>
    <r>
      <rPr>
        <sz val="9"/>
        <color rgb="FF404040"/>
        <rFont val="Arial"/>
        <family val="2"/>
      </rPr>
      <t xml:space="preserve">CTD </t>
    </r>
    <r>
      <rPr>
        <sz val="9"/>
        <color rgb="FF404040"/>
        <rFont val="Noto Sans CJK SC"/>
        <family val="2"/>
      </rPr>
      <t>已轉換 —— 多方基差部位在兩端都獲利，報酬型態近似買進利率跨式</t>
    </r>
    <r>
      <rPr>
        <sz val="9"/>
        <color rgb="FF404040"/>
        <rFont val="Arial"/>
        <family val="2"/>
      </rPr>
      <t>(straddle)</t>
    </r>
    <r>
      <rPr>
        <sz val="9"/>
        <color rgb="FF404040"/>
        <rFont val="Noto Sans CJK SC"/>
        <family val="2"/>
      </rPr>
      <t>。</t>
    </r>
  </si>
  <si>
    <r>
      <rPr>
        <sz val="9"/>
        <color rgb="FF404040"/>
        <rFont val="Noto Sans CJK SC"/>
        <family val="2"/>
      </rPr>
      <t xml:space="preserve">• 本表使用 </t>
    </r>
    <r>
      <rPr>
        <sz val="9"/>
        <color rgb="FF404040"/>
        <rFont val="Arial"/>
        <family val="2"/>
      </rPr>
      <t xml:space="preserve">Excel </t>
    </r>
    <r>
      <rPr>
        <sz val="9"/>
        <color rgb="FF404040"/>
        <rFont val="Noto Sans CJK SC"/>
        <family val="2"/>
      </rPr>
      <t xml:space="preserve">內建 </t>
    </r>
    <r>
      <rPr>
        <sz val="9"/>
        <color rgb="FF404040"/>
        <rFont val="Arial"/>
        <family val="2"/>
      </rPr>
      <t>PRICE/YIELD</t>
    </r>
    <r>
      <rPr>
        <sz val="9"/>
        <color rgb="FF404040"/>
        <rFont val="Noto Sans CJK SC"/>
        <family val="2"/>
      </rPr>
      <t>（</t>
    </r>
    <r>
      <rPr>
        <sz val="9"/>
        <color rgb="FF404040"/>
        <rFont val="Arial"/>
        <family val="2"/>
      </rPr>
      <t>actual/actual</t>
    </r>
    <r>
      <rPr>
        <sz val="9"/>
        <color rgb="FF404040"/>
        <rFont val="Noto Sans CJK SC"/>
        <family val="2"/>
      </rPr>
      <t xml:space="preserve">、半年付息）重算價格，屬平行移動近似；曲線扭轉與 </t>
    </r>
    <r>
      <rPr>
        <sz val="9"/>
        <color rgb="FF404040"/>
        <rFont val="Arial"/>
        <family val="2"/>
      </rPr>
      <t xml:space="preserve">wild card </t>
    </r>
    <r>
      <rPr>
        <sz val="9"/>
        <color rgb="FF404040"/>
        <rFont val="Noto Sans CJK SC"/>
        <family val="2"/>
      </rPr>
      <t>選擇權未納入。</t>
    </r>
  </si>
  <si>
    <r>
      <rPr>
        <sz val="9"/>
        <color rgb="FF404040"/>
        <rFont val="Noto Sans CJK SC"/>
        <family val="2"/>
      </rPr>
      <t xml:space="preserve">• 第 </t>
    </r>
    <r>
      <rPr>
        <sz val="9"/>
        <color rgb="FF404040"/>
        <rFont val="Arial"/>
        <family val="2"/>
      </rPr>
      <t xml:space="preserve">5 </t>
    </r>
    <r>
      <rPr>
        <sz val="9"/>
        <color rgb="FF404040"/>
        <rFont val="Noto Sans CJK SC"/>
        <family val="2"/>
      </rPr>
      <t xml:space="preserve">列的 </t>
    </r>
    <r>
      <rPr>
        <sz val="9"/>
        <color rgb="FF404040"/>
        <rFont val="Arial"/>
        <family val="2"/>
      </rPr>
      <t xml:space="preserve">bp </t>
    </r>
    <r>
      <rPr>
        <sz val="9"/>
        <color rgb="FF404040"/>
        <rFont val="Noto Sans CJK SC"/>
        <family val="2"/>
      </rPr>
      <t>數字可自行修改。以本範例（</t>
    </r>
    <r>
      <rPr>
        <sz val="9"/>
        <color rgb="FF404040"/>
        <rFont val="Arial"/>
        <family val="2"/>
      </rPr>
      <t>5</t>
    </r>
    <r>
      <rPr>
        <sz val="9"/>
        <color rgb="FF404040"/>
        <rFont val="Noto Sans CJK SC"/>
        <family val="2"/>
      </rPr>
      <t xml:space="preserve">年期籃、殖利率約 </t>
    </r>
    <r>
      <rPr>
        <sz val="9"/>
        <color rgb="FF404040"/>
        <rFont val="Arial"/>
        <family val="2"/>
      </rPr>
      <t>3.95%</t>
    </r>
    <r>
      <rPr>
        <sz val="9"/>
        <color rgb="FF404040"/>
        <rFont val="Noto Sans CJK SC"/>
        <family val="2"/>
      </rPr>
      <t>）為例，</t>
    </r>
    <r>
      <rPr>
        <sz val="9"/>
        <color rgb="FF404040"/>
        <rFont val="Arial"/>
        <family val="2"/>
      </rPr>
      <t xml:space="preserve">±100bp </t>
    </r>
    <r>
      <rPr>
        <sz val="9"/>
        <color rgb="FF404040"/>
        <rFont val="Noto Sans CJK SC"/>
        <family val="2"/>
      </rPr>
      <t xml:space="preserve">之內 </t>
    </r>
    <r>
      <rPr>
        <sz val="9"/>
        <color rgb="FF404040"/>
        <rFont val="Arial"/>
        <family val="2"/>
      </rPr>
      <t xml:space="preserve">CTD </t>
    </r>
    <r>
      <rPr>
        <sz val="9"/>
        <color rgb="FF404040"/>
        <rFont val="Noto Sans CJK SC"/>
        <family val="2"/>
      </rPr>
      <t xml:space="preserve">都維持在最短天期的 </t>
    </r>
    <r>
      <rPr>
        <sz val="9"/>
        <color rgb="FF404040"/>
        <rFont val="Arial"/>
        <family val="2"/>
      </rPr>
      <t>11/30/29</t>
    </r>
    <r>
      <rPr>
        <sz val="9"/>
        <color rgb="FF404040"/>
        <rFont val="Noto Sans CJK SC"/>
        <family val="2"/>
      </rPr>
      <t xml:space="preserve">；把情境改成 </t>
    </r>
    <r>
      <rPr>
        <sz val="9"/>
        <color rgb="FF404040"/>
        <rFont val="Arial"/>
        <family val="2"/>
      </rPr>
      <t xml:space="preserve">+150bp </t>
    </r>
    <r>
      <rPr>
        <sz val="9"/>
        <color rgb="FF404040"/>
        <rFont val="Noto Sans CJK SC"/>
        <family val="2"/>
      </rPr>
      <t xml:space="preserve">會切換到 </t>
    </r>
    <r>
      <rPr>
        <sz val="9"/>
        <color rgb="FF404040"/>
        <rFont val="Arial"/>
        <family val="2"/>
      </rPr>
      <t>01/31/30</t>
    </r>
    <r>
      <rPr>
        <sz val="9"/>
        <color rgb="FF404040"/>
        <rFont val="Noto Sans CJK SC"/>
        <family val="2"/>
      </rPr>
      <t>，</t>
    </r>
    <r>
      <rPr>
        <sz val="9"/>
        <color rgb="FF404040"/>
        <rFont val="Arial"/>
        <family val="2"/>
      </rPr>
      <t xml:space="preserve">+200bp </t>
    </r>
    <r>
      <rPr>
        <sz val="9"/>
        <color rgb="FF404040"/>
        <rFont val="Noto Sans CJK SC"/>
        <family val="2"/>
      </rPr>
      <t xml:space="preserve">以上則切換到最長天期的 </t>
    </r>
    <r>
      <rPr>
        <sz val="9"/>
        <color rgb="FF404040"/>
        <rFont val="Arial"/>
        <family val="2"/>
      </rPr>
      <t xml:space="preserve">06/30/30 —— </t>
    </r>
    <r>
      <rPr>
        <sz val="9"/>
        <color rgb="FF404040"/>
        <rFont val="Noto Sans CJK SC"/>
        <family val="2"/>
      </rPr>
      <t xml:space="preserve">正好印證「殖利率低於 </t>
    </r>
    <r>
      <rPr>
        <sz val="9"/>
        <color rgb="FF404040"/>
        <rFont val="Arial"/>
        <family val="2"/>
      </rPr>
      <t xml:space="preserve">6% </t>
    </r>
    <r>
      <rPr>
        <sz val="9"/>
        <color rgb="FF404040"/>
        <rFont val="Noto Sans CJK SC"/>
        <family val="2"/>
      </rPr>
      <t xml:space="preserve">時低存續期間券為 </t>
    </r>
    <r>
      <rPr>
        <sz val="9"/>
        <color rgb="FF404040"/>
        <rFont val="Arial"/>
        <family val="2"/>
      </rPr>
      <t>CTD</t>
    </r>
    <r>
      <rPr>
        <sz val="9"/>
        <color rgb="FF404040"/>
        <rFont val="Noto Sans CJK SC"/>
        <family val="2"/>
      </rPr>
      <t xml:space="preserve">、高於 </t>
    </r>
    <r>
      <rPr>
        <sz val="9"/>
        <color rgb="FF404040"/>
        <rFont val="Arial"/>
        <family val="2"/>
      </rPr>
      <t xml:space="preserve">6% </t>
    </r>
    <r>
      <rPr>
        <sz val="9"/>
        <color rgb="FF404040"/>
        <rFont val="Noto Sans CJK SC"/>
        <family val="2"/>
      </rPr>
      <t xml:space="preserve">時高存續期間券為 </t>
    </r>
    <r>
      <rPr>
        <sz val="9"/>
        <color rgb="FF404040"/>
        <rFont val="Arial"/>
        <family val="2"/>
      </rPr>
      <t>CTD</t>
    </r>
    <r>
      <rPr>
        <sz val="9"/>
        <color rgb="FF404040"/>
        <rFont val="Noto Sans CJK SC"/>
        <family val="2"/>
      </rPr>
      <t>」。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</si>
</sst>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00"/>
    <numFmt numFmtId="177" formatCode="yyyy/mm/dd"/>
    <numFmt numFmtId="178" formatCode="0.000%"/>
    <numFmt numFmtId="179" formatCode="0.000"/>
    <numFmt numFmtId="180" formatCode="0.0000"/>
    <numFmt numFmtId="181" formatCode="0.0"/>
    <numFmt numFmtId="182" formatCode="\$#,##0.00;&quot;($&quot;#,##0.00\);\-"/>
    <numFmt numFmtId="183" formatCode="\$#,##0;&quot;($&quot;#,##0\);\-"/>
  </numFmts>
  <fonts count="32">
    <font>
      <sz val="11"/>
      <color theme="1"/>
      <name val="Calibri"/>
      <family val="2"/>
      <charset val="1"/>
    </font>
    <font>
      <b/>
      <sz val="14"/>
      <color rgb="FF1F3864"/>
      <name val="Noto Sans CJK SC"/>
      <family val="2"/>
    </font>
    <font>
      <b/>
      <sz val="14"/>
      <color rgb="FF1F3864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1"/>
      <color rgb="FF1F3864"/>
      <name val="Noto Sans CJK SC"/>
      <family val="2"/>
    </font>
    <font>
      <b/>
      <sz val="11"/>
      <color rgb="FF0000FF"/>
      <name val="Noto Sans CJK SC"/>
      <family val="2"/>
    </font>
    <font>
      <sz val="11"/>
      <color rgb="FF00000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2"/>
    </font>
    <font>
      <b/>
      <sz val="11"/>
      <color rgb="FF000000"/>
      <name val="Noto Sans CJK SC"/>
      <family val="2"/>
    </font>
    <font>
      <b/>
      <sz val="11"/>
      <color rgb="FF008000"/>
      <name val="Noto Sans CJK SC"/>
      <family val="2"/>
    </font>
    <font>
      <b/>
      <sz val="11"/>
      <name val="Noto Sans CJK SC"/>
      <family val="2"/>
    </font>
    <font>
      <sz val="11"/>
      <color rgb="FF000000"/>
      <name val="Arial"/>
      <family val="2"/>
    </font>
    <font>
      <b/>
      <sz val="9"/>
      <color rgb="FFFFFFFF"/>
      <name val="Noto Sans CJK SC"/>
      <family val="2"/>
    </font>
    <font>
      <b/>
      <sz val="11"/>
      <name val="Arial"/>
      <family val="2"/>
    </font>
    <font>
      <sz val="9"/>
      <color rgb="FF404040"/>
      <name val="Noto Sans CJK SC"/>
      <family val="2"/>
    </font>
    <font>
      <sz val="9"/>
      <color rgb="FF404040"/>
      <name val="Arial"/>
      <family val="2"/>
    </font>
    <font>
      <sz val="9"/>
      <name val="Noto Sans CJK SC"/>
      <family val="2"/>
    </font>
    <font>
      <sz val="9"/>
      <name val="Consolas"/>
      <family val="3"/>
    </font>
    <font>
      <sz val="11"/>
      <color rgb="FF0000FF"/>
      <name val="Arial"/>
      <family val="2"/>
    </font>
    <font>
      <sz val="9"/>
      <color rgb="FF808080"/>
      <name val="Noto Sans CJK SC"/>
      <family val="2"/>
    </font>
    <font>
      <sz val="9"/>
      <color rgb="FF808080"/>
      <name val="Arial"/>
      <family val="2"/>
    </font>
    <font>
      <b/>
      <sz val="11"/>
      <color rgb="FF1F3864"/>
      <name val="Arial"/>
      <family val="2"/>
    </font>
    <font>
      <b/>
      <sz val="9"/>
      <color rgb="FFFFFFFF"/>
      <name val="Arial"/>
      <family val="2"/>
    </font>
    <font>
      <b/>
      <sz val="11"/>
      <color rgb="FFC00000"/>
      <name val="Arial"/>
      <family val="2"/>
    </font>
    <font>
      <sz val="11"/>
      <color rgb="FF008000"/>
      <name val="Arial"/>
      <family val="2"/>
    </font>
    <font>
      <b/>
      <sz val="12"/>
      <name val="Noto Sans CJK SC"/>
      <family val="2"/>
    </font>
    <font>
      <b/>
      <sz val="12"/>
      <name val="Arial"/>
      <family val="2"/>
    </font>
    <font>
      <sz val="9"/>
      <color rgb="FFC00000"/>
      <name val="Noto Sans CJK SC"/>
      <family val="2"/>
    </font>
    <font>
      <sz val="9"/>
      <color rgb="FFC00000"/>
      <name val="Arial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21" fillId="0" borderId="0" xfId="0" applyFont="1" applyBorder="1"/>
    <xf numFmtId="0" fontId="22" fillId="0" borderId="0" xfId="0" applyFont="1" applyBorder="1"/>
    <xf numFmtId="0" fontId="14" fillId="3" borderId="1" xfId="0" applyFont="1" applyFill="1" applyBorder="1"/>
    <xf numFmtId="0" fontId="17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 wrapText="1"/>
    </xf>
    <xf numFmtId="0" fontId="19" fillId="0" borderId="0" xfId="0" applyFont="1" applyBorder="1"/>
    <xf numFmtId="0" fontId="18" fillId="0" borderId="0" xfId="0" applyFont="1" applyBorder="1"/>
    <xf numFmtId="0" fontId="7" fillId="0" borderId="0" xfId="0" applyFont="1" applyBorder="1" applyAlignment="1">
      <alignment vertical="top" wrapText="1"/>
    </xf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9" fillId="0" borderId="0" xfId="0" applyFont="1"/>
    <xf numFmtId="0" fontId="11" fillId="0" borderId="0" xfId="0" applyFont="1"/>
    <xf numFmtId="0" fontId="12" fillId="2" borderId="0" xfId="0" applyFont="1" applyFill="1"/>
    <xf numFmtId="0" fontId="12" fillId="0" borderId="0" xfId="0" applyFont="1"/>
    <xf numFmtId="0" fontId="14" fillId="3" borderId="1" xfId="0" applyFont="1" applyFill="1" applyBorder="1"/>
    <xf numFmtId="0" fontId="15" fillId="0" borderId="1" xfId="0" applyFont="1" applyBorder="1"/>
    <xf numFmtId="0" fontId="7" fillId="0" borderId="1" xfId="0" applyFont="1" applyBorder="1"/>
    <xf numFmtId="0" fontId="16" fillId="0" borderId="1" xfId="0" applyFont="1" applyBorder="1"/>
    <xf numFmtId="0" fontId="12" fillId="0" borderId="1" xfId="0" applyFont="1" applyBorder="1"/>
    <xf numFmtId="0" fontId="20" fillId="0" borderId="1" xfId="0" applyFont="1" applyBorder="1"/>
    <xf numFmtId="0" fontId="21" fillId="0" borderId="0" xfId="0" applyFont="1"/>
    <xf numFmtId="176" fontId="20" fillId="2" borderId="1" xfId="0" applyNumberFormat="1" applyFont="1" applyFill="1" applyBorder="1"/>
    <xf numFmtId="0" fontId="22" fillId="0" borderId="0" xfId="0" applyFont="1"/>
    <xf numFmtId="3" fontId="20" fillId="0" borderId="1" xfId="0" applyNumberFormat="1" applyFont="1" applyBorder="1"/>
    <xf numFmtId="177" fontId="20" fillId="0" borderId="1" xfId="0" applyNumberFormat="1" applyFont="1" applyBorder="1"/>
    <xf numFmtId="177" fontId="20" fillId="2" borderId="1" xfId="0" applyNumberFormat="1" applyFont="1" applyFill="1" applyBorder="1"/>
    <xf numFmtId="1" fontId="13" fillId="0" borderId="1" xfId="0" applyNumberFormat="1" applyFont="1" applyBorder="1"/>
    <xf numFmtId="178" fontId="20" fillId="2" borderId="1" xfId="0" applyNumberFormat="1" applyFont="1" applyFill="1" applyBorder="1"/>
    <xf numFmtId="0" fontId="15" fillId="0" borderId="0" xfId="0" applyFont="1"/>
    <xf numFmtId="1" fontId="20" fillId="2" borderId="1" xfId="0" applyNumberFormat="1" applyFont="1" applyFill="1" applyBorder="1"/>
    <xf numFmtId="1" fontId="20" fillId="0" borderId="1" xfId="0" applyNumberFormat="1" applyFont="1" applyBorder="1"/>
    <xf numFmtId="0" fontId="24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79" fontId="20" fillId="0" borderId="1" xfId="0" applyNumberFormat="1" applyFont="1" applyBorder="1"/>
    <xf numFmtId="176" fontId="20" fillId="0" borderId="1" xfId="0" applyNumberFormat="1" applyFont="1" applyBorder="1"/>
    <xf numFmtId="180" fontId="20" fillId="0" borderId="1" xfId="0" applyNumberFormat="1" applyFont="1" applyBorder="1"/>
    <xf numFmtId="178" fontId="20" fillId="0" borderId="1" xfId="0" applyNumberFormat="1" applyFont="1" applyBorder="1"/>
    <xf numFmtId="177" fontId="13" fillId="0" borderId="1" xfId="0" applyNumberFormat="1" applyFont="1" applyBorder="1"/>
    <xf numFmtId="176" fontId="13" fillId="0" borderId="1" xfId="0" applyNumberFormat="1" applyFont="1" applyBorder="1"/>
    <xf numFmtId="179" fontId="13" fillId="4" borderId="1" xfId="0" applyNumberFormat="1" applyFont="1" applyFill="1" applyBorder="1"/>
    <xf numFmtId="178" fontId="13" fillId="4" borderId="1" xfId="0" applyNumberFormat="1" applyFont="1" applyFill="1" applyBorder="1"/>
    <xf numFmtId="181" fontId="13" fillId="0" borderId="1" xfId="0" applyNumberFormat="1" applyFont="1" applyBorder="1"/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179" fontId="13" fillId="0" borderId="1" xfId="0" applyNumberFormat="1" applyFont="1" applyBorder="1"/>
    <xf numFmtId="178" fontId="13" fillId="0" borderId="1" xfId="0" applyNumberFormat="1" applyFont="1" applyBorder="1"/>
    <xf numFmtId="180" fontId="13" fillId="0" borderId="1" xfId="0" applyNumberFormat="1" applyFont="1" applyBorder="1"/>
    <xf numFmtId="182" fontId="13" fillId="0" borderId="1" xfId="0" applyNumberFormat="1" applyFont="1" applyBorder="1"/>
    <xf numFmtId="3" fontId="20" fillId="2" borderId="1" xfId="0" applyNumberFormat="1" applyFont="1" applyFill="1" applyBorder="1"/>
    <xf numFmtId="177" fontId="26" fillId="0" borderId="1" xfId="0" applyNumberFormat="1" applyFont="1" applyBorder="1"/>
    <xf numFmtId="0" fontId="26" fillId="0" borderId="1" xfId="0" applyFont="1" applyBorder="1"/>
    <xf numFmtId="179" fontId="26" fillId="0" borderId="1" xfId="0" applyNumberFormat="1" applyFont="1" applyBorder="1"/>
    <xf numFmtId="180" fontId="26" fillId="0" borderId="1" xfId="0" applyNumberFormat="1" applyFont="1" applyBorder="1"/>
    <xf numFmtId="176" fontId="26" fillId="0" borderId="1" xfId="0" applyNumberFormat="1" applyFont="1" applyBorder="1"/>
    <xf numFmtId="178" fontId="26" fillId="0" borderId="1" xfId="0" applyNumberFormat="1" applyFont="1" applyBorder="1"/>
    <xf numFmtId="3" fontId="13" fillId="0" borderId="1" xfId="0" applyNumberFormat="1" applyFont="1" applyBorder="1"/>
    <xf numFmtId="183" fontId="13" fillId="0" borderId="1" xfId="0" applyNumberFormat="1" applyFont="1" applyBorder="1"/>
    <xf numFmtId="0" fontId="13" fillId="0" borderId="0" xfId="0" applyFont="1"/>
    <xf numFmtId="0" fontId="27" fillId="0" borderId="0" xfId="0" applyFont="1"/>
    <xf numFmtId="183" fontId="28" fillId="5" borderId="1" xfId="0" applyNumberFormat="1" applyFont="1" applyFill="1" applyBorder="1"/>
    <xf numFmtId="10" fontId="13" fillId="0" borderId="1" xfId="0" applyNumberFormat="1" applyFont="1" applyBorder="1"/>
    <xf numFmtId="0" fontId="29" fillId="0" borderId="0" xfId="0" applyFont="1"/>
    <xf numFmtId="0" fontId="20" fillId="2" borderId="1" xfId="0" applyFont="1" applyFill="1" applyBorder="1" applyAlignment="1">
      <alignment horizontal="center"/>
    </xf>
    <xf numFmtId="176" fontId="0" fillId="0" borderId="1" xfId="0" applyNumberFormat="1" applyBorder="1"/>
    <xf numFmtId="176" fontId="15" fillId="5" borderId="1" xfId="0" applyNumberFormat="1" applyFont="1" applyFill="1" applyBorder="1"/>
    <xf numFmtId="0" fontId="25" fillId="0" borderId="1" xfId="0" applyFont="1" applyBorder="1"/>
    <xf numFmtId="0" fontId="16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8"/>
  <sheetViews>
    <sheetView showGridLines="0" tabSelected="1" zoomScaleNormal="100" workbookViewId="0"/>
  </sheetViews>
  <sheetFormatPr defaultColWidth="8.7109375" defaultRowHeight="15"/>
  <cols>
    <col min="1" max="1" width="3" customWidth="1"/>
    <col min="2" max="2" width="26" customWidth="1"/>
    <col min="3" max="3" width="62" customWidth="1"/>
    <col min="4" max="4" width="52" customWidth="1"/>
  </cols>
  <sheetData>
    <row r="2" spans="2:4" ht="18">
      <c r="B2" s="9" t="s">
        <v>0</v>
      </c>
    </row>
    <row r="3" spans="2:4">
      <c r="B3" s="10" t="s">
        <v>1</v>
      </c>
    </row>
    <row r="5" spans="2:4">
      <c r="B5" s="11" t="s">
        <v>2</v>
      </c>
    </row>
    <row r="6" spans="2:4">
      <c r="B6" s="12" t="s">
        <v>3</v>
      </c>
      <c r="C6" s="13" t="s">
        <v>4</v>
      </c>
      <c r="D6" s="14" t="s">
        <v>5</v>
      </c>
    </row>
    <row r="7" spans="2:4">
      <c r="B7" s="15" t="s">
        <v>6</v>
      </c>
      <c r="C7" s="13" t="s">
        <v>7</v>
      </c>
      <c r="D7" s="16" t="s">
        <v>8</v>
      </c>
    </row>
    <row r="8" spans="2:4">
      <c r="B8" s="17" t="s">
        <v>9</v>
      </c>
      <c r="C8" s="13" t="s">
        <v>10</v>
      </c>
      <c r="D8" s="14" t="s">
        <v>11</v>
      </c>
    </row>
    <row r="9" spans="2:4">
      <c r="B9" s="18" t="s">
        <v>12</v>
      </c>
      <c r="C9" s="13" t="s">
        <v>13</v>
      </c>
      <c r="D9" s="14" t="s">
        <v>14</v>
      </c>
    </row>
    <row r="11" spans="2:4">
      <c r="B11" s="11" t="s">
        <v>15</v>
      </c>
    </row>
    <row r="12" spans="2:4" ht="42" customHeight="1">
      <c r="B12" s="19" t="s">
        <v>16</v>
      </c>
      <c r="C12" s="8" t="s">
        <v>17</v>
      </c>
      <c r="D12" s="8"/>
    </row>
    <row r="13" spans="2:4" ht="42" customHeight="1">
      <c r="B13" s="19" t="s">
        <v>18</v>
      </c>
      <c r="C13" s="8" t="s">
        <v>19</v>
      </c>
      <c r="D13" s="8"/>
    </row>
    <row r="14" spans="2:4" ht="42" customHeight="1">
      <c r="B14" s="19" t="s">
        <v>20</v>
      </c>
      <c r="C14" s="8" t="s">
        <v>21</v>
      </c>
      <c r="D14" s="8"/>
    </row>
    <row r="16" spans="2:4">
      <c r="B16" s="11" t="s">
        <v>22</v>
      </c>
    </row>
    <row r="17" spans="2:4">
      <c r="B17" s="20" t="s">
        <v>23</v>
      </c>
      <c r="C17" s="20" t="s">
        <v>24</v>
      </c>
      <c r="D17" s="20" t="s">
        <v>25</v>
      </c>
    </row>
    <row r="18" spans="2:4">
      <c r="B18" s="21" t="s">
        <v>26</v>
      </c>
      <c r="C18" s="22" t="s">
        <v>27</v>
      </c>
      <c r="D18" s="23" t="s">
        <v>28</v>
      </c>
    </row>
    <row r="19" spans="2:4">
      <c r="B19" s="21" t="s">
        <v>29</v>
      </c>
      <c r="C19" s="22" t="s">
        <v>30</v>
      </c>
      <c r="D19" s="23" t="s">
        <v>31</v>
      </c>
    </row>
    <row r="20" spans="2:4">
      <c r="B20" s="21" t="s">
        <v>32</v>
      </c>
      <c r="C20" s="22" t="s">
        <v>33</v>
      </c>
      <c r="D20" s="23" t="s">
        <v>34</v>
      </c>
    </row>
    <row r="21" spans="2:4">
      <c r="B21" s="21" t="s">
        <v>35</v>
      </c>
      <c r="C21" s="22" t="s">
        <v>36</v>
      </c>
      <c r="D21" s="23" t="s">
        <v>37</v>
      </c>
    </row>
    <row r="22" spans="2:4">
      <c r="B22" s="24" t="s">
        <v>38</v>
      </c>
      <c r="C22" s="22" t="s">
        <v>39</v>
      </c>
      <c r="D22" s="23" t="s">
        <v>40</v>
      </c>
    </row>
    <row r="23" spans="2:4">
      <c r="B23" s="24" t="s">
        <v>41</v>
      </c>
      <c r="C23" s="22" t="s">
        <v>42</v>
      </c>
      <c r="D23" s="23" t="s">
        <v>43</v>
      </c>
    </row>
    <row r="24" spans="2:4">
      <c r="B24" s="24" t="s">
        <v>44</v>
      </c>
      <c r="C24" s="22" t="s">
        <v>45</v>
      </c>
      <c r="D24" s="23" t="s">
        <v>46</v>
      </c>
    </row>
    <row r="25" spans="2:4">
      <c r="B25" s="21" t="s">
        <v>47</v>
      </c>
      <c r="C25" s="22" t="s">
        <v>48</v>
      </c>
      <c r="D25" s="23" t="s">
        <v>49</v>
      </c>
    </row>
    <row r="26" spans="2:4">
      <c r="B26" s="24" t="s">
        <v>50</v>
      </c>
      <c r="C26" s="22" t="s">
        <v>51</v>
      </c>
      <c r="D26" s="23" t="s">
        <v>52</v>
      </c>
    </row>
    <row r="27" spans="2:4">
      <c r="B27" s="21" t="s">
        <v>53</v>
      </c>
      <c r="C27" s="22" t="s">
        <v>54</v>
      </c>
      <c r="D27" s="23" t="s">
        <v>55</v>
      </c>
    </row>
    <row r="28" spans="2:4">
      <c r="B28" s="21" t="s">
        <v>56</v>
      </c>
      <c r="C28" s="22" t="s">
        <v>57</v>
      </c>
      <c r="D28" s="23" t="s">
        <v>58</v>
      </c>
    </row>
    <row r="30" spans="2:4">
      <c r="B30" s="11" t="s">
        <v>59</v>
      </c>
    </row>
    <row r="31" spans="2:4">
      <c r="B31" s="7" t="s">
        <v>60</v>
      </c>
      <c r="C31" s="7"/>
      <c r="D31" s="7"/>
    </row>
    <row r="32" spans="2:4">
      <c r="B32" s="7" t="s">
        <v>61</v>
      </c>
      <c r="C32" s="7"/>
      <c r="D32" s="7"/>
    </row>
    <row r="33" spans="2:4">
      <c r="B33" s="7" t="s">
        <v>62</v>
      </c>
      <c r="C33" s="7"/>
      <c r="D33" s="7"/>
    </row>
    <row r="34" spans="2:4">
      <c r="B34" s="7" t="s">
        <v>63</v>
      </c>
      <c r="C34" s="7"/>
      <c r="D34" s="7"/>
    </row>
    <row r="35" spans="2:4">
      <c r="B35" s="7" t="s">
        <v>64</v>
      </c>
      <c r="C35" s="7"/>
      <c r="D35" s="7"/>
    </row>
    <row r="36" spans="2:4">
      <c r="B36" s="7" t="s">
        <v>65</v>
      </c>
      <c r="C36" s="7"/>
      <c r="D36" s="7"/>
    </row>
    <row r="37" spans="2:4">
      <c r="B37" s="6" t="s">
        <v>66</v>
      </c>
      <c r="C37" s="6"/>
      <c r="D37" s="6"/>
    </row>
    <row r="38" spans="2:4">
      <c r="B38" s="7" t="s">
        <v>67</v>
      </c>
      <c r="C38" s="7"/>
      <c r="D38" s="7"/>
    </row>
    <row r="39" spans="2:4">
      <c r="B39" s="7" t="s">
        <v>68</v>
      </c>
      <c r="C39" s="7"/>
      <c r="D39" s="7"/>
    </row>
    <row r="40" spans="2:4">
      <c r="B40" s="6" t="s">
        <v>69</v>
      </c>
      <c r="C40" s="6"/>
      <c r="D40" s="6"/>
    </row>
    <row r="41" spans="2:4">
      <c r="B41" s="7" t="s">
        <v>70</v>
      </c>
      <c r="C41" s="7"/>
      <c r="D41" s="7"/>
    </row>
    <row r="43" spans="2:4">
      <c r="B43" s="11" t="s">
        <v>71</v>
      </c>
    </row>
    <row r="44" spans="2:4" ht="27.75" customHeight="1">
      <c r="B44" s="5" t="s">
        <v>72</v>
      </c>
      <c r="C44" s="5"/>
      <c r="D44" s="5"/>
    </row>
    <row r="45" spans="2:4" ht="27.75" customHeight="1">
      <c r="B45" s="5" t="s">
        <v>73</v>
      </c>
      <c r="C45" s="5"/>
      <c r="D45" s="5"/>
    </row>
    <row r="46" spans="2:4" ht="27.75" customHeight="1">
      <c r="B46" s="4" t="s">
        <v>74</v>
      </c>
      <c r="C46" s="4"/>
      <c r="D46" s="4"/>
    </row>
    <row r="47" spans="2:4" ht="27.75" customHeight="1">
      <c r="B47" s="5" t="s">
        <v>75</v>
      </c>
      <c r="C47" s="5"/>
      <c r="D47" s="5"/>
    </row>
    <row r="48" spans="2:4" ht="27.75" customHeight="1">
      <c r="B48" s="5" t="s">
        <v>76</v>
      </c>
      <c r="C48" s="5"/>
      <c r="D48" s="5"/>
    </row>
  </sheetData>
  <mergeCells count="19">
    <mergeCell ref="B45:D45"/>
    <mergeCell ref="B46:D46"/>
    <mergeCell ref="B47:D47"/>
    <mergeCell ref="B48:D48"/>
    <mergeCell ref="B38:D38"/>
    <mergeCell ref="B39:D39"/>
    <mergeCell ref="B40:D40"/>
    <mergeCell ref="B41:D41"/>
    <mergeCell ref="B44:D44"/>
    <mergeCell ref="B33:D33"/>
    <mergeCell ref="B34:D34"/>
    <mergeCell ref="B35:D35"/>
    <mergeCell ref="B36:D36"/>
    <mergeCell ref="B37:D37"/>
    <mergeCell ref="C12:D12"/>
    <mergeCell ref="C13:D13"/>
    <mergeCell ref="C14:D14"/>
    <mergeCell ref="B31:D31"/>
    <mergeCell ref="B32:D32"/>
  </mergeCells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showGridLines="0" zoomScaleNormal="100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/>
    </sheetView>
  </sheetViews>
  <sheetFormatPr defaultColWidth="8.7109375" defaultRowHeight="15"/>
  <cols>
    <col min="1" max="1" width="4" customWidth="1"/>
    <col min="2" max="2" width="17" customWidth="1"/>
    <col min="3" max="3" width="12" customWidth="1"/>
    <col min="4" max="4" width="9" customWidth="1"/>
    <col min="5" max="5" width="13" customWidth="1"/>
    <col min="6" max="6" width="11" customWidth="1"/>
    <col min="7" max="8" width="12" customWidth="1"/>
    <col min="9" max="9" width="10" customWidth="1"/>
    <col min="10" max="11" width="12" customWidth="1"/>
    <col min="12" max="13" width="13" customWidth="1"/>
    <col min="14" max="14" width="10" customWidth="1"/>
    <col min="15" max="15" width="12" customWidth="1"/>
    <col min="16" max="16" width="13" customWidth="1"/>
    <col min="17" max="17" width="11" customWidth="1"/>
    <col min="18" max="18" width="12" customWidth="1"/>
    <col min="19" max="20" width="11" customWidth="1"/>
    <col min="21" max="22" width="13" customWidth="1"/>
    <col min="23" max="23" width="11" customWidth="1"/>
    <col min="24" max="24" width="12" customWidth="1"/>
    <col min="25" max="25" width="10" customWidth="1"/>
    <col min="26" max="26" width="12" customWidth="1"/>
    <col min="27" max="27" width="8" customWidth="1"/>
    <col min="28" max="28" width="9" customWidth="1"/>
  </cols>
  <sheetData>
    <row r="1" spans="1:28" ht="18">
      <c r="A1" s="9" t="s">
        <v>77</v>
      </c>
    </row>
    <row r="2" spans="1:28">
      <c r="A2" s="10" t="s">
        <v>78</v>
      </c>
    </row>
    <row r="3" spans="1:28">
      <c r="A3" s="11" t="s">
        <v>79</v>
      </c>
    </row>
    <row r="4" spans="1:28">
      <c r="A4" s="19" t="s">
        <v>80</v>
      </c>
      <c r="B4" s="25" t="s">
        <v>81</v>
      </c>
      <c r="D4" s="26" t="s">
        <v>82</v>
      </c>
    </row>
    <row r="5" spans="1:28">
      <c r="A5" s="19" t="s">
        <v>83</v>
      </c>
      <c r="B5" s="27">
        <v>108.2421875</v>
      </c>
      <c r="D5" s="28" t="s">
        <v>84</v>
      </c>
    </row>
    <row r="6" spans="1:28">
      <c r="A6" s="19" t="s">
        <v>85</v>
      </c>
      <c r="B6" s="29">
        <v>100000</v>
      </c>
      <c r="D6" s="28" t="s">
        <v>86</v>
      </c>
    </row>
    <row r="7" spans="1:28">
      <c r="A7" s="19" t="s">
        <v>87</v>
      </c>
      <c r="B7" s="30">
        <v>45846</v>
      </c>
      <c r="D7" s="26" t="s">
        <v>88</v>
      </c>
    </row>
    <row r="8" spans="1:28">
      <c r="A8" s="19" t="s">
        <v>89</v>
      </c>
      <c r="B8" s="31">
        <v>45902</v>
      </c>
      <c r="D8" s="26" t="s">
        <v>90</v>
      </c>
    </row>
    <row r="9" spans="1:28">
      <c r="A9" s="19" t="s">
        <v>91</v>
      </c>
      <c r="B9" s="32">
        <f>B8-B7</f>
        <v>56</v>
      </c>
      <c r="D9" s="26" t="s">
        <v>92</v>
      </c>
    </row>
    <row r="10" spans="1:28">
      <c r="A10" s="19" t="s">
        <v>93</v>
      </c>
      <c r="B10" s="33">
        <v>4.3400000000000001E-2</v>
      </c>
      <c r="D10" s="26" t="s">
        <v>94</v>
      </c>
    </row>
    <row r="11" spans="1:28">
      <c r="A11" s="34" t="s">
        <v>95</v>
      </c>
      <c r="B11" s="35">
        <v>360</v>
      </c>
      <c r="D11" s="28" t="s">
        <v>96</v>
      </c>
    </row>
    <row r="12" spans="1:28">
      <c r="A12" s="19" t="s">
        <v>97</v>
      </c>
      <c r="B12" s="36">
        <v>2</v>
      </c>
      <c r="D12" s="26" t="s">
        <v>98</v>
      </c>
    </row>
    <row r="15" spans="1:28">
      <c r="A15" s="11" t="s">
        <v>99</v>
      </c>
    </row>
    <row r="16" spans="1:28" ht="31.5" customHeight="1">
      <c r="A16" s="37" t="s">
        <v>100</v>
      </c>
      <c r="B16" s="38" t="s">
        <v>101</v>
      </c>
      <c r="C16" s="38" t="s">
        <v>102</v>
      </c>
      <c r="D16" s="38" t="s">
        <v>103</v>
      </c>
      <c r="E16" s="38" t="s">
        <v>104</v>
      </c>
      <c r="F16" s="38" t="s">
        <v>105</v>
      </c>
      <c r="G16" s="38" t="s">
        <v>106</v>
      </c>
      <c r="H16" s="38" t="s">
        <v>107</v>
      </c>
      <c r="I16" s="38" t="s">
        <v>108</v>
      </c>
      <c r="J16" s="38" t="s">
        <v>109</v>
      </c>
      <c r="K16" s="38" t="s">
        <v>110</v>
      </c>
      <c r="L16" s="38" t="s">
        <v>111</v>
      </c>
      <c r="M16" s="38" t="s">
        <v>112</v>
      </c>
      <c r="N16" s="38" t="s">
        <v>113</v>
      </c>
      <c r="O16" s="38" t="s">
        <v>114</v>
      </c>
      <c r="P16" s="38" t="s">
        <v>41</v>
      </c>
      <c r="Q16" s="38" t="s">
        <v>115</v>
      </c>
      <c r="R16" s="38" t="s">
        <v>116</v>
      </c>
      <c r="S16" s="38" t="s">
        <v>117</v>
      </c>
      <c r="T16" s="37" t="s">
        <v>118</v>
      </c>
      <c r="U16" s="38" t="s">
        <v>119</v>
      </c>
      <c r="V16" s="38" t="s">
        <v>120</v>
      </c>
      <c r="W16" s="38" t="s">
        <v>121</v>
      </c>
      <c r="X16" s="38" t="s">
        <v>122</v>
      </c>
      <c r="Y16" s="37" t="s">
        <v>53</v>
      </c>
      <c r="Z16" s="37" t="s">
        <v>123</v>
      </c>
      <c r="AA16" s="37" t="s">
        <v>56</v>
      </c>
      <c r="AB16" s="38" t="s">
        <v>124</v>
      </c>
    </row>
    <row r="17" spans="1:28">
      <c r="A17" s="22">
        <v>1</v>
      </c>
      <c r="B17" s="25" t="s">
        <v>125</v>
      </c>
      <c r="C17" s="30">
        <v>47452</v>
      </c>
      <c r="D17" s="39">
        <v>4.125</v>
      </c>
      <c r="E17" s="40">
        <v>100.77734375</v>
      </c>
      <c r="F17" s="41">
        <v>0.93169999999999997</v>
      </c>
      <c r="G17" s="30">
        <v>45808</v>
      </c>
      <c r="H17" s="30">
        <v>45991</v>
      </c>
      <c r="I17" s="42">
        <f t="shared" ref="I17:I24" si="0">$B$10</f>
        <v>4.3400000000000001E-2</v>
      </c>
      <c r="J17" s="43">
        <f t="shared" ref="J17:J24" si="1">IF(H17=EOMONTH(H17,0),EOMONTH(H17,6),EDATE(H17,6))</f>
        <v>46173</v>
      </c>
      <c r="K17" s="44">
        <f t="shared" ref="K17:K24" si="2">D17/$B$12*($B$7-G17)/(H17-G17)</f>
        <v>0.42827868852459017</v>
      </c>
      <c r="L17" s="44">
        <f t="shared" ref="L17:L24" si="3">E17+K17</f>
        <v>101.20562243852459</v>
      </c>
      <c r="M17" s="44">
        <f t="shared" ref="M17:M24" si="4">IF($B$8&lt;=H17,D17/$B$12*($B$8-G17)/(H17-G17),D17/$B$12*($B$8-H17)/(J17-H17))</f>
        <v>1.0594262295081966</v>
      </c>
      <c r="N17" s="44">
        <f t="shared" ref="N17:N24" si="5">IF($B$8&lt;=H17,0,D17/$B$12)</f>
        <v>0</v>
      </c>
      <c r="O17" s="32">
        <f t="shared" ref="O17:O24" si="6">IF(N17=0,0,$B$8-H17)</f>
        <v>0</v>
      </c>
      <c r="P17" s="44">
        <f t="shared" ref="P17:P24" si="7">F17*$B$5+M17</f>
        <v>101.90867232325819</v>
      </c>
      <c r="Q17" s="44">
        <f t="shared" ref="Q17:Q24" si="8">E17-F17*$B$5</f>
        <v>-7.1902343749997044E-2</v>
      </c>
      <c r="R17" s="45">
        <f t="shared" ref="R17:R24" si="9">Q17*32</f>
        <v>-2.3008749999999054</v>
      </c>
      <c r="S17" s="44">
        <f t="shared" ref="S17:S24" si="10">L17*I17*($B$8-$B$7)/$B$11</f>
        <v>0.68325040215163935</v>
      </c>
      <c r="T17" s="44">
        <f t="shared" ref="T17:T24" si="11">(M17-K17+N17+N17*I17*O17/$B$11)-S17</f>
        <v>-5.2102861168032866E-2</v>
      </c>
      <c r="U17" s="44">
        <f t="shared" ref="U17:U24" si="12">L17*(1+I17*($B$8-$B$7)/$B$11)-N17*(1+I17*O17/$B$11)</f>
        <v>101.88887284067623</v>
      </c>
      <c r="V17" s="44">
        <f t="shared" ref="V17:V24" si="13">U17-M17</f>
        <v>100.82944661116804</v>
      </c>
      <c r="W17" s="44">
        <f t="shared" ref="W17:W24" si="14">V17-F17*$B$5</f>
        <v>-1.9799482581959182E-2</v>
      </c>
      <c r="X17" s="45">
        <f t="shared" ref="X17:X24" si="15">W17*32</f>
        <v>-0.63358344262269384</v>
      </c>
      <c r="Y17" s="46">
        <f t="shared" ref="Y17:Y24" si="16">(P17+N17-L17)/(L17*($B$8-$B$7)/$B$11-N17*O17/$B$11)</f>
        <v>4.4657661234228548E-2</v>
      </c>
      <c r="Z17" s="47">
        <f t="shared" ref="Z17:Z24" si="17">(I17-Y17)*10000</f>
        <v>-12.576612342285465</v>
      </c>
      <c r="AA17" s="48" t="str">
        <f t="shared" ref="AA17:AA24" si="18">IF(X17=MIN($X$17:$X$24),"★ CTD","")</f>
        <v>★ CTD</v>
      </c>
      <c r="AB17" s="49" t="str">
        <f t="shared" ref="AB17:AB24" si="19">IF(ABS((Q17-T17)-W17)&lt;0.000001,"OK","檢查")</f>
        <v>OK</v>
      </c>
    </row>
    <row r="18" spans="1:28">
      <c r="A18" s="22">
        <v>2</v>
      </c>
      <c r="B18" s="25" t="s">
        <v>126</v>
      </c>
      <c r="C18" s="30">
        <v>47483</v>
      </c>
      <c r="D18" s="39">
        <v>4.375</v>
      </c>
      <c r="E18" s="40">
        <v>101.75</v>
      </c>
      <c r="F18" s="41">
        <v>0.93969999999999998</v>
      </c>
      <c r="G18" s="30">
        <v>45838</v>
      </c>
      <c r="H18" s="30">
        <v>46022</v>
      </c>
      <c r="I18" s="42">
        <f t="shared" si="0"/>
        <v>4.3400000000000001E-2</v>
      </c>
      <c r="J18" s="43">
        <f t="shared" si="1"/>
        <v>46203</v>
      </c>
      <c r="K18" s="44">
        <f t="shared" si="2"/>
        <v>9.5108695652173919E-2</v>
      </c>
      <c r="L18" s="44">
        <f t="shared" si="3"/>
        <v>101.84510869565217</v>
      </c>
      <c r="M18" s="44">
        <f t="shared" si="4"/>
        <v>0.76086956521739135</v>
      </c>
      <c r="N18" s="44">
        <f t="shared" si="5"/>
        <v>0</v>
      </c>
      <c r="O18" s="32">
        <f t="shared" si="6"/>
        <v>0</v>
      </c>
      <c r="P18" s="44">
        <f t="shared" si="7"/>
        <v>102.47605315896739</v>
      </c>
      <c r="Q18" s="44">
        <f t="shared" si="8"/>
        <v>3.4816406250001819E-2</v>
      </c>
      <c r="R18" s="45">
        <f t="shared" si="9"/>
        <v>1.1141250000000582</v>
      </c>
      <c r="S18" s="44">
        <f t="shared" si="10"/>
        <v>0.6875676449275363</v>
      </c>
      <c r="T18" s="44">
        <f t="shared" si="11"/>
        <v>-2.1806775362318898E-2</v>
      </c>
      <c r="U18" s="44">
        <f t="shared" si="12"/>
        <v>102.53267634057971</v>
      </c>
      <c r="V18" s="44">
        <f t="shared" si="13"/>
        <v>101.77180677536232</v>
      </c>
      <c r="W18" s="44">
        <f t="shared" si="14"/>
        <v>5.6623181612323492E-2</v>
      </c>
      <c r="X18" s="45">
        <f t="shared" si="15"/>
        <v>1.8119418115943517</v>
      </c>
      <c r="Y18" s="46">
        <f t="shared" si="16"/>
        <v>3.9825884638254531E-2</v>
      </c>
      <c r="Z18" s="47">
        <f t="shared" si="17"/>
        <v>35.7411536174547</v>
      </c>
      <c r="AA18" s="48" t="str">
        <f t="shared" si="18"/>
        <v/>
      </c>
      <c r="AB18" s="49" t="str">
        <f t="shared" si="19"/>
        <v>OK</v>
      </c>
    </row>
    <row r="19" spans="1:28">
      <c r="A19" s="22">
        <v>3</v>
      </c>
      <c r="B19" s="25" t="s">
        <v>127</v>
      </c>
      <c r="C19" s="30">
        <v>47514</v>
      </c>
      <c r="D19" s="39">
        <v>4.25</v>
      </c>
      <c r="E19" s="40">
        <v>101.23046875</v>
      </c>
      <c r="F19" s="41">
        <v>0.93400000000000005</v>
      </c>
      <c r="G19" s="30">
        <v>45688</v>
      </c>
      <c r="H19" s="30">
        <v>45869</v>
      </c>
      <c r="I19" s="42">
        <f t="shared" si="0"/>
        <v>4.3400000000000001E-2</v>
      </c>
      <c r="J19" s="43">
        <f t="shared" si="1"/>
        <v>46053</v>
      </c>
      <c r="K19" s="44">
        <f t="shared" si="2"/>
        <v>1.8549723756906078</v>
      </c>
      <c r="L19" s="44">
        <f t="shared" si="3"/>
        <v>103.08544112569061</v>
      </c>
      <c r="M19" s="44">
        <f t="shared" si="4"/>
        <v>0.38111413043478259</v>
      </c>
      <c r="N19" s="44">
        <f t="shared" si="5"/>
        <v>2.125</v>
      </c>
      <c r="O19" s="32">
        <f t="shared" si="6"/>
        <v>33</v>
      </c>
      <c r="P19" s="44">
        <f t="shared" si="7"/>
        <v>101.47931725543479</v>
      </c>
      <c r="Q19" s="44">
        <f t="shared" si="8"/>
        <v>0.13226562499998806</v>
      </c>
      <c r="R19" s="45">
        <f t="shared" si="9"/>
        <v>4.232499999999618</v>
      </c>
      <c r="S19" s="44">
        <f t="shared" si="10"/>
        <v>0.69594126697744008</v>
      </c>
      <c r="T19" s="44">
        <f t="shared" si="11"/>
        <v>-3.6345553899932104E-2</v>
      </c>
      <c r="U19" s="44">
        <f t="shared" si="12"/>
        <v>101.64792843433472</v>
      </c>
      <c r="V19" s="44">
        <f t="shared" si="13"/>
        <v>101.26681430389993</v>
      </c>
      <c r="W19" s="44">
        <f t="shared" si="14"/>
        <v>0.16861117889992272</v>
      </c>
      <c r="X19" s="45">
        <f t="shared" si="15"/>
        <v>5.395557724797527</v>
      </c>
      <c r="Y19" s="46">
        <f t="shared" si="16"/>
        <v>3.2755839631877837E-2</v>
      </c>
      <c r="Z19" s="47">
        <f t="shared" si="17"/>
        <v>106.44160368122165</v>
      </c>
      <c r="AA19" s="48" t="str">
        <f t="shared" si="18"/>
        <v/>
      </c>
      <c r="AB19" s="49" t="str">
        <f t="shared" si="19"/>
        <v>OK</v>
      </c>
    </row>
    <row r="20" spans="1:28">
      <c r="A20" s="22">
        <v>4</v>
      </c>
      <c r="B20" s="25" t="s">
        <v>128</v>
      </c>
      <c r="C20" s="30">
        <v>47542</v>
      </c>
      <c r="D20" s="39">
        <v>4</v>
      </c>
      <c r="E20" s="40">
        <v>100.24609375</v>
      </c>
      <c r="F20" s="41">
        <v>0.9234</v>
      </c>
      <c r="G20" s="30">
        <v>45716</v>
      </c>
      <c r="H20" s="30">
        <v>45900</v>
      </c>
      <c r="I20" s="42">
        <f t="shared" si="0"/>
        <v>4.3400000000000001E-2</v>
      </c>
      <c r="J20" s="43">
        <f t="shared" si="1"/>
        <v>46081</v>
      </c>
      <c r="K20" s="44">
        <f t="shared" si="2"/>
        <v>1.4130434782608696</v>
      </c>
      <c r="L20" s="44">
        <f t="shared" si="3"/>
        <v>101.65913722826087</v>
      </c>
      <c r="M20" s="44">
        <f t="shared" si="4"/>
        <v>2.2099447513812154E-2</v>
      </c>
      <c r="N20" s="44">
        <f t="shared" si="5"/>
        <v>2</v>
      </c>
      <c r="O20" s="32">
        <f t="shared" si="6"/>
        <v>2</v>
      </c>
      <c r="P20" s="44">
        <f t="shared" si="7"/>
        <v>99.972935385013812</v>
      </c>
      <c r="Q20" s="44">
        <f t="shared" si="8"/>
        <v>0.29525781249999739</v>
      </c>
      <c r="R20" s="45">
        <f t="shared" si="9"/>
        <v>9.4482499999999163</v>
      </c>
      <c r="S20" s="44">
        <f t="shared" si="10"/>
        <v>0.68631213088768128</v>
      </c>
      <c r="T20" s="44">
        <f t="shared" si="11"/>
        <v>-7.6773939412516534E-2</v>
      </c>
      <c r="U20" s="44">
        <f t="shared" si="12"/>
        <v>100.34496713692634</v>
      </c>
      <c r="V20" s="44">
        <f t="shared" si="13"/>
        <v>100.32286768941253</v>
      </c>
      <c r="W20" s="44">
        <f t="shared" si="14"/>
        <v>0.37203175191253024</v>
      </c>
      <c r="X20" s="45">
        <f t="shared" si="15"/>
        <v>11.905016061200968</v>
      </c>
      <c r="Y20" s="46">
        <f t="shared" si="16"/>
        <v>1.9857460036378557E-2</v>
      </c>
      <c r="Z20" s="47">
        <f t="shared" si="17"/>
        <v>235.42539963621445</v>
      </c>
      <c r="AA20" s="48" t="str">
        <f t="shared" si="18"/>
        <v/>
      </c>
      <c r="AB20" s="49" t="str">
        <f t="shared" si="19"/>
        <v>OK</v>
      </c>
    </row>
    <row r="21" spans="1:28">
      <c r="A21" s="22">
        <v>5</v>
      </c>
      <c r="B21" s="25" t="s">
        <v>129</v>
      </c>
      <c r="C21" s="30">
        <v>47573</v>
      </c>
      <c r="D21" s="39">
        <v>4</v>
      </c>
      <c r="E21" s="40">
        <v>100.16796875</v>
      </c>
      <c r="F21" s="41">
        <v>0.92210000000000003</v>
      </c>
      <c r="G21" s="30">
        <v>45747</v>
      </c>
      <c r="H21" s="30">
        <v>45930</v>
      </c>
      <c r="I21" s="42">
        <f t="shared" si="0"/>
        <v>4.3400000000000001E-2</v>
      </c>
      <c r="J21" s="43">
        <f t="shared" si="1"/>
        <v>46112</v>
      </c>
      <c r="K21" s="44">
        <f t="shared" si="2"/>
        <v>1.0819672131147542</v>
      </c>
      <c r="L21" s="44">
        <f t="shared" si="3"/>
        <v>101.24993596311475</v>
      </c>
      <c r="M21" s="44">
        <f t="shared" si="4"/>
        <v>1.6939890710382515</v>
      </c>
      <c r="N21" s="44">
        <f t="shared" si="5"/>
        <v>0</v>
      </c>
      <c r="O21" s="32">
        <f t="shared" si="6"/>
        <v>0</v>
      </c>
      <c r="P21" s="44">
        <f t="shared" si="7"/>
        <v>101.50411016478824</v>
      </c>
      <c r="Q21" s="44">
        <f t="shared" si="8"/>
        <v>0.35784765625000148</v>
      </c>
      <c r="R21" s="45">
        <f t="shared" si="9"/>
        <v>11.451125000000047</v>
      </c>
      <c r="S21" s="44">
        <f t="shared" si="10"/>
        <v>0.68354956767987263</v>
      </c>
      <c r="T21" s="44">
        <f t="shared" si="11"/>
        <v>-7.1527709756375346E-2</v>
      </c>
      <c r="U21" s="44">
        <f t="shared" si="12"/>
        <v>101.93348553079463</v>
      </c>
      <c r="V21" s="44">
        <f t="shared" si="13"/>
        <v>100.23949645975638</v>
      </c>
      <c r="W21" s="44">
        <f t="shared" si="14"/>
        <v>0.42937536600638282</v>
      </c>
      <c r="X21" s="45">
        <f t="shared" si="15"/>
        <v>13.74001171220425</v>
      </c>
      <c r="Y21" s="46">
        <f t="shared" si="16"/>
        <v>1.6138054757421524E-2</v>
      </c>
      <c r="Z21" s="47">
        <f t="shared" si="17"/>
        <v>272.6194524257848</v>
      </c>
      <c r="AA21" s="48" t="str">
        <f t="shared" si="18"/>
        <v/>
      </c>
      <c r="AB21" s="49" t="str">
        <f t="shared" si="19"/>
        <v>OK</v>
      </c>
    </row>
    <row r="22" spans="1:28">
      <c r="A22" s="22">
        <v>6</v>
      </c>
      <c r="B22" s="25" t="s">
        <v>130</v>
      </c>
      <c r="C22" s="30">
        <v>47603</v>
      </c>
      <c r="D22" s="39">
        <v>3.875</v>
      </c>
      <c r="E22" s="40">
        <v>99.640625</v>
      </c>
      <c r="F22" s="41">
        <v>0.91590000000000005</v>
      </c>
      <c r="G22" s="30">
        <v>45777</v>
      </c>
      <c r="H22" s="30">
        <v>45961</v>
      </c>
      <c r="I22" s="42">
        <f t="shared" si="0"/>
        <v>4.3400000000000001E-2</v>
      </c>
      <c r="J22" s="43">
        <f t="shared" si="1"/>
        <v>46142</v>
      </c>
      <c r="K22" s="44">
        <f t="shared" si="2"/>
        <v>0.7265625</v>
      </c>
      <c r="L22" s="44">
        <f t="shared" si="3"/>
        <v>100.3671875</v>
      </c>
      <c r="M22" s="44">
        <f t="shared" si="4"/>
        <v>1.3162364130434783</v>
      </c>
      <c r="N22" s="44">
        <f t="shared" si="5"/>
        <v>0</v>
      </c>
      <c r="O22" s="32">
        <f t="shared" si="6"/>
        <v>0</v>
      </c>
      <c r="P22" s="44">
        <f t="shared" si="7"/>
        <v>100.45525594429348</v>
      </c>
      <c r="Q22" s="44">
        <f t="shared" si="8"/>
        <v>0.50160546875000023</v>
      </c>
      <c r="R22" s="45">
        <f t="shared" si="9"/>
        <v>16.051375000000007</v>
      </c>
      <c r="S22" s="44">
        <f t="shared" si="10"/>
        <v>0.67759003472222223</v>
      </c>
      <c r="T22" s="44">
        <f t="shared" si="11"/>
        <v>-8.7916121678743964E-2</v>
      </c>
      <c r="U22" s="44">
        <f t="shared" si="12"/>
        <v>101.04477753472223</v>
      </c>
      <c r="V22" s="44">
        <f t="shared" si="13"/>
        <v>99.728541121678745</v>
      </c>
      <c r="W22" s="44">
        <f t="shared" si="14"/>
        <v>0.58952159042874541</v>
      </c>
      <c r="X22" s="45">
        <f t="shared" si="15"/>
        <v>18.864690893719853</v>
      </c>
      <c r="Y22" s="46">
        <f t="shared" si="16"/>
        <v>5.6408304232279409E-3</v>
      </c>
      <c r="Z22" s="47">
        <f t="shared" si="17"/>
        <v>377.59169576772064</v>
      </c>
      <c r="AA22" s="48" t="str">
        <f t="shared" si="18"/>
        <v/>
      </c>
      <c r="AB22" s="49" t="str">
        <f t="shared" si="19"/>
        <v>OK</v>
      </c>
    </row>
    <row r="23" spans="1:28">
      <c r="A23" s="22">
        <v>7</v>
      </c>
      <c r="B23" s="25" t="s">
        <v>131</v>
      </c>
      <c r="C23" s="30">
        <v>47634</v>
      </c>
      <c r="D23" s="39">
        <v>4</v>
      </c>
      <c r="E23" s="40">
        <v>100.19921875</v>
      </c>
      <c r="F23" s="41">
        <v>0.91959999999999997</v>
      </c>
      <c r="G23" s="30">
        <v>45808</v>
      </c>
      <c r="H23" s="30">
        <v>45991</v>
      </c>
      <c r="I23" s="42">
        <f t="shared" si="0"/>
        <v>4.3400000000000001E-2</v>
      </c>
      <c r="J23" s="43">
        <f t="shared" si="1"/>
        <v>46173</v>
      </c>
      <c r="K23" s="44">
        <f t="shared" si="2"/>
        <v>0.41530054644808745</v>
      </c>
      <c r="L23" s="44">
        <f t="shared" si="3"/>
        <v>100.61451929644809</v>
      </c>
      <c r="M23" s="44">
        <f t="shared" si="4"/>
        <v>1.0273224043715847</v>
      </c>
      <c r="N23" s="44">
        <f t="shared" si="5"/>
        <v>0</v>
      </c>
      <c r="O23" s="32">
        <f t="shared" si="6"/>
        <v>0</v>
      </c>
      <c r="P23" s="44">
        <f t="shared" si="7"/>
        <v>100.56683802937158</v>
      </c>
      <c r="Q23" s="44">
        <f t="shared" si="8"/>
        <v>0.65970312500000716</v>
      </c>
      <c r="R23" s="45">
        <f t="shared" si="9"/>
        <v>21.110500000000229</v>
      </c>
      <c r="S23" s="44">
        <f t="shared" si="10"/>
        <v>0.67925979916135415</v>
      </c>
      <c r="T23" s="44">
        <f t="shared" si="11"/>
        <v>-6.7237941237856869E-2</v>
      </c>
      <c r="U23" s="44">
        <f t="shared" si="12"/>
        <v>101.29377909560945</v>
      </c>
      <c r="V23" s="44">
        <f t="shared" si="13"/>
        <v>100.26645669123786</v>
      </c>
      <c r="W23" s="44">
        <f t="shared" si="14"/>
        <v>0.72694106623787036</v>
      </c>
      <c r="X23" s="45">
        <f t="shared" si="15"/>
        <v>23.262114119611851</v>
      </c>
      <c r="Y23" s="46">
        <f t="shared" si="16"/>
        <v>-3.0465029634840625E-3</v>
      </c>
      <c r="Z23" s="47">
        <f t="shared" si="17"/>
        <v>464.46502963484062</v>
      </c>
      <c r="AA23" s="48" t="str">
        <f t="shared" si="18"/>
        <v/>
      </c>
      <c r="AB23" s="49" t="str">
        <f t="shared" si="19"/>
        <v>OK</v>
      </c>
    </row>
    <row r="24" spans="1:28">
      <c r="A24" s="22">
        <v>8</v>
      </c>
      <c r="B24" s="25" t="s">
        <v>132</v>
      </c>
      <c r="C24" s="30">
        <v>47664</v>
      </c>
      <c r="D24" s="39">
        <v>3.875</v>
      </c>
      <c r="E24" s="40">
        <v>99.59375</v>
      </c>
      <c r="F24" s="41">
        <v>0.91320000000000001</v>
      </c>
      <c r="G24" s="30">
        <v>45838</v>
      </c>
      <c r="H24" s="30">
        <v>46022</v>
      </c>
      <c r="I24" s="42">
        <f t="shared" si="0"/>
        <v>4.3400000000000001E-2</v>
      </c>
      <c r="J24" s="43">
        <f t="shared" si="1"/>
        <v>46203</v>
      </c>
      <c r="K24" s="44">
        <f t="shared" si="2"/>
        <v>8.4239130434782608E-2</v>
      </c>
      <c r="L24" s="44">
        <f t="shared" si="3"/>
        <v>99.677989130434781</v>
      </c>
      <c r="M24" s="44">
        <f t="shared" si="4"/>
        <v>0.67391304347826086</v>
      </c>
      <c r="N24" s="44">
        <f t="shared" si="5"/>
        <v>0</v>
      </c>
      <c r="O24" s="32">
        <f t="shared" si="6"/>
        <v>0</v>
      </c>
      <c r="P24" s="44">
        <f t="shared" si="7"/>
        <v>99.520678668478268</v>
      </c>
      <c r="Q24" s="44">
        <f t="shared" si="8"/>
        <v>0.7469843749999967</v>
      </c>
      <c r="R24" s="45">
        <f t="shared" si="9"/>
        <v>23.903499999999894</v>
      </c>
      <c r="S24" s="44">
        <f t="shared" si="10"/>
        <v>0.67293717995169089</v>
      </c>
      <c r="T24" s="44">
        <f t="shared" si="11"/>
        <v>-8.3263266908212619E-2</v>
      </c>
      <c r="U24" s="44">
        <f t="shared" si="12"/>
        <v>100.35092631038647</v>
      </c>
      <c r="V24" s="44">
        <f t="shared" si="13"/>
        <v>99.677013266908205</v>
      </c>
      <c r="W24" s="44">
        <f t="shared" si="14"/>
        <v>0.83024764190820122</v>
      </c>
      <c r="X24" s="45">
        <f t="shared" si="15"/>
        <v>26.567924541062439</v>
      </c>
      <c r="Y24" s="46">
        <f t="shared" si="16"/>
        <v>-1.0145484975882562E-2</v>
      </c>
      <c r="Z24" s="47">
        <f t="shared" si="17"/>
        <v>535.45484975882562</v>
      </c>
      <c r="AA24" s="48" t="str">
        <f t="shared" si="18"/>
        <v/>
      </c>
      <c r="AB24" s="49" t="str">
        <f t="shared" si="19"/>
        <v>OK</v>
      </c>
    </row>
    <row r="26" spans="1:28">
      <c r="A26" s="11" t="s">
        <v>133</v>
      </c>
    </row>
    <row r="27" spans="1:28">
      <c r="A27" s="19" t="s">
        <v>134</v>
      </c>
      <c r="B27" s="22" t="str">
        <f>INDEX($B$17:$B$24,MATCH(MIN($X$17:$X$24),$X$17:$X$24,0))</f>
        <v>T 4⅛ 11/30/29</v>
      </c>
    </row>
    <row r="28" spans="1:28">
      <c r="A28" s="34" t="s">
        <v>135</v>
      </c>
      <c r="B28" s="50">
        <f>MIN($X$17:$X$24)</f>
        <v>-0.63358344262269384</v>
      </c>
    </row>
    <row r="29" spans="1:28">
      <c r="A29" s="34" t="s">
        <v>136</v>
      </c>
      <c r="B29" s="50">
        <f>INDEX($R$17:$R$24,MATCH(MIN($X$17:$X$24),$X$17:$X$24,0))</f>
        <v>-2.3008749999999054</v>
      </c>
    </row>
    <row r="30" spans="1:28">
      <c r="A30" s="34" t="s">
        <v>137</v>
      </c>
      <c r="B30" s="51">
        <f>INDEX($Y$17:$Y$24,MATCH(MIN($X$17:$X$24),$X$17:$X$24,0))</f>
        <v>4.4657661234228548E-2</v>
      </c>
    </row>
    <row r="31" spans="1:28">
      <c r="A31" s="19" t="s">
        <v>138</v>
      </c>
      <c r="B31" s="51">
        <f>MAX($Y$17:$Y$24)</f>
        <v>4.4657661234228548E-2</v>
      </c>
    </row>
    <row r="32" spans="1:28">
      <c r="A32" s="34" t="s">
        <v>139</v>
      </c>
      <c r="B32" s="52">
        <f>INDEX($F$17:$F$24,MATCH(MIN($X$17:$X$24),$X$17:$X$24,0))</f>
        <v>0.93169999999999997</v>
      </c>
    </row>
    <row r="33" spans="1:2">
      <c r="A33" s="19" t="s">
        <v>140</v>
      </c>
      <c r="B33" s="44">
        <f>INDEX($V$17:$V$24,MATCH(MIN($X$17:$X$24),$X$17:$X$24,0))/INDEX($F$17:$F$24,MATCH(MIN($X$17:$X$24),$X$17:$X$24,0))</f>
        <v>108.22093657955141</v>
      </c>
    </row>
    <row r="34" spans="1:2">
      <c r="A34" s="19" t="s">
        <v>141</v>
      </c>
      <c r="B34" s="53">
        <f>$B$6/100/32</f>
        <v>31.25</v>
      </c>
    </row>
    <row r="35" spans="1:2">
      <c r="A35" s="26" t="s">
        <v>142</v>
      </c>
    </row>
  </sheetData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showGridLines="0" zoomScaleNormal="100" workbookViewId="0"/>
  </sheetViews>
  <sheetFormatPr defaultColWidth="8.7109375" defaultRowHeight="15"/>
  <cols>
    <col min="1" max="1" width="30" customWidth="1"/>
    <col min="2" max="2" width="18" customWidth="1"/>
    <col min="3" max="3" width="3" customWidth="1"/>
    <col min="4" max="4" width="30" customWidth="1"/>
    <col min="5" max="5" width="18" customWidth="1"/>
    <col min="6" max="6" width="46" customWidth="1"/>
  </cols>
  <sheetData>
    <row r="1" spans="1:4" ht="18">
      <c r="A1" s="9" t="s">
        <v>143</v>
      </c>
    </row>
    <row r="2" spans="1:4">
      <c r="A2" s="10" t="s">
        <v>144</v>
      </c>
    </row>
    <row r="4" spans="1:4">
      <c r="A4" s="11" t="s">
        <v>145</v>
      </c>
    </row>
    <row r="5" spans="1:4">
      <c r="A5" s="19" t="s">
        <v>146</v>
      </c>
      <c r="B5" s="35">
        <v>1</v>
      </c>
      <c r="D5" s="26" t="s">
        <v>147</v>
      </c>
    </row>
    <row r="6" spans="1:4">
      <c r="A6" s="19" t="s">
        <v>148</v>
      </c>
      <c r="B6" s="35">
        <v>1</v>
      </c>
      <c r="D6" s="26" t="s">
        <v>149</v>
      </c>
    </row>
    <row r="7" spans="1:4">
      <c r="A7" s="19" t="s">
        <v>150</v>
      </c>
      <c r="B7" s="54">
        <v>100000000</v>
      </c>
      <c r="D7" s="26" t="s">
        <v>151</v>
      </c>
    </row>
    <row r="8" spans="1:4">
      <c r="A8" s="19" t="s">
        <v>152</v>
      </c>
      <c r="B8" s="55">
        <f>基差試算!B7</f>
        <v>45846</v>
      </c>
      <c r="D8" s="26" t="s">
        <v>153</v>
      </c>
    </row>
    <row r="9" spans="1:4">
      <c r="A9" s="19" t="s">
        <v>154</v>
      </c>
      <c r="B9" s="31">
        <v>45884</v>
      </c>
      <c r="D9" s="26" t="s">
        <v>155</v>
      </c>
    </row>
    <row r="10" spans="1:4">
      <c r="A10" s="19" t="s">
        <v>156</v>
      </c>
      <c r="B10" s="27">
        <v>101</v>
      </c>
      <c r="D10" s="26" t="s">
        <v>157</v>
      </c>
    </row>
    <row r="11" spans="1:4">
      <c r="A11" s="19" t="s">
        <v>158</v>
      </c>
      <c r="B11" s="27">
        <v>108.5</v>
      </c>
      <c r="D11" s="26" t="s">
        <v>159</v>
      </c>
    </row>
    <row r="13" spans="1:4">
      <c r="A13" s="11" t="s">
        <v>160</v>
      </c>
    </row>
    <row r="14" spans="1:4">
      <c r="A14" s="19" t="s">
        <v>161</v>
      </c>
      <c r="B14" s="56" t="str">
        <f>INDEX(基差試算!$B$17:$B$24,$B$5)</f>
        <v>T 4⅛ 11/30/29</v>
      </c>
    </row>
    <row r="15" spans="1:4">
      <c r="A15" s="19" t="s">
        <v>162</v>
      </c>
      <c r="B15" s="57">
        <f>INDEX(基差試算!$D$17:$D$24,$B$5)</f>
        <v>4.125</v>
      </c>
    </row>
    <row r="16" spans="1:4">
      <c r="A16" s="19" t="s">
        <v>163</v>
      </c>
      <c r="B16" s="58">
        <f>INDEX(基差試算!$F$17:$F$24,$B$5)</f>
        <v>0.93169999999999997</v>
      </c>
    </row>
    <row r="17" spans="1:2">
      <c r="A17" s="19" t="s">
        <v>164</v>
      </c>
      <c r="B17" s="59">
        <f>INDEX(基差試算!$E$17:$E$24,$B$5)</f>
        <v>100.77734375</v>
      </c>
    </row>
    <row r="18" spans="1:2">
      <c r="A18" s="19" t="s">
        <v>165</v>
      </c>
      <c r="B18" s="59">
        <f>基差試算!$B$5</f>
        <v>108.2421875</v>
      </c>
    </row>
    <row r="19" spans="1:2">
      <c r="A19" s="19" t="s">
        <v>166</v>
      </c>
      <c r="B19" s="59">
        <f>INDEX(基差試算!$L$17:$L$24,$B$5)</f>
        <v>101.20562243852459</v>
      </c>
    </row>
    <row r="20" spans="1:2">
      <c r="A20" s="34" t="s">
        <v>167</v>
      </c>
      <c r="B20" s="60">
        <f>INDEX(基差試算!$I$17:$I$24,$B$5)</f>
        <v>4.3400000000000001E-2</v>
      </c>
    </row>
    <row r="21" spans="1:2">
      <c r="A21" s="19" t="s">
        <v>168</v>
      </c>
      <c r="B21" s="57">
        <f>INDEX(基差試算!$R$17:$R$24,$B$5)</f>
        <v>-2.3008749999999054</v>
      </c>
    </row>
    <row r="22" spans="1:2">
      <c r="A22" s="19" t="s">
        <v>169</v>
      </c>
      <c r="B22" s="57">
        <f>INDEX(基差試算!$X$17:$X$24,$B$5)</f>
        <v>-0.63358344262269384</v>
      </c>
    </row>
    <row r="23" spans="1:2">
      <c r="A23" s="19" t="s">
        <v>106</v>
      </c>
      <c r="B23" s="55">
        <f>INDEX(基差試算!$G$17:$G$24,$B$5)</f>
        <v>45808</v>
      </c>
    </row>
    <row r="24" spans="1:2">
      <c r="A24" s="19" t="s">
        <v>107</v>
      </c>
      <c r="B24" s="55">
        <f>INDEX(基差試算!$H$17:$H$24,$B$5)</f>
        <v>45991</v>
      </c>
    </row>
    <row r="25" spans="1:2">
      <c r="A25" s="19" t="s">
        <v>109</v>
      </c>
      <c r="B25" s="55">
        <f>INDEX(基差試算!$J$17:$J$24,$B$5)</f>
        <v>46173</v>
      </c>
    </row>
    <row r="27" spans="1:2">
      <c r="A27" s="11" t="s">
        <v>170</v>
      </c>
    </row>
    <row r="28" spans="1:2">
      <c r="A28" s="19" t="s">
        <v>171</v>
      </c>
      <c r="B28" s="61">
        <f>ROUND($B$7*$B$16/基差試算!$B$6,0)</f>
        <v>932</v>
      </c>
    </row>
    <row r="29" spans="1:2">
      <c r="A29" s="19" t="s">
        <v>172</v>
      </c>
      <c r="B29" s="62">
        <f>B28*基差試算!$B$6</f>
        <v>93200000</v>
      </c>
    </row>
    <row r="30" spans="1:2">
      <c r="A30" s="19" t="s">
        <v>173</v>
      </c>
      <c r="B30" s="62">
        <f>$B$7-B29</f>
        <v>6800000</v>
      </c>
    </row>
    <row r="31" spans="1:2">
      <c r="A31" s="19" t="s">
        <v>174</v>
      </c>
      <c r="B31" s="53">
        <f>$B$7/100/32</f>
        <v>31250</v>
      </c>
    </row>
    <row r="33" spans="1:6">
      <c r="A33" s="11" t="s">
        <v>175</v>
      </c>
    </row>
    <row r="34" spans="1:6">
      <c r="A34" s="19" t="s">
        <v>176</v>
      </c>
      <c r="B34" s="32">
        <f>$B$9-$B$8</f>
        <v>38</v>
      </c>
    </row>
    <row r="35" spans="1:6">
      <c r="A35" s="19" t="s">
        <v>177</v>
      </c>
      <c r="B35" s="44">
        <f>IF($B$9&lt;=$B$24,$B$15/2*($B$9-$B$23)/($B$24-$B$23),$B$15/2*($B$9-$B$24)/($B$25-$B$24))</f>
        <v>0.85655737704918034</v>
      </c>
    </row>
    <row r="36" spans="1:6">
      <c r="A36" s="19" t="s">
        <v>178</v>
      </c>
      <c r="B36" s="44">
        <f>$B$19-$B$17</f>
        <v>0.4282786885245855</v>
      </c>
    </row>
    <row r="37" spans="1:6">
      <c r="A37" s="19" t="s">
        <v>179</v>
      </c>
      <c r="B37" s="44">
        <f>IF($B$9&lt;=$B$24,0,$B$15/2)</f>
        <v>0</v>
      </c>
    </row>
    <row r="38" spans="1:6">
      <c r="A38" s="19" t="s">
        <v>180</v>
      </c>
      <c r="B38" s="32">
        <f>IF(B37=0,0,$B$9-$B$24)</f>
        <v>0</v>
      </c>
    </row>
    <row r="40" spans="1:6">
      <c r="A40" s="11" t="s">
        <v>181</v>
      </c>
    </row>
    <row r="41" spans="1:6">
      <c r="A41" s="20" t="s">
        <v>182</v>
      </c>
      <c r="B41" s="20" t="s">
        <v>183</v>
      </c>
      <c r="D41" s="3" t="s">
        <v>25</v>
      </c>
      <c r="E41" s="3"/>
      <c r="F41" s="3"/>
    </row>
    <row r="42" spans="1:6">
      <c r="A42" s="13" t="s">
        <v>184</v>
      </c>
      <c r="B42" s="62">
        <f>$B$6*($B$10-$B$17)*$B$7/100</f>
        <v>222656.25</v>
      </c>
      <c r="D42" s="2" t="s">
        <v>185</v>
      </c>
      <c r="E42" s="2"/>
      <c r="F42" s="2"/>
    </row>
    <row r="43" spans="1:6">
      <c r="A43" s="13" t="s">
        <v>186</v>
      </c>
      <c r="B43" s="62">
        <f>$B$6*($B$35-$B$36+$B$37+$B$37*$B$20*$B$38/基差試算!$B$11)*$B$7/100</f>
        <v>428278.68852459482</v>
      </c>
      <c r="D43" s="1" t="s">
        <v>187</v>
      </c>
      <c r="E43" s="1"/>
      <c r="F43" s="1"/>
    </row>
    <row r="44" spans="1:6">
      <c r="A44" s="63" t="s">
        <v>188</v>
      </c>
      <c r="B44" s="62">
        <f>-$B$6*$B$19*$B$20*$B$34/基差試算!$B$11*$B$7/100</f>
        <v>-463634.20146004093</v>
      </c>
      <c r="D44" s="1" t="s">
        <v>189</v>
      </c>
      <c r="E44" s="1"/>
      <c r="F44" s="1"/>
    </row>
    <row r="45" spans="1:6">
      <c r="A45" s="13" t="s">
        <v>190</v>
      </c>
      <c r="B45" s="62">
        <f>-$B$6*($B$11-$B$18)*$B$28*基差試算!$B$6/100</f>
        <v>-240281.25</v>
      </c>
      <c r="D45" s="1" t="s">
        <v>191</v>
      </c>
      <c r="E45" s="1"/>
      <c r="F45" s="1"/>
    </row>
    <row r="46" spans="1:6" ht="15.75">
      <c r="A46" s="64" t="s">
        <v>192</v>
      </c>
      <c r="B46" s="65">
        <f>SUM(B42:B45)</f>
        <v>-52980.512935446168</v>
      </c>
    </row>
    <row r="48" spans="1:6">
      <c r="A48" s="11" t="s">
        <v>193</v>
      </c>
    </row>
    <row r="49" spans="1:6">
      <c r="A49" s="19" t="s">
        <v>194</v>
      </c>
      <c r="B49" s="50">
        <f>($B$10-$B$16*$B$11)*32</f>
        <v>-2.8623999999999796</v>
      </c>
      <c r="D49" s="1" t="s">
        <v>195</v>
      </c>
      <c r="E49" s="1"/>
      <c r="F49" s="1"/>
    </row>
    <row r="50" spans="1:6">
      <c r="A50" s="19" t="s">
        <v>196</v>
      </c>
      <c r="B50" s="50">
        <f>B49-$B$21</f>
        <v>-0.56152500000007421</v>
      </c>
      <c r="D50" s="1" t="s">
        <v>197</v>
      </c>
      <c r="E50" s="1"/>
      <c r="F50" s="1"/>
    </row>
    <row r="51" spans="1:6">
      <c r="A51" s="19" t="s">
        <v>198</v>
      </c>
      <c r="B51" s="62">
        <f>$B$6*B50*$B$7/100/32</f>
        <v>-17547.656250002317</v>
      </c>
      <c r="D51" s="1" t="s">
        <v>199</v>
      </c>
      <c r="E51" s="1"/>
      <c r="F51" s="1"/>
    </row>
    <row r="52" spans="1:6">
      <c r="A52" s="19" t="s">
        <v>200</v>
      </c>
      <c r="B52" s="62">
        <f>-$B$6*$B$22/32*$B$7/100</f>
        <v>19799.482581959182</v>
      </c>
      <c r="D52" s="1" t="s">
        <v>201</v>
      </c>
      <c r="E52" s="1"/>
      <c r="F52" s="1"/>
    </row>
    <row r="53" spans="1:6">
      <c r="A53" s="19" t="s">
        <v>202</v>
      </c>
      <c r="B53" s="66">
        <f>B46/$B$7*365/MAX($B$34,1)</f>
        <v>-5.0889176898520653E-3</v>
      </c>
      <c r="D53" s="1" t="s">
        <v>203</v>
      </c>
      <c r="E53" s="1"/>
      <c r="F53" s="1"/>
    </row>
    <row r="55" spans="1:6">
      <c r="A55" s="67" t="s">
        <v>204</v>
      </c>
    </row>
  </sheetData>
  <mergeCells count="10">
    <mergeCell ref="D49:F49"/>
    <mergeCell ref="D50:F50"/>
    <mergeCell ref="D51:F51"/>
    <mergeCell ref="D52:F52"/>
    <mergeCell ref="D53:F53"/>
    <mergeCell ref="D41:F41"/>
    <mergeCell ref="D42:F42"/>
    <mergeCell ref="D43:F43"/>
    <mergeCell ref="D44:F44"/>
    <mergeCell ref="D45:F45"/>
  </mergeCells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2"/>
  <sheetViews>
    <sheetView showGridLines="0" zoomScaleNormal="100" workbookViewId="0"/>
  </sheetViews>
  <sheetFormatPr defaultColWidth="8.7109375" defaultRowHeight="15"/>
  <cols>
    <col min="1" max="1" width="4" customWidth="1"/>
    <col min="2" max="2" width="17" customWidth="1"/>
    <col min="3" max="3" width="12" customWidth="1"/>
    <col min="4" max="4" width="13" customWidth="1"/>
    <col min="5" max="26" width="11" customWidth="1"/>
  </cols>
  <sheetData>
    <row r="1" spans="1:20" ht="18">
      <c r="A1" s="9" t="s">
        <v>205</v>
      </c>
    </row>
    <row r="2" spans="1:20">
      <c r="A2" s="10" t="s">
        <v>206</v>
      </c>
    </row>
    <row r="4" spans="1:20">
      <c r="A4" s="11" t="s">
        <v>207</v>
      </c>
    </row>
    <row r="5" spans="1:20">
      <c r="B5" s="19" t="s">
        <v>208</v>
      </c>
      <c r="F5" s="68">
        <v>-100</v>
      </c>
      <c r="G5" s="68">
        <v>-50</v>
      </c>
      <c r="H5" s="68">
        <v>0</v>
      </c>
      <c r="I5" s="68">
        <v>50</v>
      </c>
      <c r="J5" s="68">
        <v>100</v>
      </c>
    </row>
    <row r="7" spans="1:20" ht="30" customHeight="1">
      <c r="A7" s="37" t="s">
        <v>100</v>
      </c>
      <c r="B7" s="38" t="s">
        <v>101</v>
      </c>
      <c r="C7" s="38" t="s">
        <v>102</v>
      </c>
      <c r="D7" s="38" t="s">
        <v>120</v>
      </c>
      <c r="E7" s="38" t="s">
        <v>209</v>
      </c>
      <c r="F7" s="38" t="s">
        <v>210</v>
      </c>
      <c r="G7" s="38" t="s">
        <v>211</v>
      </c>
      <c r="H7" s="38" t="s">
        <v>212</v>
      </c>
      <c r="I7" s="38" t="s">
        <v>213</v>
      </c>
      <c r="J7" s="38" t="s">
        <v>214</v>
      </c>
      <c r="K7" s="37" t="s">
        <v>215</v>
      </c>
      <c r="L7" s="37" t="s">
        <v>216</v>
      </c>
      <c r="M7" s="37" t="s">
        <v>217</v>
      </c>
      <c r="N7" s="37" t="s">
        <v>218</v>
      </c>
      <c r="O7" s="37" t="s">
        <v>219</v>
      </c>
      <c r="P7" s="38" t="s">
        <v>220</v>
      </c>
      <c r="Q7" s="38" t="s">
        <v>221</v>
      </c>
      <c r="R7" s="38" t="s">
        <v>222</v>
      </c>
      <c r="S7" s="38" t="s">
        <v>223</v>
      </c>
      <c r="T7" s="38" t="s">
        <v>224</v>
      </c>
    </row>
    <row r="8" spans="1:20">
      <c r="A8" s="22">
        <v>1</v>
      </c>
      <c r="B8" s="56" t="str">
        <f>基差試算!B17</f>
        <v>T 4⅛ 11/30/29</v>
      </c>
      <c r="C8" s="55">
        <f>基差試算!C17</f>
        <v>47452</v>
      </c>
      <c r="D8" s="59">
        <f>基差試算!V17</f>
        <v>100.82944661116804</v>
      </c>
      <c r="E8" s="51">
        <f>YIELD(基差試算!$B$8,C8,基差試算!D17/100,D8,100,2,1)</f>
        <v>3.9096722105321009E-2</v>
      </c>
      <c r="F8" s="69">
        <f>PRICE(基差試算!$B$8,$C8,基差試算!D17/100,$E8+F$5/10000,100,2,1)</f>
        <v>104.81463751601304</v>
      </c>
      <c r="G8" s="69">
        <f>PRICE(基差試算!$B$8,$C8,基差試算!D17/100,$E8+G$5/10000,100,2,1)</f>
        <v>102.79940044225879</v>
      </c>
      <c r="H8" s="69">
        <f>PRICE(基差試算!$B$8,$C8,基差試算!D17/100,$E8+H$5/10000,100,2,1)</f>
        <v>100.829446611168</v>
      </c>
      <c r="I8" s="69">
        <f>PRICE(基差試算!$B$8,$C8,基差試算!D17/100,$E8+I$5/10000,100,2,1)</f>
        <v>98.903639643094422</v>
      </c>
      <c r="J8" s="69">
        <f>PRICE(基差試算!$B$8,$C8,基差試算!D17/100,$E8+J$5/10000,100,2,1)</f>
        <v>97.02087447788449</v>
      </c>
      <c r="K8" s="69">
        <f>F8/基差試算!F17</f>
        <v>112.49826930987768</v>
      </c>
      <c r="L8" s="69">
        <f>G8/基差試算!F17</f>
        <v>110.33530153725319</v>
      </c>
      <c r="M8" s="69">
        <f>H8/基差試算!F17</f>
        <v>108.22093657955135</v>
      </c>
      <c r="N8" s="69">
        <f>I8/基差試算!F17</f>
        <v>106.15395475270411</v>
      </c>
      <c r="O8" s="69">
        <f>J8/基差試算!F17</f>
        <v>104.13316998806965</v>
      </c>
      <c r="P8" s="45">
        <f>(F8-基差試算!F17*K$16)*32</f>
        <v>0</v>
      </c>
      <c r="Q8" s="45">
        <f>(G8-基差試算!F17*L$16)*32</f>
        <v>0</v>
      </c>
      <c r="R8" s="45">
        <f>(H8-基差試算!F17*M$16)*32</f>
        <v>0</v>
      </c>
      <c r="S8" s="45">
        <f>(I8-基差試算!F17*N$16)*32</f>
        <v>0</v>
      </c>
      <c r="T8" s="45">
        <f>(J8-基差試算!F17*O$16)*32</f>
        <v>0</v>
      </c>
    </row>
    <row r="9" spans="1:20">
      <c r="A9" s="22">
        <v>2</v>
      </c>
      <c r="B9" s="56" t="str">
        <f>基差試算!B18</f>
        <v>T 4⅜ 12/31/29</v>
      </c>
      <c r="C9" s="55">
        <f>基差試算!C18</f>
        <v>47483</v>
      </c>
      <c r="D9" s="59">
        <f>基差試算!V18</f>
        <v>101.77180677536232</v>
      </c>
      <c r="E9" s="51">
        <f>YIELD(基差試算!$B$8,C9,基差試算!D18/100,D9,100,2,1)</f>
        <v>3.9244691337507354E-2</v>
      </c>
      <c r="F9" s="69">
        <f>PRICE(基差試算!$B$8,$C9,基差試算!D18/100,$E9+F$5/10000,100,2,1)</f>
        <v>105.85074361821218</v>
      </c>
      <c r="G9" s="69">
        <f>PRICE(基差試算!$B$8,$C9,基差試算!D18/100,$E9+G$5/10000,100,2,1)</f>
        <v>103.78774443257102</v>
      </c>
      <c r="H9" s="69">
        <f>PRICE(基差試算!$B$8,$C9,基差試算!D18/100,$E9+H$5/10000,100,2,1)</f>
        <v>101.77180677536229</v>
      </c>
      <c r="I9" s="69">
        <f>PRICE(基差試算!$B$8,$C9,基差試算!D18/100,$E9+I$5/10000,100,2,1)</f>
        <v>99.801732514834043</v>
      </c>
      <c r="J9" s="69">
        <f>PRICE(基差試算!$B$8,$C9,基差試算!D18/100,$E9+J$5/10000,100,2,1)</f>
        <v>97.876356987487924</v>
      </c>
      <c r="K9" s="69">
        <f>F9/基差試算!F18</f>
        <v>112.64312399511778</v>
      </c>
      <c r="L9" s="69">
        <f>G9/基差試算!F18</f>
        <v>110.447743356998</v>
      </c>
      <c r="M9" s="69">
        <f>H9/基差試算!F18</f>
        <v>108.30244415809545</v>
      </c>
      <c r="N9" s="69">
        <f>I9/基差試算!F18</f>
        <v>106.20595138324364</v>
      </c>
      <c r="O9" s="69">
        <f>J9/基差試算!F18</f>
        <v>104.15702563316795</v>
      </c>
      <c r="P9" s="45">
        <f>(F9-基差試算!F18*K$16)*32</f>
        <v>4.3558383270437844</v>
      </c>
      <c r="Q9" s="45">
        <f>(G9-基差試算!F18*L$16)*32</f>
        <v>3.3811704964541605</v>
      </c>
      <c r="R9" s="45">
        <f>(H9-基差試算!F18*M$16)*32</f>
        <v>2.4509654898524786</v>
      </c>
      <c r="S9" s="45">
        <f>(I9-基差試算!F18*N$16)*32</f>
        <v>1.5635594789760034</v>
      </c>
      <c r="T9" s="45">
        <f>(J9-基差試算!F18*O$16)*32</f>
        <v>0.71734879036375787</v>
      </c>
    </row>
    <row r="10" spans="1:20">
      <c r="A10" s="22">
        <v>3</v>
      </c>
      <c r="B10" s="56" t="str">
        <f>基差試算!B19</f>
        <v>T 4¼ 01/31/30</v>
      </c>
      <c r="C10" s="55">
        <f>基差試算!C19</f>
        <v>47514</v>
      </c>
      <c r="D10" s="59">
        <f>基差試算!V19</f>
        <v>101.26681430389993</v>
      </c>
      <c r="E10" s="51">
        <f>YIELD(基差試算!$B$8,C10,基差試算!D19/100,D10,100,2,1)</f>
        <v>3.9335603320941402E-2</v>
      </c>
      <c r="F10" s="69">
        <f>PRICE(基差試算!$B$8,$C10,基差試算!D19/100,$E10+F$5/10000,100,2,1)</f>
        <v>105.40668924040817</v>
      </c>
      <c r="G10" s="69">
        <f>PRICE(基差試算!$B$8,$C10,基差試算!D19/100,$E10+G$5/10000,100,2,1)</f>
        <v>103.31244820300837</v>
      </c>
      <c r="H10" s="69">
        <f>PRICE(基差試算!$B$8,$C10,基差試算!D19/100,$E10+H$5/10000,100,2,1)</f>
        <v>101.26681430389981</v>
      </c>
      <c r="I10" s="69">
        <f>PRICE(基差試算!$B$8,$C10,基差試算!D19/100,$E10+I$5/10000,100,2,1)</f>
        <v>99.26853070345723</v>
      </c>
      <c r="J10" s="69">
        <f>PRICE(基差試算!$B$8,$C10,基差試算!D19/100,$E10+J$5/10000,100,2,1)</f>
        <v>97.316376170609686</v>
      </c>
      <c r="K10" s="69">
        <f>F10/基差試算!F19</f>
        <v>112.85512766638989</v>
      </c>
      <c r="L10" s="69">
        <f>G10/基差試算!F19</f>
        <v>110.61289957495542</v>
      </c>
      <c r="M10" s="69">
        <f>H10/基差試算!F19</f>
        <v>108.42271338747302</v>
      </c>
      <c r="N10" s="69">
        <f>I10/基差試算!F19</f>
        <v>106.283223451239</v>
      </c>
      <c r="O10" s="69">
        <f>J10/基差試算!F19</f>
        <v>104.19312223834012</v>
      </c>
      <c r="P10" s="45">
        <f>(F10-基差試算!F19*K$16)*32</f>
        <v>10.665782559437048</v>
      </c>
      <c r="Q10" s="45">
        <f>(G10-基差試算!F19*L$16)*32</f>
        <v>8.2968501508444206</v>
      </c>
      <c r="R10" s="45">
        <f>(H10-基差試算!F19*M$16)*32</f>
        <v>6.0307052351627135</v>
      </c>
      <c r="S10" s="45">
        <f>(I10-基差試算!F19*N$16)*32</f>
        <v>3.8635828618107553</v>
      </c>
      <c r="T10" s="45">
        <f>(J10-基差試算!F19*O$16)*32</f>
        <v>1.7918528560840059</v>
      </c>
    </row>
    <row r="11" spans="1:20">
      <c r="A11" s="22">
        <v>4</v>
      </c>
      <c r="B11" s="56" t="str">
        <f>基差試算!B20</f>
        <v>T 4 02/28/30</v>
      </c>
      <c r="C11" s="55">
        <f>基差試算!C20</f>
        <v>47542</v>
      </c>
      <c r="D11" s="59">
        <f>基差試算!V20</f>
        <v>100.32286768941253</v>
      </c>
      <c r="E11" s="51">
        <f>YIELD(基差試算!$B$8,C11,基差試算!D20/100,D11,100,2,1)</f>
        <v>3.9208960979344516E-2</v>
      </c>
      <c r="F11" s="69">
        <f>PRICE(基差試算!$B$8,$C11,基差試算!D20/100,$E11+F$5/10000,100,2,1)</f>
        <v>104.51420699366025</v>
      </c>
      <c r="G11" s="69">
        <f>PRICE(基差試算!$B$8,$C11,基差試算!D20/100,$E11+G$5/10000,100,2,1)</f>
        <v>102.39348150892269</v>
      </c>
      <c r="H11" s="69">
        <f>PRICE(基差試算!$B$8,$C11,基差試算!D20/100,$E11+H$5/10000,100,2,1)</f>
        <v>100.32286769215234</v>
      </c>
      <c r="I11" s="69">
        <f>PRICE(基差試算!$B$8,$C11,基差試算!D20/100,$E11+I$5/10000,100,2,1)</f>
        <v>98.301049186662468</v>
      </c>
      <c r="J11" s="69">
        <f>PRICE(基差試算!$B$8,$C11,基差試算!D20/100,$E11+J$5/10000,100,2,1)</f>
        <v>96.326747467250016</v>
      </c>
      <c r="K11" s="69">
        <f>F11/基差試算!F20</f>
        <v>113.1841098047003</v>
      </c>
      <c r="L11" s="69">
        <f>G11/基差試算!F20</f>
        <v>110.88746102330809</v>
      </c>
      <c r="M11" s="69">
        <f>H11/基差試算!F20</f>
        <v>108.64508088818751</v>
      </c>
      <c r="N11" s="69">
        <f>I11/基差試算!F20</f>
        <v>106.45554384520518</v>
      </c>
      <c r="O11" s="69">
        <f>J11/基差試算!F20</f>
        <v>104.31746530999568</v>
      </c>
      <c r="P11" s="45">
        <f>(F11-基差試算!F20*K$16)*32</f>
        <v>20.265763613414492</v>
      </c>
      <c r="Q11" s="45">
        <f>(G11-基差試算!F20*L$16)*32</f>
        <v>16.315650221539272</v>
      </c>
      <c r="R11" s="45">
        <f>(H11-基差試算!F20*M$16)*32</f>
        <v>12.532955347028292</v>
      </c>
      <c r="S11" s="45">
        <f>(I11-基差試算!F20*N$16)*32</f>
        <v>8.9115957764956875</v>
      </c>
      <c r="T11" s="45">
        <f>(J11-基差試算!F20*O$16)*32</f>
        <v>5.4457056085279874</v>
      </c>
    </row>
    <row r="12" spans="1:20">
      <c r="A12" s="22">
        <v>5</v>
      </c>
      <c r="B12" s="56" t="str">
        <f>基差試算!B21</f>
        <v>T 4 03/31/30</v>
      </c>
      <c r="C12" s="55">
        <f>基差試算!C21</f>
        <v>47573</v>
      </c>
      <c r="D12" s="59">
        <f>基差試算!V21</f>
        <v>100.23949645975638</v>
      </c>
      <c r="E12" s="51">
        <f>YIELD(基差試算!$B$8,C12,基差試算!D21/100,D12,100,2,1)</f>
        <v>3.9416828785692672E-2</v>
      </c>
      <c r="F12" s="69">
        <f>PRICE(基差試算!$B$8,$C12,基差試算!D21/100,$E12+F$5/10000,100,2,1)</f>
        <v>104.49877712527808</v>
      </c>
      <c r="G12" s="69">
        <f>PRICE(基差試算!$B$8,$C12,基差試算!D21/100,$E12+G$5/10000,100,2,1)</f>
        <v>102.34327695723211</v>
      </c>
      <c r="H12" s="69">
        <f>PRICE(基差試算!$B$8,$C12,基差試算!D21/100,$E12+H$5/10000,100,2,1)</f>
        <v>100.23949645975631</v>
      </c>
      <c r="I12" s="69">
        <f>PRICE(基差試算!$B$8,$C12,基差試算!D21/100,$E12+I$5/10000,100,2,1)</f>
        <v>98.186057561514119</v>
      </c>
      <c r="J12" s="69">
        <f>PRICE(基差試算!$B$8,$C12,基差試算!D21/100,$E12+J$5/10000,100,2,1)</f>
        <v>96.181622319453496</v>
      </c>
      <c r="K12" s="69">
        <f>F12/基差試算!F21</f>
        <v>113.32694623715224</v>
      </c>
      <c r="L12" s="69">
        <f>G12/基差試算!F21</f>
        <v>110.98934709601139</v>
      </c>
      <c r="M12" s="69">
        <f>H12/基差試算!F21</f>
        <v>108.70783695885078</v>
      </c>
      <c r="N12" s="69">
        <f>I12/基差試算!F21</f>
        <v>106.48092133338479</v>
      </c>
      <c r="O12" s="69">
        <f>J12/基差試算!F21</f>
        <v>104.30714924569297</v>
      </c>
      <c r="P12" s="45">
        <f>(F12-基差試算!F21*K$16)*32</f>
        <v>24.451935828475598</v>
      </c>
      <c r="Q12" s="45">
        <f>(G12-基差試算!F21*L$16)*32</f>
        <v>19.299053111390094</v>
      </c>
      <c r="R12" s="45">
        <f>(H12-基差試算!F21*M$16)*32</f>
        <v>14.367066872064242</v>
      </c>
      <c r="S12" s="45">
        <f>(I12-基差試算!F21*N$16)*32</f>
        <v>9.6478682894608028</v>
      </c>
      <c r="T12" s="45">
        <f>(J12-基差試算!F21*O$16)*32</f>
        <v>5.1336407505427815</v>
      </c>
    </row>
    <row r="13" spans="1:20">
      <c r="A13" s="22">
        <v>6</v>
      </c>
      <c r="B13" s="56" t="str">
        <f>基差試算!B22</f>
        <v>T 3⅞ 04/30/30</v>
      </c>
      <c r="C13" s="55">
        <f>基差試算!C22</f>
        <v>47603</v>
      </c>
      <c r="D13" s="59">
        <f>基差試算!V22</f>
        <v>99.728541121678745</v>
      </c>
      <c r="E13" s="51">
        <f>YIELD(基差試算!$B$8,C13,基差試算!D22/100,D13,100,2,1)</f>
        <v>3.9383516015798974E-2</v>
      </c>
      <c r="F13" s="69">
        <f>PRICE(基差試算!$B$8,$C13,基差試算!D22/100,$E13+F$5/10000,100,2,1)</f>
        <v>104.04861888800265</v>
      </c>
      <c r="G13" s="69">
        <f>PRICE(基差試算!$B$8,$C13,基差試算!D22/100,$E13+G$5/10000,100,2,1)</f>
        <v>101.86191345750254</v>
      </c>
      <c r="H13" s="69">
        <f>PRICE(基差試算!$B$8,$C13,基差試算!D22/100,$E13+H$5/10000,100,2,1)</f>
        <v>99.728541121678788</v>
      </c>
      <c r="I13" s="69">
        <f>PRICE(基差試算!$B$8,$C13,基差試算!D22/100,$E13+I$5/10000,100,2,1)</f>
        <v>97.647059561654899</v>
      </c>
      <c r="J13" s="69">
        <f>PRICE(基差試算!$B$8,$C13,基差試算!D22/100,$E13+J$5/10000,100,2,1)</f>
        <v>95.616069032263155</v>
      </c>
      <c r="K13" s="69">
        <f>F13/基差試算!F22</f>
        <v>113.60259732285473</v>
      </c>
      <c r="L13" s="69">
        <f>G13/基差試算!F22</f>
        <v>111.21510367671419</v>
      </c>
      <c r="M13" s="69">
        <f>H13/基差試算!F22</f>
        <v>108.885840290074</v>
      </c>
      <c r="N13" s="69">
        <f>I13/基差試算!F22</f>
        <v>106.61323240709127</v>
      </c>
      <c r="O13" s="69">
        <f>J13/基差試算!F22</f>
        <v>104.39575175484568</v>
      </c>
      <c r="P13" s="45">
        <f>(F13-基差試算!F22*K$16)*32</f>
        <v>32.366528866741646</v>
      </c>
      <c r="Q13" s="45">
        <f>(G13-基差試算!F22*L$16)*32</f>
        <v>25.785944945034771</v>
      </c>
      <c r="R13" s="45">
        <f>(H13-基差試算!F22*M$16)*32</f>
        <v>19.487529870966682</v>
      </c>
      <c r="S13" s="45">
        <f>(I13-基差試算!F22*N$16)*32</f>
        <v>13.460876916902635</v>
      </c>
      <c r="T13" s="45">
        <f>(J13-基差試算!F22*O$16)*32</f>
        <v>7.6959564860849241</v>
      </c>
    </row>
    <row r="14" spans="1:20">
      <c r="A14" s="22">
        <v>7</v>
      </c>
      <c r="B14" s="56" t="str">
        <f>基差試算!B23</f>
        <v>T 4 05/31/30</v>
      </c>
      <c r="C14" s="55">
        <f>基差試算!C23</f>
        <v>47634</v>
      </c>
      <c r="D14" s="59">
        <f>基差試算!V23</f>
        <v>100.26645669123786</v>
      </c>
      <c r="E14" s="51">
        <f>YIELD(基差試算!$B$8,C14,基差試算!D23/100,D14,100,2,1)</f>
        <v>3.9367300044649819E-2</v>
      </c>
      <c r="F14" s="69">
        <f>PRICE(基差試算!$B$8,$C14,基差試算!D23/100,$E14+F$5/10000,100,2,1)</f>
        <v>104.67221910970575</v>
      </c>
      <c r="G14" s="69">
        <f>PRICE(基差試算!$B$8,$C14,基差試算!D23/100,$E14+G$5/10000,100,2,1)</f>
        <v>102.44174343445444</v>
      </c>
      <c r="H14" s="69">
        <f>PRICE(基差試算!$B$8,$C14,基差試算!D23/100,$E14+H$5/10000,100,2,1)</f>
        <v>100.26645669123783</v>
      </c>
      <c r="I14" s="69">
        <f>PRICE(基差試算!$B$8,$C14,基差試算!D23/100,$E14+I$5/10000,100,2,1)</f>
        <v>98.144845852137991</v>
      </c>
      <c r="J14" s="69">
        <f>PRICE(基差試算!$B$8,$C14,基差試算!D23/100,$E14+J$5/10000,100,2,1)</f>
        <v>96.075443123304154</v>
      </c>
      <c r="K14" s="69">
        <f>F14/基差試算!F23</f>
        <v>113.82363974522157</v>
      </c>
      <c r="L14" s="69">
        <f>G14/基差試算!F23</f>
        <v>111.39815510488738</v>
      </c>
      <c r="M14" s="69">
        <f>H14/基差試算!F23</f>
        <v>109.03268452722688</v>
      </c>
      <c r="N14" s="69">
        <f>I14/基差試算!F23</f>
        <v>106.72558270132448</v>
      </c>
      <c r="O14" s="69">
        <f>J14/基差試算!F23</f>
        <v>104.47525350511543</v>
      </c>
      <c r="P14" s="45">
        <f>(F14-基差試算!F23*K$16)*32</f>
        <v>39.001940874951288</v>
      </c>
      <c r="Q14" s="45">
        <f>(G14-基差試算!F23*L$16)*32</f>
        <v>31.276804505484961</v>
      </c>
      <c r="R14" s="45">
        <f>(H14-基差試算!F23*M$16)*32</f>
        <v>23.887469205837533</v>
      </c>
      <c r="S14" s="45">
        <f>(I14-基差試算!F23*N$16)*32</f>
        <v>16.821409969641536</v>
      </c>
      <c r="T14" s="45">
        <f>(J14-基差試算!F23*O$16)*32</f>
        <v>10.066560072809807</v>
      </c>
    </row>
    <row r="15" spans="1:20">
      <c r="A15" s="22">
        <v>8</v>
      </c>
      <c r="B15" s="56" t="str">
        <f>基差試算!B24</f>
        <v>T 3⅞ 06/30/30</v>
      </c>
      <c r="C15" s="55">
        <f>基差試算!C24</f>
        <v>47664</v>
      </c>
      <c r="D15" s="59">
        <f>基差試算!V24</f>
        <v>99.677013266908205</v>
      </c>
      <c r="E15" s="51">
        <f>YIELD(基差試算!$B$8,C15,基差試算!D24/100,D15,100,2,1)</f>
        <v>3.9481746617861892E-2</v>
      </c>
      <c r="F15" s="69">
        <f>PRICE(基差試算!$B$8,$C15,基差試算!D24/100,$E15+F$5/10000,100,2,1)</f>
        <v>104.13775590542598</v>
      </c>
      <c r="G15" s="69">
        <f>PRICE(基差試算!$B$8,$C15,基差試算!D24/100,$E15+G$5/10000,100,2,1)</f>
        <v>101.87899715925546</v>
      </c>
      <c r="H15" s="69">
        <f>PRICE(基差試算!$B$8,$C15,基差試算!D24/100,$E15+H$5/10000,100,2,1)</f>
        <v>99.677013266908105</v>
      </c>
      <c r="I15" s="69">
        <f>PRICE(基差試算!$B$8,$C15,基差試算!D24/100,$E15+I$5/10000,100,2,1)</f>
        <v>97.53022543453163</v>
      </c>
      <c r="J15" s="69">
        <f>PRICE(基差試算!$B$8,$C15,基差試算!D24/100,$E15+J$5/10000,100,2,1)</f>
        <v>95.437102687212828</v>
      </c>
      <c r="K15" s="69">
        <f>F15/基差試算!F24</f>
        <v>114.03608837650677</v>
      </c>
      <c r="L15" s="69">
        <f>G15/基差試算!F24</f>
        <v>111.56263377053817</v>
      </c>
      <c r="M15" s="69">
        <f>H15/基差試算!F24</f>
        <v>109.15135048938689</v>
      </c>
      <c r="N15" s="69">
        <f>I15/基差試算!F24</f>
        <v>106.80050967425714</v>
      </c>
      <c r="O15" s="69">
        <f>J15/基差試算!F24</f>
        <v>104.50843483050025</v>
      </c>
      <c r="P15" s="45">
        <f>(F15-基差試算!F24*K$16)*32</f>
        <v>44.938763892661427</v>
      </c>
      <c r="Q15" s="45">
        <f>(G15-基差試算!F24*L$16)*32</f>
        <v>35.86559345394744</v>
      </c>
      <c r="R15" s="45">
        <f>(H15-基差試算!F24*M$16)*32</f>
        <v>27.188927438778137</v>
      </c>
      <c r="S15" s="45">
        <f>(I15-基差試算!F24*N$16)*32</f>
        <v>18.893886539591676</v>
      </c>
      <c r="T15" s="45">
        <f>(J15-基差試算!F24*O$16)*32</f>
        <v>10.966139331443628</v>
      </c>
    </row>
    <row r="16" spans="1:20">
      <c r="B16" s="34" t="s">
        <v>225</v>
      </c>
      <c r="K16" s="70">
        <f>MIN(K8:K15)</f>
        <v>112.49826930987768</v>
      </c>
      <c r="L16" s="70">
        <f>MIN(L8:L15)</f>
        <v>110.33530153725319</v>
      </c>
      <c r="M16" s="70">
        <f>MIN(M8:M15)</f>
        <v>108.22093657955135</v>
      </c>
      <c r="N16" s="70">
        <f>MIN(N8:N15)</f>
        <v>106.15395475270411</v>
      </c>
      <c r="O16" s="70">
        <f>MIN(O8:O15)</f>
        <v>104.13316998806965</v>
      </c>
    </row>
    <row r="17" spans="2:20">
      <c r="B17" s="19" t="s">
        <v>226</v>
      </c>
      <c r="K17" s="48" t="str">
        <f>INDEX($B$8:$B$15,MATCH(MIN(K8:K15),K8:K15,0))</f>
        <v>T 4⅛ 11/30/29</v>
      </c>
      <c r="L17" s="48" t="str">
        <f>INDEX($B$8:$B$15,MATCH(MIN(L8:L15),L8:L15,0))</f>
        <v>T 4⅛ 11/30/29</v>
      </c>
      <c r="M17" s="48" t="str">
        <f>INDEX($B$8:$B$15,MATCH(MIN(M8:M15),M8:M15,0))</f>
        <v>T 4⅛ 11/30/29</v>
      </c>
      <c r="N17" s="48" t="str">
        <f>INDEX($B$8:$B$15,MATCH(MIN(N8:N15),N8:N15,0))</f>
        <v>T 4⅛ 11/30/29</v>
      </c>
      <c r="O17" s="48" t="str">
        <f>INDEX($B$8:$B$15,MATCH(MIN(O8:O15),O8:O15,0))</f>
        <v>T 4⅛ 11/30/29</v>
      </c>
      <c r="P17" s="71" t="str">
        <f>INDEX($B$8:$B$15,MATCH(MIN(K8:K15),K8:K15,0))</f>
        <v>T 4⅛ 11/30/29</v>
      </c>
      <c r="Q17" s="71" t="str">
        <f>INDEX($B$8:$B$15,MATCH(MIN(L8:L15),L8:L15,0))</f>
        <v>T 4⅛ 11/30/29</v>
      </c>
      <c r="R17" s="71" t="str">
        <f>INDEX($B$8:$B$15,MATCH(MIN(M8:M15),M8:M15,0))</f>
        <v>T 4⅛ 11/30/29</v>
      </c>
      <c r="S17" s="71" t="str">
        <f>INDEX($B$8:$B$15,MATCH(MIN(N8:N15),N8:N15,0))</f>
        <v>T 4⅛ 11/30/29</v>
      </c>
      <c r="T17" s="71" t="str">
        <f>INDEX($B$8:$B$15,MATCH(MIN(O8:O15),O8:O15,0))</f>
        <v>T 4⅛ 11/30/29</v>
      </c>
    </row>
    <row r="19" spans="2:20">
      <c r="B19" s="72" t="s">
        <v>227</v>
      </c>
    </row>
    <row r="20" spans="2:20">
      <c r="B20" s="72" t="s">
        <v>228</v>
      </c>
    </row>
    <row r="21" spans="2:20">
      <c r="B21" s="72" t="s">
        <v>229</v>
      </c>
    </row>
    <row r="22" spans="2:20">
      <c r="B22" s="72" t="s">
        <v>230</v>
      </c>
    </row>
  </sheetData>
  <phoneticPr fontId="3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說明</vt:lpstr>
      <vt:lpstr>基差試算</vt:lpstr>
      <vt:lpstr>部位損益</vt:lpstr>
      <vt:lpstr>交割情境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徐嘉蔚</cp:lastModifiedBy>
  <cp:revision>0</cp:revision>
  <dcterms:created xsi:type="dcterms:W3CDTF">2026-07-29T03:07:37Z</dcterms:created>
  <dcterms:modified xsi:type="dcterms:W3CDTF">2026-07-29T03:30:58Z</dcterms:modified>
  <dc:language>en-US</dc:language>
</cp:coreProperties>
</file>