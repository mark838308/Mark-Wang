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369468A3-F46C-4CBB-8569-AB5157D36A18}" xr6:coauthVersionLast="47" xr6:coauthVersionMax="47" xr10:uidLastSave="{00000000-0000-0000-0000-000000000000}"/>
  <bookViews>
    <workbookView xWindow="-96" yWindow="0" windowWidth="41148" windowHeight="16656" firstSheet="1" activeTab="5" xr2:uid="{00000000-000D-0000-FFFF-FFFF00000000}"/>
  </bookViews>
  <sheets>
    <sheet name="Treasury_Holders" sheetId="1" r:id="rId1"/>
    <sheet name="Treasury_Holders (2)" sheetId="2" r:id="rId2"/>
    <sheet name="Treasury_Holders (3)" sheetId="7" r:id="rId3"/>
    <sheet name="Chart3" sheetId="9" r:id="rId4"/>
    <sheet name="Chart3 (2)" sheetId="10" r:id="rId5"/>
    <sheet name="工作表4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84" i="8" l="1"/>
  <c r="W83" i="8"/>
  <c r="W82" i="8"/>
  <c r="V83" i="8"/>
  <c r="V84" i="8"/>
  <c r="V82" i="8"/>
  <c r="C78" i="8"/>
  <c r="T79" i="8"/>
  <c r="T78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5" i="8"/>
  <c r="C79" i="8"/>
  <c r="G79" i="8"/>
  <c r="G80" i="8" s="1"/>
  <c r="C80" i="8" s="1"/>
  <c r="H78" i="8"/>
  <c r="H61" i="8"/>
  <c r="H65" i="8"/>
  <c r="H69" i="8"/>
  <c r="H73" i="8"/>
  <c r="H77" i="8"/>
  <c r="G78" i="8"/>
  <c r="S78" i="8"/>
  <c r="S79" i="8" s="1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X77" i="8" l="1"/>
  <c r="V77" i="8"/>
  <c r="R77" i="8"/>
  <c r="P77" i="8"/>
  <c r="N77" i="8"/>
  <c r="L77" i="8"/>
  <c r="D77" i="8"/>
  <c r="J77" i="8"/>
  <c r="X76" i="8"/>
  <c r="V76" i="8"/>
  <c r="R76" i="8"/>
  <c r="P76" i="8"/>
  <c r="N76" i="8"/>
  <c r="L76" i="8"/>
  <c r="D76" i="8"/>
  <c r="J76" i="8"/>
  <c r="X75" i="8"/>
  <c r="V75" i="8"/>
  <c r="R75" i="8"/>
  <c r="P75" i="8"/>
  <c r="N75" i="8"/>
  <c r="L75" i="8"/>
  <c r="D75" i="8"/>
  <c r="J75" i="8"/>
  <c r="X74" i="8"/>
  <c r="V74" i="8"/>
  <c r="R74" i="8"/>
  <c r="P74" i="8"/>
  <c r="N74" i="8"/>
  <c r="L74" i="8"/>
  <c r="D74" i="8"/>
  <c r="J74" i="8"/>
  <c r="X73" i="8"/>
  <c r="V73" i="8"/>
  <c r="R73" i="8"/>
  <c r="P73" i="8"/>
  <c r="N73" i="8"/>
  <c r="L73" i="8"/>
  <c r="D73" i="8"/>
  <c r="J73" i="8"/>
  <c r="X72" i="8"/>
  <c r="V72" i="8"/>
  <c r="R72" i="8"/>
  <c r="P72" i="8"/>
  <c r="N72" i="8"/>
  <c r="L72" i="8"/>
  <c r="D72" i="8"/>
  <c r="J72" i="8"/>
  <c r="X71" i="8"/>
  <c r="V71" i="8"/>
  <c r="R71" i="8"/>
  <c r="P71" i="8"/>
  <c r="N71" i="8"/>
  <c r="L71" i="8"/>
  <c r="D71" i="8"/>
  <c r="J71" i="8"/>
  <c r="X70" i="8"/>
  <c r="V70" i="8"/>
  <c r="R70" i="8"/>
  <c r="P70" i="8"/>
  <c r="N70" i="8"/>
  <c r="L70" i="8"/>
  <c r="D70" i="8"/>
  <c r="J70" i="8"/>
  <c r="X69" i="8"/>
  <c r="V69" i="8"/>
  <c r="R69" i="8"/>
  <c r="P69" i="8"/>
  <c r="N69" i="8"/>
  <c r="L69" i="8"/>
  <c r="D69" i="8"/>
  <c r="J69" i="8"/>
  <c r="X68" i="8"/>
  <c r="V68" i="8"/>
  <c r="R68" i="8"/>
  <c r="P68" i="8"/>
  <c r="N68" i="8"/>
  <c r="L68" i="8"/>
  <c r="D68" i="8"/>
  <c r="J68" i="8"/>
  <c r="X67" i="8"/>
  <c r="V67" i="8"/>
  <c r="R67" i="8"/>
  <c r="P67" i="8"/>
  <c r="N67" i="8"/>
  <c r="L67" i="8"/>
  <c r="D67" i="8"/>
  <c r="J67" i="8"/>
  <c r="X66" i="8"/>
  <c r="V66" i="8"/>
  <c r="R66" i="8"/>
  <c r="P66" i="8"/>
  <c r="N66" i="8"/>
  <c r="L66" i="8"/>
  <c r="D66" i="8"/>
  <c r="J66" i="8"/>
  <c r="X65" i="8"/>
  <c r="V65" i="8"/>
  <c r="R65" i="8"/>
  <c r="P65" i="8"/>
  <c r="N65" i="8"/>
  <c r="L65" i="8"/>
  <c r="D65" i="8"/>
  <c r="J65" i="8"/>
  <c r="X64" i="8"/>
  <c r="V64" i="8"/>
  <c r="R64" i="8"/>
  <c r="P64" i="8"/>
  <c r="N64" i="8"/>
  <c r="L64" i="8"/>
  <c r="D64" i="8"/>
  <c r="J64" i="8"/>
  <c r="X63" i="8"/>
  <c r="V63" i="8"/>
  <c r="R63" i="8"/>
  <c r="P63" i="8"/>
  <c r="N63" i="8"/>
  <c r="L63" i="8"/>
  <c r="D63" i="8"/>
  <c r="J63" i="8"/>
  <c r="X62" i="8"/>
  <c r="V62" i="8"/>
  <c r="R62" i="8"/>
  <c r="P62" i="8"/>
  <c r="N62" i="8"/>
  <c r="L62" i="8"/>
  <c r="D62" i="8"/>
  <c r="J62" i="8"/>
  <c r="X61" i="8"/>
  <c r="V61" i="8"/>
  <c r="R61" i="8"/>
  <c r="P61" i="8"/>
  <c r="N61" i="8"/>
  <c r="L61" i="8"/>
  <c r="D61" i="8"/>
  <c r="J61" i="8"/>
  <c r="X60" i="8"/>
  <c r="V60" i="8"/>
  <c r="R60" i="8"/>
  <c r="P60" i="8"/>
  <c r="N60" i="8"/>
  <c r="L60" i="8"/>
  <c r="D60" i="8"/>
  <c r="J60" i="8"/>
  <c r="X59" i="8"/>
  <c r="V59" i="8"/>
  <c r="R59" i="8"/>
  <c r="P59" i="8"/>
  <c r="N59" i="8"/>
  <c r="L59" i="8"/>
  <c r="D59" i="8"/>
  <c r="J59" i="8"/>
  <c r="X58" i="8"/>
  <c r="V58" i="8"/>
  <c r="R58" i="8"/>
  <c r="P58" i="8"/>
  <c r="N58" i="8"/>
  <c r="L58" i="8"/>
  <c r="D58" i="8"/>
  <c r="J58" i="8"/>
  <c r="X57" i="8"/>
  <c r="V57" i="8"/>
  <c r="R57" i="8"/>
  <c r="P57" i="8"/>
  <c r="N57" i="8"/>
  <c r="L57" i="8"/>
  <c r="D57" i="8"/>
  <c r="J57" i="8"/>
  <c r="X56" i="8"/>
  <c r="V56" i="8"/>
  <c r="R56" i="8"/>
  <c r="P56" i="8"/>
  <c r="N56" i="8"/>
  <c r="L56" i="8"/>
  <c r="D56" i="8"/>
  <c r="J56" i="8"/>
  <c r="X55" i="8"/>
  <c r="V55" i="8"/>
  <c r="R55" i="8"/>
  <c r="P55" i="8"/>
  <c r="N55" i="8"/>
  <c r="L55" i="8"/>
  <c r="D55" i="8"/>
  <c r="J55" i="8"/>
  <c r="X54" i="8"/>
  <c r="V54" i="8"/>
  <c r="R54" i="8"/>
  <c r="P54" i="8"/>
  <c r="N54" i="8"/>
  <c r="L54" i="8"/>
  <c r="D54" i="8"/>
  <c r="J54" i="8"/>
  <c r="X53" i="8"/>
  <c r="V53" i="8"/>
  <c r="R53" i="8"/>
  <c r="P53" i="8"/>
  <c r="N53" i="8"/>
  <c r="L53" i="8"/>
  <c r="D53" i="8"/>
  <c r="J53" i="8"/>
  <c r="X52" i="8"/>
  <c r="V52" i="8"/>
  <c r="R52" i="8"/>
  <c r="P52" i="8"/>
  <c r="N52" i="8"/>
  <c r="L52" i="8"/>
  <c r="D52" i="8"/>
  <c r="J52" i="8"/>
  <c r="X51" i="8"/>
  <c r="V51" i="8"/>
  <c r="R51" i="8"/>
  <c r="P51" i="8"/>
  <c r="N51" i="8"/>
  <c r="L51" i="8"/>
  <c r="D51" i="8"/>
  <c r="J51" i="8"/>
  <c r="X50" i="8"/>
  <c r="V50" i="8"/>
  <c r="R50" i="8"/>
  <c r="P50" i="8"/>
  <c r="N50" i="8"/>
  <c r="L50" i="8"/>
  <c r="D50" i="8"/>
  <c r="J50" i="8"/>
  <c r="X49" i="8"/>
  <c r="V49" i="8"/>
  <c r="R49" i="8"/>
  <c r="P49" i="8"/>
  <c r="N49" i="8"/>
  <c r="L49" i="8"/>
  <c r="D49" i="8"/>
  <c r="J49" i="8"/>
  <c r="X48" i="8"/>
  <c r="V48" i="8"/>
  <c r="R48" i="8"/>
  <c r="P48" i="8"/>
  <c r="N48" i="8"/>
  <c r="L48" i="8"/>
  <c r="D48" i="8"/>
  <c r="J48" i="8"/>
  <c r="X47" i="8"/>
  <c r="V47" i="8"/>
  <c r="R47" i="8"/>
  <c r="P47" i="8"/>
  <c r="N47" i="8"/>
  <c r="L47" i="8"/>
  <c r="D47" i="8"/>
  <c r="J47" i="8"/>
  <c r="X46" i="8"/>
  <c r="V46" i="8"/>
  <c r="R46" i="8"/>
  <c r="P46" i="8"/>
  <c r="N46" i="8"/>
  <c r="L46" i="8"/>
  <c r="D46" i="8"/>
  <c r="J46" i="8"/>
  <c r="X45" i="8"/>
  <c r="V45" i="8"/>
  <c r="R45" i="8"/>
  <c r="P45" i="8"/>
  <c r="N45" i="8"/>
  <c r="L45" i="8"/>
  <c r="D45" i="8"/>
  <c r="J45" i="8"/>
  <c r="X44" i="8"/>
  <c r="V44" i="8"/>
  <c r="R44" i="8"/>
  <c r="P44" i="8"/>
  <c r="N44" i="8"/>
  <c r="L44" i="8"/>
  <c r="D44" i="8"/>
  <c r="J44" i="8"/>
  <c r="X43" i="8"/>
  <c r="V43" i="8"/>
  <c r="R43" i="8"/>
  <c r="P43" i="8"/>
  <c r="N43" i="8"/>
  <c r="L43" i="8"/>
  <c r="D43" i="8"/>
  <c r="J43" i="8"/>
  <c r="X42" i="8"/>
  <c r="V42" i="8"/>
  <c r="R42" i="8"/>
  <c r="P42" i="8"/>
  <c r="N42" i="8"/>
  <c r="L42" i="8"/>
  <c r="D42" i="8"/>
  <c r="J42" i="8"/>
  <c r="X41" i="8"/>
  <c r="V41" i="8"/>
  <c r="R41" i="8"/>
  <c r="P41" i="8"/>
  <c r="N41" i="8"/>
  <c r="L41" i="8"/>
  <c r="D41" i="8"/>
  <c r="J41" i="8"/>
  <c r="X40" i="8"/>
  <c r="V40" i="8"/>
  <c r="R40" i="8"/>
  <c r="P40" i="8"/>
  <c r="N40" i="8"/>
  <c r="L40" i="8"/>
  <c r="D40" i="8"/>
  <c r="J40" i="8"/>
  <c r="X39" i="8"/>
  <c r="V39" i="8"/>
  <c r="R39" i="8"/>
  <c r="P39" i="8"/>
  <c r="N39" i="8"/>
  <c r="L39" i="8"/>
  <c r="D39" i="8"/>
  <c r="J39" i="8"/>
  <c r="X38" i="8"/>
  <c r="V38" i="8"/>
  <c r="R38" i="8"/>
  <c r="P38" i="8"/>
  <c r="N38" i="8"/>
  <c r="L38" i="8"/>
  <c r="D38" i="8"/>
  <c r="J38" i="8"/>
  <c r="X37" i="8"/>
  <c r="V37" i="8"/>
  <c r="R37" i="8"/>
  <c r="P37" i="8"/>
  <c r="N37" i="8"/>
  <c r="L37" i="8"/>
  <c r="D37" i="8"/>
  <c r="J37" i="8"/>
  <c r="X36" i="8"/>
  <c r="V36" i="8"/>
  <c r="R36" i="8"/>
  <c r="P36" i="8"/>
  <c r="N36" i="8"/>
  <c r="L36" i="8"/>
  <c r="D36" i="8"/>
  <c r="J36" i="8"/>
  <c r="X35" i="8"/>
  <c r="V35" i="8"/>
  <c r="R35" i="8"/>
  <c r="P35" i="8"/>
  <c r="N35" i="8"/>
  <c r="L35" i="8"/>
  <c r="D35" i="8"/>
  <c r="J35" i="8"/>
  <c r="X34" i="8"/>
  <c r="V34" i="8"/>
  <c r="R34" i="8"/>
  <c r="P34" i="8"/>
  <c r="N34" i="8"/>
  <c r="L34" i="8"/>
  <c r="D34" i="8"/>
  <c r="J34" i="8"/>
  <c r="X33" i="8"/>
  <c r="V33" i="8"/>
  <c r="R33" i="8"/>
  <c r="P33" i="8"/>
  <c r="N33" i="8"/>
  <c r="L33" i="8"/>
  <c r="D33" i="8"/>
  <c r="J33" i="8"/>
  <c r="X32" i="8"/>
  <c r="V32" i="8"/>
  <c r="R32" i="8"/>
  <c r="P32" i="8"/>
  <c r="N32" i="8"/>
  <c r="L32" i="8"/>
  <c r="D32" i="8"/>
  <c r="J32" i="8"/>
  <c r="X31" i="8"/>
  <c r="V31" i="8"/>
  <c r="R31" i="8"/>
  <c r="P31" i="8"/>
  <c r="N31" i="8"/>
  <c r="L31" i="8"/>
  <c r="D31" i="8"/>
  <c r="J31" i="8"/>
  <c r="X30" i="8"/>
  <c r="V30" i="8"/>
  <c r="R30" i="8"/>
  <c r="P30" i="8"/>
  <c r="N30" i="8"/>
  <c r="L30" i="8"/>
  <c r="D30" i="8"/>
  <c r="J30" i="8"/>
  <c r="X29" i="8"/>
  <c r="V29" i="8"/>
  <c r="R29" i="8"/>
  <c r="P29" i="8"/>
  <c r="N29" i="8"/>
  <c r="L29" i="8"/>
  <c r="D29" i="8"/>
  <c r="J29" i="8"/>
  <c r="X28" i="8"/>
  <c r="V28" i="8"/>
  <c r="R28" i="8"/>
  <c r="P28" i="8"/>
  <c r="N28" i="8"/>
  <c r="L28" i="8"/>
  <c r="D28" i="8"/>
  <c r="J28" i="8"/>
  <c r="X27" i="8"/>
  <c r="V27" i="8"/>
  <c r="R27" i="8"/>
  <c r="P27" i="8"/>
  <c r="N27" i="8"/>
  <c r="L27" i="8"/>
  <c r="D27" i="8"/>
  <c r="J27" i="8"/>
  <c r="X26" i="8"/>
  <c r="V26" i="8"/>
  <c r="R26" i="8"/>
  <c r="P26" i="8"/>
  <c r="N26" i="8"/>
  <c r="L26" i="8"/>
  <c r="D26" i="8"/>
  <c r="J26" i="8"/>
  <c r="X25" i="8"/>
  <c r="V25" i="8"/>
  <c r="R25" i="8"/>
  <c r="P25" i="8"/>
  <c r="N25" i="8"/>
  <c r="L25" i="8"/>
  <c r="D25" i="8"/>
  <c r="J25" i="8"/>
  <c r="X24" i="8"/>
  <c r="V24" i="8"/>
  <c r="R24" i="8"/>
  <c r="P24" i="8"/>
  <c r="N24" i="8"/>
  <c r="L24" i="8"/>
  <c r="D24" i="8"/>
  <c r="J24" i="8"/>
  <c r="X23" i="8"/>
  <c r="V23" i="8"/>
  <c r="R23" i="8"/>
  <c r="P23" i="8"/>
  <c r="N23" i="8"/>
  <c r="L23" i="8"/>
  <c r="D23" i="8"/>
  <c r="J23" i="8"/>
  <c r="X22" i="8"/>
  <c r="V22" i="8"/>
  <c r="R22" i="8"/>
  <c r="P22" i="8"/>
  <c r="N22" i="8"/>
  <c r="L22" i="8"/>
  <c r="D22" i="8"/>
  <c r="J22" i="8"/>
  <c r="X21" i="8"/>
  <c r="V21" i="8"/>
  <c r="R21" i="8"/>
  <c r="P21" i="8"/>
  <c r="N21" i="8"/>
  <c r="L21" i="8"/>
  <c r="D21" i="8"/>
  <c r="J21" i="8"/>
  <c r="X20" i="8"/>
  <c r="V20" i="8"/>
  <c r="R20" i="8"/>
  <c r="P20" i="8"/>
  <c r="N20" i="8"/>
  <c r="L20" i="8"/>
  <c r="D20" i="8"/>
  <c r="J20" i="8"/>
  <c r="X19" i="8"/>
  <c r="V19" i="8"/>
  <c r="R19" i="8"/>
  <c r="P19" i="8"/>
  <c r="N19" i="8"/>
  <c r="L19" i="8"/>
  <c r="D19" i="8"/>
  <c r="J19" i="8"/>
  <c r="X18" i="8"/>
  <c r="V18" i="8"/>
  <c r="R18" i="8"/>
  <c r="P18" i="8"/>
  <c r="N18" i="8"/>
  <c r="L18" i="8"/>
  <c r="D18" i="8"/>
  <c r="J18" i="8"/>
  <c r="X17" i="8"/>
  <c r="V17" i="8"/>
  <c r="R17" i="8"/>
  <c r="P17" i="8"/>
  <c r="N17" i="8"/>
  <c r="L17" i="8"/>
  <c r="D17" i="8"/>
  <c r="J17" i="8"/>
  <c r="X16" i="8"/>
  <c r="V16" i="8"/>
  <c r="R16" i="8"/>
  <c r="P16" i="8"/>
  <c r="N16" i="8"/>
  <c r="L16" i="8"/>
  <c r="D16" i="8"/>
  <c r="J16" i="8"/>
  <c r="X15" i="8"/>
  <c r="V15" i="8"/>
  <c r="R15" i="8"/>
  <c r="P15" i="8"/>
  <c r="N15" i="8"/>
  <c r="L15" i="8"/>
  <c r="D15" i="8"/>
  <c r="J15" i="8"/>
  <c r="X14" i="8"/>
  <c r="V14" i="8"/>
  <c r="R14" i="8"/>
  <c r="P14" i="8"/>
  <c r="N14" i="8"/>
  <c r="L14" i="8"/>
  <c r="D14" i="8"/>
  <c r="J14" i="8"/>
  <c r="X13" i="8"/>
  <c r="V13" i="8"/>
  <c r="R13" i="8"/>
  <c r="P13" i="8"/>
  <c r="N13" i="8"/>
  <c r="L13" i="8"/>
  <c r="D13" i="8"/>
  <c r="J13" i="8"/>
  <c r="X12" i="8"/>
  <c r="V12" i="8"/>
  <c r="R12" i="8"/>
  <c r="P12" i="8"/>
  <c r="N12" i="8"/>
  <c r="L12" i="8"/>
  <c r="D12" i="8"/>
  <c r="J12" i="8"/>
  <c r="X11" i="8"/>
  <c r="V11" i="8"/>
  <c r="R11" i="8"/>
  <c r="P11" i="8"/>
  <c r="N11" i="8"/>
  <c r="L11" i="8"/>
  <c r="D11" i="8"/>
  <c r="J11" i="8"/>
  <c r="X10" i="8"/>
  <c r="V10" i="8"/>
  <c r="R10" i="8"/>
  <c r="P10" i="8"/>
  <c r="N10" i="8"/>
  <c r="L10" i="8"/>
  <c r="D10" i="8"/>
  <c r="J10" i="8"/>
  <c r="X9" i="8"/>
  <c r="V9" i="8"/>
  <c r="R9" i="8"/>
  <c r="P9" i="8"/>
  <c r="N9" i="8"/>
  <c r="L9" i="8"/>
  <c r="D9" i="8"/>
  <c r="J9" i="8"/>
  <c r="X8" i="8"/>
  <c r="V8" i="8"/>
  <c r="R8" i="8"/>
  <c r="P8" i="8"/>
  <c r="N8" i="8"/>
  <c r="L8" i="8"/>
  <c r="D8" i="8"/>
  <c r="J8" i="8"/>
  <c r="X7" i="8"/>
  <c r="V7" i="8"/>
  <c r="R7" i="8"/>
  <c r="P7" i="8"/>
  <c r="N7" i="8"/>
  <c r="L7" i="8"/>
  <c r="D7" i="8"/>
  <c r="J7" i="8"/>
  <c r="X6" i="8"/>
  <c r="V6" i="8"/>
  <c r="R6" i="8"/>
  <c r="P6" i="8"/>
  <c r="N6" i="8"/>
  <c r="L6" i="8"/>
  <c r="D6" i="8"/>
  <c r="J6" i="8"/>
  <c r="U79" i="7"/>
  <c r="S79" i="7"/>
  <c r="Q79" i="7"/>
  <c r="O79" i="7"/>
  <c r="M79" i="7"/>
  <c r="K79" i="7"/>
  <c r="I79" i="7"/>
  <c r="G79" i="7"/>
  <c r="E79" i="7"/>
  <c r="U78" i="7"/>
  <c r="S78" i="7"/>
  <c r="Q78" i="7"/>
  <c r="O78" i="7"/>
  <c r="M78" i="7"/>
  <c r="K78" i="7"/>
  <c r="I78" i="7"/>
  <c r="G78" i="7"/>
  <c r="E78" i="7"/>
  <c r="U77" i="7"/>
  <c r="S77" i="7"/>
  <c r="Q77" i="7"/>
  <c r="O77" i="7"/>
  <c r="M77" i="7"/>
  <c r="K77" i="7"/>
  <c r="I77" i="7"/>
  <c r="G77" i="7"/>
  <c r="E77" i="7"/>
  <c r="U76" i="7"/>
  <c r="S76" i="7"/>
  <c r="Q76" i="7"/>
  <c r="O76" i="7"/>
  <c r="M76" i="7"/>
  <c r="K76" i="7"/>
  <c r="I76" i="7"/>
  <c r="G76" i="7"/>
  <c r="E76" i="7"/>
  <c r="U75" i="7"/>
  <c r="S75" i="7"/>
  <c r="Q75" i="7"/>
  <c r="O75" i="7"/>
  <c r="M75" i="7"/>
  <c r="K75" i="7"/>
  <c r="I75" i="7"/>
  <c r="G75" i="7"/>
  <c r="E75" i="7"/>
  <c r="U74" i="7"/>
  <c r="S74" i="7"/>
  <c r="Q74" i="7"/>
  <c r="O74" i="7"/>
  <c r="M74" i="7"/>
  <c r="K74" i="7"/>
  <c r="I74" i="7"/>
  <c r="G74" i="7"/>
  <c r="E74" i="7"/>
  <c r="U73" i="7"/>
  <c r="S73" i="7"/>
  <c r="Q73" i="7"/>
  <c r="O73" i="7"/>
  <c r="M73" i="7"/>
  <c r="K73" i="7"/>
  <c r="I73" i="7"/>
  <c r="G73" i="7"/>
  <c r="E73" i="7"/>
  <c r="U72" i="7"/>
  <c r="S72" i="7"/>
  <c r="Q72" i="7"/>
  <c r="O72" i="7"/>
  <c r="M72" i="7"/>
  <c r="K72" i="7"/>
  <c r="I72" i="7"/>
  <c r="G72" i="7"/>
  <c r="E72" i="7"/>
  <c r="U71" i="7"/>
  <c r="S71" i="7"/>
  <c r="Q71" i="7"/>
  <c r="O71" i="7"/>
  <c r="M71" i="7"/>
  <c r="K71" i="7"/>
  <c r="I71" i="7"/>
  <c r="G71" i="7"/>
  <c r="E71" i="7"/>
  <c r="U70" i="7"/>
  <c r="S70" i="7"/>
  <c r="Q70" i="7"/>
  <c r="O70" i="7"/>
  <c r="M70" i="7"/>
  <c r="K70" i="7"/>
  <c r="I70" i="7"/>
  <c r="G70" i="7"/>
  <c r="E70" i="7"/>
  <c r="U69" i="7"/>
  <c r="S69" i="7"/>
  <c r="Q69" i="7"/>
  <c r="O69" i="7"/>
  <c r="M69" i="7"/>
  <c r="K69" i="7"/>
  <c r="I69" i="7"/>
  <c r="G69" i="7"/>
  <c r="E69" i="7"/>
  <c r="U68" i="7"/>
  <c r="S68" i="7"/>
  <c r="Q68" i="7"/>
  <c r="O68" i="7"/>
  <c r="M68" i="7"/>
  <c r="K68" i="7"/>
  <c r="I68" i="7"/>
  <c r="G68" i="7"/>
  <c r="E68" i="7"/>
  <c r="U67" i="7"/>
  <c r="S67" i="7"/>
  <c r="Q67" i="7"/>
  <c r="O67" i="7"/>
  <c r="M67" i="7"/>
  <c r="K67" i="7"/>
  <c r="I67" i="7"/>
  <c r="G67" i="7"/>
  <c r="E67" i="7"/>
  <c r="U66" i="7"/>
  <c r="S66" i="7"/>
  <c r="Q66" i="7"/>
  <c r="O66" i="7"/>
  <c r="M66" i="7"/>
  <c r="K66" i="7"/>
  <c r="I66" i="7"/>
  <c r="G66" i="7"/>
  <c r="E66" i="7"/>
  <c r="U65" i="7"/>
  <c r="S65" i="7"/>
  <c r="Q65" i="7"/>
  <c r="O65" i="7"/>
  <c r="M65" i="7"/>
  <c r="K65" i="7"/>
  <c r="I65" i="7"/>
  <c r="G65" i="7"/>
  <c r="E65" i="7"/>
  <c r="U64" i="7"/>
  <c r="S64" i="7"/>
  <c r="Q64" i="7"/>
  <c r="O64" i="7"/>
  <c r="M64" i="7"/>
  <c r="K64" i="7"/>
  <c r="I64" i="7"/>
  <c r="G64" i="7"/>
  <c r="E64" i="7"/>
  <c r="U63" i="7"/>
  <c r="S63" i="7"/>
  <c r="Q63" i="7"/>
  <c r="O63" i="7"/>
  <c r="M63" i="7"/>
  <c r="K63" i="7"/>
  <c r="I63" i="7"/>
  <c r="G63" i="7"/>
  <c r="E63" i="7"/>
  <c r="U62" i="7"/>
  <c r="S62" i="7"/>
  <c r="Q62" i="7"/>
  <c r="O62" i="7"/>
  <c r="M62" i="7"/>
  <c r="K62" i="7"/>
  <c r="I62" i="7"/>
  <c r="G62" i="7"/>
  <c r="E62" i="7"/>
  <c r="U61" i="7"/>
  <c r="S61" i="7"/>
  <c r="Q61" i="7"/>
  <c r="O61" i="7"/>
  <c r="M61" i="7"/>
  <c r="K61" i="7"/>
  <c r="I61" i="7"/>
  <c r="G61" i="7"/>
  <c r="E61" i="7"/>
  <c r="U60" i="7"/>
  <c r="S60" i="7"/>
  <c r="Q60" i="7"/>
  <c r="O60" i="7"/>
  <c r="M60" i="7"/>
  <c r="K60" i="7"/>
  <c r="I60" i="7"/>
  <c r="G60" i="7"/>
  <c r="E60" i="7"/>
  <c r="U59" i="7"/>
  <c r="S59" i="7"/>
  <c r="Q59" i="7"/>
  <c r="O59" i="7"/>
  <c r="M59" i="7"/>
  <c r="K59" i="7"/>
  <c r="I59" i="7"/>
  <c r="G59" i="7"/>
  <c r="E59" i="7"/>
  <c r="U58" i="7"/>
  <c r="S58" i="7"/>
  <c r="Q58" i="7"/>
  <c r="O58" i="7"/>
  <c r="M58" i="7"/>
  <c r="K58" i="7"/>
  <c r="I58" i="7"/>
  <c r="G58" i="7"/>
  <c r="E58" i="7"/>
  <c r="U57" i="7"/>
  <c r="S57" i="7"/>
  <c r="Q57" i="7"/>
  <c r="O57" i="7"/>
  <c r="M57" i="7"/>
  <c r="K57" i="7"/>
  <c r="I57" i="7"/>
  <c r="G57" i="7"/>
  <c r="E57" i="7"/>
  <c r="U56" i="7"/>
  <c r="S56" i="7"/>
  <c r="Q56" i="7"/>
  <c r="O56" i="7"/>
  <c r="M56" i="7"/>
  <c r="K56" i="7"/>
  <c r="I56" i="7"/>
  <c r="G56" i="7"/>
  <c r="E56" i="7"/>
  <c r="U55" i="7"/>
  <c r="S55" i="7"/>
  <c r="Q55" i="7"/>
  <c r="O55" i="7"/>
  <c r="M55" i="7"/>
  <c r="K55" i="7"/>
  <c r="I55" i="7"/>
  <c r="G55" i="7"/>
  <c r="E55" i="7"/>
  <c r="U54" i="7"/>
  <c r="S54" i="7"/>
  <c r="Q54" i="7"/>
  <c r="O54" i="7"/>
  <c r="M54" i="7"/>
  <c r="K54" i="7"/>
  <c r="I54" i="7"/>
  <c r="G54" i="7"/>
  <c r="E54" i="7"/>
  <c r="U53" i="7"/>
  <c r="S53" i="7"/>
  <c r="Q53" i="7"/>
  <c r="O53" i="7"/>
  <c r="M53" i="7"/>
  <c r="K53" i="7"/>
  <c r="I53" i="7"/>
  <c r="G53" i="7"/>
  <c r="E53" i="7"/>
  <c r="U52" i="7"/>
  <c r="S52" i="7"/>
  <c r="Q52" i="7"/>
  <c r="O52" i="7"/>
  <c r="M52" i="7"/>
  <c r="K52" i="7"/>
  <c r="I52" i="7"/>
  <c r="G52" i="7"/>
  <c r="E52" i="7"/>
  <c r="U51" i="7"/>
  <c r="S51" i="7"/>
  <c r="Q51" i="7"/>
  <c r="O51" i="7"/>
  <c r="M51" i="7"/>
  <c r="K51" i="7"/>
  <c r="I51" i="7"/>
  <c r="G51" i="7"/>
  <c r="E51" i="7"/>
  <c r="U50" i="7"/>
  <c r="S50" i="7"/>
  <c r="Q50" i="7"/>
  <c r="O50" i="7"/>
  <c r="M50" i="7"/>
  <c r="K50" i="7"/>
  <c r="I50" i="7"/>
  <c r="G50" i="7"/>
  <c r="E50" i="7"/>
  <c r="U49" i="7"/>
  <c r="S49" i="7"/>
  <c r="Q49" i="7"/>
  <c r="O49" i="7"/>
  <c r="M49" i="7"/>
  <c r="K49" i="7"/>
  <c r="I49" i="7"/>
  <c r="G49" i="7"/>
  <c r="E49" i="7"/>
  <c r="U48" i="7"/>
  <c r="S48" i="7"/>
  <c r="Q48" i="7"/>
  <c r="O48" i="7"/>
  <c r="M48" i="7"/>
  <c r="K48" i="7"/>
  <c r="I48" i="7"/>
  <c r="G48" i="7"/>
  <c r="E48" i="7"/>
  <c r="U47" i="7"/>
  <c r="S47" i="7"/>
  <c r="Q47" i="7"/>
  <c r="O47" i="7"/>
  <c r="M47" i="7"/>
  <c r="K47" i="7"/>
  <c r="I47" i="7"/>
  <c r="G47" i="7"/>
  <c r="E47" i="7"/>
  <c r="U46" i="7"/>
  <c r="S46" i="7"/>
  <c r="Q46" i="7"/>
  <c r="O46" i="7"/>
  <c r="M46" i="7"/>
  <c r="K46" i="7"/>
  <c r="I46" i="7"/>
  <c r="G46" i="7"/>
  <c r="E46" i="7"/>
  <c r="U45" i="7"/>
  <c r="S45" i="7"/>
  <c r="Q45" i="7"/>
  <c r="O45" i="7"/>
  <c r="M45" i="7"/>
  <c r="K45" i="7"/>
  <c r="I45" i="7"/>
  <c r="G45" i="7"/>
  <c r="E45" i="7"/>
  <c r="U44" i="7"/>
  <c r="S44" i="7"/>
  <c r="Q44" i="7"/>
  <c r="O44" i="7"/>
  <c r="M44" i="7"/>
  <c r="K44" i="7"/>
  <c r="I44" i="7"/>
  <c r="G44" i="7"/>
  <c r="E44" i="7"/>
  <c r="U43" i="7"/>
  <c r="S43" i="7"/>
  <c r="Q43" i="7"/>
  <c r="O43" i="7"/>
  <c r="M43" i="7"/>
  <c r="K43" i="7"/>
  <c r="I43" i="7"/>
  <c r="G43" i="7"/>
  <c r="E43" i="7"/>
  <c r="U42" i="7"/>
  <c r="S42" i="7"/>
  <c r="Q42" i="7"/>
  <c r="O42" i="7"/>
  <c r="M42" i="7"/>
  <c r="K42" i="7"/>
  <c r="I42" i="7"/>
  <c r="G42" i="7"/>
  <c r="E42" i="7"/>
  <c r="U41" i="7"/>
  <c r="S41" i="7"/>
  <c r="Q41" i="7"/>
  <c r="O41" i="7"/>
  <c r="M41" i="7"/>
  <c r="K41" i="7"/>
  <c r="I41" i="7"/>
  <c r="G41" i="7"/>
  <c r="E41" i="7"/>
  <c r="U40" i="7"/>
  <c r="S40" i="7"/>
  <c r="Q40" i="7"/>
  <c r="O40" i="7"/>
  <c r="M40" i="7"/>
  <c r="K40" i="7"/>
  <c r="I40" i="7"/>
  <c r="G40" i="7"/>
  <c r="E40" i="7"/>
  <c r="U39" i="7"/>
  <c r="S39" i="7"/>
  <c r="Q39" i="7"/>
  <c r="O39" i="7"/>
  <c r="M39" i="7"/>
  <c r="K39" i="7"/>
  <c r="I39" i="7"/>
  <c r="G39" i="7"/>
  <c r="E39" i="7"/>
  <c r="U38" i="7"/>
  <c r="S38" i="7"/>
  <c r="Q38" i="7"/>
  <c r="O38" i="7"/>
  <c r="M38" i="7"/>
  <c r="K38" i="7"/>
  <c r="I38" i="7"/>
  <c r="G38" i="7"/>
  <c r="E38" i="7"/>
  <c r="U37" i="7"/>
  <c r="S37" i="7"/>
  <c r="Q37" i="7"/>
  <c r="O37" i="7"/>
  <c r="M37" i="7"/>
  <c r="K37" i="7"/>
  <c r="I37" i="7"/>
  <c r="G37" i="7"/>
  <c r="E37" i="7"/>
  <c r="U36" i="7"/>
  <c r="S36" i="7"/>
  <c r="Q36" i="7"/>
  <c r="O36" i="7"/>
  <c r="M36" i="7"/>
  <c r="K36" i="7"/>
  <c r="I36" i="7"/>
  <c r="G36" i="7"/>
  <c r="E36" i="7"/>
  <c r="U35" i="7"/>
  <c r="S35" i="7"/>
  <c r="Q35" i="7"/>
  <c r="O35" i="7"/>
  <c r="M35" i="7"/>
  <c r="K35" i="7"/>
  <c r="I35" i="7"/>
  <c r="G35" i="7"/>
  <c r="E35" i="7"/>
  <c r="U34" i="7"/>
  <c r="S34" i="7"/>
  <c r="Q34" i="7"/>
  <c r="O34" i="7"/>
  <c r="M34" i="7"/>
  <c r="K34" i="7"/>
  <c r="I34" i="7"/>
  <c r="G34" i="7"/>
  <c r="E34" i="7"/>
  <c r="U33" i="7"/>
  <c r="S33" i="7"/>
  <c r="Q33" i="7"/>
  <c r="O33" i="7"/>
  <c r="M33" i="7"/>
  <c r="K33" i="7"/>
  <c r="I33" i="7"/>
  <c r="G33" i="7"/>
  <c r="E33" i="7"/>
  <c r="U32" i="7"/>
  <c r="S32" i="7"/>
  <c r="Q32" i="7"/>
  <c r="O32" i="7"/>
  <c r="M32" i="7"/>
  <c r="K32" i="7"/>
  <c r="I32" i="7"/>
  <c r="G32" i="7"/>
  <c r="E32" i="7"/>
  <c r="U31" i="7"/>
  <c r="S31" i="7"/>
  <c r="Q31" i="7"/>
  <c r="O31" i="7"/>
  <c r="M31" i="7"/>
  <c r="K31" i="7"/>
  <c r="I31" i="7"/>
  <c r="G31" i="7"/>
  <c r="E31" i="7"/>
  <c r="U30" i="7"/>
  <c r="S30" i="7"/>
  <c r="Q30" i="7"/>
  <c r="O30" i="7"/>
  <c r="M30" i="7"/>
  <c r="K30" i="7"/>
  <c r="I30" i="7"/>
  <c r="G30" i="7"/>
  <c r="E30" i="7"/>
  <c r="U29" i="7"/>
  <c r="S29" i="7"/>
  <c r="Q29" i="7"/>
  <c r="O29" i="7"/>
  <c r="M29" i="7"/>
  <c r="K29" i="7"/>
  <c r="I29" i="7"/>
  <c r="G29" i="7"/>
  <c r="E29" i="7"/>
  <c r="U28" i="7"/>
  <c r="S28" i="7"/>
  <c r="Q28" i="7"/>
  <c r="O28" i="7"/>
  <c r="M28" i="7"/>
  <c r="K28" i="7"/>
  <c r="I28" i="7"/>
  <c r="G28" i="7"/>
  <c r="E28" i="7"/>
  <c r="U27" i="7"/>
  <c r="S27" i="7"/>
  <c r="Q27" i="7"/>
  <c r="O27" i="7"/>
  <c r="M27" i="7"/>
  <c r="K27" i="7"/>
  <c r="I27" i="7"/>
  <c r="G27" i="7"/>
  <c r="E27" i="7"/>
  <c r="U26" i="7"/>
  <c r="S26" i="7"/>
  <c r="Q26" i="7"/>
  <c r="O26" i="7"/>
  <c r="M26" i="7"/>
  <c r="K26" i="7"/>
  <c r="I26" i="7"/>
  <c r="G26" i="7"/>
  <c r="E26" i="7"/>
  <c r="U25" i="7"/>
  <c r="S25" i="7"/>
  <c r="Q25" i="7"/>
  <c r="O25" i="7"/>
  <c r="M25" i="7"/>
  <c r="K25" i="7"/>
  <c r="I25" i="7"/>
  <c r="G25" i="7"/>
  <c r="E25" i="7"/>
  <c r="U24" i="7"/>
  <c r="S24" i="7"/>
  <c r="Q24" i="7"/>
  <c r="O24" i="7"/>
  <c r="M24" i="7"/>
  <c r="K24" i="7"/>
  <c r="I24" i="7"/>
  <c r="G24" i="7"/>
  <c r="E24" i="7"/>
  <c r="U23" i="7"/>
  <c r="S23" i="7"/>
  <c r="Q23" i="7"/>
  <c r="O23" i="7"/>
  <c r="M23" i="7"/>
  <c r="K23" i="7"/>
  <c r="I23" i="7"/>
  <c r="G23" i="7"/>
  <c r="E23" i="7"/>
  <c r="U22" i="7"/>
  <c r="S22" i="7"/>
  <c r="Q22" i="7"/>
  <c r="O22" i="7"/>
  <c r="M22" i="7"/>
  <c r="K22" i="7"/>
  <c r="I22" i="7"/>
  <c r="G22" i="7"/>
  <c r="E22" i="7"/>
  <c r="U21" i="7"/>
  <c r="S21" i="7"/>
  <c r="Q21" i="7"/>
  <c r="O21" i="7"/>
  <c r="M21" i="7"/>
  <c r="K21" i="7"/>
  <c r="I21" i="7"/>
  <c r="G21" i="7"/>
  <c r="E21" i="7"/>
  <c r="U20" i="7"/>
  <c r="S20" i="7"/>
  <c r="Q20" i="7"/>
  <c r="O20" i="7"/>
  <c r="M20" i="7"/>
  <c r="K20" i="7"/>
  <c r="I20" i="7"/>
  <c r="G20" i="7"/>
  <c r="E20" i="7"/>
  <c r="U19" i="7"/>
  <c r="S19" i="7"/>
  <c r="Q19" i="7"/>
  <c r="O19" i="7"/>
  <c r="M19" i="7"/>
  <c r="K19" i="7"/>
  <c r="I19" i="7"/>
  <c r="G19" i="7"/>
  <c r="E19" i="7"/>
  <c r="U18" i="7"/>
  <c r="S18" i="7"/>
  <c r="Q18" i="7"/>
  <c r="O18" i="7"/>
  <c r="M18" i="7"/>
  <c r="K18" i="7"/>
  <c r="I18" i="7"/>
  <c r="G18" i="7"/>
  <c r="E18" i="7"/>
  <c r="U17" i="7"/>
  <c r="S17" i="7"/>
  <c r="Q17" i="7"/>
  <c r="O17" i="7"/>
  <c r="M17" i="7"/>
  <c r="K17" i="7"/>
  <c r="I17" i="7"/>
  <c r="G17" i="7"/>
  <c r="E17" i="7"/>
  <c r="U16" i="7"/>
  <c r="S16" i="7"/>
  <c r="Q16" i="7"/>
  <c r="O16" i="7"/>
  <c r="M16" i="7"/>
  <c r="K16" i="7"/>
  <c r="I16" i="7"/>
  <c r="G16" i="7"/>
  <c r="E16" i="7"/>
  <c r="U15" i="7"/>
  <c r="S15" i="7"/>
  <c r="Q15" i="7"/>
  <c r="O15" i="7"/>
  <c r="M15" i="7"/>
  <c r="K15" i="7"/>
  <c r="I15" i="7"/>
  <c r="G15" i="7"/>
  <c r="E15" i="7"/>
  <c r="U14" i="7"/>
  <c r="S14" i="7"/>
  <c r="Q14" i="7"/>
  <c r="O14" i="7"/>
  <c r="M14" i="7"/>
  <c r="K14" i="7"/>
  <c r="I14" i="7"/>
  <c r="G14" i="7"/>
  <c r="E14" i="7"/>
  <c r="U13" i="7"/>
  <c r="S13" i="7"/>
  <c r="Q13" i="7"/>
  <c r="O13" i="7"/>
  <c r="M13" i="7"/>
  <c r="K13" i="7"/>
  <c r="I13" i="7"/>
  <c r="G13" i="7"/>
  <c r="E13" i="7"/>
  <c r="U12" i="7"/>
  <c r="S12" i="7"/>
  <c r="Q12" i="7"/>
  <c r="O12" i="7"/>
  <c r="M12" i="7"/>
  <c r="K12" i="7"/>
  <c r="I12" i="7"/>
  <c r="G12" i="7"/>
  <c r="E12" i="7"/>
  <c r="U11" i="7"/>
  <c r="S11" i="7"/>
  <c r="Q11" i="7"/>
  <c r="O11" i="7"/>
  <c r="M11" i="7"/>
  <c r="K11" i="7"/>
  <c r="I11" i="7"/>
  <c r="G11" i="7"/>
  <c r="E11" i="7"/>
  <c r="U10" i="7"/>
  <c r="S10" i="7"/>
  <c r="Q10" i="7"/>
  <c r="O10" i="7"/>
  <c r="M10" i="7"/>
  <c r="K10" i="7"/>
  <c r="I10" i="7"/>
  <c r="G10" i="7"/>
  <c r="E10" i="7"/>
  <c r="U9" i="7"/>
  <c r="S9" i="7"/>
  <c r="Q9" i="7"/>
  <c r="O9" i="7"/>
  <c r="M9" i="7"/>
  <c r="K9" i="7"/>
  <c r="I9" i="7"/>
  <c r="G9" i="7"/>
  <c r="E9" i="7"/>
  <c r="U8" i="7"/>
  <c r="S8" i="7"/>
  <c r="Q8" i="7"/>
  <c r="O8" i="7"/>
  <c r="M8" i="7"/>
  <c r="K8" i="7"/>
  <c r="I8" i="7"/>
  <c r="G8" i="7"/>
  <c r="E8" i="7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U79" i="2"/>
  <c r="S79" i="2"/>
  <c r="Q79" i="2"/>
  <c r="O79" i="2"/>
  <c r="M79" i="2"/>
  <c r="K79" i="2"/>
  <c r="I79" i="2"/>
  <c r="E79" i="2"/>
  <c r="U78" i="2"/>
  <c r="S78" i="2"/>
  <c r="Q78" i="2"/>
  <c r="O78" i="2"/>
  <c r="M78" i="2"/>
  <c r="K78" i="2"/>
  <c r="I78" i="2"/>
  <c r="E78" i="2"/>
  <c r="U77" i="2"/>
  <c r="S77" i="2"/>
  <c r="Q77" i="2"/>
  <c r="O77" i="2"/>
  <c r="M77" i="2"/>
  <c r="K77" i="2"/>
  <c r="I77" i="2"/>
  <c r="E77" i="2"/>
  <c r="U76" i="2"/>
  <c r="S76" i="2"/>
  <c r="Q76" i="2"/>
  <c r="O76" i="2"/>
  <c r="M76" i="2"/>
  <c r="K76" i="2"/>
  <c r="I76" i="2"/>
  <c r="E76" i="2"/>
  <c r="U75" i="2"/>
  <c r="S75" i="2"/>
  <c r="Q75" i="2"/>
  <c r="O75" i="2"/>
  <c r="M75" i="2"/>
  <c r="K75" i="2"/>
  <c r="I75" i="2"/>
  <c r="E75" i="2"/>
  <c r="U74" i="2"/>
  <c r="S74" i="2"/>
  <c r="Q74" i="2"/>
  <c r="O74" i="2"/>
  <c r="M74" i="2"/>
  <c r="K74" i="2"/>
  <c r="I74" i="2"/>
  <c r="E74" i="2"/>
  <c r="U73" i="2"/>
  <c r="S73" i="2"/>
  <c r="Q73" i="2"/>
  <c r="O73" i="2"/>
  <c r="M73" i="2"/>
  <c r="K73" i="2"/>
  <c r="I73" i="2"/>
  <c r="E73" i="2"/>
  <c r="U72" i="2"/>
  <c r="S72" i="2"/>
  <c r="Q72" i="2"/>
  <c r="O72" i="2"/>
  <c r="M72" i="2"/>
  <c r="K72" i="2"/>
  <c r="I72" i="2"/>
  <c r="E72" i="2"/>
  <c r="U71" i="2"/>
  <c r="S71" i="2"/>
  <c r="Q71" i="2"/>
  <c r="O71" i="2"/>
  <c r="M71" i="2"/>
  <c r="K71" i="2"/>
  <c r="I71" i="2"/>
  <c r="E71" i="2"/>
  <c r="U70" i="2"/>
  <c r="S70" i="2"/>
  <c r="Q70" i="2"/>
  <c r="O70" i="2"/>
  <c r="M70" i="2"/>
  <c r="K70" i="2"/>
  <c r="I70" i="2"/>
  <c r="E70" i="2"/>
  <c r="U69" i="2"/>
  <c r="S69" i="2"/>
  <c r="Q69" i="2"/>
  <c r="O69" i="2"/>
  <c r="M69" i="2"/>
  <c r="K69" i="2"/>
  <c r="I69" i="2"/>
  <c r="E69" i="2"/>
  <c r="U68" i="2"/>
  <c r="S68" i="2"/>
  <c r="Q68" i="2"/>
  <c r="O68" i="2"/>
  <c r="M68" i="2"/>
  <c r="K68" i="2"/>
  <c r="I68" i="2"/>
  <c r="E68" i="2"/>
  <c r="U67" i="2"/>
  <c r="S67" i="2"/>
  <c r="Q67" i="2"/>
  <c r="O67" i="2"/>
  <c r="M67" i="2"/>
  <c r="K67" i="2"/>
  <c r="I67" i="2"/>
  <c r="E67" i="2"/>
  <c r="U66" i="2"/>
  <c r="S66" i="2"/>
  <c r="Q66" i="2"/>
  <c r="O66" i="2"/>
  <c r="M66" i="2"/>
  <c r="K66" i="2"/>
  <c r="I66" i="2"/>
  <c r="E66" i="2"/>
  <c r="U65" i="2"/>
  <c r="S65" i="2"/>
  <c r="Q65" i="2"/>
  <c r="O65" i="2"/>
  <c r="M65" i="2"/>
  <c r="K65" i="2"/>
  <c r="I65" i="2"/>
  <c r="E65" i="2"/>
  <c r="U64" i="2"/>
  <c r="S64" i="2"/>
  <c r="Q64" i="2"/>
  <c r="O64" i="2"/>
  <c r="M64" i="2"/>
  <c r="K64" i="2"/>
  <c r="I64" i="2"/>
  <c r="E64" i="2"/>
  <c r="U63" i="2"/>
  <c r="S63" i="2"/>
  <c r="Q63" i="2"/>
  <c r="O63" i="2"/>
  <c r="M63" i="2"/>
  <c r="K63" i="2"/>
  <c r="I63" i="2"/>
  <c r="E63" i="2"/>
  <c r="U62" i="2"/>
  <c r="S62" i="2"/>
  <c r="Q62" i="2"/>
  <c r="O62" i="2"/>
  <c r="M62" i="2"/>
  <c r="K62" i="2"/>
  <c r="I62" i="2"/>
  <c r="E62" i="2"/>
  <c r="U61" i="2"/>
  <c r="S61" i="2"/>
  <c r="Q61" i="2"/>
  <c r="O61" i="2"/>
  <c r="M61" i="2"/>
  <c r="K61" i="2"/>
  <c r="I61" i="2"/>
  <c r="E61" i="2"/>
  <c r="U60" i="2"/>
  <c r="S60" i="2"/>
  <c r="Q60" i="2"/>
  <c r="O60" i="2"/>
  <c r="M60" i="2"/>
  <c r="K60" i="2"/>
  <c r="I60" i="2"/>
  <c r="E60" i="2"/>
  <c r="U59" i="2"/>
  <c r="S59" i="2"/>
  <c r="Q59" i="2"/>
  <c r="O59" i="2"/>
  <c r="M59" i="2"/>
  <c r="K59" i="2"/>
  <c r="I59" i="2"/>
  <c r="E59" i="2"/>
  <c r="U58" i="2"/>
  <c r="S58" i="2"/>
  <c r="Q58" i="2"/>
  <c r="O58" i="2"/>
  <c r="M58" i="2"/>
  <c r="K58" i="2"/>
  <c r="I58" i="2"/>
  <c r="E58" i="2"/>
  <c r="U57" i="2"/>
  <c r="S57" i="2"/>
  <c r="Q57" i="2"/>
  <c r="O57" i="2"/>
  <c r="M57" i="2"/>
  <c r="K57" i="2"/>
  <c r="I57" i="2"/>
  <c r="E57" i="2"/>
  <c r="U56" i="2"/>
  <c r="S56" i="2"/>
  <c r="Q56" i="2"/>
  <c r="O56" i="2"/>
  <c r="M56" i="2"/>
  <c r="K56" i="2"/>
  <c r="I56" i="2"/>
  <c r="E56" i="2"/>
  <c r="U55" i="2"/>
  <c r="S55" i="2"/>
  <c r="Q55" i="2"/>
  <c r="O55" i="2"/>
  <c r="M55" i="2"/>
  <c r="K55" i="2"/>
  <c r="I55" i="2"/>
  <c r="E55" i="2"/>
  <c r="U54" i="2"/>
  <c r="S54" i="2"/>
  <c r="Q54" i="2"/>
  <c r="O54" i="2"/>
  <c r="M54" i="2"/>
  <c r="K54" i="2"/>
  <c r="I54" i="2"/>
  <c r="E54" i="2"/>
  <c r="U53" i="2"/>
  <c r="S53" i="2"/>
  <c r="Q53" i="2"/>
  <c r="O53" i="2"/>
  <c r="M53" i="2"/>
  <c r="K53" i="2"/>
  <c r="I53" i="2"/>
  <c r="E53" i="2"/>
  <c r="U52" i="2"/>
  <c r="S52" i="2"/>
  <c r="Q52" i="2"/>
  <c r="O52" i="2"/>
  <c r="M52" i="2"/>
  <c r="K52" i="2"/>
  <c r="I52" i="2"/>
  <c r="E52" i="2"/>
  <c r="U51" i="2"/>
  <c r="S51" i="2"/>
  <c r="Q51" i="2"/>
  <c r="O51" i="2"/>
  <c r="M51" i="2"/>
  <c r="K51" i="2"/>
  <c r="I51" i="2"/>
  <c r="E51" i="2"/>
  <c r="U50" i="2"/>
  <c r="S50" i="2"/>
  <c r="Q50" i="2"/>
  <c r="O50" i="2"/>
  <c r="M50" i="2"/>
  <c r="K50" i="2"/>
  <c r="I50" i="2"/>
  <c r="E50" i="2"/>
  <c r="U49" i="2"/>
  <c r="S49" i="2"/>
  <c r="Q49" i="2"/>
  <c r="O49" i="2"/>
  <c r="M49" i="2"/>
  <c r="K49" i="2"/>
  <c r="I49" i="2"/>
  <c r="E49" i="2"/>
  <c r="U48" i="2"/>
  <c r="S48" i="2"/>
  <c r="Q48" i="2"/>
  <c r="O48" i="2"/>
  <c r="M48" i="2"/>
  <c r="K48" i="2"/>
  <c r="I48" i="2"/>
  <c r="E48" i="2"/>
  <c r="U47" i="2"/>
  <c r="S47" i="2"/>
  <c r="Q47" i="2"/>
  <c r="O47" i="2"/>
  <c r="M47" i="2"/>
  <c r="K47" i="2"/>
  <c r="I47" i="2"/>
  <c r="E47" i="2"/>
  <c r="U46" i="2"/>
  <c r="S46" i="2"/>
  <c r="Q46" i="2"/>
  <c r="O46" i="2"/>
  <c r="M46" i="2"/>
  <c r="K46" i="2"/>
  <c r="I46" i="2"/>
  <c r="E46" i="2"/>
  <c r="U45" i="2"/>
  <c r="S45" i="2"/>
  <c r="Q45" i="2"/>
  <c r="O45" i="2"/>
  <c r="M45" i="2"/>
  <c r="K45" i="2"/>
  <c r="I45" i="2"/>
  <c r="E45" i="2"/>
  <c r="U44" i="2"/>
  <c r="S44" i="2"/>
  <c r="Q44" i="2"/>
  <c r="O44" i="2"/>
  <c r="M44" i="2"/>
  <c r="K44" i="2"/>
  <c r="I44" i="2"/>
  <c r="E44" i="2"/>
  <c r="U43" i="2"/>
  <c r="S43" i="2"/>
  <c r="Q43" i="2"/>
  <c r="O43" i="2"/>
  <c r="M43" i="2"/>
  <c r="K43" i="2"/>
  <c r="I43" i="2"/>
  <c r="E43" i="2"/>
  <c r="U42" i="2"/>
  <c r="S42" i="2"/>
  <c r="Q42" i="2"/>
  <c r="O42" i="2"/>
  <c r="M42" i="2"/>
  <c r="K42" i="2"/>
  <c r="I42" i="2"/>
  <c r="E42" i="2"/>
  <c r="U41" i="2"/>
  <c r="S41" i="2"/>
  <c r="Q41" i="2"/>
  <c r="O41" i="2"/>
  <c r="M41" i="2"/>
  <c r="K41" i="2"/>
  <c r="I41" i="2"/>
  <c r="E41" i="2"/>
  <c r="U40" i="2"/>
  <c r="S40" i="2"/>
  <c r="Q40" i="2"/>
  <c r="O40" i="2"/>
  <c r="M40" i="2"/>
  <c r="K40" i="2"/>
  <c r="I40" i="2"/>
  <c r="E40" i="2"/>
  <c r="U39" i="2"/>
  <c r="S39" i="2"/>
  <c r="Q39" i="2"/>
  <c r="O39" i="2"/>
  <c r="M39" i="2"/>
  <c r="K39" i="2"/>
  <c r="I39" i="2"/>
  <c r="E39" i="2"/>
  <c r="U38" i="2"/>
  <c r="S38" i="2"/>
  <c r="Q38" i="2"/>
  <c r="O38" i="2"/>
  <c r="M38" i="2"/>
  <c r="K38" i="2"/>
  <c r="I38" i="2"/>
  <c r="E38" i="2"/>
  <c r="U37" i="2"/>
  <c r="S37" i="2"/>
  <c r="Q37" i="2"/>
  <c r="O37" i="2"/>
  <c r="M37" i="2"/>
  <c r="K37" i="2"/>
  <c r="I37" i="2"/>
  <c r="E37" i="2"/>
  <c r="U36" i="2"/>
  <c r="S36" i="2"/>
  <c r="Q36" i="2"/>
  <c r="O36" i="2"/>
  <c r="M36" i="2"/>
  <c r="K36" i="2"/>
  <c r="I36" i="2"/>
  <c r="E36" i="2"/>
  <c r="U35" i="2"/>
  <c r="S35" i="2"/>
  <c r="Q35" i="2"/>
  <c r="O35" i="2"/>
  <c r="M35" i="2"/>
  <c r="K35" i="2"/>
  <c r="I35" i="2"/>
  <c r="E35" i="2"/>
  <c r="U34" i="2"/>
  <c r="S34" i="2"/>
  <c r="Q34" i="2"/>
  <c r="O34" i="2"/>
  <c r="M34" i="2"/>
  <c r="K34" i="2"/>
  <c r="I34" i="2"/>
  <c r="E34" i="2"/>
  <c r="U33" i="2"/>
  <c r="S33" i="2"/>
  <c r="Q33" i="2"/>
  <c r="O33" i="2"/>
  <c r="M33" i="2"/>
  <c r="K33" i="2"/>
  <c r="I33" i="2"/>
  <c r="E33" i="2"/>
  <c r="U32" i="2"/>
  <c r="S32" i="2"/>
  <c r="Q32" i="2"/>
  <c r="O32" i="2"/>
  <c r="M32" i="2"/>
  <c r="K32" i="2"/>
  <c r="I32" i="2"/>
  <c r="E32" i="2"/>
  <c r="U31" i="2"/>
  <c r="S31" i="2"/>
  <c r="Q31" i="2"/>
  <c r="O31" i="2"/>
  <c r="M31" i="2"/>
  <c r="K31" i="2"/>
  <c r="I31" i="2"/>
  <c r="E31" i="2"/>
  <c r="U30" i="2"/>
  <c r="S30" i="2"/>
  <c r="Q30" i="2"/>
  <c r="O30" i="2"/>
  <c r="M30" i="2"/>
  <c r="K30" i="2"/>
  <c r="I30" i="2"/>
  <c r="E30" i="2"/>
  <c r="U29" i="2"/>
  <c r="S29" i="2"/>
  <c r="Q29" i="2"/>
  <c r="O29" i="2"/>
  <c r="M29" i="2"/>
  <c r="K29" i="2"/>
  <c r="I29" i="2"/>
  <c r="E29" i="2"/>
  <c r="U28" i="2"/>
  <c r="S28" i="2"/>
  <c r="Q28" i="2"/>
  <c r="O28" i="2"/>
  <c r="M28" i="2"/>
  <c r="K28" i="2"/>
  <c r="I28" i="2"/>
  <c r="E28" i="2"/>
  <c r="U27" i="2"/>
  <c r="S27" i="2"/>
  <c r="Q27" i="2"/>
  <c r="O27" i="2"/>
  <c r="M27" i="2"/>
  <c r="K27" i="2"/>
  <c r="I27" i="2"/>
  <c r="E27" i="2"/>
  <c r="U26" i="2"/>
  <c r="S26" i="2"/>
  <c r="Q26" i="2"/>
  <c r="O26" i="2"/>
  <c r="M26" i="2"/>
  <c r="K26" i="2"/>
  <c r="I26" i="2"/>
  <c r="E26" i="2"/>
  <c r="U25" i="2"/>
  <c r="S25" i="2"/>
  <c r="Q25" i="2"/>
  <c r="O25" i="2"/>
  <c r="M25" i="2"/>
  <c r="K25" i="2"/>
  <c r="I25" i="2"/>
  <c r="E25" i="2"/>
  <c r="U24" i="2"/>
  <c r="S24" i="2"/>
  <c r="Q24" i="2"/>
  <c r="O24" i="2"/>
  <c r="M24" i="2"/>
  <c r="K24" i="2"/>
  <c r="I24" i="2"/>
  <c r="E24" i="2"/>
  <c r="U23" i="2"/>
  <c r="S23" i="2"/>
  <c r="Q23" i="2"/>
  <c r="O23" i="2"/>
  <c r="M23" i="2"/>
  <c r="K23" i="2"/>
  <c r="I23" i="2"/>
  <c r="E23" i="2"/>
  <c r="U22" i="2"/>
  <c r="S22" i="2"/>
  <c r="Q22" i="2"/>
  <c r="O22" i="2"/>
  <c r="M22" i="2"/>
  <c r="K22" i="2"/>
  <c r="I22" i="2"/>
  <c r="E22" i="2"/>
  <c r="U21" i="2"/>
  <c r="S21" i="2"/>
  <c r="Q21" i="2"/>
  <c r="O21" i="2"/>
  <c r="M21" i="2"/>
  <c r="K21" i="2"/>
  <c r="I21" i="2"/>
  <c r="E21" i="2"/>
  <c r="U20" i="2"/>
  <c r="S20" i="2"/>
  <c r="Q20" i="2"/>
  <c r="O20" i="2"/>
  <c r="M20" i="2"/>
  <c r="K20" i="2"/>
  <c r="I20" i="2"/>
  <c r="E20" i="2"/>
  <c r="U19" i="2"/>
  <c r="S19" i="2"/>
  <c r="Q19" i="2"/>
  <c r="O19" i="2"/>
  <c r="M19" i="2"/>
  <c r="K19" i="2"/>
  <c r="I19" i="2"/>
  <c r="E19" i="2"/>
  <c r="U18" i="2"/>
  <c r="S18" i="2"/>
  <c r="Q18" i="2"/>
  <c r="O18" i="2"/>
  <c r="M18" i="2"/>
  <c r="K18" i="2"/>
  <c r="I18" i="2"/>
  <c r="E18" i="2"/>
  <c r="U17" i="2"/>
  <c r="S17" i="2"/>
  <c r="Q17" i="2"/>
  <c r="O17" i="2"/>
  <c r="M17" i="2"/>
  <c r="K17" i="2"/>
  <c r="I17" i="2"/>
  <c r="E17" i="2"/>
  <c r="U16" i="2"/>
  <c r="S16" i="2"/>
  <c r="Q16" i="2"/>
  <c r="O16" i="2"/>
  <c r="M16" i="2"/>
  <c r="K16" i="2"/>
  <c r="I16" i="2"/>
  <c r="E16" i="2"/>
  <c r="U15" i="2"/>
  <c r="S15" i="2"/>
  <c r="Q15" i="2"/>
  <c r="O15" i="2"/>
  <c r="M15" i="2"/>
  <c r="K15" i="2"/>
  <c r="I15" i="2"/>
  <c r="E15" i="2"/>
  <c r="U14" i="2"/>
  <c r="S14" i="2"/>
  <c r="Q14" i="2"/>
  <c r="O14" i="2"/>
  <c r="M14" i="2"/>
  <c r="K14" i="2"/>
  <c r="I14" i="2"/>
  <c r="E14" i="2"/>
  <c r="U13" i="2"/>
  <c r="S13" i="2"/>
  <c r="Q13" i="2"/>
  <c r="O13" i="2"/>
  <c r="M13" i="2"/>
  <c r="K13" i="2"/>
  <c r="I13" i="2"/>
  <c r="E13" i="2"/>
  <c r="U12" i="2"/>
  <c r="S12" i="2"/>
  <c r="Q12" i="2"/>
  <c r="O12" i="2"/>
  <c r="M12" i="2"/>
  <c r="K12" i="2"/>
  <c r="I12" i="2"/>
  <c r="E12" i="2"/>
  <c r="U11" i="2"/>
  <c r="S11" i="2"/>
  <c r="Q11" i="2"/>
  <c r="O11" i="2"/>
  <c r="M11" i="2"/>
  <c r="K11" i="2"/>
  <c r="I11" i="2"/>
  <c r="E11" i="2"/>
  <c r="U10" i="2"/>
  <c r="S10" i="2"/>
  <c r="Q10" i="2"/>
  <c r="O10" i="2"/>
  <c r="M10" i="2"/>
  <c r="K10" i="2"/>
  <c r="I10" i="2"/>
  <c r="E10" i="2"/>
  <c r="U9" i="2"/>
  <c r="S9" i="2"/>
  <c r="Q9" i="2"/>
  <c r="O9" i="2"/>
  <c r="M9" i="2"/>
  <c r="K9" i="2"/>
  <c r="I9" i="2"/>
  <c r="E9" i="2"/>
  <c r="U8" i="2"/>
  <c r="S8" i="2"/>
  <c r="Q8" i="2"/>
  <c r="O8" i="2"/>
  <c r="M8" i="2"/>
  <c r="K8" i="2"/>
  <c r="I8" i="2"/>
  <c r="E8" i="2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O6" i="1"/>
  <c r="N6" i="1"/>
</calcChain>
</file>

<file path=xl/sharedStrings.xml><?xml version="1.0" encoding="utf-8"?>
<sst xmlns="http://schemas.openxmlformats.org/spreadsheetml/2006/main" count="466" uniqueCount="164">
  <si>
    <t>美國政府有價證券與主要持有人 — 單一季頻、可完全對帳資料表（2008Q1–2026Q1）</t>
  </si>
  <si>
    <t>單位：$mm｜季度末｜總額採 Z.1 L.210 issuer liability；持有人採 L.210 sector assets。為對帳，另列 Other named holders 與 Z.1 statistical discrepancy。</t>
  </si>
  <si>
    <t>季度末</t>
  </si>
  <si>
    <t>季度</t>
  </si>
  <si>
    <t>美國政府有價證券總額
Issuer total liabilities
（$mm）</t>
  </si>
  <si>
    <t>所有持有人資產合計
All-sector holder assets
（$mm）</t>
  </si>
  <si>
    <t>商業銀行／存款機構
（$mm）</t>
  </si>
  <si>
    <t>Broker-dealers
淨持有（$mm）</t>
  </si>
  <si>
    <t>貨幣市場基金
（$mm）</t>
  </si>
  <si>
    <t>共同基金、ETF、封閉型基金
（$mm）</t>
  </si>
  <si>
    <t>保險與退休基金
（$mm）</t>
  </si>
  <si>
    <t>家戶與非營利組織
（$mm）</t>
  </si>
  <si>
    <t>Fed
（$mm）</t>
  </si>
  <si>
    <t>外國官方
（$mm）</t>
  </si>
  <si>
    <t>外國私人
（$mm）</t>
  </si>
  <si>
    <t>其他已揭露持有人
（$mm）</t>
  </si>
  <si>
    <t>Z.1 統計／估值差異
（$mm）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</si>
  <si>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</si>
  <si>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</si>
  <si>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</si>
  <si>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</si>
  <si>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</si>
  <si>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</si>
  <si>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</si>
  <si>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</si>
  <si>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</si>
  <si>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</si>
  <si>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</si>
  <si>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</si>
  <si>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</si>
  <si>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</si>
  <si>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</si>
  <si>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</si>
  <si>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</si>
  <si>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</si>
  <si>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</si>
  <si>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</si>
  <si>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</si>
  <si>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</si>
  <si>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</si>
  <si>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</si>
  <si>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</si>
  <si>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</si>
  <si>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</si>
  <si>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</si>
  <si>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</si>
  <si>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</si>
  <si>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</si>
  <si>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</si>
  <si>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</si>
  <si>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</si>
  <si>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</si>
  <si>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</si>
  <si>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</si>
  <si>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</si>
  <si>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</si>
  <si>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</si>
  <si>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</si>
  <si>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</si>
  <si>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</si>
  <si>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</si>
  <si>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</si>
  <si>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</si>
  <si>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</si>
  <si>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</si>
  <si>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</si>
  <si>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</si>
  <si>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</si>
  <si>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</si>
  <si>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</si>
  <si>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</si>
  <si>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</si>
  <si>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</si>
  <si>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</si>
  <si>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</si>
  <si>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</si>
  <si>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</si>
  <si>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</si>
  <si>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</si>
  <si>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</si>
  <si>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</si>
  <si>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</si>
  <si>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</si>
  <si>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</si>
  <si>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</si>
  <si>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</si>
  <si>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</si>
  <si>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</si>
  <si>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</si>
  <si>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</si>
  <si>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為什麼持有人不等於 100%：正確閱讀方式</t>
  </si>
  <si>
    <t>1</t>
  </si>
  <si>
    <t>你原本九類持有人並非 L.210 的全部持有人。2026Q1 另有州與地方政府、非金融企業、GSE、ABS issuers、holding companies、other financial business 等；本表以「其他已揭露持有人」補足。</t>
  </si>
  <si>
    <t>2</t>
  </si>
  <si>
    <t>L.210 的 issuer total liabilities（C欄）與 all-sector holder assets（D欄）本來就不完全相等。Fed 官方註記此 discrepancy 是發行端與持有端累積估值差異；因此 O欄是對帳項，不是某一類買家。</t>
  </si>
  <si>
    <t>3</t>
  </si>
  <si>
    <t>商業銀行／存款機構已擴大為 U.S.-chartered depositories + foreign banking offices in the U.S. + banks in U.S.-affiliated areas + credit unions。</t>
  </si>
  <si>
    <t>4</t>
  </si>
  <si>
    <t>Broker-dealers 改用 L.210 的「Treasury Securities (Net)」；上一版錯誤使用 long position，會高估其淨持有。</t>
  </si>
  <si>
    <t>5</t>
  </si>
  <si>
    <t>共同基金、ETF、封閉型基金＝Mutual Funds + Exchange-Traded Funds + Closed-End Funds；保險與退休基金＝P&amp;C + Life + Private Pension + Federal Pension + State/Local Pension。</t>
  </si>
  <si>
    <t>6</t>
  </si>
  <si>
    <t>若你要比較『持有人占比』，應以 D欄 all-sector holder assets 為分母，E:N 合計會是 100%。若以 C欄 issuer total liabilities 為分母，E:N 加 O欄才會是 100%。</t>
  </si>
  <si>
    <t>主要原始系列（同頁可查核）</t>
  </si>
  <si>
    <t>欄位／用途</t>
  </si>
  <si>
    <t>Z.1 / FRED series</t>
  </si>
  <si>
    <t>來源 URL</t>
  </si>
  <si>
    <t>說明</t>
  </si>
  <si>
    <t>Issuer total liabilities</t>
  </si>
  <si>
    <t>FL313161105 / FGTSL</t>
  </si>
  <si>
    <t>https://fred.stlouisfed.org/series/FGTSL</t>
  </si>
  <si>
    <t>L.210 line 1; marketable Treasury securities issuer total</t>
  </si>
  <si>
    <t>All-sector holder assets</t>
  </si>
  <si>
    <t>FL893061105</t>
  </si>
  <si>
    <t>https://fred.stlouisfed.org/series/BOGZ1FL893061105Q</t>
  </si>
  <si>
    <t>L.210 line 4; sum of holder-side asset positions</t>
  </si>
  <si>
    <t>Depository institutions aggregate</t>
  </si>
  <si>
    <t>LM763061100 + LM753061103 + LM743061103 + LM473061105</t>
  </si>
  <si>
    <t>https://fred.stlouisfed.org/release/tables?eid=809048&amp;rid=52</t>
  </si>
  <si>
    <t>U.S.-chartered + foreign offices in U.S. + affiliated-area banks + credit unions</t>
  </si>
  <si>
    <t>Broker-dealers</t>
  </si>
  <si>
    <t>LM663061105</t>
  </si>
  <si>
    <t>https://fred.stlouisfed.org/series/BOGZ1LM663061105Q</t>
  </si>
  <si>
    <t>Net Treasury securities; not long position</t>
  </si>
  <si>
    <t>MMF / funds / insurance / pensions / households / Fed</t>
  </si>
  <si>
    <t>L.210 lines 21–48</t>
  </si>
  <si>
    <t>https://www.federalreserve.gov/releases/z1/preview/html/l210.htm</t>
  </si>
  <si>
    <t>Current L.210 sector taxonomy</t>
  </si>
  <si>
    <t>Foreign official / private</t>
  </si>
  <si>
    <t>Z.1 rest-of-world supplementary split</t>
  </si>
  <si>
    <t>https://www.federalreserve.gov/releases/z1/</t>
  </si>
  <si>
    <t>The two components sum to L.210 rest-of-world total</t>
  </si>
  <si>
    <t>Full methodology</t>
  </si>
  <si>
    <t>Federal Reserve Financial Accounts</t>
  </si>
  <si>
    <t>2026Q1 release updated June 11, 2026</t>
  </si>
  <si>
    <t>%</t>
  </si>
  <si>
    <t>%3</t>
  </si>
  <si>
    <t>%4</t>
  </si>
  <si>
    <t>%5</t>
  </si>
  <si>
    <t>%6</t>
  </si>
  <si>
    <t>%8</t>
  </si>
  <si>
    <t>%9</t>
  </si>
  <si>
    <r>
      <t>美國政府有價證券總額</t>
    </r>
    <r>
      <rPr>
        <b/>
        <sz val="9"/>
        <color theme="1"/>
        <rFont val="Aptos"/>
        <family val="1"/>
      </rPr>
      <t xml:space="preserve">
Issuer total liabilities
</t>
    </r>
    <r>
      <rPr>
        <b/>
        <sz val="9"/>
        <color theme="1"/>
        <rFont val="新細明體"/>
        <family val="1"/>
        <charset val="136"/>
      </rPr>
      <t>（</t>
    </r>
    <r>
      <rPr>
        <b/>
        <sz val="9"/>
        <color theme="1"/>
        <rFont val="Aptos"/>
        <family val="1"/>
      </rPr>
      <t>$mm</t>
    </r>
    <r>
      <rPr>
        <b/>
        <sz val="9"/>
        <color theme="1"/>
        <rFont val="新細明體"/>
        <family val="1"/>
        <charset val="136"/>
      </rPr>
      <t>）</t>
    </r>
  </si>
  <si>
    <r>
      <t>外國私人</t>
    </r>
    <r>
      <rPr>
        <b/>
        <sz val="9"/>
        <color theme="1"/>
        <rFont val="Aptos"/>
        <family val="1"/>
      </rPr>
      <t xml:space="preserve">
</t>
    </r>
    <r>
      <rPr>
        <b/>
        <sz val="9"/>
        <color theme="1"/>
        <rFont val="新細明體"/>
        <family val="1"/>
        <charset val="136"/>
      </rPr>
      <t>（</t>
    </r>
    <r>
      <rPr>
        <b/>
        <sz val="9"/>
        <color theme="1"/>
        <rFont val="Aptos"/>
        <family val="1"/>
      </rPr>
      <t>$mm</t>
    </r>
    <r>
      <rPr>
        <b/>
        <sz val="9"/>
        <color theme="1"/>
        <rFont val="新細明體"/>
        <family val="1"/>
        <charset val="136"/>
      </rPr>
      <t>）</t>
    </r>
  </si>
  <si>
    <r>
      <t xml:space="preserve">Fed
</t>
    </r>
    <r>
      <rPr>
        <b/>
        <sz val="9"/>
        <color theme="1"/>
        <rFont val="新細明體"/>
        <family val="1"/>
        <charset val="136"/>
      </rPr>
      <t>（</t>
    </r>
    <r>
      <rPr>
        <b/>
        <sz val="9"/>
        <color theme="1"/>
        <rFont val="Aptos"/>
        <family val="1"/>
      </rPr>
      <t>$mm</t>
    </r>
    <r>
      <rPr>
        <b/>
        <sz val="9"/>
        <color theme="1"/>
        <rFont val="新細明體"/>
        <family val="1"/>
        <charset val="136"/>
      </rPr>
      <t>）</t>
    </r>
  </si>
  <si>
    <r>
      <t>貨幣市場基金</t>
    </r>
    <r>
      <rPr>
        <b/>
        <sz val="9"/>
        <color theme="1"/>
        <rFont val="Aptos"/>
        <family val="1"/>
      </rPr>
      <t xml:space="preserve">
</t>
    </r>
    <r>
      <rPr>
        <b/>
        <sz val="9"/>
        <color theme="1"/>
        <rFont val="新細明體"/>
        <family val="1"/>
        <charset val="136"/>
      </rPr>
      <t>（</t>
    </r>
    <r>
      <rPr>
        <b/>
        <sz val="9"/>
        <color theme="1"/>
        <rFont val="Aptos"/>
        <family val="1"/>
      </rPr>
      <t>$mm</t>
    </r>
    <r>
      <rPr>
        <b/>
        <sz val="9"/>
        <color theme="1"/>
        <rFont val="新細明體"/>
        <family val="1"/>
        <charset val="136"/>
      </rPr>
      <t>）</t>
    </r>
  </si>
  <si>
    <r>
      <t>家戶與非營利組織</t>
    </r>
    <r>
      <rPr>
        <b/>
        <sz val="9"/>
        <color theme="1"/>
        <rFont val="Aptos"/>
        <family val="1"/>
      </rPr>
      <t xml:space="preserve">
</t>
    </r>
    <r>
      <rPr>
        <b/>
        <sz val="9"/>
        <color theme="1"/>
        <rFont val="新細明體"/>
        <family val="1"/>
        <charset val="136"/>
      </rPr>
      <t>（</t>
    </r>
    <r>
      <rPr>
        <b/>
        <sz val="9"/>
        <color theme="1"/>
        <rFont val="Aptos"/>
        <family val="1"/>
      </rPr>
      <t>$mm</t>
    </r>
    <r>
      <rPr>
        <b/>
        <sz val="9"/>
        <color theme="1"/>
        <rFont val="新細明體"/>
        <family val="1"/>
        <charset val="136"/>
      </rPr>
      <t>）</t>
    </r>
  </si>
  <si>
    <r>
      <t>共同基金、</t>
    </r>
    <r>
      <rPr>
        <b/>
        <sz val="9"/>
        <color theme="1"/>
        <rFont val="Aptos"/>
        <family val="1"/>
      </rPr>
      <t>ETF</t>
    </r>
    <r>
      <rPr>
        <b/>
        <sz val="9"/>
        <color theme="1"/>
        <rFont val="新細明體"/>
        <family val="1"/>
        <charset val="136"/>
      </rPr>
      <t>、封閉型基金</t>
    </r>
    <r>
      <rPr>
        <b/>
        <sz val="9"/>
        <color theme="1"/>
        <rFont val="Aptos"/>
        <family val="1"/>
      </rPr>
      <t xml:space="preserve">
</t>
    </r>
    <r>
      <rPr>
        <b/>
        <sz val="9"/>
        <color theme="1"/>
        <rFont val="新細明體"/>
        <family val="1"/>
        <charset val="136"/>
      </rPr>
      <t>（</t>
    </r>
    <r>
      <rPr>
        <b/>
        <sz val="9"/>
        <color theme="1"/>
        <rFont val="Aptos"/>
        <family val="1"/>
      </rPr>
      <t>$mm</t>
    </r>
    <r>
      <rPr>
        <b/>
        <sz val="9"/>
        <color theme="1"/>
        <rFont val="新細明體"/>
        <family val="1"/>
        <charset val="136"/>
      </rPr>
      <t>）</t>
    </r>
  </si>
  <si>
    <r>
      <t>保險與退休基金</t>
    </r>
    <r>
      <rPr>
        <b/>
        <sz val="9"/>
        <color theme="1"/>
        <rFont val="Aptos"/>
        <family val="1"/>
      </rPr>
      <t xml:space="preserve">
</t>
    </r>
    <r>
      <rPr>
        <b/>
        <sz val="9"/>
        <color theme="1"/>
        <rFont val="新細明體"/>
        <family val="1"/>
        <charset val="136"/>
      </rPr>
      <t>（</t>
    </r>
    <r>
      <rPr>
        <b/>
        <sz val="9"/>
        <color theme="1"/>
        <rFont val="Aptos"/>
        <family val="1"/>
      </rPr>
      <t>$mm</t>
    </r>
    <r>
      <rPr>
        <b/>
        <sz val="9"/>
        <color theme="1"/>
        <rFont val="新細明體"/>
        <family val="1"/>
        <charset val="136"/>
      </rPr>
      <t>）</t>
    </r>
  </si>
  <si>
    <r>
      <t xml:space="preserve">Broker-dealers
</t>
    </r>
    <r>
      <rPr>
        <b/>
        <sz val="9"/>
        <color theme="1"/>
        <rFont val="新細明體"/>
        <family val="1"/>
        <charset val="136"/>
      </rPr>
      <t>淨持有（</t>
    </r>
    <r>
      <rPr>
        <b/>
        <sz val="9"/>
        <color theme="1"/>
        <rFont val="Aptos"/>
        <family val="1"/>
      </rPr>
      <t>$mm</t>
    </r>
    <r>
      <rPr>
        <b/>
        <sz val="9"/>
        <color theme="1"/>
        <rFont val="新細明體"/>
        <family val="1"/>
        <charset val="136"/>
      </rPr>
      <t>）</t>
    </r>
  </si>
  <si>
    <t>%</t>
    <phoneticPr fontId="19" type="noConversion"/>
  </si>
  <si>
    <t>日期</t>
  </si>
  <si>
    <t>日期</t>
    <phoneticPr fontId="19" type="noConversion"/>
  </si>
  <si>
    <t>外國央行</t>
    <phoneticPr fontId="19" type="noConversion"/>
  </si>
  <si>
    <t>商業銀行／存款機構</t>
  </si>
  <si>
    <t>商業銀行／存款機構</t>
    <phoneticPr fontId="19" type="noConversion"/>
  </si>
  <si>
    <t>外國 央行</t>
    <phoneticPr fontId="19" type="noConversion"/>
  </si>
  <si>
    <t>商業銀行/存款機構</t>
  </si>
  <si>
    <t>商業銀行/存款機構</t>
    <phoneticPr fontId="19" type="noConversion"/>
  </si>
  <si>
    <t>外國私人
（$mm）</t>
    <phoneticPr fontId="19" type="noConversion"/>
  </si>
  <si>
    <t>美國政府有價證券總額
Issuer total liabilities
（$mm）</t>
    <phoneticPr fontId="19" type="noConversion"/>
  </si>
  <si>
    <t>Broker-dealers
淨持有（$mm）</t>
    <phoneticPr fontId="19" type="noConversion"/>
  </si>
  <si>
    <t>美債10Y殖利率</t>
    <phoneticPr fontId="19" type="noConversion"/>
  </si>
  <si>
    <t>GSIB銀行子公司+Broker-dealears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</si>
</sst>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#,##0;[Red]\(#,##0\);\-"/>
    <numFmt numFmtId="177" formatCode="yyyy\-mm\-dd"/>
    <numFmt numFmtId="178" formatCode="_-* #,##0_-;\-* #,##0_-;_-* &quot;-&quot;??_-;_-@_-"/>
    <numFmt numFmtId="179" formatCode="0.0%"/>
  </numFmts>
  <fonts count="22">
    <font>
      <sz val="11"/>
      <name val="Carlito"/>
      <charset val="134"/>
    </font>
    <font>
      <b/>
      <sz val="15"/>
      <color rgb="FFFFFFFF"/>
      <name val="Aptos"/>
      <family val="1"/>
    </font>
    <font>
      <i/>
      <sz val="10"/>
      <name val="Aptos"/>
      <family val="1"/>
    </font>
    <font>
      <sz val="11"/>
      <name val="Aptos"/>
      <family val="1"/>
    </font>
    <font>
      <b/>
      <sz val="9"/>
      <name val="Aptos"/>
      <family val="1"/>
    </font>
    <font>
      <sz val="9"/>
      <name val="Aptos"/>
      <family val="1"/>
    </font>
    <font>
      <sz val="9"/>
      <color rgb="FF0000FF"/>
      <name val="Aptos"/>
      <family val="1"/>
    </font>
    <font>
      <sz val="9"/>
      <color rgb="FF000000"/>
      <name val="Aptos"/>
      <family val="1"/>
    </font>
    <font>
      <b/>
      <sz val="11"/>
      <color rgb="FFFFFFFF"/>
      <name val="Aptos"/>
      <family val="1"/>
    </font>
    <font>
      <b/>
      <sz val="11"/>
      <name val="Aptos"/>
      <family val="1"/>
    </font>
    <font>
      <sz val="9"/>
      <color rgb="FFC00000"/>
      <name val="Aptos"/>
      <family val="1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rlito"/>
      <charset val="134"/>
    </font>
    <font>
      <sz val="9"/>
      <color theme="1"/>
      <name val="Aptos"/>
      <family val="1"/>
    </font>
    <font>
      <b/>
      <sz val="9"/>
      <color theme="1"/>
      <name val="新細明體"/>
      <family val="1"/>
      <charset val="136"/>
    </font>
    <font>
      <b/>
      <sz val="9"/>
      <color theme="1"/>
      <name val="Aptos"/>
      <family val="1"/>
    </font>
    <font>
      <sz val="11"/>
      <color theme="1"/>
      <name val="Aptos"/>
      <family val="1"/>
    </font>
    <font>
      <sz val="11"/>
      <color theme="1"/>
      <name val="Carlito"/>
      <charset val="134"/>
    </font>
    <font>
      <sz val="9"/>
      <name val="細明體"/>
      <family val="3"/>
      <charset val="136"/>
    </font>
    <font>
      <b/>
      <sz val="12"/>
      <name val="Microsoft JhengHei Light"/>
      <family val="2"/>
      <charset val="136"/>
    </font>
    <font>
      <b/>
      <sz val="12"/>
      <color theme="1"/>
      <name val="Microsoft JhengHei Light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EDF4FB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3" fillId="0" borderId="0"/>
    <xf numFmtId="0" fontId="11" fillId="0" borderId="0"/>
  </cellStyleXfs>
  <cellXfs count="61">
    <xf numFmtId="0" fontId="0" fillId="0" borderId="0" xfId="0" applyAlignment="1"/>
    <xf numFmtId="0" fontId="1" fillId="2" borderId="0" xfId="3" applyNumberFormat="1" applyFont="1" applyFill="1" applyBorder="1" applyAlignment="1">
      <alignment vertical="center"/>
    </xf>
    <xf numFmtId="0" fontId="2" fillId="3" borderId="0" xfId="3" applyNumberFormat="1" applyFont="1" applyFill="1" applyBorder="1" applyAlignment="1">
      <alignment vertical="center"/>
    </xf>
    <xf numFmtId="0" fontId="3" fillId="0" borderId="0" xfId="3" applyNumberFormat="1" applyFont="1" applyFill="1" applyBorder="1"/>
    <xf numFmtId="0" fontId="4" fillId="4" borderId="0" xfId="3" applyNumberFormat="1" applyFont="1" applyFill="1" applyBorder="1" applyAlignment="1">
      <alignment horizontal="center" vertical="center" wrapText="1"/>
    </xf>
    <xf numFmtId="177" fontId="5" fillId="0" borderId="0" xfId="3" applyNumberFormat="1" applyFont="1" applyFill="1" applyBorder="1" applyAlignment="1">
      <alignment horizontal="center"/>
    </xf>
    <xf numFmtId="0" fontId="5" fillId="0" borderId="0" xfId="3" applyNumberFormat="1" applyFont="1" applyFill="1" applyBorder="1" applyAlignment="1">
      <alignment horizontal="center"/>
    </xf>
    <xf numFmtId="176" fontId="6" fillId="0" borderId="0" xfId="3" applyNumberFormat="1" applyFont="1" applyFill="1" applyBorder="1" applyAlignment="1">
      <alignment horizontal="right"/>
    </xf>
    <xf numFmtId="10" fontId="6" fillId="0" borderId="0" xfId="2" applyNumberFormat="1" applyFont="1" applyFill="1" applyBorder="1" applyAlignment="1">
      <alignment horizontal="right"/>
    </xf>
    <xf numFmtId="176" fontId="7" fillId="0" borderId="0" xfId="3" applyNumberFormat="1" applyFont="1" applyFill="1" applyBorder="1" applyAlignment="1">
      <alignment horizontal="right"/>
    </xf>
    <xf numFmtId="0" fontId="9" fillId="3" borderId="0" xfId="3" applyNumberFormat="1" applyFont="1" applyFill="1" applyBorder="1" applyAlignment="1">
      <alignment horizontal="center"/>
    </xf>
    <xf numFmtId="0" fontId="5" fillId="0" borderId="0" xfId="3" applyNumberFormat="1" applyFont="1" applyFill="1" applyBorder="1" applyAlignment="1">
      <alignment vertical="center" wrapText="1"/>
    </xf>
    <xf numFmtId="0" fontId="9" fillId="4" borderId="0" xfId="3" applyNumberFormat="1" applyFont="1" applyFill="1" applyBorder="1" applyAlignment="1">
      <alignment horizontal="center" wrapText="1"/>
    </xf>
    <xf numFmtId="0" fontId="10" fillId="0" borderId="0" xfId="3" applyNumberFormat="1" applyFont="1" applyFill="1" applyBorder="1" applyAlignment="1">
      <alignment vertical="center" wrapText="1"/>
    </xf>
    <xf numFmtId="0" fontId="15" fillId="4" borderId="0" xfId="3" applyNumberFormat="1" applyFont="1" applyFill="1" applyBorder="1" applyAlignment="1">
      <alignment horizontal="center" vertical="center" wrapText="1"/>
    </xf>
    <xf numFmtId="0" fontId="16" fillId="4" borderId="0" xfId="3" applyNumberFormat="1" applyFont="1" applyFill="1" applyBorder="1" applyAlignment="1">
      <alignment horizontal="center" vertical="center" wrapText="1"/>
    </xf>
    <xf numFmtId="0" fontId="17" fillId="0" borderId="0" xfId="3" applyNumberFormat="1" applyFont="1" applyFill="1" applyBorder="1"/>
    <xf numFmtId="0" fontId="18" fillId="0" borderId="0" xfId="3" applyFont="1"/>
    <xf numFmtId="177" fontId="20" fillId="0" borderId="0" xfId="3" applyNumberFormat="1" applyFont="1" applyFill="1" applyBorder="1" applyAlignment="1">
      <alignment horizontal="center" vertical="center"/>
    </xf>
    <xf numFmtId="0" fontId="20" fillId="0" borderId="0" xfId="3" applyNumberFormat="1" applyFont="1" applyFill="1" applyBorder="1" applyAlignment="1">
      <alignment horizontal="center" vertical="center"/>
    </xf>
    <xf numFmtId="176" fontId="20" fillId="0" borderId="0" xfId="3" applyNumberFormat="1" applyFont="1" applyFill="1" applyBorder="1" applyAlignment="1">
      <alignment horizontal="right" vertical="center" wrapText="1"/>
    </xf>
    <xf numFmtId="10" fontId="20" fillId="0" borderId="0" xfId="2" applyNumberFormat="1" applyFont="1" applyFill="1" applyBorder="1" applyAlignment="1">
      <alignment horizontal="right" vertical="center"/>
    </xf>
    <xf numFmtId="176" fontId="20" fillId="0" borderId="0" xfId="3" applyNumberFormat="1" applyFont="1" applyFill="1" applyBorder="1" applyAlignment="1">
      <alignment horizontal="right" vertical="center"/>
    </xf>
    <xf numFmtId="10" fontId="20" fillId="0" borderId="0" xfId="2" applyNumberFormat="1" applyFont="1" applyFill="1" applyBorder="1" applyAlignment="1">
      <alignment horizontal="center" vertical="center"/>
    </xf>
    <xf numFmtId="177" fontId="20" fillId="0" borderId="0" xfId="3" applyNumberFormat="1" applyFont="1" applyFill="1" applyBorder="1" applyAlignment="1">
      <alignment horizontal="right" vertical="center"/>
    </xf>
    <xf numFmtId="0" fontId="20" fillId="0" borderId="0" xfId="3" applyNumberFormat="1" applyFont="1" applyFill="1" applyBorder="1" applyAlignment="1">
      <alignment horizontal="right" vertical="center"/>
    </xf>
    <xf numFmtId="0" fontId="20" fillId="0" borderId="0" xfId="0" applyFont="1" applyAlignment="1">
      <alignment horizontal="right" vertical="center"/>
    </xf>
    <xf numFmtId="176" fontId="20" fillId="0" borderId="0" xfId="3" applyNumberFormat="1" applyFont="1" applyFill="1" applyBorder="1" applyAlignment="1">
      <alignment horizontal="center" vertical="center" wrapText="1"/>
    </xf>
    <xf numFmtId="176" fontId="20" fillId="0" borderId="0" xfId="3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77" fontId="21" fillId="5" borderId="1" xfId="3" applyNumberFormat="1" applyFont="1" applyFill="1" applyBorder="1" applyAlignment="1">
      <alignment horizontal="center" vertical="center"/>
    </xf>
    <xf numFmtId="0" fontId="21" fillId="5" borderId="2" xfId="3" applyNumberFormat="1" applyFont="1" applyFill="1" applyBorder="1" applyAlignment="1">
      <alignment horizontal="center" vertical="center"/>
    </xf>
    <xf numFmtId="176" fontId="21" fillId="5" borderId="2" xfId="3" applyNumberFormat="1" applyFont="1" applyFill="1" applyBorder="1" applyAlignment="1">
      <alignment horizontal="center" vertical="center" wrapText="1"/>
    </xf>
    <xf numFmtId="10" fontId="20" fillId="5" borderId="2" xfId="2" applyNumberFormat="1" applyFont="1" applyFill="1" applyBorder="1" applyAlignment="1">
      <alignment horizontal="center" vertical="center"/>
    </xf>
    <xf numFmtId="176" fontId="21" fillId="5" borderId="2" xfId="3" applyNumberFormat="1" applyFont="1" applyFill="1" applyBorder="1" applyAlignment="1">
      <alignment horizontal="center" vertical="center"/>
    </xf>
    <xf numFmtId="10" fontId="20" fillId="5" borderId="3" xfId="2" applyNumberFormat="1" applyFont="1" applyFill="1" applyBorder="1" applyAlignment="1">
      <alignment horizontal="center" vertical="center"/>
    </xf>
    <xf numFmtId="177" fontId="14" fillId="0" borderId="1" xfId="3" applyNumberFormat="1" applyFont="1" applyBorder="1" applyAlignment="1">
      <alignment horizontal="center"/>
    </xf>
    <xf numFmtId="0" fontId="14" fillId="0" borderId="2" xfId="3" applyNumberFormat="1" applyFont="1" applyBorder="1" applyAlignment="1">
      <alignment horizontal="center"/>
    </xf>
    <xf numFmtId="176" fontId="6" fillId="0" borderId="2" xfId="3" applyNumberFormat="1" applyFont="1" applyBorder="1" applyAlignment="1">
      <alignment horizontal="right"/>
    </xf>
    <xf numFmtId="10" fontId="6" fillId="0" borderId="2" xfId="2" applyNumberFormat="1" applyFont="1" applyBorder="1" applyAlignment="1">
      <alignment horizontal="right"/>
    </xf>
    <xf numFmtId="10" fontId="6" fillId="0" borderId="3" xfId="2" applyNumberFormat="1" applyFont="1" applyBorder="1" applyAlignment="1">
      <alignment horizontal="right"/>
    </xf>
    <xf numFmtId="177" fontId="14" fillId="5" borderId="1" xfId="3" applyNumberFormat="1" applyFont="1" applyFill="1" applyBorder="1" applyAlignment="1">
      <alignment horizontal="center"/>
    </xf>
    <xf numFmtId="0" fontId="14" fillId="5" borderId="2" xfId="3" applyNumberFormat="1" applyFont="1" applyFill="1" applyBorder="1" applyAlignment="1">
      <alignment horizontal="center"/>
    </xf>
    <xf numFmtId="176" fontId="6" fillId="5" borderId="2" xfId="3" applyNumberFormat="1" applyFont="1" applyFill="1" applyBorder="1" applyAlignment="1">
      <alignment horizontal="right"/>
    </xf>
    <xf numFmtId="10" fontId="6" fillId="5" borderId="2" xfId="2" applyNumberFormat="1" applyFont="1" applyFill="1" applyBorder="1" applyAlignment="1">
      <alignment horizontal="right"/>
    </xf>
    <xf numFmtId="10" fontId="6" fillId="5" borderId="3" xfId="2" applyNumberFormat="1" applyFont="1" applyFill="1" applyBorder="1" applyAlignment="1">
      <alignment horizontal="right"/>
    </xf>
    <xf numFmtId="10" fontId="14" fillId="0" borderId="2" xfId="2" applyNumberFormat="1" applyFont="1" applyBorder="1" applyAlignment="1">
      <alignment horizontal="center"/>
    </xf>
    <xf numFmtId="10" fontId="14" fillId="5" borderId="2" xfId="2" applyNumberFormat="1" applyFont="1" applyFill="1" applyBorder="1" applyAlignment="1">
      <alignment horizontal="center"/>
    </xf>
    <xf numFmtId="176" fontId="0" fillId="0" borderId="0" xfId="0" applyNumberFormat="1" applyAlignment="1"/>
    <xf numFmtId="178" fontId="0" fillId="0" borderId="0" xfId="1" applyNumberFormat="1" applyFont="1" applyAlignment="1"/>
    <xf numFmtId="176" fontId="6" fillId="5" borderId="0" xfId="3" applyNumberFormat="1" applyFont="1" applyFill="1" applyBorder="1" applyAlignment="1">
      <alignment horizontal="right"/>
    </xf>
    <xf numFmtId="10" fontId="0" fillId="0" borderId="0" xfId="0" applyNumberFormat="1" applyAlignment="1"/>
    <xf numFmtId="178" fontId="6" fillId="5" borderId="0" xfId="1" applyNumberFormat="1" applyFont="1" applyFill="1" applyBorder="1" applyAlignment="1">
      <alignment horizontal="right"/>
    </xf>
    <xf numFmtId="0" fontId="5" fillId="0" borderId="0" xfId="3" applyNumberFormat="1" applyFont="1" applyFill="1" applyBorder="1" applyAlignment="1">
      <alignment vertical="center" wrapText="1"/>
    </xf>
    <xf numFmtId="0" fontId="8" fillId="2" borderId="0" xfId="3" applyNumberFormat="1" applyFont="1" applyFill="1" applyBorder="1"/>
    <xf numFmtId="0" fontId="1" fillId="2" borderId="0" xfId="3" applyNumberFormat="1" applyFont="1" applyFill="1" applyBorder="1" applyAlignment="1">
      <alignment horizontal="left" vertical="center"/>
    </xf>
    <xf numFmtId="0" fontId="2" fillId="3" borderId="0" xfId="3" applyNumberFormat="1" applyFont="1" applyFill="1" applyBorder="1" applyAlignment="1">
      <alignment horizontal="left" vertical="center"/>
    </xf>
    <xf numFmtId="0" fontId="8" fillId="2" borderId="0" xfId="3" applyNumberFormat="1" applyFont="1" applyFill="1" applyBorder="1" applyAlignment="1">
      <alignment horizontal="left"/>
    </xf>
    <xf numFmtId="9" fontId="0" fillId="0" borderId="0" xfId="0" applyNumberFormat="1" applyAlignment="1"/>
    <xf numFmtId="9" fontId="0" fillId="0" borderId="0" xfId="2" applyFont="1" applyAlignment="1"/>
    <xf numFmtId="179" fontId="0" fillId="0" borderId="0" xfId="2" applyNumberFormat="1" applyFont="1" applyAlignment="1"/>
  </cellXfs>
  <cellStyles count="5">
    <cellStyle name="Normal" xfId="3" xr:uid="{00000000-0005-0000-0000-000031000000}"/>
    <cellStyle name="一般" xfId="0" builtinId="0"/>
    <cellStyle name="一般 2" xfId="4" xr:uid="{DD4CB8F6-7B6F-42F2-B18A-35FA339B921F}"/>
    <cellStyle name="千分位" xfId="1" builtinId="3"/>
    <cellStyle name="百分比" xfId="2" builtinId="5"/>
  </cellStyles>
  <dxfs count="2">
    <dxf>
      <font>
        <strike val="0"/>
        <outline val="0"/>
        <shadow val="0"/>
        <u val="none"/>
        <vertAlign val="baseline"/>
        <color theme="1"/>
      </font>
    </dxf>
    <dxf>
      <font>
        <strike val="0"/>
        <outline val="0"/>
        <shadow val="0"/>
        <u val="none"/>
        <vertAlign val="baseline"/>
        <color theme="1"/>
      </font>
    </dxf>
  </dxfs>
  <tableStyles count="0" defaultTableStyle="TableStyleMedium2"/>
  <colors>
    <mruColors>
      <color rgb="FF156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5" Type="http://schemas.openxmlformats.org/officeDocument/2006/relationships/chartsheet" Target="chartsheets/sheet2.xml"/><Relationship Id="rId10" Type="http://schemas.openxmlformats.org/officeDocument/2006/relationships/calcChain" Target="calcChain.xml"/><Relationship Id="rId4" Type="http://schemas.openxmlformats.org/officeDocument/2006/relationships/chartsheet" Target="chartsheets/sheet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工作表4!$F$4</c:f>
              <c:strCache>
                <c:ptCount val="1"/>
                <c:pt idx="0">
                  <c:v>商業銀行/存款機構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工作表4!$B$5:$B$77</c:f>
              <c:strCache>
                <c:ptCount val="73"/>
                <c:pt idx="0">
                  <c:v>2008Q1</c:v>
                </c:pt>
                <c:pt idx="1">
                  <c:v>2008Q2</c:v>
                </c:pt>
                <c:pt idx="2">
                  <c:v>2008Q3</c:v>
                </c:pt>
                <c:pt idx="3">
                  <c:v>2008Q4</c:v>
                </c:pt>
                <c:pt idx="4">
                  <c:v>2009Q1</c:v>
                </c:pt>
                <c:pt idx="5">
                  <c:v>2009Q2</c:v>
                </c:pt>
                <c:pt idx="6">
                  <c:v>2009Q3</c:v>
                </c:pt>
                <c:pt idx="7">
                  <c:v>2009Q4</c:v>
                </c:pt>
                <c:pt idx="8">
                  <c:v>2010Q1</c:v>
                </c:pt>
                <c:pt idx="9">
                  <c:v>2010Q2</c:v>
                </c:pt>
                <c:pt idx="10">
                  <c:v>2010Q3</c:v>
                </c:pt>
                <c:pt idx="11">
                  <c:v>2010Q4</c:v>
                </c:pt>
                <c:pt idx="12">
                  <c:v>2011Q1</c:v>
                </c:pt>
                <c:pt idx="13">
                  <c:v>2011Q2</c:v>
                </c:pt>
                <c:pt idx="14">
                  <c:v>2011Q3</c:v>
                </c:pt>
                <c:pt idx="15">
                  <c:v>2011Q4</c:v>
                </c:pt>
                <c:pt idx="16">
                  <c:v>2012Q1</c:v>
                </c:pt>
                <c:pt idx="17">
                  <c:v>2012Q2</c:v>
                </c:pt>
                <c:pt idx="18">
                  <c:v>2012Q3</c:v>
                </c:pt>
                <c:pt idx="19">
                  <c:v>2012Q4</c:v>
                </c:pt>
                <c:pt idx="20">
                  <c:v>2013Q1</c:v>
                </c:pt>
                <c:pt idx="21">
                  <c:v>2013Q2</c:v>
                </c:pt>
                <c:pt idx="22">
                  <c:v>2013Q3</c:v>
                </c:pt>
                <c:pt idx="23">
                  <c:v>2013Q4</c:v>
                </c:pt>
                <c:pt idx="24">
                  <c:v>2014Q1</c:v>
                </c:pt>
                <c:pt idx="25">
                  <c:v>2014Q2</c:v>
                </c:pt>
                <c:pt idx="26">
                  <c:v>2014Q3</c:v>
                </c:pt>
                <c:pt idx="27">
                  <c:v>2014Q4</c:v>
                </c:pt>
                <c:pt idx="28">
                  <c:v>2015Q1</c:v>
                </c:pt>
                <c:pt idx="29">
                  <c:v>2015Q2</c:v>
                </c:pt>
                <c:pt idx="30">
                  <c:v>2015Q3</c:v>
                </c:pt>
                <c:pt idx="31">
                  <c:v>2015Q4</c:v>
                </c:pt>
                <c:pt idx="32">
                  <c:v>2016Q1</c:v>
                </c:pt>
                <c:pt idx="33">
                  <c:v>2016Q2</c:v>
                </c:pt>
                <c:pt idx="34">
                  <c:v>2016Q3</c:v>
                </c:pt>
                <c:pt idx="35">
                  <c:v>2016Q4</c:v>
                </c:pt>
                <c:pt idx="36">
                  <c:v>2017Q1</c:v>
                </c:pt>
                <c:pt idx="37">
                  <c:v>2017Q2</c:v>
                </c:pt>
                <c:pt idx="38">
                  <c:v>2017Q3</c:v>
                </c:pt>
                <c:pt idx="39">
                  <c:v>2017Q4</c:v>
                </c:pt>
                <c:pt idx="40">
                  <c:v>2018Q1</c:v>
                </c:pt>
                <c:pt idx="41">
                  <c:v>2018Q2</c:v>
                </c:pt>
                <c:pt idx="42">
                  <c:v>2018Q3</c:v>
                </c:pt>
                <c:pt idx="43">
                  <c:v>2018Q4</c:v>
                </c:pt>
                <c:pt idx="44">
                  <c:v>2019Q1</c:v>
                </c:pt>
                <c:pt idx="45">
                  <c:v>2019Q2</c:v>
                </c:pt>
                <c:pt idx="46">
                  <c:v>2019Q3</c:v>
                </c:pt>
                <c:pt idx="47">
                  <c:v>2019Q4</c:v>
                </c:pt>
                <c:pt idx="48">
                  <c:v>2020Q1</c:v>
                </c:pt>
                <c:pt idx="49">
                  <c:v>2020Q2</c:v>
                </c:pt>
                <c:pt idx="50">
                  <c:v>2020Q3</c:v>
                </c:pt>
                <c:pt idx="51">
                  <c:v>2020Q4</c:v>
                </c:pt>
                <c:pt idx="52">
                  <c:v>2021Q1</c:v>
                </c:pt>
                <c:pt idx="53">
                  <c:v>2021Q2</c:v>
                </c:pt>
                <c:pt idx="54">
                  <c:v>2021Q3</c:v>
                </c:pt>
                <c:pt idx="55">
                  <c:v>2021Q4</c:v>
                </c:pt>
                <c:pt idx="56">
                  <c:v>2022Q1</c:v>
                </c:pt>
                <c:pt idx="57">
                  <c:v>2022Q2</c:v>
                </c:pt>
                <c:pt idx="58">
                  <c:v>2022Q3</c:v>
                </c:pt>
                <c:pt idx="59">
                  <c:v>2022Q4</c:v>
                </c:pt>
                <c:pt idx="60">
                  <c:v>2023Q1</c:v>
                </c:pt>
                <c:pt idx="61">
                  <c:v>2023Q2</c:v>
                </c:pt>
                <c:pt idx="62">
                  <c:v>2023Q3</c:v>
                </c:pt>
                <c:pt idx="63">
                  <c:v>2023Q4</c:v>
                </c:pt>
                <c:pt idx="64">
                  <c:v>2024Q1</c:v>
                </c:pt>
                <c:pt idx="65">
                  <c:v>2024Q2</c:v>
                </c:pt>
                <c:pt idx="66">
                  <c:v>2024Q3</c:v>
                </c:pt>
                <c:pt idx="67">
                  <c:v>2024Q4</c:v>
                </c:pt>
                <c:pt idx="68">
                  <c:v>2025Q1</c:v>
                </c:pt>
                <c:pt idx="69">
                  <c:v>2025Q2</c:v>
                </c:pt>
                <c:pt idx="70">
                  <c:v>2025Q3</c:v>
                </c:pt>
                <c:pt idx="71">
                  <c:v>2025Q4</c:v>
                </c:pt>
                <c:pt idx="72">
                  <c:v>2026Q1</c:v>
                </c:pt>
              </c:strCache>
            </c:strRef>
          </c:cat>
          <c:val>
            <c:numRef>
              <c:f>工作表4!$F$5:$F$77</c:f>
              <c:numCache>
                <c:formatCode>0.00%</c:formatCode>
                <c:ptCount val="73"/>
                <c:pt idx="0">
                  <c:v>2.567110632152059E-2</c:v>
                </c:pt>
                <c:pt idx="1">
                  <c:v>2.1734125349485215E-2</c:v>
                </c:pt>
                <c:pt idx="2">
                  <c:v>2.2482007981133052E-2</c:v>
                </c:pt>
                <c:pt idx="3">
                  <c:v>1.7765680543263874E-2</c:v>
                </c:pt>
                <c:pt idx="4">
                  <c:v>2.0174534104936612E-2</c:v>
                </c:pt>
                <c:pt idx="5">
                  <c:v>2.0430755128573445E-2</c:v>
                </c:pt>
                <c:pt idx="6">
                  <c:v>2.790630731362994E-2</c:v>
                </c:pt>
                <c:pt idx="7">
                  <c:v>2.725625282657667E-2</c:v>
                </c:pt>
                <c:pt idx="8">
                  <c:v>3.4210512330724176E-2</c:v>
                </c:pt>
                <c:pt idx="9">
                  <c:v>3.2405897788279764E-2</c:v>
                </c:pt>
                <c:pt idx="10">
                  <c:v>3.6267410116313389E-2</c:v>
                </c:pt>
                <c:pt idx="11">
                  <c:v>3.3951204296390362E-2</c:v>
                </c:pt>
                <c:pt idx="12">
                  <c:v>3.3509096819152082E-2</c:v>
                </c:pt>
                <c:pt idx="13">
                  <c:v>2.9082294618478045E-2</c:v>
                </c:pt>
                <c:pt idx="14">
                  <c:v>2.8508685704857598E-2</c:v>
                </c:pt>
                <c:pt idx="15">
                  <c:v>2.5516437623945284E-2</c:v>
                </c:pt>
                <c:pt idx="16">
                  <c:v>2.7331853906180568E-2</c:v>
                </c:pt>
                <c:pt idx="17">
                  <c:v>2.8331408425946863E-2</c:v>
                </c:pt>
                <c:pt idx="18">
                  <c:v>3.0836630559137625E-2</c:v>
                </c:pt>
                <c:pt idx="19">
                  <c:v>3.1039693346284675E-2</c:v>
                </c:pt>
                <c:pt idx="20">
                  <c:v>2.9171567472768486E-2</c:v>
                </c:pt>
                <c:pt idx="21">
                  <c:v>2.4947735632994805E-2</c:v>
                </c:pt>
                <c:pt idx="22">
                  <c:v>2.4017456863954609E-2</c:v>
                </c:pt>
                <c:pt idx="23">
                  <c:v>2.5785125754730763E-2</c:v>
                </c:pt>
                <c:pt idx="24">
                  <c:v>2.9157489223461015E-2</c:v>
                </c:pt>
                <c:pt idx="25">
                  <c:v>3.2144481959800658E-2</c:v>
                </c:pt>
                <c:pt idx="26">
                  <c:v>3.6571421204637293E-2</c:v>
                </c:pt>
                <c:pt idx="27">
                  <c:v>4.0286105421952698E-2</c:v>
                </c:pt>
                <c:pt idx="28">
                  <c:v>4.0273019837145367E-2</c:v>
                </c:pt>
                <c:pt idx="29">
                  <c:v>4.0209842364885034E-2</c:v>
                </c:pt>
                <c:pt idx="30">
                  <c:v>3.9481638812060585E-2</c:v>
                </c:pt>
                <c:pt idx="31">
                  <c:v>4.0797567255696637E-2</c:v>
                </c:pt>
                <c:pt idx="32">
                  <c:v>4.0870801161951333E-2</c:v>
                </c:pt>
                <c:pt idx="33">
                  <c:v>4.2700647649986594E-2</c:v>
                </c:pt>
                <c:pt idx="34">
                  <c:v>4.5489178690445907E-2</c:v>
                </c:pt>
                <c:pt idx="35">
                  <c:v>4.7121220395466297E-2</c:v>
                </c:pt>
                <c:pt idx="36">
                  <c:v>4.6376051721593148E-2</c:v>
                </c:pt>
                <c:pt idx="37">
                  <c:v>4.3112335754057381E-2</c:v>
                </c:pt>
                <c:pt idx="38">
                  <c:v>4.2131700035525417E-2</c:v>
                </c:pt>
                <c:pt idx="39">
                  <c:v>4.2676933856585733E-2</c:v>
                </c:pt>
                <c:pt idx="40">
                  <c:v>4.1141977442967929E-2</c:v>
                </c:pt>
                <c:pt idx="41">
                  <c:v>4.2317659942420233E-2</c:v>
                </c:pt>
                <c:pt idx="42">
                  <c:v>4.2641586280406339E-2</c:v>
                </c:pt>
                <c:pt idx="43">
                  <c:v>4.7348886845717676E-2</c:v>
                </c:pt>
                <c:pt idx="44">
                  <c:v>4.6368716701194329E-2</c:v>
                </c:pt>
                <c:pt idx="45">
                  <c:v>4.8485591357395608E-2</c:v>
                </c:pt>
                <c:pt idx="46">
                  <c:v>5.2492043212303476E-2</c:v>
                </c:pt>
                <c:pt idx="47">
                  <c:v>5.2875814387560172E-2</c:v>
                </c:pt>
                <c:pt idx="48">
                  <c:v>5.2242926708370364E-2</c:v>
                </c:pt>
                <c:pt idx="49">
                  <c:v>5.554341651887159E-2</c:v>
                </c:pt>
                <c:pt idx="50">
                  <c:v>5.8347612540911017E-2</c:v>
                </c:pt>
                <c:pt idx="51">
                  <c:v>5.7440653316947192E-2</c:v>
                </c:pt>
                <c:pt idx="52">
                  <c:v>5.8907036067449077E-2</c:v>
                </c:pt>
                <c:pt idx="53">
                  <c:v>6.2063013562395353E-2</c:v>
                </c:pt>
                <c:pt idx="54">
                  <c:v>6.6660441309183527E-2</c:v>
                </c:pt>
                <c:pt idx="55">
                  <c:v>7.2755907382792168E-2</c:v>
                </c:pt>
                <c:pt idx="56">
                  <c:v>7.1138575111154095E-2</c:v>
                </c:pt>
                <c:pt idx="57">
                  <c:v>7.2533234755498638E-2</c:v>
                </c:pt>
                <c:pt idx="58">
                  <c:v>6.7990503334291699E-2</c:v>
                </c:pt>
                <c:pt idx="59">
                  <c:v>6.6249044138350643E-2</c:v>
                </c:pt>
                <c:pt idx="60">
                  <c:v>6.1464764783785479E-2</c:v>
                </c:pt>
                <c:pt idx="61">
                  <c:v>5.7881374545749008E-2</c:v>
                </c:pt>
                <c:pt idx="62">
                  <c:v>5.5717896804964244E-2</c:v>
                </c:pt>
                <c:pt idx="63">
                  <c:v>5.772703246086059E-2</c:v>
                </c:pt>
                <c:pt idx="64">
                  <c:v>6.0222559858385781E-2</c:v>
                </c:pt>
                <c:pt idx="65">
                  <c:v>5.960758848364698E-2</c:v>
                </c:pt>
                <c:pt idx="66">
                  <c:v>6.0513638120429231E-2</c:v>
                </c:pt>
                <c:pt idx="67">
                  <c:v>6.1221089096560807E-2</c:v>
                </c:pt>
                <c:pt idx="68">
                  <c:v>6.1196307329574519E-2</c:v>
                </c:pt>
                <c:pt idx="69">
                  <c:v>6.4833039925703967E-2</c:v>
                </c:pt>
                <c:pt idx="70">
                  <c:v>6.5619914047401084E-2</c:v>
                </c:pt>
                <c:pt idx="71">
                  <c:v>6.5239920888979022E-2</c:v>
                </c:pt>
                <c:pt idx="72">
                  <c:v>6.688875509814321E-2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ED-49A6-B450-4497B4CC0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4636511"/>
        <c:axId val="1014634431"/>
      </c:lineChart>
      <c:lineChart>
        <c:grouping val="standard"/>
        <c:varyColors val="0"/>
        <c:ser>
          <c:idx val="0"/>
          <c:order val="0"/>
          <c:tx>
            <c:strRef>
              <c:f>工作表4!$D$4</c:f>
              <c:strCache>
                <c:ptCount val="1"/>
                <c:pt idx="0">
                  <c:v>外國央行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工作表4!$B$5:$B$77</c:f>
              <c:strCache>
                <c:ptCount val="73"/>
                <c:pt idx="0">
                  <c:v>2008Q1</c:v>
                </c:pt>
                <c:pt idx="1">
                  <c:v>2008Q2</c:v>
                </c:pt>
                <c:pt idx="2">
                  <c:v>2008Q3</c:v>
                </c:pt>
                <c:pt idx="3">
                  <c:v>2008Q4</c:v>
                </c:pt>
                <c:pt idx="4">
                  <c:v>2009Q1</c:v>
                </c:pt>
                <c:pt idx="5">
                  <c:v>2009Q2</c:v>
                </c:pt>
                <c:pt idx="6">
                  <c:v>2009Q3</c:v>
                </c:pt>
                <c:pt idx="7">
                  <c:v>2009Q4</c:v>
                </c:pt>
                <c:pt idx="8">
                  <c:v>2010Q1</c:v>
                </c:pt>
                <c:pt idx="9">
                  <c:v>2010Q2</c:v>
                </c:pt>
                <c:pt idx="10">
                  <c:v>2010Q3</c:v>
                </c:pt>
                <c:pt idx="11">
                  <c:v>2010Q4</c:v>
                </c:pt>
                <c:pt idx="12">
                  <c:v>2011Q1</c:v>
                </c:pt>
                <c:pt idx="13">
                  <c:v>2011Q2</c:v>
                </c:pt>
                <c:pt idx="14">
                  <c:v>2011Q3</c:v>
                </c:pt>
                <c:pt idx="15">
                  <c:v>2011Q4</c:v>
                </c:pt>
                <c:pt idx="16">
                  <c:v>2012Q1</c:v>
                </c:pt>
                <c:pt idx="17">
                  <c:v>2012Q2</c:v>
                </c:pt>
                <c:pt idx="18">
                  <c:v>2012Q3</c:v>
                </c:pt>
                <c:pt idx="19">
                  <c:v>2012Q4</c:v>
                </c:pt>
                <c:pt idx="20">
                  <c:v>2013Q1</c:v>
                </c:pt>
                <c:pt idx="21">
                  <c:v>2013Q2</c:v>
                </c:pt>
                <c:pt idx="22">
                  <c:v>2013Q3</c:v>
                </c:pt>
                <c:pt idx="23">
                  <c:v>2013Q4</c:v>
                </c:pt>
                <c:pt idx="24">
                  <c:v>2014Q1</c:v>
                </c:pt>
                <c:pt idx="25">
                  <c:v>2014Q2</c:v>
                </c:pt>
                <c:pt idx="26">
                  <c:v>2014Q3</c:v>
                </c:pt>
                <c:pt idx="27">
                  <c:v>2014Q4</c:v>
                </c:pt>
                <c:pt idx="28">
                  <c:v>2015Q1</c:v>
                </c:pt>
                <c:pt idx="29">
                  <c:v>2015Q2</c:v>
                </c:pt>
                <c:pt idx="30">
                  <c:v>2015Q3</c:v>
                </c:pt>
                <c:pt idx="31">
                  <c:v>2015Q4</c:v>
                </c:pt>
                <c:pt idx="32">
                  <c:v>2016Q1</c:v>
                </c:pt>
                <c:pt idx="33">
                  <c:v>2016Q2</c:v>
                </c:pt>
                <c:pt idx="34">
                  <c:v>2016Q3</c:v>
                </c:pt>
                <c:pt idx="35">
                  <c:v>2016Q4</c:v>
                </c:pt>
                <c:pt idx="36">
                  <c:v>2017Q1</c:v>
                </c:pt>
                <c:pt idx="37">
                  <c:v>2017Q2</c:v>
                </c:pt>
                <c:pt idx="38">
                  <c:v>2017Q3</c:v>
                </c:pt>
                <c:pt idx="39">
                  <c:v>2017Q4</c:v>
                </c:pt>
                <c:pt idx="40">
                  <c:v>2018Q1</c:v>
                </c:pt>
                <c:pt idx="41">
                  <c:v>2018Q2</c:v>
                </c:pt>
                <c:pt idx="42">
                  <c:v>2018Q3</c:v>
                </c:pt>
                <c:pt idx="43">
                  <c:v>2018Q4</c:v>
                </c:pt>
                <c:pt idx="44">
                  <c:v>2019Q1</c:v>
                </c:pt>
                <c:pt idx="45">
                  <c:v>2019Q2</c:v>
                </c:pt>
                <c:pt idx="46">
                  <c:v>2019Q3</c:v>
                </c:pt>
                <c:pt idx="47">
                  <c:v>2019Q4</c:v>
                </c:pt>
                <c:pt idx="48">
                  <c:v>2020Q1</c:v>
                </c:pt>
                <c:pt idx="49">
                  <c:v>2020Q2</c:v>
                </c:pt>
                <c:pt idx="50">
                  <c:v>2020Q3</c:v>
                </c:pt>
                <c:pt idx="51">
                  <c:v>2020Q4</c:v>
                </c:pt>
                <c:pt idx="52">
                  <c:v>2021Q1</c:v>
                </c:pt>
                <c:pt idx="53">
                  <c:v>2021Q2</c:v>
                </c:pt>
                <c:pt idx="54">
                  <c:v>2021Q3</c:v>
                </c:pt>
                <c:pt idx="55">
                  <c:v>2021Q4</c:v>
                </c:pt>
                <c:pt idx="56">
                  <c:v>2022Q1</c:v>
                </c:pt>
                <c:pt idx="57">
                  <c:v>2022Q2</c:v>
                </c:pt>
                <c:pt idx="58">
                  <c:v>2022Q3</c:v>
                </c:pt>
                <c:pt idx="59">
                  <c:v>2022Q4</c:v>
                </c:pt>
                <c:pt idx="60">
                  <c:v>2023Q1</c:v>
                </c:pt>
                <c:pt idx="61">
                  <c:v>2023Q2</c:v>
                </c:pt>
                <c:pt idx="62">
                  <c:v>2023Q3</c:v>
                </c:pt>
                <c:pt idx="63">
                  <c:v>2023Q4</c:v>
                </c:pt>
                <c:pt idx="64">
                  <c:v>2024Q1</c:v>
                </c:pt>
                <c:pt idx="65">
                  <c:v>2024Q2</c:v>
                </c:pt>
                <c:pt idx="66">
                  <c:v>2024Q3</c:v>
                </c:pt>
                <c:pt idx="67">
                  <c:v>2024Q4</c:v>
                </c:pt>
                <c:pt idx="68">
                  <c:v>2025Q1</c:v>
                </c:pt>
                <c:pt idx="69">
                  <c:v>2025Q2</c:v>
                </c:pt>
                <c:pt idx="70">
                  <c:v>2025Q3</c:v>
                </c:pt>
                <c:pt idx="71">
                  <c:v>2025Q4</c:v>
                </c:pt>
                <c:pt idx="72">
                  <c:v>2026Q1</c:v>
                </c:pt>
              </c:strCache>
            </c:strRef>
          </c:cat>
          <c:val>
            <c:numRef>
              <c:f>工作表4!$D$5:$D$77</c:f>
              <c:numCache>
                <c:formatCode>0.00%</c:formatCode>
                <c:ptCount val="73"/>
                <c:pt idx="0">
                  <c:v>0.40222620754803801</c:v>
                </c:pt>
                <c:pt idx="1">
                  <c:v>0.41172719685472969</c:v>
                </c:pt>
                <c:pt idx="2">
                  <c:v>0.40246181540255077</c:v>
                </c:pt>
                <c:pt idx="3">
                  <c:v>0.41696944010435893</c:v>
                </c:pt>
                <c:pt idx="4">
                  <c:v>0.40724870716518657</c:v>
                </c:pt>
                <c:pt idx="5">
                  <c:v>0.40091448198121432</c:v>
                </c:pt>
                <c:pt idx="6">
                  <c:v>0.39871438097584616</c:v>
                </c:pt>
                <c:pt idx="7">
                  <c:v>0.39813850699235098</c:v>
                </c:pt>
                <c:pt idx="8">
                  <c:v>0.38678718864051403</c:v>
                </c:pt>
                <c:pt idx="9">
                  <c:v>0.3818440961318843</c:v>
                </c:pt>
                <c:pt idx="10">
                  <c:v>0.39399670243599738</c:v>
                </c:pt>
                <c:pt idx="11">
                  <c:v>0.38137673187525489</c:v>
                </c:pt>
                <c:pt idx="12">
                  <c:v>0.37427007369526277</c:v>
                </c:pt>
                <c:pt idx="13">
                  <c:v>0.37810931303885686</c:v>
                </c:pt>
                <c:pt idx="14">
                  <c:v>0.37953802435687256</c:v>
                </c:pt>
                <c:pt idx="15">
                  <c:v>0.36549050406896366</c:v>
                </c:pt>
                <c:pt idx="16">
                  <c:v>0.36117805790645535</c:v>
                </c:pt>
                <c:pt idx="17">
                  <c:v>0.36774742368082203</c:v>
                </c:pt>
                <c:pt idx="18">
                  <c:v>0.36911819617284314</c:v>
                </c:pt>
                <c:pt idx="19">
                  <c:v>0.36569237203235705</c:v>
                </c:pt>
                <c:pt idx="20">
                  <c:v>0.35995054659100412</c:v>
                </c:pt>
                <c:pt idx="21">
                  <c:v>0.35293432555435944</c:v>
                </c:pt>
                <c:pt idx="22">
                  <c:v>0.34739275150647431</c:v>
                </c:pt>
                <c:pt idx="23">
                  <c:v>0.34275865338277989</c:v>
                </c:pt>
                <c:pt idx="24">
                  <c:v>0.33506357480230614</c:v>
                </c:pt>
                <c:pt idx="25">
                  <c:v>0.34100147325036684</c:v>
                </c:pt>
                <c:pt idx="26">
                  <c:v>0.33845587205767208</c:v>
                </c:pt>
                <c:pt idx="27">
                  <c:v>0.33031121107578054</c:v>
                </c:pt>
                <c:pt idx="28">
                  <c:v>0.3282753627177542</c:v>
                </c:pt>
                <c:pt idx="29">
                  <c:v>0.32980752216894249</c:v>
                </c:pt>
                <c:pt idx="30">
                  <c:v>0.32369539872574721</c:v>
                </c:pt>
                <c:pt idx="31">
                  <c:v>0.31085285468990953</c:v>
                </c:pt>
                <c:pt idx="32">
                  <c:v>0.30350854345704237</c:v>
                </c:pt>
                <c:pt idx="33">
                  <c:v>0.30128758620952301</c:v>
                </c:pt>
                <c:pt idx="34">
                  <c:v>0.28625759939920564</c:v>
                </c:pt>
                <c:pt idx="35">
                  <c:v>0.27473926569762358</c:v>
                </c:pt>
                <c:pt idx="36">
                  <c:v>0.27868265507338397</c:v>
                </c:pt>
                <c:pt idx="37">
                  <c:v>0.28601288261877555</c:v>
                </c:pt>
                <c:pt idx="38">
                  <c:v>0.28753877402212746</c:v>
                </c:pt>
                <c:pt idx="39">
                  <c:v>0.27877163665692178</c:v>
                </c:pt>
                <c:pt idx="40">
                  <c:v>0.27202244558295607</c:v>
                </c:pt>
                <c:pt idx="41">
                  <c:v>0.26708914685545826</c:v>
                </c:pt>
                <c:pt idx="42">
                  <c:v>0.26334431841397704</c:v>
                </c:pt>
                <c:pt idx="43">
                  <c:v>0.25418984292650187</c:v>
                </c:pt>
                <c:pt idx="44">
                  <c:v>0.25683982612053791</c:v>
                </c:pt>
                <c:pt idx="45">
                  <c:v>0.26101651657493452</c:v>
                </c:pt>
                <c:pt idx="46">
                  <c:v>0.25459935756874669</c:v>
                </c:pt>
                <c:pt idx="47">
                  <c:v>0.2451698118222683</c:v>
                </c:pt>
                <c:pt idx="48">
                  <c:v>0.24058764550639061</c:v>
                </c:pt>
                <c:pt idx="49">
                  <c:v>0.208743579502427</c:v>
                </c:pt>
                <c:pt idx="50">
                  <c:v>0.2064321846496843</c:v>
                </c:pt>
                <c:pt idx="51">
                  <c:v>0.19987140362447375</c:v>
                </c:pt>
                <c:pt idx="52">
                  <c:v>0.19684288904040381</c:v>
                </c:pt>
                <c:pt idx="53">
                  <c:v>0.19428847622450446</c:v>
                </c:pt>
                <c:pt idx="54">
                  <c:v>0.19261672602499252</c:v>
                </c:pt>
                <c:pt idx="55">
                  <c:v>0.18253997245089179</c:v>
                </c:pt>
                <c:pt idx="56">
                  <c:v>0.17316025547158259</c:v>
                </c:pt>
                <c:pt idx="57">
                  <c:v>0.1657942195728378</c:v>
                </c:pt>
                <c:pt idx="58">
                  <c:v>0.15724878698175995</c:v>
                </c:pt>
                <c:pt idx="59">
                  <c:v>0.1538038324044585</c:v>
                </c:pt>
                <c:pt idx="60">
                  <c:v>0.1552549410795023</c:v>
                </c:pt>
                <c:pt idx="61">
                  <c:v>0.15215365116615998</c:v>
                </c:pt>
                <c:pt idx="62">
                  <c:v>0.14400994734056941</c:v>
                </c:pt>
                <c:pt idx="63">
                  <c:v>0.14475545771923121</c:v>
                </c:pt>
                <c:pt idx="64">
                  <c:v>0.14237490435907751</c:v>
                </c:pt>
                <c:pt idx="65">
                  <c:v>0.14240017009170122</c:v>
                </c:pt>
                <c:pt idx="66">
                  <c:v>0.14188608556976537</c:v>
                </c:pt>
                <c:pt idx="67">
                  <c:v>0.13442559508050436</c:v>
                </c:pt>
                <c:pt idx="68">
                  <c:v>0.13798286176614755</c:v>
                </c:pt>
                <c:pt idx="69">
                  <c:v>0.13696222554289178</c:v>
                </c:pt>
                <c:pt idx="70">
                  <c:v>0.13128696784162994</c:v>
                </c:pt>
                <c:pt idx="71">
                  <c:v>0.12926655825388803</c:v>
                </c:pt>
                <c:pt idx="72">
                  <c:v>0.12786397084115986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ED-49A6-B450-4497B4CC0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3102095"/>
        <c:axId val="683102511"/>
      </c:lineChart>
      <c:catAx>
        <c:axId val="101463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14634431"/>
        <c:crosses val="autoZero"/>
        <c:auto val="1"/>
        <c:lblAlgn val="ctr"/>
        <c:lblOffset val="100"/>
        <c:noMultiLvlLbl val="0"/>
      </c:catAx>
      <c:valAx>
        <c:axId val="101463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14636511"/>
        <c:crosses val="autoZero"/>
        <c:crossBetween val="between"/>
      </c:valAx>
      <c:valAx>
        <c:axId val="683102511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83102095"/>
        <c:crosses val="max"/>
        <c:crossBetween val="between"/>
      </c:valAx>
      <c:catAx>
        <c:axId val="6831020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831025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156713207178601E-2"/>
          <c:y val="1.4283786514983386E-2"/>
          <c:w val="0.93704895969296231"/>
          <c:h val="0.80510305192434373"/>
        </c:manualLayout>
      </c:layout>
      <c:lineChart>
        <c:grouping val="standard"/>
        <c:varyColors val="0"/>
        <c:ser>
          <c:idx val="1"/>
          <c:order val="0"/>
          <c:tx>
            <c:strRef>
              <c:f>工作表4!$F$4</c:f>
              <c:strCache>
                <c:ptCount val="1"/>
                <c:pt idx="0">
                  <c:v>商業銀行/存款機構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工作表4!$B$5:$B$77</c:f>
              <c:strCache>
                <c:ptCount val="73"/>
                <c:pt idx="0">
                  <c:v>2008Q1</c:v>
                </c:pt>
                <c:pt idx="1">
                  <c:v>2008Q2</c:v>
                </c:pt>
                <c:pt idx="2">
                  <c:v>2008Q3</c:v>
                </c:pt>
                <c:pt idx="3">
                  <c:v>2008Q4</c:v>
                </c:pt>
                <c:pt idx="4">
                  <c:v>2009Q1</c:v>
                </c:pt>
                <c:pt idx="5">
                  <c:v>2009Q2</c:v>
                </c:pt>
                <c:pt idx="6">
                  <c:v>2009Q3</c:v>
                </c:pt>
                <c:pt idx="7">
                  <c:v>2009Q4</c:v>
                </c:pt>
                <c:pt idx="8">
                  <c:v>2010Q1</c:v>
                </c:pt>
                <c:pt idx="9">
                  <c:v>2010Q2</c:v>
                </c:pt>
                <c:pt idx="10">
                  <c:v>2010Q3</c:v>
                </c:pt>
                <c:pt idx="11">
                  <c:v>2010Q4</c:v>
                </c:pt>
                <c:pt idx="12">
                  <c:v>2011Q1</c:v>
                </c:pt>
                <c:pt idx="13">
                  <c:v>2011Q2</c:v>
                </c:pt>
                <c:pt idx="14">
                  <c:v>2011Q3</c:v>
                </c:pt>
                <c:pt idx="15">
                  <c:v>2011Q4</c:v>
                </c:pt>
                <c:pt idx="16">
                  <c:v>2012Q1</c:v>
                </c:pt>
                <c:pt idx="17">
                  <c:v>2012Q2</c:v>
                </c:pt>
                <c:pt idx="18">
                  <c:v>2012Q3</c:v>
                </c:pt>
                <c:pt idx="19">
                  <c:v>2012Q4</c:v>
                </c:pt>
                <c:pt idx="20">
                  <c:v>2013Q1</c:v>
                </c:pt>
                <c:pt idx="21">
                  <c:v>2013Q2</c:v>
                </c:pt>
                <c:pt idx="22">
                  <c:v>2013Q3</c:v>
                </c:pt>
                <c:pt idx="23">
                  <c:v>2013Q4</c:v>
                </c:pt>
                <c:pt idx="24">
                  <c:v>2014Q1</c:v>
                </c:pt>
                <c:pt idx="25">
                  <c:v>2014Q2</c:v>
                </c:pt>
                <c:pt idx="26">
                  <c:v>2014Q3</c:v>
                </c:pt>
                <c:pt idx="27">
                  <c:v>2014Q4</c:v>
                </c:pt>
                <c:pt idx="28">
                  <c:v>2015Q1</c:v>
                </c:pt>
                <c:pt idx="29">
                  <c:v>2015Q2</c:v>
                </c:pt>
                <c:pt idx="30">
                  <c:v>2015Q3</c:v>
                </c:pt>
                <c:pt idx="31">
                  <c:v>2015Q4</c:v>
                </c:pt>
                <c:pt idx="32">
                  <c:v>2016Q1</c:v>
                </c:pt>
                <c:pt idx="33">
                  <c:v>2016Q2</c:v>
                </c:pt>
                <c:pt idx="34">
                  <c:v>2016Q3</c:v>
                </c:pt>
                <c:pt idx="35">
                  <c:v>2016Q4</c:v>
                </c:pt>
                <c:pt idx="36">
                  <c:v>2017Q1</c:v>
                </c:pt>
                <c:pt idx="37">
                  <c:v>2017Q2</c:v>
                </c:pt>
                <c:pt idx="38">
                  <c:v>2017Q3</c:v>
                </c:pt>
                <c:pt idx="39">
                  <c:v>2017Q4</c:v>
                </c:pt>
                <c:pt idx="40">
                  <c:v>2018Q1</c:v>
                </c:pt>
                <c:pt idx="41">
                  <c:v>2018Q2</c:v>
                </c:pt>
                <c:pt idx="42">
                  <c:v>2018Q3</c:v>
                </c:pt>
                <c:pt idx="43">
                  <c:v>2018Q4</c:v>
                </c:pt>
                <c:pt idx="44">
                  <c:v>2019Q1</c:v>
                </c:pt>
                <c:pt idx="45">
                  <c:v>2019Q2</c:v>
                </c:pt>
                <c:pt idx="46">
                  <c:v>2019Q3</c:v>
                </c:pt>
                <c:pt idx="47">
                  <c:v>2019Q4</c:v>
                </c:pt>
                <c:pt idx="48">
                  <c:v>2020Q1</c:v>
                </c:pt>
                <c:pt idx="49">
                  <c:v>2020Q2</c:v>
                </c:pt>
                <c:pt idx="50">
                  <c:v>2020Q3</c:v>
                </c:pt>
                <c:pt idx="51">
                  <c:v>2020Q4</c:v>
                </c:pt>
                <c:pt idx="52">
                  <c:v>2021Q1</c:v>
                </c:pt>
                <c:pt idx="53">
                  <c:v>2021Q2</c:v>
                </c:pt>
                <c:pt idx="54">
                  <c:v>2021Q3</c:v>
                </c:pt>
                <c:pt idx="55">
                  <c:v>2021Q4</c:v>
                </c:pt>
                <c:pt idx="56">
                  <c:v>2022Q1</c:v>
                </c:pt>
                <c:pt idx="57">
                  <c:v>2022Q2</c:v>
                </c:pt>
                <c:pt idx="58">
                  <c:v>2022Q3</c:v>
                </c:pt>
                <c:pt idx="59">
                  <c:v>2022Q4</c:v>
                </c:pt>
                <c:pt idx="60">
                  <c:v>2023Q1</c:v>
                </c:pt>
                <c:pt idx="61">
                  <c:v>2023Q2</c:v>
                </c:pt>
                <c:pt idx="62">
                  <c:v>2023Q3</c:v>
                </c:pt>
                <c:pt idx="63">
                  <c:v>2023Q4</c:v>
                </c:pt>
                <c:pt idx="64">
                  <c:v>2024Q1</c:v>
                </c:pt>
                <c:pt idx="65">
                  <c:v>2024Q2</c:v>
                </c:pt>
                <c:pt idx="66">
                  <c:v>2024Q3</c:v>
                </c:pt>
                <c:pt idx="67">
                  <c:v>2024Q4</c:v>
                </c:pt>
                <c:pt idx="68">
                  <c:v>2025Q1</c:v>
                </c:pt>
                <c:pt idx="69">
                  <c:v>2025Q2</c:v>
                </c:pt>
                <c:pt idx="70">
                  <c:v>2025Q3</c:v>
                </c:pt>
                <c:pt idx="71">
                  <c:v>2025Q4</c:v>
                </c:pt>
                <c:pt idx="72">
                  <c:v>2026Q1</c:v>
                </c:pt>
              </c:strCache>
            </c:strRef>
          </c:cat>
          <c:val>
            <c:numRef>
              <c:f>工作表4!$F$5:$F$77</c:f>
              <c:numCache>
                <c:formatCode>0.00%</c:formatCode>
                <c:ptCount val="73"/>
                <c:pt idx="0">
                  <c:v>2.567110632152059E-2</c:v>
                </c:pt>
                <c:pt idx="1">
                  <c:v>2.1734125349485215E-2</c:v>
                </c:pt>
                <c:pt idx="2">
                  <c:v>2.2482007981133052E-2</c:v>
                </c:pt>
                <c:pt idx="3">
                  <c:v>1.7765680543263874E-2</c:v>
                </c:pt>
                <c:pt idx="4">
                  <c:v>2.0174534104936612E-2</c:v>
                </c:pt>
                <c:pt idx="5">
                  <c:v>2.0430755128573445E-2</c:v>
                </c:pt>
                <c:pt idx="6">
                  <c:v>2.790630731362994E-2</c:v>
                </c:pt>
                <c:pt idx="7">
                  <c:v>2.725625282657667E-2</c:v>
                </c:pt>
                <c:pt idx="8">
                  <c:v>3.4210512330724176E-2</c:v>
                </c:pt>
                <c:pt idx="9">
                  <c:v>3.2405897788279764E-2</c:v>
                </c:pt>
                <c:pt idx="10">
                  <c:v>3.6267410116313389E-2</c:v>
                </c:pt>
                <c:pt idx="11">
                  <c:v>3.3951204296390362E-2</c:v>
                </c:pt>
                <c:pt idx="12">
                  <c:v>3.3509096819152082E-2</c:v>
                </c:pt>
                <c:pt idx="13">
                  <c:v>2.9082294618478045E-2</c:v>
                </c:pt>
                <c:pt idx="14">
                  <c:v>2.8508685704857598E-2</c:v>
                </c:pt>
                <c:pt idx="15">
                  <c:v>2.5516437623945284E-2</c:v>
                </c:pt>
                <c:pt idx="16">
                  <c:v>2.7331853906180568E-2</c:v>
                </c:pt>
                <c:pt idx="17">
                  <c:v>2.8331408425946863E-2</c:v>
                </c:pt>
                <c:pt idx="18">
                  <c:v>3.0836630559137625E-2</c:v>
                </c:pt>
                <c:pt idx="19">
                  <c:v>3.1039693346284675E-2</c:v>
                </c:pt>
                <c:pt idx="20">
                  <c:v>2.9171567472768486E-2</c:v>
                </c:pt>
                <c:pt idx="21">
                  <c:v>2.4947735632994805E-2</c:v>
                </c:pt>
                <c:pt idx="22">
                  <c:v>2.4017456863954609E-2</c:v>
                </c:pt>
                <c:pt idx="23">
                  <c:v>2.5785125754730763E-2</c:v>
                </c:pt>
                <c:pt idx="24">
                  <c:v>2.9157489223461015E-2</c:v>
                </c:pt>
                <c:pt idx="25">
                  <c:v>3.2144481959800658E-2</c:v>
                </c:pt>
                <c:pt idx="26">
                  <c:v>3.6571421204637293E-2</c:v>
                </c:pt>
                <c:pt idx="27">
                  <c:v>4.0286105421952698E-2</c:v>
                </c:pt>
                <c:pt idx="28">
                  <c:v>4.0273019837145367E-2</c:v>
                </c:pt>
                <c:pt idx="29">
                  <c:v>4.0209842364885034E-2</c:v>
                </c:pt>
                <c:pt idx="30">
                  <c:v>3.9481638812060585E-2</c:v>
                </c:pt>
                <c:pt idx="31">
                  <c:v>4.0797567255696637E-2</c:v>
                </c:pt>
                <c:pt idx="32">
                  <c:v>4.0870801161951333E-2</c:v>
                </c:pt>
                <c:pt idx="33">
                  <c:v>4.2700647649986594E-2</c:v>
                </c:pt>
                <c:pt idx="34">
                  <c:v>4.5489178690445907E-2</c:v>
                </c:pt>
                <c:pt idx="35">
                  <c:v>4.7121220395466297E-2</c:v>
                </c:pt>
                <c:pt idx="36">
                  <c:v>4.6376051721593148E-2</c:v>
                </c:pt>
                <c:pt idx="37">
                  <c:v>4.3112335754057381E-2</c:v>
                </c:pt>
                <c:pt idx="38">
                  <c:v>4.2131700035525417E-2</c:v>
                </c:pt>
                <c:pt idx="39">
                  <c:v>4.2676933856585733E-2</c:v>
                </c:pt>
                <c:pt idx="40">
                  <c:v>4.1141977442967929E-2</c:v>
                </c:pt>
                <c:pt idx="41">
                  <c:v>4.2317659942420233E-2</c:v>
                </c:pt>
                <c:pt idx="42">
                  <c:v>4.2641586280406339E-2</c:v>
                </c:pt>
                <c:pt idx="43">
                  <c:v>4.7348886845717676E-2</c:v>
                </c:pt>
                <c:pt idx="44">
                  <c:v>4.6368716701194329E-2</c:v>
                </c:pt>
                <c:pt idx="45">
                  <c:v>4.8485591357395608E-2</c:v>
                </c:pt>
                <c:pt idx="46">
                  <c:v>5.2492043212303476E-2</c:v>
                </c:pt>
                <c:pt idx="47">
                  <c:v>5.2875814387560172E-2</c:v>
                </c:pt>
                <c:pt idx="48">
                  <c:v>5.2242926708370364E-2</c:v>
                </c:pt>
                <c:pt idx="49">
                  <c:v>5.554341651887159E-2</c:v>
                </c:pt>
                <c:pt idx="50">
                  <c:v>5.8347612540911017E-2</c:v>
                </c:pt>
                <c:pt idx="51">
                  <c:v>5.7440653316947192E-2</c:v>
                </c:pt>
                <c:pt idx="52">
                  <c:v>5.8907036067449077E-2</c:v>
                </c:pt>
                <c:pt idx="53">
                  <c:v>6.2063013562395353E-2</c:v>
                </c:pt>
                <c:pt idx="54">
                  <c:v>6.6660441309183527E-2</c:v>
                </c:pt>
                <c:pt idx="55">
                  <c:v>7.2755907382792168E-2</c:v>
                </c:pt>
                <c:pt idx="56">
                  <c:v>7.1138575111154095E-2</c:v>
                </c:pt>
                <c:pt idx="57">
                  <c:v>7.2533234755498638E-2</c:v>
                </c:pt>
                <c:pt idx="58">
                  <c:v>6.7990503334291699E-2</c:v>
                </c:pt>
                <c:pt idx="59">
                  <c:v>6.6249044138350643E-2</c:v>
                </c:pt>
                <c:pt idx="60">
                  <c:v>6.1464764783785479E-2</c:v>
                </c:pt>
                <c:pt idx="61">
                  <c:v>5.7881374545749008E-2</c:v>
                </c:pt>
                <c:pt idx="62">
                  <c:v>5.5717896804964244E-2</c:v>
                </c:pt>
                <c:pt idx="63">
                  <c:v>5.772703246086059E-2</c:v>
                </c:pt>
                <c:pt idx="64">
                  <c:v>6.0222559858385781E-2</c:v>
                </c:pt>
                <c:pt idx="65">
                  <c:v>5.960758848364698E-2</c:v>
                </c:pt>
                <c:pt idx="66">
                  <c:v>6.0513638120429231E-2</c:v>
                </c:pt>
                <c:pt idx="67">
                  <c:v>6.1221089096560807E-2</c:v>
                </c:pt>
                <c:pt idx="68">
                  <c:v>6.1196307329574519E-2</c:v>
                </c:pt>
                <c:pt idx="69">
                  <c:v>6.4833039925703967E-2</c:v>
                </c:pt>
                <c:pt idx="70">
                  <c:v>6.5619914047401084E-2</c:v>
                </c:pt>
                <c:pt idx="71">
                  <c:v>6.5239920888979022E-2</c:v>
                </c:pt>
                <c:pt idx="72">
                  <c:v>6.688875509814321E-2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22-441D-899D-B2A944115A2C}"/>
            </c:ext>
          </c:extLst>
        </c:ser>
        <c:ser>
          <c:idx val="0"/>
          <c:order val="1"/>
          <c:tx>
            <c:strRef>
              <c:f>工作表4!$E$4</c:f>
              <c:strCache>
                <c:ptCount val="1"/>
                <c:pt idx="0">
                  <c:v>美債10Y殖利率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工作表4!$E$5:$E$77</c:f>
              <c:numCache>
                <c:formatCode>0.00%</c:formatCode>
                <c:ptCount val="73"/>
                <c:pt idx="0">
                  <c:v>3.4500000000000003E-2</c:v>
                </c:pt>
                <c:pt idx="1">
                  <c:v>3.9900000000000005E-2</c:v>
                </c:pt>
                <c:pt idx="2">
                  <c:v>3.85E-2</c:v>
                </c:pt>
                <c:pt idx="3">
                  <c:v>2.2499999999999999E-2</c:v>
                </c:pt>
                <c:pt idx="4">
                  <c:v>2.7099999999999999E-2</c:v>
                </c:pt>
                <c:pt idx="5">
                  <c:v>3.5299999999999998E-2</c:v>
                </c:pt>
                <c:pt idx="6">
                  <c:v>3.3099999999999997E-2</c:v>
                </c:pt>
                <c:pt idx="7">
                  <c:v>3.85E-2</c:v>
                </c:pt>
                <c:pt idx="8">
                  <c:v>3.8399999999999997E-2</c:v>
                </c:pt>
                <c:pt idx="9">
                  <c:v>2.9700000000000001E-2</c:v>
                </c:pt>
                <c:pt idx="10">
                  <c:v>2.53E-2</c:v>
                </c:pt>
                <c:pt idx="11">
                  <c:v>3.3000000000000002E-2</c:v>
                </c:pt>
                <c:pt idx="12">
                  <c:v>3.4700000000000002E-2</c:v>
                </c:pt>
                <c:pt idx="13">
                  <c:v>3.1800000000000002E-2</c:v>
                </c:pt>
                <c:pt idx="14">
                  <c:v>1.9199999999999998E-2</c:v>
                </c:pt>
                <c:pt idx="15">
                  <c:v>1.89E-2</c:v>
                </c:pt>
                <c:pt idx="16">
                  <c:v>2.23E-2</c:v>
                </c:pt>
                <c:pt idx="17">
                  <c:v>1.67E-2</c:v>
                </c:pt>
                <c:pt idx="18">
                  <c:v>1.6500000000000001E-2</c:v>
                </c:pt>
                <c:pt idx="19">
                  <c:v>1.78E-2</c:v>
                </c:pt>
                <c:pt idx="20">
                  <c:v>1.8700000000000001E-2</c:v>
                </c:pt>
                <c:pt idx="21">
                  <c:v>2.52E-2</c:v>
                </c:pt>
                <c:pt idx="22">
                  <c:v>2.64E-2</c:v>
                </c:pt>
                <c:pt idx="23">
                  <c:v>3.04E-2</c:v>
                </c:pt>
                <c:pt idx="24">
                  <c:v>2.7300000000000001E-2</c:v>
                </c:pt>
                <c:pt idx="25">
                  <c:v>2.53E-2</c:v>
                </c:pt>
                <c:pt idx="26">
                  <c:v>2.52E-2</c:v>
                </c:pt>
                <c:pt idx="27">
                  <c:v>2.1700000000000001E-2</c:v>
                </c:pt>
                <c:pt idx="28">
                  <c:v>1.9400000000000001E-2</c:v>
                </c:pt>
                <c:pt idx="29">
                  <c:v>2.35E-2</c:v>
                </c:pt>
                <c:pt idx="30">
                  <c:v>2.06E-2</c:v>
                </c:pt>
                <c:pt idx="31">
                  <c:v>2.2700000000000001E-2</c:v>
                </c:pt>
                <c:pt idx="32">
                  <c:v>1.78E-2</c:v>
                </c:pt>
                <c:pt idx="33">
                  <c:v>1.49E-2</c:v>
                </c:pt>
                <c:pt idx="34">
                  <c:v>1.6E-2</c:v>
                </c:pt>
                <c:pt idx="35">
                  <c:v>2.4500000000000001E-2</c:v>
                </c:pt>
                <c:pt idx="36">
                  <c:v>2.4E-2</c:v>
                </c:pt>
                <c:pt idx="37">
                  <c:v>2.3099999999999999E-2</c:v>
                </c:pt>
                <c:pt idx="38">
                  <c:v>2.3300000000000001E-2</c:v>
                </c:pt>
                <c:pt idx="39">
                  <c:v>2.4E-2</c:v>
                </c:pt>
                <c:pt idx="40">
                  <c:v>2.7400000000000001E-2</c:v>
                </c:pt>
                <c:pt idx="41">
                  <c:v>2.8500000000000001E-2</c:v>
                </c:pt>
                <c:pt idx="42">
                  <c:v>3.0499999999999999E-2</c:v>
                </c:pt>
                <c:pt idx="43">
                  <c:v>2.69E-2</c:v>
                </c:pt>
                <c:pt idx="44">
                  <c:v>2.41E-2</c:v>
                </c:pt>
                <c:pt idx="45">
                  <c:v>0.02</c:v>
                </c:pt>
                <c:pt idx="46">
                  <c:v>1.6799999999999999E-2</c:v>
                </c:pt>
                <c:pt idx="47">
                  <c:v>1.9199999999999998E-2</c:v>
                </c:pt>
                <c:pt idx="48">
                  <c:v>6.9999999999999993E-3</c:v>
                </c:pt>
                <c:pt idx="49">
                  <c:v>6.6E-3</c:v>
                </c:pt>
                <c:pt idx="50">
                  <c:v>6.8999999999999999E-3</c:v>
                </c:pt>
                <c:pt idx="51">
                  <c:v>9.300000000000001E-3</c:v>
                </c:pt>
                <c:pt idx="52">
                  <c:v>1.7399999999999999E-2</c:v>
                </c:pt>
                <c:pt idx="53">
                  <c:v>1.4499999999999999E-2</c:v>
                </c:pt>
                <c:pt idx="54">
                  <c:v>1.52E-2</c:v>
                </c:pt>
                <c:pt idx="55">
                  <c:v>1.52E-2</c:v>
                </c:pt>
                <c:pt idx="56">
                  <c:v>2.3199999999999998E-2</c:v>
                </c:pt>
                <c:pt idx="57">
                  <c:v>2.98E-2</c:v>
                </c:pt>
                <c:pt idx="58">
                  <c:v>3.8300000000000001E-2</c:v>
                </c:pt>
                <c:pt idx="59">
                  <c:v>3.8800000000000001E-2</c:v>
                </c:pt>
                <c:pt idx="60">
                  <c:v>3.4799999999999998E-2</c:v>
                </c:pt>
                <c:pt idx="61">
                  <c:v>3.8100000000000002E-2</c:v>
                </c:pt>
                <c:pt idx="62">
                  <c:v>4.5899999999999996E-2</c:v>
                </c:pt>
                <c:pt idx="63">
                  <c:v>3.8800000000000001E-2</c:v>
                </c:pt>
                <c:pt idx="64">
                  <c:v>4.2000000000000003E-2</c:v>
                </c:pt>
                <c:pt idx="65">
                  <c:v>4.36E-2</c:v>
                </c:pt>
                <c:pt idx="66">
                  <c:v>3.8100000000000002E-2</c:v>
                </c:pt>
                <c:pt idx="67">
                  <c:v>4.58E-2</c:v>
                </c:pt>
                <c:pt idx="68">
                  <c:v>4.2300000000000004E-2</c:v>
                </c:pt>
                <c:pt idx="69">
                  <c:v>4.24E-2</c:v>
                </c:pt>
                <c:pt idx="70">
                  <c:v>4.1599999999999998E-2</c:v>
                </c:pt>
                <c:pt idx="71">
                  <c:v>4.1799999999999997E-2</c:v>
                </c:pt>
                <c:pt idx="72">
                  <c:v>4.2999999999999997E-2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22-441D-899D-B2A944115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4636511"/>
        <c:axId val="1014634431"/>
      </c:lineChart>
      <c:catAx>
        <c:axId val="101463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14634431"/>
        <c:crosses val="autoZero"/>
        <c:auto val="1"/>
        <c:lblAlgn val="ctr"/>
        <c:lblOffset val="100"/>
        <c:noMultiLvlLbl val="0"/>
      </c:catAx>
      <c:valAx>
        <c:axId val="101463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1463651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A48C964-6EB2-4DBE-908B-8282183F07B2}">
  <sheetPr/>
  <sheetViews>
    <sheetView zoomScale="159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BF8C6DD-E7AE-409A-932A-FAC6FF1E4175}">
  <sheetPr/>
  <sheetViews>
    <sheetView zoomScale="15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7436069" cy="4887310"/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F3C409F-D563-4781-B44E-634A158CA7C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0.52482</cdr:x>
      <cdr:y>0</cdr:y>
    </cdr:from>
    <cdr:to>
      <cdr:x>0.52482</cdr:x>
      <cdr:y>0.83611</cdr:y>
    </cdr:to>
    <cdr:cxnSp macro="">
      <cdr:nvCxnSpPr>
        <cdr:cNvPr id="3" name="直線接點 2">
          <a:extLst xmlns:a="http://schemas.openxmlformats.org/drawingml/2006/main">
            <a:ext uri="{FF2B5EF4-FFF2-40B4-BE49-F238E27FC236}">
              <a16:creationId xmlns:a16="http://schemas.microsoft.com/office/drawing/2014/main" id="{67552B9C-ED89-4E6B-9AB0-D11E5AE452F0}"/>
            </a:ext>
          </a:extLst>
        </cdr:cNvPr>
        <cdr:cNvCxnSpPr/>
      </cdr:nvCxnSpPr>
      <cdr:spPr>
        <a:xfrm xmlns:a="http://schemas.openxmlformats.org/drawingml/2006/main">
          <a:off x="3901058" y="0"/>
          <a:ext cx="0" cy="4083170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FF0000"/>
          </a:solidFill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0.63121</cdr:x>
      <cdr:y>0.00393</cdr:y>
    </cdr:from>
    <cdr:to>
      <cdr:x>0.6873</cdr:x>
      <cdr:y>0.83513</cdr:y>
    </cdr:to>
    <cdr:sp macro="" textlink="">
      <cdr:nvSpPr>
        <cdr:cNvPr id="8" name="矩形 7">
          <a:extLst xmlns:a="http://schemas.openxmlformats.org/drawingml/2006/main">
            <a:ext uri="{FF2B5EF4-FFF2-40B4-BE49-F238E27FC236}">
              <a16:creationId xmlns:a16="http://schemas.microsoft.com/office/drawing/2014/main" id="{6AA1E65C-5B38-4AFA-85A7-D49BEDE05648}"/>
            </a:ext>
          </a:extLst>
        </cdr:cNvPr>
        <cdr:cNvSpPr/>
      </cdr:nvSpPr>
      <cdr:spPr>
        <a:xfrm xmlns:a="http://schemas.openxmlformats.org/drawingml/2006/main">
          <a:off x="4691812" y="19169"/>
          <a:ext cx="416944" cy="4059208"/>
        </a:xfrm>
        <a:prstGeom xmlns:a="http://schemas.openxmlformats.org/drawingml/2006/main" prst="rect">
          <a:avLst/>
        </a:prstGeom>
        <a:solidFill xmlns:a="http://schemas.openxmlformats.org/drawingml/2006/main">
          <a:srgbClr val="92D050">
            <a:alpha val="2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zh-TW"/>
        </a:p>
      </cdr:txBody>
    </cdr:sp>
  </cdr:relSizeAnchor>
  <cdr:relSizeAnchor xmlns:cdr="http://schemas.openxmlformats.org/drawingml/2006/chartDrawing">
    <cdr:from>
      <cdr:x>0.90716</cdr:x>
      <cdr:y>0</cdr:y>
    </cdr:from>
    <cdr:to>
      <cdr:x>0.92908</cdr:x>
      <cdr:y>0.83317</cdr:y>
    </cdr:to>
    <cdr:sp macro="" textlink="">
      <cdr:nvSpPr>
        <cdr:cNvPr id="9" name="矩形 8">
          <a:extLst xmlns:a="http://schemas.openxmlformats.org/drawingml/2006/main">
            <a:ext uri="{FF2B5EF4-FFF2-40B4-BE49-F238E27FC236}">
              <a16:creationId xmlns:a16="http://schemas.microsoft.com/office/drawing/2014/main" id="{F79AF042-C11F-47E9-848C-5344F0467536}"/>
            </a:ext>
          </a:extLst>
        </cdr:cNvPr>
        <cdr:cNvSpPr/>
      </cdr:nvSpPr>
      <cdr:spPr>
        <a:xfrm xmlns:a="http://schemas.openxmlformats.org/drawingml/2006/main">
          <a:off x="6742980" y="0"/>
          <a:ext cx="162945" cy="4068792"/>
        </a:xfrm>
        <a:prstGeom xmlns:a="http://schemas.openxmlformats.org/drawingml/2006/main" prst="rect">
          <a:avLst/>
        </a:prstGeom>
        <a:solidFill xmlns:a="http://schemas.openxmlformats.org/drawingml/2006/main">
          <a:srgbClr val="92D050">
            <a:alpha val="2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zh-TW"/>
        </a:p>
      </cdr:txBody>
    </cdr:sp>
  </cdr:relSizeAnchor>
  <cdr:relSizeAnchor xmlns:cdr="http://schemas.openxmlformats.org/drawingml/2006/chartDrawing">
    <cdr:from>
      <cdr:x>0.3746</cdr:x>
      <cdr:y>0</cdr:y>
    </cdr:from>
    <cdr:to>
      <cdr:x>0.52289</cdr:x>
      <cdr:y>0.83317</cdr:y>
    </cdr:to>
    <cdr:sp macro="" textlink="">
      <cdr:nvSpPr>
        <cdr:cNvPr id="10" name="矩形 9">
          <a:extLst xmlns:a="http://schemas.openxmlformats.org/drawingml/2006/main">
            <a:ext uri="{FF2B5EF4-FFF2-40B4-BE49-F238E27FC236}">
              <a16:creationId xmlns:a16="http://schemas.microsoft.com/office/drawing/2014/main" id="{703BDF78-8FD2-4EFE-AF77-84F686233C79}"/>
            </a:ext>
          </a:extLst>
        </cdr:cNvPr>
        <cdr:cNvSpPr/>
      </cdr:nvSpPr>
      <cdr:spPr>
        <a:xfrm xmlns:a="http://schemas.openxmlformats.org/drawingml/2006/main">
          <a:off x="2784415" y="0"/>
          <a:ext cx="1102264" cy="4068792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>
            <a:alpha val="2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zh-TW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7433094" cy="4883509"/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E7E9523-7386-45EB-A5F2-C0959935C06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0.55065</cdr:x>
      <cdr:y>0.00196</cdr:y>
    </cdr:from>
    <cdr:to>
      <cdr:x>0.5519</cdr:x>
      <cdr:y>0.83415</cdr:y>
    </cdr:to>
    <cdr:cxnSp macro="">
      <cdr:nvCxnSpPr>
        <cdr:cNvPr id="3" name="直線接點 2">
          <a:extLst xmlns:a="http://schemas.openxmlformats.org/drawingml/2006/main">
            <a:ext uri="{FF2B5EF4-FFF2-40B4-BE49-F238E27FC236}">
              <a16:creationId xmlns:a16="http://schemas.microsoft.com/office/drawing/2014/main" id="{67552B9C-ED89-4E6B-9AB0-D11E5AE452F0}"/>
            </a:ext>
          </a:extLst>
        </cdr:cNvPr>
        <cdr:cNvCxnSpPr/>
      </cdr:nvCxnSpPr>
      <cdr:spPr>
        <a:xfrm xmlns:a="http://schemas.openxmlformats.org/drawingml/2006/main" flipH="1">
          <a:off x="4093050" y="9584"/>
          <a:ext cx="9273" cy="4064000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FF0000"/>
          </a:solidFill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0.66667</cdr:x>
      <cdr:y>0</cdr:y>
    </cdr:from>
    <cdr:to>
      <cdr:x>0.72276</cdr:x>
      <cdr:y>0.83513</cdr:y>
    </cdr:to>
    <cdr:sp macro="" textlink="">
      <cdr:nvSpPr>
        <cdr:cNvPr id="8" name="矩形 7">
          <a:extLst xmlns:a="http://schemas.openxmlformats.org/drawingml/2006/main">
            <a:ext uri="{FF2B5EF4-FFF2-40B4-BE49-F238E27FC236}">
              <a16:creationId xmlns:a16="http://schemas.microsoft.com/office/drawing/2014/main" id="{6AA1E65C-5B38-4AFA-85A7-D49BEDE05648}"/>
            </a:ext>
          </a:extLst>
        </cdr:cNvPr>
        <cdr:cNvSpPr/>
      </cdr:nvSpPr>
      <cdr:spPr>
        <a:xfrm xmlns:a="http://schemas.openxmlformats.org/drawingml/2006/main">
          <a:off x="4955427" y="0"/>
          <a:ext cx="416923" cy="4078365"/>
        </a:xfrm>
        <a:prstGeom xmlns:a="http://schemas.openxmlformats.org/drawingml/2006/main" prst="rect">
          <a:avLst/>
        </a:prstGeom>
        <a:solidFill xmlns:a="http://schemas.openxmlformats.org/drawingml/2006/main">
          <a:srgbClr val="92D050">
            <a:alpha val="2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zh-TW"/>
        </a:p>
      </cdr:txBody>
    </cdr:sp>
  </cdr:relSizeAnchor>
  <cdr:relSizeAnchor xmlns:cdr="http://schemas.openxmlformats.org/drawingml/2006/chartDrawing">
    <cdr:from>
      <cdr:x>0.95874</cdr:x>
      <cdr:y>0</cdr:y>
    </cdr:from>
    <cdr:to>
      <cdr:x>0.98066</cdr:x>
      <cdr:y>0.83317</cdr:y>
    </cdr:to>
    <cdr:sp macro="" textlink="">
      <cdr:nvSpPr>
        <cdr:cNvPr id="9" name="矩形 8">
          <a:extLst xmlns:a="http://schemas.openxmlformats.org/drawingml/2006/main">
            <a:ext uri="{FF2B5EF4-FFF2-40B4-BE49-F238E27FC236}">
              <a16:creationId xmlns:a16="http://schemas.microsoft.com/office/drawing/2014/main" id="{F79AF042-C11F-47E9-848C-5344F0467536}"/>
            </a:ext>
          </a:extLst>
        </cdr:cNvPr>
        <cdr:cNvSpPr/>
      </cdr:nvSpPr>
      <cdr:spPr>
        <a:xfrm xmlns:a="http://schemas.openxmlformats.org/drawingml/2006/main">
          <a:off x="7126376" y="0"/>
          <a:ext cx="162945" cy="4068792"/>
        </a:xfrm>
        <a:prstGeom xmlns:a="http://schemas.openxmlformats.org/drawingml/2006/main" prst="rect">
          <a:avLst/>
        </a:prstGeom>
        <a:solidFill xmlns:a="http://schemas.openxmlformats.org/drawingml/2006/main">
          <a:srgbClr val="92D050">
            <a:alpha val="2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zh-TW"/>
        </a:p>
      </cdr:txBody>
    </cdr:sp>
  </cdr:relSizeAnchor>
  <cdr:relSizeAnchor xmlns:cdr="http://schemas.openxmlformats.org/drawingml/2006/chartDrawing">
    <cdr:from>
      <cdr:x>0.41973</cdr:x>
      <cdr:y>0.00393</cdr:y>
    </cdr:from>
    <cdr:to>
      <cdr:x>0.54275</cdr:x>
      <cdr:y>0.1892</cdr:y>
    </cdr:to>
    <cdr:sp macro="" textlink="">
      <cdr:nvSpPr>
        <cdr:cNvPr id="6" name="文字方塊 5">
          <a:extLst xmlns:a="http://schemas.openxmlformats.org/drawingml/2006/main">
            <a:ext uri="{FF2B5EF4-FFF2-40B4-BE49-F238E27FC236}">
              <a16:creationId xmlns:a16="http://schemas.microsoft.com/office/drawing/2014/main" id="{706DA103-35BF-458C-8832-7AE638BA67AC}"/>
            </a:ext>
          </a:extLst>
        </cdr:cNvPr>
        <cdr:cNvSpPr txBox="1"/>
      </cdr:nvSpPr>
      <cdr:spPr>
        <a:xfrm xmlns:a="http://schemas.openxmlformats.org/drawingml/2006/main">
          <a:off x="3119903" y="19169"/>
          <a:ext cx="914419" cy="9048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zh-TW" altLang="en-US" sz="950" b="1">
              <a:latin typeface="微軟正黑體" panose="020B0604030504040204" pitchFamily="34" charset="-120"/>
              <a:ea typeface="微軟正黑體" panose="020B0604030504040204" pitchFamily="34" charset="-120"/>
            </a:rPr>
            <a:t>過渡期</a:t>
          </a:r>
          <a:endParaRPr lang="en-US" altLang="zh-TW" sz="950" b="1">
            <a:latin typeface="微軟正黑體" panose="020B0604030504040204" pitchFamily="34" charset="-120"/>
            <a:ea typeface="微軟正黑體" panose="020B0604030504040204" pitchFamily="34" charset="-120"/>
          </a:endParaRPr>
        </a:p>
        <a:p xmlns:a="http://schemas.openxmlformats.org/drawingml/2006/main">
          <a:r>
            <a:rPr lang="en-US" altLang="zh-TW" sz="950" b="1">
              <a:latin typeface="微軟正黑體" panose="020B0604030504040204" pitchFamily="34" charset="-120"/>
              <a:ea typeface="微軟正黑體" panose="020B0604030504040204" pitchFamily="34" charset="-120"/>
            </a:rPr>
            <a:t>(2015~2018)</a:t>
          </a:r>
          <a:br>
            <a:rPr lang="en-US" altLang="zh-TW" sz="950" b="1">
              <a:latin typeface="微軟正黑體" panose="020B0604030504040204" pitchFamily="34" charset="-120"/>
              <a:ea typeface="微軟正黑體" panose="020B0604030504040204" pitchFamily="34" charset="-120"/>
            </a:rPr>
          </a:br>
          <a:endParaRPr lang="zh-TW" altLang="en-US" sz="950" b="1">
            <a:latin typeface="微軟正黑體" panose="020B0604030504040204" pitchFamily="34" charset="-120"/>
            <a:ea typeface="微軟正黑體" panose="020B0604030504040204" pitchFamily="34" charset="-120"/>
          </a:endParaRPr>
        </a:p>
      </cdr:txBody>
    </cdr:sp>
  </cdr:relSizeAnchor>
  <cdr:relSizeAnchor xmlns:cdr="http://schemas.openxmlformats.org/drawingml/2006/chartDrawing">
    <cdr:from>
      <cdr:x>0.62515</cdr:x>
      <cdr:y>0.14877</cdr:y>
    </cdr:from>
    <cdr:to>
      <cdr:x>0.74816</cdr:x>
      <cdr:y>0.19823</cdr:y>
    </cdr:to>
    <cdr:sp macro="" textlink="">
      <cdr:nvSpPr>
        <cdr:cNvPr id="11" name="文字方塊 1">
          <a:extLst xmlns:a="http://schemas.openxmlformats.org/drawingml/2006/main">
            <a:ext uri="{FF2B5EF4-FFF2-40B4-BE49-F238E27FC236}">
              <a16:creationId xmlns:a16="http://schemas.microsoft.com/office/drawing/2014/main" id="{76A7F9A8-8291-46D3-ABCC-EA85F06F9F7A}"/>
            </a:ext>
          </a:extLst>
        </cdr:cNvPr>
        <cdr:cNvSpPr txBox="1"/>
      </cdr:nvSpPr>
      <cdr:spPr>
        <a:xfrm xmlns:a="http://schemas.openxmlformats.org/drawingml/2006/main">
          <a:off x="4646762" y="726536"/>
          <a:ext cx="914400" cy="2415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zh-TW" sz="950" b="1">
              <a:latin typeface="微軟正黑體" panose="020B0604030504040204" pitchFamily="34" charset="-120"/>
              <a:ea typeface="微軟正黑體" panose="020B0604030504040204" pitchFamily="34" charset="-120"/>
            </a:rPr>
            <a:t>SLR</a:t>
          </a:r>
          <a:r>
            <a:rPr lang="zh-TW" altLang="en-US" sz="950" b="1">
              <a:latin typeface="微軟正黑體" panose="020B0604030504040204" pitchFamily="34" charset="-120"/>
              <a:ea typeface="微軟正黑體" panose="020B0604030504040204" pitchFamily="34" charset="-120"/>
            </a:rPr>
            <a:t>臨時豁免</a:t>
          </a:r>
          <a:endParaRPr lang="en-US" altLang="zh-TW" sz="950" b="1">
            <a:latin typeface="微軟正黑體" panose="020B0604030504040204" pitchFamily="34" charset="-120"/>
            <a:ea typeface="微軟正黑體" panose="020B0604030504040204" pitchFamily="34" charset="-120"/>
          </a:endParaRPr>
        </a:p>
      </cdr:txBody>
    </cdr:sp>
  </cdr:relSizeAnchor>
  <cdr:relSizeAnchor xmlns:cdr="http://schemas.openxmlformats.org/drawingml/2006/chartDrawing">
    <cdr:from>
      <cdr:x>0.9265</cdr:x>
      <cdr:y>0.18018</cdr:y>
    </cdr:from>
    <cdr:to>
      <cdr:x>0.99936</cdr:x>
      <cdr:y>0.22964</cdr:y>
    </cdr:to>
    <cdr:sp macro="" textlink="">
      <cdr:nvSpPr>
        <cdr:cNvPr id="12" name="文字方塊 1">
          <a:extLst xmlns:a="http://schemas.openxmlformats.org/drawingml/2006/main">
            <a:ext uri="{FF2B5EF4-FFF2-40B4-BE49-F238E27FC236}">
              <a16:creationId xmlns:a16="http://schemas.microsoft.com/office/drawing/2014/main" id="{F432B1DC-9511-4CCE-A684-E7968F23A982}"/>
            </a:ext>
          </a:extLst>
        </cdr:cNvPr>
        <cdr:cNvSpPr txBox="1"/>
      </cdr:nvSpPr>
      <cdr:spPr>
        <a:xfrm xmlns:a="http://schemas.openxmlformats.org/drawingml/2006/main">
          <a:off x="6886753" y="879894"/>
          <a:ext cx="541547" cy="2415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zh-TW" sz="950" b="1">
              <a:latin typeface="微軟正黑體" panose="020B0604030504040204" pitchFamily="34" charset="-120"/>
              <a:ea typeface="微軟正黑體" panose="020B0604030504040204" pitchFamily="34" charset="-120"/>
            </a:rPr>
            <a:t>SLR</a:t>
          </a:r>
          <a:r>
            <a:rPr lang="zh-TW" altLang="en-US" sz="950" b="1">
              <a:latin typeface="微軟正黑體" panose="020B0604030504040204" pitchFamily="34" charset="-120"/>
              <a:ea typeface="微軟正黑體" panose="020B0604030504040204" pitchFamily="34" charset="-120"/>
            </a:rPr>
            <a:t>改革</a:t>
          </a:r>
          <a:endParaRPr lang="en-US" altLang="zh-TW" sz="950" b="1">
            <a:latin typeface="微軟正黑體" panose="020B0604030504040204" pitchFamily="34" charset="-120"/>
            <a:ea typeface="微軟正黑體" panose="020B0604030504040204" pitchFamily="34" charset="-120"/>
          </a:endParaRPr>
        </a:p>
      </cdr:txBody>
    </cdr:sp>
  </cdr:relSizeAnchor>
  <cdr:relSizeAnchor xmlns:cdr="http://schemas.openxmlformats.org/drawingml/2006/chartDrawing">
    <cdr:from>
      <cdr:x>0.96041</cdr:x>
      <cdr:y>0.00196</cdr:y>
    </cdr:from>
    <cdr:to>
      <cdr:x>0.96166</cdr:x>
      <cdr:y>0.83415</cdr:y>
    </cdr:to>
    <cdr:cxnSp macro="">
      <cdr:nvCxnSpPr>
        <cdr:cNvPr id="13" name="直線接點 12">
          <a:extLst xmlns:a="http://schemas.openxmlformats.org/drawingml/2006/main">
            <a:ext uri="{FF2B5EF4-FFF2-40B4-BE49-F238E27FC236}">
              <a16:creationId xmlns:a16="http://schemas.microsoft.com/office/drawing/2014/main" id="{1983BB74-CF48-410F-B182-0E4CD815BF90}"/>
            </a:ext>
          </a:extLst>
        </cdr:cNvPr>
        <cdr:cNvCxnSpPr/>
      </cdr:nvCxnSpPr>
      <cdr:spPr>
        <a:xfrm xmlns:a="http://schemas.openxmlformats.org/drawingml/2006/main" flipH="1">
          <a:off x="7138838" y="9585"/>
          <a:ext cx="9292" cy="4064007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FF0000"/>
          </a:solidFill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0.68382</cdr:x>
      <cdr:y>0.00255</cdr:y>
    </cdr:from>
    <cdr:to>
      <cdr:x>0.80684</cdr:x>
      <cdr:y>0.18783</cdr:y>
    </cdr:to>
    <cdr:sp macro="" textlink="">
      <cdr:nvSpPr>
        <cdr:cNvPr id="14" name="文字方塊 1">
          <a:extLst xmlns:a="http://schemas.openxmlformats.org/drawingml/2006/main">
            <a:ext uri="{FF2B5EF4-FFF2-40B4-BE49-F238E27FC236}">
              <a16:creationId xmlns:a16="http://schemas.microsoft.com/office/drawing/2014/main" id="{D17C60CD-6CE2-4EFE-B29B-DB3325126478}"/>
            </a:ext>
          </a:extLst>
        </cdr:cNvPr>
        <cdr:cNvSpPr txBox="1"/>
      </cdr:nvSpPr>
      <cdr:spPr>
        <a:xfrm xmlns:a="http://schemas.openxmlformats.org/drawingml/2006/main">
          <a:off x="5082875" y="12460"/>
          <a:ext cx="914419" cy="9048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zh-TW" sz="950" b="1">
              <a:latin typeface="微軟正黑體" panose="020B0604030504040204" pitchFamily="34" charset="-120"/>
              <a:ea typeface="微軟正黑體" panose="020B0604030504040204" pitchFamily="34" charset="-120"/>
            </a:rPr>
            <a:t>SLR</a:t>
          </a:r>
          <a:r>
            <a:rPr lang="zh-TW" altLang="en-US" sz="950" b="1">
              <a:latin typeface="微軟正黑體" panose="020B0604030504040204" pitchFamily="34" charset="-120"/>
              <a:ea typeface="微軟正黑體" panose="020B0604030504040204" pitchFamily="34" charset="-120"/>
            </a:rPr>
            <a:t>正式實施</a:t>
          </a:r>
          <a:r>
            <a:rPr lang="en-US" altLang="zh-TW" sz="950" b="1">
              <a:latin typeface="微軟正黑體" panose="020B0604030504040204" pitchFamily="34" charset="-120"/>
              <a:ea typeface="微軟正黑體" panose="020B0604030504040204" pitchFamily="34" charset="-120"/>
            </a:rPr>
            <a:t>(2018-2025)</a:t>
          </a:r>
          <a:endParaRPr lang="zh-TW" altLang="en-US" sz="950" b="1">
            <a:latin typeface="微軟正黑體" panose="020B0604030504040204" pitchFamily="34" charset="-120"/>
            <a:ea typeface="微軟正黑體" panose="020B0604030504040204" pitchFamily="34" charset="-120"/>
          </a:endParaRPr>
        </a:p>
      </cdr:txBody>
    </cdr:sp>
  </cdr:relSizeAnchor>
  <cdr:relSizeAnchor xmlns:cdr="http://schemas.openxmlformats.org/drawingml/2006/chartDrawing">
    <cdr:from>
      <cdr:x>0.40271</cdr:x>
      <cdr:y>0.00451</cdr:y>
    </cdr:from>
    <cdr:to>
      <cdr:x>0.40396</cdr:x>
      <cdr:y>0.8367</cdr:y>
    </cdr:to>
    <cdr:cxnSp macro="">
      <cdr:nvCxnSpPr>
        <cdr:cNvPr id="15" name="直線接點 14">
          <a:extLst xmlns:a="http://schemas.openxmlformats.org/drawingml/2006/main">
            <a:ext uri="{FF2B5EF4-FFF2-40B4-BE49-F238E27FC236}">
              <a16:creationId xmlns:a16="http://schemas.microsoft.com/office/drawing/2014/main" id="{AD4BB4D0-0ABC-464B-8AC1-472C5F66EE5D}"/>
            </a:ext>
          </a:extLst>
        </cdr:cNvPr>
        <cdr:cNvCxnSpPr/>
      </cdr:nvCxnSpPr>
      <cdr:spPr>
        <a:xfrm xmlns:a="http://schemas.openxmlformats.org/drawingml/2006/main" flipH="1">
          <a:off x="2993366" y="22045"/>
          <a:ext cx="9292" cy="4064007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FF0000"/>
          </a:solidFill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easuryHoldersReconciled" displayName="TreasuryHoldersReconciled" ref="A5:O78">
  <tableColumns count="15">
    <tableColumn id="1" xr3:uid="{00000000-0010-0000-0000-000001000000}" name="季度末"/>
    <tableColumn id="2" xr3:uid="{00000000-0010-0000-0000-000002000000}" name="季度"/>
    <tableColumn id="3" xr3:uid="{00000000-0010-0000-0000-000003000000}" name="美國政府有價證券總額_x000a_Issuer total liabilities_x000a_（$mm）"/>
    <tableColumn id="4" xr3:uid="{00000000-0010-0000-0000-000004000000}" name="所有持有人資產合計_x000a_All-sector holder assets_x000a_（$mm）"/>
    <tableColumn id="5" xr3:uid="{00000000-0010-0000-0000-000005000000}" name="商業銀行／存款機構_x000a_（$mm）"/>
    <tableColumn id="6" xr3:uid="{00000000-0010-0000-0000-000006000000}" name="Broker-dealers_x000a_淨持有（$mm）"/>
    <tableColumn id="7" xr3:uid="{00000000-0010-0000-0000-000007000000}" name="貨幣市場基金_x000a_（$mm）"/>
    <tableColumn id="8" xr3:uid="{00000000-0010-0000-0000-000008000000}" name="共同基金、ETF、封閉型基金_x000a_（$mm）"/>
    <tableColumn id="9" xr3:uid="{00000000-0010-0000-0000-000009000000}" name="保險與退休基金_x000a_（$mm）"/>
    <tableColumn id="10" xr3:uid="{00000000-0010-0000-0000-00000A000000}" name="家戶與非營利組織_x000a_（$mm）"/>
    <tableColumn id="11" xr3:uid="{00000000-0010-0000-0000-00000B000000}" name="Fed_x000a_（$mm）"/>
    <tableColumn id="12" xr3:uid="{00000000-0010-0000-0000-00000C000000}" name="外國官方_x000a_（$mm）"/>
    <tableColumn id="13" xr3:uid="{00000000-0010-0000-0000-00000D000000}" name="外國私人_x000a_（$mm）"/>
    <tableColumn id="14" xr3:uid="{00000000-0010-0000-0000-00000E000000}" name="其他已揭露持有人_x000a_（$mm）">
      <calculatedColumnFormula>D6-SUM(E6:M6)</calculatedColumnFormula>
    </tableColumn>
    <tableColumn id="15" xr3:uid="{00000000-0010-0000-0000-00000F000000}" name="Z.1 統計／估值差異_x000a_（$mm）">
      <calculatedColumnFormula>C6-D6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reasuryHoldersReconciled_3" displayName="TreasuryHoldersReconciled_3" ref="A5:U79" headerRowDxfId="1">
  <tableColumns count="21">
    <tableColumn id="1" xr3:uid="{00000000-0010-0000-0100-000001000000}" name="季度末"/>
    <tableColumn id="2" xr3:uid="{00000000-0010-0000-0100-000002000000}" name="日期"/>
    <tableColumn id="3" xr3:uid="{00000000-0010-0000-0100-000003000000}" name="美國政府有價證券總額_x000a_Issuer total liabilities_x000a_（$mm）"/>
    <tableColumn id="4" xr3:uid="{00000000-0010-0000-0100-000004000000}" name="外國私人_x000a_（$mm）"/>
    <tableColumn id="5" xr3:uid="{00000000-0010-0000-0100-000005000000}" name="%">
      <calculatedColumnFormula>D6/$C6</calculatedColumnFormula>
    </tableColumn>
    <tableColumn id="6" xr3:uid="{00000000-0010-0000-0100-000006000000}" name="外國 央行"/>
    <tableColumn id="7" xr3:uid="{00000000-0010-0000-0100-000007000000}" name="外國央行">
      <calculatedColumnFormula>F6/$C6</calculatedColumnFormula>
    </tableColumn>
    <tableColumn id="8" xr3:uid="{00000000-0010-0000-0100-000008000000}" name="Fed_x000a_（$mm）"/>
    <tableColumn id="9" xr3:uid="{00000000-0010-0000-0100-000009000000}" name="%3">
      <calculatedColumnFormula>H6/$C6</calculatedColumnFormula>
    </tableColumn>
    <tableColumn id="10" xr3:uid="{00000000-0010-0000-0100-00000A000000}" name="貨幣市場基金_x000a_（$mm）"/>
    <tableColumn id="11" xr3:uid="{00000000-0010-0000-0100-00000B000000}" name="%4">
      <calculatedColumnFormula>J6/$C6</calculatedColumnFormula>
    </tableColumn>
    <tableColumn id="12" xr3:uid="{00000000-0010-0000-0100-00000C000000}" name="家戶與非營利組織_x000a_（$mm）"/>
    <tableColumn id="13" xr3:uid="{00000000-0010-0000-0100-00000D000000}" name="%5">
      <calculatedColumnFormula>L6/$C6</calculatedColumnFormula>
    </tableColumn>
    <tableColumn id="14" xr3:uid="{00000000-0010-0000-0100-00000E000000}" name="共同基金、ETF、封閉型基金_x000a_（$mm）"/>
    <tableColumn id="15" xr3:uid="{00000000-0010-0000-0100-00000F000000}" name="%6">
      <calculatedColumnFormula>N6/$C6</calculatedColumnFormula>
    </tableColumn>
    <tableColumn id="16" xr3:uid="{00000000-0010-0000-0100-000010000000}" name="商業銀行／存款機構"/>
    <tableColumn id="17" xr3:uid="{00000000-0010-0000-0100-000011000000}" name="商業銀行/存款機構">
      <calculatedColumnFormula>P6/$C6</calculatedColumnFormula>
    </tableColumn>
    <tableColumn id="18" xr3:uid="{00000000-0010-0000-0100-000012000000}" name="保險與退休基金_x000a_（$mm）"/>
    <tableColumn id="19" xr3:uid="{00000000-0010-0000-0100-000013000000}" name="%8">
      <calculatedColumnFormula>R6/$C6</calculatedColumnFormula>
    </tableColumn>
    <tableColumn id="20" xr3:uid="{00000000-0010-0000-0100-000014000000}" name="Broker-dealers_x000a_淨持有（$mm）"/>
    <tableColumn id="21" xr3:uid="{00000000-0010-0000-0100-000015000000}" name="%9">
      <calculatedColumnFormula>T6/$C6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C51F57-C2A2-440F-B96A-8BFDEE81F5C7}" name="TreasuryHoldersReconciled_35" displayName="TreasuryHoldersReconciled_35" ref="A5:U79" headerRowDxfId="0">
  <tableColumns count="21">
    <tableColumn id="1" xr3:uid="{150F27FC-6081-43A5-8C8D-3BBD4818CF46}" name="季度末"/>
    <tableColumn id="2" xr3:uid="{ECFA6A3C-F0F8-4B5D-BDB3-3858AE7E36D6}" name="日期"/>
    <tableColumn id="3" xr3:uid="{2421C4F2-8D06-406F-B05C-1147CDB28E93}" name="美國政府有價證券總額_x000a_Issuer total liabilities_x000a_（$mm）"/>
    <tableColumn id="4" xr3:uid="{7AC453E9-5B6F-4617-BBB9-E020B52804CD}" name="外國私人_x000a_（$mm）"/>
    <tableColumn id="5" xr3:uid="{AA3F96D0-21E3-4F1D-8A79-698D60614787}" name="%">
      <calculatedColumnFormula>D6/$C6</calculatedColumnFormula>
    </tableColumn>
    <tableColumn id="6" xr3:uid="{F6A390AE-FD4B-43B3-8E87-E617B0200331}" name="外國 央行"/>
    <tableColumn id="7" xr3:uid="{FF086E68-6099-464F-9108-8F1827F3DEF5}" name="外國央行">
      <calculatedColumnFormula>F6/$C6</calculatedColumnFormula>
    </tableColumn>
    <tableColumn id="8" xr3:uid="{58F867D2-F827-4EB0-8CA6-7C07AD751491}" name="Fed_x000a_（$mm）"/>
    <tableColumn id="9" xr3:uid="{5FDB1929-4329-4DC7-8506-4B89046186BC}" name="%3">
      <calculatedColumnFormula>H6/$C6</calculatedColumnFormula>
    </tableColumn>
    <tableColumn id="10" xr3:uid="{FF2C6104-542A-4A03-8147-05FF98E7C6B2}" name="貨幣市場基金_x000a_（$mm）"/>
    <tableColumn id="11" xr3:uid="{6EECB0F6-4252-4238-A911-C7BC223952C4}" name="%4">
      <calculatedColumnFormula>J6/$C6</calculatedColumnFormula>
    </tableColumn>
    <tableColumn id="12" xr3:uid="{56629C72-F39C-4B7E-9697-5D1B0386A065}" name="家戶與非營利組織_x000a_（$mm）"/>
    <tableColumn id="13" xr3:uid="{7FB32521-7996-4391-BE5D-1564D0B04DCB}" name="%5">
      <calculatedColumnFormula>L6/$C6</calculatedColumnFormula>
    </tableColumn>
    <tableColumn id="14" xr3:uid="{C10C68AF-577F-46BC-B9E9-5D2A6883B2C6}" name="共同基金、ETF、封閉型基金_x000a_（$mm）"/>
    <tableColumn id="15" xr3:uid="{A5A014DF-596F-4B5E-9892-33547D2B49E4}" name="%6">
      <calculatedColumnFormula>N6/$C6</calculatedColumnFormula>
    </tableColumn>
    <tableColumn id="16" xr3:uid="{B15ECCC7-4579-4225-A699-4D8027AA6746}" name="商業銀行／存款機構"/>
    <tableColumn id="17" xr3:uid="{92326B1F-BE6F-4457-ABB4-5B87A7F84476}" name="商業銀行/存款機構">
      <calculatedColumnFormula>P6/$C6</calculatedColumnFormula>
    </tableColumn>
    <tableColumn id="18" xr3:uid="{24791EB3-8A63-4930-9E1F-A3711709E2E6}" name="保險與退休基金_x000a_（$mm）"/>
    <tableColumn id="19" xr3:uid="{961980AD-E910-4BFF-9744-CAC5F08B8D8E}" name="%8">
      <calculatedColumnFormula>R6/$C6</calculatedColumnFormula>
    </tableColumn>
    <tableColumn id="20" xr3:uid="{38E90129-4620-4117-A9F0-900C5201687D}" name="Broker-dealers_x000a_淨持有（$mm）"/>
    <tableColumn id="21" xr3:uid="{A6950EE5-D29B-49E8-8F71-1F024F58A988}" name="%9">
      <calculatedColumnFormula>T6/$C6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P98"/>
  <sheetViews>
    <sheetView workbookViewId="0">
      <selection activeCell="D5" sqref="D5"/>
    </sheetView>
  </sheetViews>
  <sheetFormatPr defaultColWidth="9" defaultRowHeight="13.5"/>
  <cols>
    <col min="1" max="1" width="13" customWidth="1"/>
    <col min="2" max="2" width="10" customWidth="1"/>
    <col min="3" max="3" width="22" customWidth="1"/>
    <col min="4" max="4" width="21" customWidth="1"/>
    <col min="5" max="5" width="20" customWidth="1"/>
    <col min="6" max="6" width="18" customWidth="1"/>
    <col min="7" max="7" width="17" customWidth="1"/>
    <col min="8" max="8" width="27" customWidth="1"/>
    <col min="9" max="10" width="20" customWidth="1"/>
    <col min="11" max="11" width="15" customWidth="1"/>
    <col min="12" max="13" width="16" customWidth="1"/>
    <col min="14" max="14" width="20" customWidth="1"/>
    <col min="15" max="15" width="21" customWidth="1"/>
  </cols>
  <sheetData>
    <row r="1" spans="1:16" ht="27" customHeight="1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3"/>
    </row>
    <row r="2" spans="1:16" ht="21.95" customHeight="1">
      <c r="A2" s="56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3"/>
    </row>
    <row r="3" spans="1:16" ht="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ht="50.1" customHeight="1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3"/>
    </row>
    <row r="6" spans="1:16" ht="17.100000000000001" customHeight="1">
      <c r="A6" s="5">
        <v>39538</v>
      </c>
      <c r="B6" s="6" t="s">
        <v>17</v>
      </c>
      <c r="C6" s="7">
        <v>4691656</v>
      </c>
      <c r="D6" s="7">
        <v>4642360</v>
      </c>
      <c r="E6" s="7">
        <v>120440</v>
      </c>
      <c r="F6" s="7">
        <v>-20874</v>
      </c>
      <c r="G6" s="7">
        <v>302500</v>
      </c>
      <c r="H6" s="7">
        <v>218723</v>
      </c>
      <c r="I6" s="7">
        <v>472857</v>
      </c>
      <c r="J6" s="7">
        <v>-214488</v>
      </c>
      <c r="K6" s="7">
        <v>591234</v>
      </c>
      <c r="L6" s="7">
        <v>1887107</v>
      </c>
      <c r="M6" s="7">
        <v>669426</v>
      </c>
      <c r="N6" s="9">
        <f t="shared" ref="N6:N69" si="0">D6-SUM(E6:M6)</f>
        <v>615435</v>
      </c>
      <c r="O6" s="9">
        <f t="shared" ref="O6:O69" si="1">C6-D6</f>
        <v>49296</v>
      </c>
      <c r="P6" s="3"/>
    </row>
    <row r="7" spans="1:16" ht="17.100000000000001" customHeight="1">
      <c r="A7" s="5">
        <v>39629</v>
      </c>
      <c r="B7" s="6" t="s">
        <v>18</v>
      </c>
      <c r="C7" s="7">
        <v>4656134</v>
      </c>
      <c r="D7" s="7">
        <v>4515534</v>
      </c>
      <c r="E7" s="7">
        <v>101197</v>
      </c>
      <c r="F7" s="7">
        <v>-47335</v>
      </c>
      <c r="G7" s="7">
        <v>289666</v>
      </c>
      <c r="H7" s="7">
        <v>202106</v>
      </c>
      <c r="I7" s="7">
        <v>472553</v>
      </c>
      <c r="J7" s="7">
        <v>-180487</v>
      </c>
      <c r="K7" s="7">
        <v>478841</v>
      </c>
      <c r="L7" s="7">
        <v>1917057</v>
      </c>
      <c r="M7" s="7">
        <v>670443</v>
      </c>
      <c r="N7" s="9">
        <f t="shared" si="0"/>
        <v>611493</v>
      </c>
      <c r="O7" s="9">
        <f t="shared" si="1"/>
        <v>140600</v>
      </c>
      <c r="P7" s="3"/>
    </row>
    <row r="8" spans="1:16" ht="17.100000000000001" customHeight="1">
      <c r="A8" s="5">
        <v>39721</v>
      </c>
      <c r="B8" s="6" t="s">
        <v>19</v>
      </c>
      <c r="C8" s="7">
        <v>5192997</v>
      </c>
      <c r="D8" s="7">
        <v>5099441</v>
      </c>
      <c r="E8" s="7">
        <v>116749</v>
      </c>
      <c r="F8" s="7">
        <v>-36489</v>
      </c>
      <c r="G8" s="7">
        <v>470378</v>
      </c>
      <c r="H8" s="7">
        <v>225306</v>
      </c>
      <c r="I8" s="7">
        <v>479686</v>
      </c>
      <c r="J8" s="7">
        <v>-70117</v>
      </c>
      <c r="K8" s="7">
        <v>476627</v>
      </c>
      <c r="L8" s="7">
        <v>2089983</v>
      </c>
      <c r="M8" s="7">
        <v>743896</v>
      </c>
      <c r="N8" s="9">
        <f t="shared" si="0"/>
        <v>603422</v>
      </c>
      <c r="O8" s="9">
        <f t="shared" si="1"/>
        <v>93556</v>
      </c>
      <c r="P8" s="3"/>
    </row>
    <row r="9" spans="1:16" ht="17.100000000000001" customHeight="1">
      <c r="A9" s="5">
        <v>39813</v>
      </c>
      <c r="B9" s="6" t="s">
        <v>20</v>
      </c>
      <c r="C9" s="7">
        <v>5757055</v>
      </c>
      <c r="D9" s="7">
        <v>5869029</v>
      </c>
      <c r="E9" s="7">
        <v>102278</v>
      </c>
      <c r="F9" s="7">
        <v>30708</v>
      </c>
      <c r="G9" s="7">
        <v>590959</v>
      </c>
      <c r="H9" s="7">
        <v>232885</v>
      </c>
      <c r="I9" s="7">
        <v>503153</v>
      </c>
      <c r="J9" s="7">
        <v>78316</v>
      </c>
      <c r="K9" s="7">
        <v>475921</v>
      </c>
      <c r="L9" s="7">
        <v>2400516</v>
      </c>
      <c r="M9" s="7">
        <v>852458</v>
      </c>
      <c r="N9" s="9">
        <f t="shared" si="0"/>
        <v>601835</v>
      </c>
      <c r="O9" s="9">
        <f t="shared" si="1"/>
        <v>-111974</v>
      </c>
      <c r="P9" s="3"/>
    </row>
    <row r="10" spans="1:16" ht="17.100000000000001" customHeight="1">
      <c r="A10" s="5">
        <v>39903</v>
      </c>
      <c r="B10" s="6" t="s">
        <v>21</v>
      </c>
      <c r="C10" s="7">
        <v>6227207</v>
      </c>
      <c r="D10" s="7">
        <v>6263230</v>
      </c>
      <c r="E10" s="7">
        <v>125631</v>
      </c>
      <c r="F10" s="7">
        <v>67869</v>
      </c>
      <c r="G10" s="7">
        <v>532664</v>
      </c>
      <c r="H10" s="7">
        <v>268316</v>
      </c>
      <c r="I10" s="7">
        <v>522119</v>
      </c>
      <c r="J10" s="7">
        <v>256317</v>
      </c>
      <c r="K10" s="7">
        <v>492323</v>
      </c>
      <c r="L10" s="7">
        <v>2536022</v>
      </c>
      <c r="M10" s="7">
        <v>881817</v>
      </c>
      <c r="N10" s="9">
        <f t="shared" si="0"/>
        <v>580152</v>
      </c>
      <c r="O10" s="9">
        <f t="shared" si="1"/>
        <v>-36023</v>
      </c>
      <c r="P10" s="3"/>
    </row>
    <row r="11" spans="1:16" ht="17.100000000000001" customHeight="1">
      <c r="A11" s="5">
        <v>39994</v>
      </c>
      <c r="B11" s="6" t="s">
        <v>22</v>
      </c>
      <c r="C11" s="7">
        <v>6571808</v>
      </c>
      <c r="D11" s="7">
        <v>6465448</v>
      </c>
      <c r="E11" s="7">
        <v>134267</v>
      </c>
      <c r="F11" s="7">
        <v>71358</v>
      </c>
      <c r="G11" s="7">
        <v>500464</v>
      </c>
      <c r="H11" s="7">
        <v>292868</v>
      </c>
      <c r="I11" s="7">
        <v>527941</v>
      </c>
      <c r="J11" s="7">
        <v>185497</v>
      </c>
      <c r="K11" s="7">
        <v>656466</v>
      </c>
      <c r="L11" s="7">
        <v>2634733</v>
      </c>
      <c r="M11" s="7">
        <v>827250</v>
      </c>
      <c r="N11" s="9">
        <f t="shared" si="0"/>
        <v>634604</v>
      </c>
      <c r="O11" s="9">
        <f t="shared" si="1"/>
        <v>106360</v>
      </c>
      <c r="P11" s="3"/>
    </row>
    <row r="12" spans="1:16" ht="17.100000000000001" customHeight="1">
      <c r="A12" s="5">
        <v>40086</v>
      </c>
      <c r="B12" s="6" t="s">
        <v>23</v>
      </c>
      <c r="C12" s="7">
        <v>6968783</v>
      </c>
      <c r="D12" s="7">
        <v>6889483</v>
      </c>
      <c r="E12" s="7">
        <v>194473</v>
      </c>
      <c r="F12" s="7">
        <v>22428</v>
      </c>
      <c r="G12" s="7">
        <v>435474</v>
      </c>
      <c r="H12" s="7">
        <v>327389</v>
      </c>
      <c r="I12" s="7">
        <v>542165</v>
      </c>
      <c r="J12" s="7">
        <v>356436</v>
      </c>
      <c r="K12" s="7">
        <v>769160</v>
      </c>
      <c r="L12" s="7">
        <v>2778554</v>
      </c>
      <c r="M12" s="7">
        <v>807303</v>
      </c>
      <c r="N12" s="9">
        <f t="shared" si="0"/>
        <v>656101</v>
      </c>
      <c r="O12" s="9">
        <f t="shared" si="1"/>
        <v>79300</v>
      </c>
      <c r="P12" s="3"/>
    </row>
    <row r="13" spans="1:16" ht="17.100000000000001" customHeight="1">
      <c r="A13" s="5">
        <v>40178</v>
      </c>
      <c r="B13" s="6" t="s">
        <v>24</v>
      </c>
      <c r="C13" s="7">
        <v>7232689</v>
      </c>
      <c r="D13" s="7">
        <v>7069562</v>
      </c>
      <c r="E13" s="7">
        <v>197136</v>
      </c>
      <c r="F13" s="7">
        <v>42183</v>
      </c>
      <c r="G13" s="7">
        <v>414572</v>
      </c>
      <c r="H13" s="7">
        <v>335096</v>
      </c>
      <c r="I13" s="7">
        <v>553723</v>
      </c>
      <c r="J13" s="7">
        <v>431973</v>
      </c>
      <c r="K13" s="7">
        <v>776588</v>
      </c>
      <c r="L13" s="7">
        <v>2879612</v>
      </c>
      <c r="M13" s="7">
        <v>790985</v>
      </c>
      <c r="N13" s="9">
        <f t="shared" si="0"/>
        <v>647694</v>
      </c>
      <c r="O13" s="9">
        <f t="shared" si="1"/>
        <v>163127</v>
      </c>
      <c r="P13" s="3"/>
    </row>
    <row r="14" spans="1:16" ht="17.100000000000001" customHeight="1">
      <c r="A14" s="5">
        <v>40268</v>
      </c>
      <c r="B14" s="6" t="s">
        <v>25</v>
      </c>
      <c r="C14" s="7">
        <v>7714997</v>
      </c>
      <c r="D14" s="7">
        <v>7555259</v>
      </c>
      <c r="E14" s="7">
        <v>263934</v>
      </c>
      <c r="F14" s="7">
        <v>71534</v>
      </c>
      <c r="G14" s="7">
        <v>379203</v>
      </c>
      <c r="H14" s="7">
        <v>390166</v>
      </c>
      <c r="I14" s="7">
        <v>576896</v>
      </c>
      <c r="J14" s="7">
        <v>523689</v>
      </c>
      <c r="K14" s="7">
        <v>776705</v>
      </c>
      <c r="L14" s="7">
        <v>2984062</v>
      </c>
      <c r="M14" s="7">
        <v>877640</v>
      </c>
      <c r="N14" s="9">
        <f t="shared" si="0"/>
        <v>711430</v>
      </c>
      <c r="O14" s="9">
        <f t="shared" si="1"/>
        <v>159738</v>
      </c>
      <c r="P14" s="3"/>
    </row>
    <row r="15" spans="1:16" ht="17.100000000000001" customHeight="1">
      <c r="A15" s="5">
        <v>40359</v>
      </c>
      <c r="B15" s="6" t="s">
        <v>26</v>
      </c>
      <c r="C15" s="7">
        <v>8059428</v>
      </c>
      <c r="D15" s="7">
        <v>8059340</v>
      </c>
      <c r="E15" s="7">
        <v>261173</v>
      </c>
      <c r="F15" s="7">
        <v>54541</v>
      </c>
      <c r="G15" s="7">
        <v>356585</v>
      </c>
      <c r="H15" s="7">
        <v>453592</v>
      </c>
      <c r="I15" s="7">
        <v>600436</v>
      </c>
      <c r="J15" s="7">
        <v>778573</v>
      </c>
      <c r="K15" s="7">
        <v>776989</v>
      </c>
      <c r="L15" s="7">
        <v>3077445</v>
      </c>
      <c r="M15" s="7">
        <v>992290</v>
      </c>
      <c r="N15" s="9">
        <f t="shared" si="0"/>
        <v>707716</v>
      </c>
      <c r="O15" s="9">
        <f t="shared" si="1"/>
        <v>88</v>
      </c>
      <c r="P15" s="3"/>
    </row>
    <row r="16" spans="1:16" ht="17.100000000000001" customHeight="1">
      <c r="A16" s="5">
        <v>40451</v>
      </c>
      <c r="B16" s="6" t="s">
        <v>27</v>
      </c>
      <c r="C16" s="7">
        <v>8457152</v>
      </c>
      <c r="D16" s="7">
        <v>8533327</v>
      </c>
      <c r="E16" s="7">
        <v>306719</v>
      </c>
      <c r="F16" s="7">
        <v>71618</v>
      </c>
      <c r="G16" s="7">
        <v>314578</v>
      </c>
      <c r="H16" s="7">
        <v>473267</v>
      </c>
      <c r="I16" s="7">
        <v>620657</v>
      </c>
      <c r="J16" s="7">
        <v>777589</v>
      </c>
      <c r="K16" s="7">
        <v>811669</v>
      </c>
      <c r="L16" s="7">
        <v>3332090</v>
      </c>
      <c r="M16" s="7">
        <v>1077090</v>
      </c>
      <c r="N16" s="9">
        <f t="shared" si="0"/>
        <v>748050</v>
      </c>
      <c r="O16" s="9">
        <f t="shared" si="1"/>
        <v>-76175</v>
      </c>
      <c r="P16" s="3"/>
    </row>
    <row r="17" spans="1:16" ht="17.100000000000001" customHeight="1">
      <c r="A17" s="5">
        <v>40543</v>
      </c>
      <c r="B17" s="6" t="s">
        <v>28</v>
      </c>
      <c r="C17" s="7">
        <v>8822662</v>
      </c>
      <c r="D17" s="7">
        <v>8720622</v>
      </c>
      <c r="E17" s="7">
        <v>299540</v>
      </c>
      <c r="F17" s="7">
        <v>51931</v>
      </c>
      <c r="G17" s="7">
        <v>380546</v>
      </c>
      <c r="H17" s="7">
        <v>475387</v>
      </c>
      <c r="I17" s="7">
        <v>637649</v>
      </c>
      <c r="J17" s="7">
        <v>653847</v>
      </c>
      <c r="K17" s="7">
        <v>1021493</v>
      </c>
      <c r="L17" s="7">
        <v>3364758</v>
      </c>
      <c r="M17" s="7">
        <v>1094066</v>
      </c>
      <c r="N17" s="9">
        <f t="shared" si="0"/>
        <v>741405</v>
      </c>
      <c r="O17" s="9">
        <f t="shared" si="1"/>
        <v>102040</v>
      </c>
      <c r="P17" s="3"/>
    </row>
    <row r="18" spans="1:16" ht="17.100000000000001" customHeight="1">
      <c r="A18" s="5">
        <v>40633</v>
      </c>
      <c r="B18" s="6" t="s">
        <v>29</v>
      </c>
      <c r="C18" s="7">
        <v>9090815</v>
      </c>
      <c r="D18" s="7">
        <v>8941847</v>
      </c>
      <c r="E18" s="7">
        <v>304625</v>
      </c>
      <c r="F18" s="7">
        <v>61912</v>
      </c>
      <c r="G18" s="7">
        <v>369324</v>
      </c>
      <c r="H18" s="7">
        <v>459125</v>
      </c>
      <c r="I18" s="7">
        <v>658008</v>
      </c>
      <c r="J18" s="7">
        <v>487290</v>
      </c>
      <c r="K18" s="7">
        <v>1340446</v>
      </c>
      <c r="L18" s="7">
        <v>3402420</v>
      </c>
      <c r="M18" s="7">
        <v>1138460</v>
      </c>
      <c r="N18" s="9">
        <f t="shared" si="0"/>
        <v>720237</v>
      </c>
      <c r="O18" s="9">
        <f t="shared" si="1"/>
        <v>148968</v>
      </c>
      <c r="P18" s="3"/>
    </row>
    <row r="19" spans="1:16" ht="17.100000000000001" customHeight="1">
      <c r="A19" s="5">
        <v>40724</v>
      </c>
      <c r="B19" s="6" t="s">
        <v>30</v>
      </c>
      <c r="C19" s="7">
        <v>9295140</v>
      </c>
      <c r="D19" s="7">
        <v>9228325</v>
      </c>
      <c r="E19" s="7">
        <v>270324</v>
      </c>
      <c r="F19" s="7">
        <v>71088</v>
      </c>
      <c r="G19" s="7">
        <v>363175</v>
      </c>
      <c r="H19" s="7">
        <v>464015</v>
      </c>
      <c r="I19" s="7">
        <v>685186</v>
      </c>
      <c r="J19" s="7">
        <v>355466</v>
      </c>
      <c r="K19" s="7">
        <v>1619538</v>
      </c>
      <c r="L19" s="7">
        <v>3514579</v>
      </c>
      <c r="M19" s="7">
        <v>1175983</v>
      </c>
      <c r="N19" s="9">
        <f t="shared" si="0"/>
        <v>708971</v>
      </c>
      <c r="O19" s="9">
        <f t="shared" si="1"/>
        <v>66815</v>
      </c>
      <c r="P19" s="3"/>
    </row>
    <row r="20" spans="1:16" ht="17.100000000000001" customHeight="1">
      <c r="A20" s="5">
        <v>40816</v>
      </c>
      <c r="B20" s="6" t="s">
        <v>31</v>
      </c>
      <c r="C20" s="7">
        <v>9588341</v>
      </c>
      <c r="D20" s="7">
        <v>9797738</v>
      </c>
      <c r="E20" s="7">
        <v>273351</v>
      </c>
      <c r="F20" s="7">
        <v>79315</v>
      </c>
      <c r="G20" s="7">
        <v>402652</v>
      </c>
      <c r="H20" s="7">
        <v>467701</v>
      </c>
      <c r="I20" s="7">
        <v>701709</v>
      </c>
      <c r="J20" s="7">
        <v>518307</v>
      </c>
      <c r="K20" s="7">
        <v>1664660</v>
      </c>
      <c r="L20" s="7">
        <v>3639140</v>
      </c>
      <c r="M20" s="7">
        <v>1335259</v>
      </c>
      <c r="N20" s="9">
        <f t="shared" si="0"/>
        <v>715644</v>
      </c>
      <c r="O20" s="9">
        <f t="shared" si="1"/>
        <v>-209397</v>
      </c>
      <c r="P20" s="3"/>
    </row>
    <row r="21" spans="1:16" ht="17.100000000000001" customHeight="1">
      <c r="A21" s="5">
        <v>40908</v>
      </c>
      <c r="B21" s="6" t="s">
        <v>32</v>
      </c>
      <c r="C21" s="7">
        <v>9906085</v>
      </c>
      <c r="D21" s="7">
        <v>10128620</v>
      </c>
      <c r="E21" s="7">
        <v>252768</v>
      </c>
      <c r="F21" s="7">
        <v>157679</v>
      </c>
      <c r="G21" s="7">
        <v>496874</v>
      </c>
      <c r="H21" s="7">
        <v>537702</v>
      </c>
      <c r="I21" s="7">
        <v>722743</v>
      </c>
      <c r="J21" s="7">
        <v>540699</v>
      </c>
      <c r="K21" s="7">
        <v>1663446</v>
      </c>
      <c r="L21" s="7">
        <v>3620580</v>
      </c>
      <c r="M21" s="7">
        <v>1383774</v>
      </c>
      <c r="N21" s="9">
        <f t="shared" si="0"/>
        <v>752355</v>
      </c>
      <c r="O21" s="9">
        <f t="shared" si="1"/>
        <v>-222535</v>
      </c>
      <c r="P21" s="3"/>
    </row>
    <row r="22" spans="1:16" ht="17.100000000000001" customHeight="1">
      <c r="A22" s="5">
        <v>40999</v>
      </c>
      <c r="B22" s="6" t="s">
        <v>33</v>
      </c>
      <c r="C22" s="7">
        <v>10306692</v>
      </c>
      <c r="D22" s="7">
        <v>10627784</v>
      </c>
      <c r="E22" s="7">
        <v>281701</v>
      </c>
      <c r="F22" s="7">
        <v>158672</v>
      </c>
      <c r="G22" s="7">
        <v>544720</v>
      </c>
      <c r="H22" s="7">
        <v>593925</v>
      </c>
      <c r="I22" s="7">
        <v>767575</v>
      </c>
      <c r="J22" s="7">
        <v>498455</v>
      </c>
      <c r="K22" s="7">
        <v>1892042</v>
      </c>
      <c r="L22" s="7">
        <v>3722551</v>
      </c>
      <c r="M22" s="7">
        <v>1422509</v>
      </c>
      <c r="N22" s="9">
        <f t="shared" si="0"/>
        <v>745634</v>
      </c>
      <c r="O22" s="9">
        <f t="shared" si="1"/>
        <v>-321092</v>
      </c>
      <c r="P22" s="3"/>
    </row>
    <row r="23" spans="1:16" ht="17.100000000000001" customHeight="1">
      <c r="A23" s="5">
        <v>41090</v>
      </c>
      <c r="B23" s="6" t="s">
        <v>34</v>
      </c>
      <c r="C23" s="7">
        <v>10490548</v>
      </c>
      <c r="D23" s="7">
        <v>10997303</v>
      </c>
      <c r="E23" s="7">
        <v>297212</v>
      </c>
      <c r="F23" s="7">
        <v>171910</v>
      </c>
      <c r="G23" s="7">
        <v>489640</v>
      </c>
      <c r="H23" s="7">
        <v>611397</v>
      </c>
      <c r="I23" s="7">
        <v>790165</v>
      </c>
      <c r="J23" s="7">
        <v>666429</v>
      </c>
      <c r="K23" s="7">
        <v>1964773</v>
      </c>
      <c r="L23" s="7">
        <v>3857872</v>
      </c>
      <c r="M23" s="7">
        <v>1452999</v>
      </c>
      <c r="N23" s="9">
        <f t="shared" si="0"/>
        <v>694906</v>
      </c>
      <c r="O23" s="9">
        <f t="shared" si="1"/>
        <v>-506755</v>
      </c>
      <c r="P23" s="3"/>
    </row>
    <row r="24" spans="1:16" ht="17.100000000000001" customHeight="1">
      <c r="A24" s="5">
        <v>41182</v>
      </c>
      <c r="B24" s="6" t="s">
        <v>35</v>
      </c>
      <c r="C24" s="7">
        <v>10723156</v>
      </c>
      <c r="D24" s="7">
        <v>11221631</v>
      </c>
      <c r="E24" s="7">
        <v>330666</v>
      </c>
      <c r="F24" s="7">
        <v>153986</v>
      </c>
      <c r="G24" s="7">
        <v>513720</v>
      </c>
      <c r="H24" s="7">
        <v>678827</v>
      </c>
      <c r="I24" s="7">
        <v>792110</v>
      </c>
      <c r="J24" s="7">
        <v>584341</v>
      </c>
      <c r="K24" s="7">
        <v>1967526</v>
      </c>
      <c r="L24" s="7">
        <v>3958112</v>
      </c>
      <c r="M24" s="7">
        <v>1514604</v>
      </c>
      <c r="N24" s="9">
        <f t="shared" si="0"/>
        <v>727739</v>
      </c>
      <c r="O24" s="9">
        <f t="shared" si="1"/>
        <v>-498475</v>
      </c>
      <c r="P24" s="3"/>
    </row>
    <row r="25" spans="1:16" ht="17.100000000000001" customHeight="1">
      <c r="A25" s="5">
        <v>41274</v>
      </c>
      <c r="B25" s="6" t="s">
        <v>36</v>
      </c>
      <c r="C25" s="7">
        <v>11027944</v>
      </c>
      <c r="D25" s="7">
        <v>11446631</v>
      </c>
      <c r="E25" s="7">
        <v>342304</v>
      </c>
      <c r="F25" s="7">
        <v>220902</v>
      </c>
      <c r="G25" s="7">
        <v>510255</v>
      </c>
      <c r="H25" s="7">
        <v>629504</v>
      </c>
      <c r="I25" s="7">
        <v>805281</v>
      </c>
      <c r="J25" s="7">
        <v>677704</v>
      </c>
      <c r="K25" s="7">
        <v>1974315</v>
      </c>
      <c r="L25" s="7">
        <v>4032835</v>
      </c>
      <c r="M25" s="7">
        <v>1538647</v>
      </c>
      <c r="N25" s="9">
        <f t="shared" si="0"/>
        <v>714884</v>
      </c>
      <c r="O25" s="9">
        <f t="shared" si="1"/>
        <v>-418687</v>
      </c>
      <c r="P25" s="3"/>
    </row>
    <row r="26" spans="1:16" ht="17.100000000000001" customHeight="1">
      <c r="A26" s="5">
        <v>41364</v>
      </c>
      <c r="B26" s="6" t="s">
        <v>37</v>
      </c>
      <c r="C26" s="7">
        <v>11373129</v>
      </c>
      <c r="D26" s="7">
        <v>11725972</v>
      </c>
      <c r="E26" s="7">
        <v>331772</v>
      </c>
      <c r="F26" s="7">
        <v>185084</v>
      </c>
      <c r="G26" s="7">
        <v>531816</v>
      </c>
      <c r="H26" s="7">
        <v>651220</v>
      </c>
      <c r="I26" s="7">
        <v>805068</v>
      </c>
      <c r="J26" s="7">
        <v>683487</v>
      </c>
      <c r="K26" s="7">
        <v>2098312</v>
      </c>
      <c r="L26" s="7">
        <v>4093764</v>
      </c>
      <c r="M26" s="7">
        <v>1627547</v>
      </c>
      <c r="N26" s="9">
        <f t="shared" si="0"/>
        <v>717902</v>
      </c>
      <c r="O26" s="9">
        <f t="shared" si="1"/>
        <v>-352843</v>
      </c>
      <c r="P26" s="3"/>
    </row>
    <row r="27" spans="1:16" ht="17.100000000000001" customHeight="1">
      <c r="A27" s="5">
        <v>41455</v>
      </c>
      <c r="B27" s="6" t="s">
        <v>38</v>
      </c>
      <c r="C27" s="7">
        <v>11368166</v>
      </c>
      <c r="D27" s="7">
        <v>11414427</v>
      </c>
      <c r="E27" s="7">
        <v>283610</v>
      </c>
      <c r="F27" s="7">
        <v>169160</v>
      </c>
      <c r="G27" s="7">
        <v>498739</v>
      </c>
      <c r="H27" s="7">
        <v>605492</v>
      </c>
      <c r="I27" s="7">
        <v>781881</v>
      </c>
      <c r="J27" s="7">
        <v>602056</v>
      </c>
      <c r="K27" s="7">
        <v>2143888</v>
      </c>
      <c r="L27" s="7">
        <v>4012216</v>
      </c>
      <c r="M27" s="7">
        <v>1582801</v>
      </c>
      <c r="N27" s="9">
        <f t="shared" si="0"/>
        <v>734584</v>
      </c>
      <c r="O27" s="9">
        <f t="shared" si="1"/>
        <v>-46261</v>
      </c>
      <c r="P27" s="3"/>
    </row>
    <row r="28" spans="1:16" ht="17.100000000000001" customHeight="1">
      <c r="A28" s="5">
        <v>41547</v>
      </c>
      <c r="B28" s="6" t="s">
        <v>39</v>
      </c>
      <c r="C28" s="7">
        <v>11563589</v>
      </c>
      <c r="D28" s="7">
        <v>11560742</v>
      </c>
      <c r="E28" s="7">
        <v>277728</v>
      </c>
      <c r="F28" s="7">
        <v>216452</v>
      </c>
      <c r="G28" s="7">
        <v>526649</v>
      </c>
      <c r="H28" s="7">
        <v>564525</v>
      </c>
      <c r="I28" s="7">
        <v>769909</v>
      </c>
      <c r="J28" s="7">
        <v>530136</v>
      </c>
      <c r="K28" s="7">
        <v>2262042</v>
      </c>
      <c r="L28" s="7">
        <v>4017107</v>
      </c>
      <c r="M28" s="7">
        <v>1635713</v>
      </c>
      <c r="N28" s="9">
        <f t="shared" si="0"/>
        <v>760481</v>
      </c>
      <c r="O28" s="9">
        <f t="shared" si="1"/>
        <v>2847</v>
      </c>
      <c r="P28" s="3"/>
    </row>
    <row r="29" spans="1:16" ht="17.100000000000001" customHeight="1">
      <c r="A29" s="5">
        <v>41639</v>
      </c>
      <c r="B29" s="6" t="s">
        <v>40</v>
      </c>
      <c r="C29" s="7">
        <v>11834187</v>
      </c>
      <c r="D29" s="7">
        <v>11675278</v>
      </c>
      <c r="E29" s="7">
        <v>305146</v>
      </c>
      <c r="F29" s="7">
        <v>181190</v>
      </c>
      <c r="G29" s="7">
        <v>547316</v>
      </c>
      <c r="H29" s="7">
        <v>534936</v>
      </c>
      <c r="I29" s="7">
        <v>767715</v>
      </c>
      <c r="J29" s="7">
        <v>425403</v>
      </c>
      <c r="K29" s="7">
        <v>2341336</v>
      </c>
      <c r="L29" s="7">
        <v>4056270</v>
      </c>
      <c r="M29" s="7">
        <v>1736346</v>
      </c>
      <c r="N29" s="9">
        <f t="shared" si="0"/>
        <v>779620</v>
      </c>
      <c r="O29" s="9">
        <f t="shared" si="1"/>
        <v>158909</v>
      </c>
      <c r="P29" s="3"/>
    </row>
    <row r="30" spans="1:16" ht="17.100000000000001" customHeight="1">
      <c r="A30" s="5">
        <v>41729</v>
      </c>
      <c r="B30" s="6" t="s">
        <v>41</v>
      </c>
      <c r="C30" s="7">
        <v>12098504</v>
      </c>
      <c r="D30" s="7">
        <v>12040950</v>
      </c>
      <c r="E30" s="7">
        <v>352762</v>
      </c>
      <c r="F30" s="7">
        <v>180058</v>
      </c>
      <c r="G30" s="7">
        <v>525350</v>
      </c>
      <c r="H30" s="7">
        <v>643567</v>
      </c>
      <c r="I30" s="7">
        <v>781987</v>
      </c>
      <c r="J30" s="7">
        <v>323595</v>
      </c>
      <c r="K30" s="7">
        <v>2494381</v>
      </c>
      <c r="L30" s="7">
        <v>4053768</v>
      </c>
      <c r="M30" s="7">
        <v>1894543</v>
      </c>
      <c r="N30" s="9">
        <f t="shared" si="0"/>
        <v>790939</v>
      </c>
      <c r="O30" s="9">
        <f t="shared" si="1"/>
        <v>57554</v>
      </c>
      <c r="P30" s="3"/>
    </row>
    <row r="31" spans="1:16" ht="17.100000000000001" customHeight="1">
      <c r="A31" s="5">
        <v>41820</v>
      </c>
      <c r="B31" s="6" t="s">
        <v>42</v>
      </c>
      <c r="C31" s="7">
        <v>12047511</v>
      </c>
      <c r="D31" s="7">
        <v>12102799</v>
      </c>
      <c r="E31" s="7">
        <v>387261</v>
      </c>
      <c r="F31" s="7">
        <v>154273</v>
      </c>
      <c r="G31" s="7">
        <v>427503</v>
      </c>
      <c r="H31" s="7">
        <v>660926</v>
      </c>
      <c r="I31" s="7">
        <v>812199</v>
      </c>
      <c r="J31" s="7">
        <v>240317</v>
      </c>
      <c r="K31" s="7">
        <v>2614159</v>
      </c>
      <c r="L31" s="7">
        <v>4108219</v>
      </c>
      <c r="M31" s="7">
        <v>1910474</v>
      </c>
      <c r="N31" s="9">
        <f t="shared" si="0"/>
        <v>787468</v>
      </c>
      <c r="O31" s="9">
        <f t="shared" si="1"/>
        <v>-55288</v>
      </c>
      <c r="P31" s="3"/>
    </row>
    <row r="32" spans="1:16" ht="17.100000000000001" customHeight="1">
      <c r="A32" s="5">
        <v>41912</v>
      </c>
      <c r="B32" s="6" t="s">
        <v>43</v>
      </c>
      <c r="C32" s="7">
        <v>12255772</v>
      </c>
      <c r="D32" s="7">
        <v>12287350</v>
      </c>
      <c r="E32" s="7">
        <v>448211</v>
      </c>
      <c r="F32" s="7">
        <v>120853</v>
      </c>
      <c r="G32" s="7">
        <v>446312</v>
      </c>
      <c r="H32" s="7">
        <v>729389</v>
      </c>
      <c r="I32" s="7">
        <v>825959</v>
      </c>
      <c r="J32" s="7">
        <v>201676</v>
      </c>
      <c r="K32" s="7">
        <v>2662378</v>
      </c>
      <c r="L32" s="7">
        <v>4148038</v>
      </c>
      <c r="M32" s="7">
        <v>1921113</v>
      </c>
      <c r="N32" s="9">
        <f t="shared" si="0"/>
        <v>783421</v>
      </c>
      <c r="O32" s="9">
        <f t="shared" si="1"/>
        <v>-31578</v>
      </c>
      <c r="P32" s="3"/>
    </row>
    <row r="33" spans="1:16" ht="17.100000000000001" customHeight="1">
      <c r="A33" s="5">
        <v>42004</v>
      </c>
      <c r="B33" s="6" t="s">
        <v>44</v>
      </c>
      <c r="C33" s="7">
        <v>12480854</v>
      </c>
      <c r="D33" s="7">
        <v>12620703</v>
      </c>
      <c r="E33" s="7">
        <v>502805</v>
      </c>
      <c r="F33" s="7">
        <v>118741</v>
      </c>
      <c r="G33" s="7">
        <v>484687</v>
      </c>
      <c r="H33" s="7">
        <v>756783</v>
      </c>
      <c r="I33" s="7">
        <v>844532</v>
      </c>
      <c r="J33" s="7">
        <v>208221</v>
      </c>
      <c r="K33" s="7">
        <v>2736293</v>
      </c>
      <c r="L33" s="7">
        <v>4122566</v>
      </c>
      <c r="M33" s="7">
        <v>2035400</v>
      </c>
      <c r="N33" s="9">
        <f t="shared" si="0"/>
        <v>810675</v>
      </c>
      <c r="O33" s="9">
        <f t="shared" si="1"/>
        <v>-139849</v>
      </c>
      <c r="P33" s="3"/>
    </row>
    <row r="34" spans="1:16" ht="17.100000000000001" customHeight="1">
      <c r="A34" s="5">
        <v>42094</v>
      </c>
      <c r="B34" s="6" t="s">
        <v>45</v>
      </c>
      <c r="C34" s="7">
        <v>12606703</v>
      </c>
      <c r="D34" s="7">
        <v>12865296</v>
      </c>
      <c r="E34" s="7">
        <v>507710</v>
      </c>
      <c r="F34" s="7">
        <v>133216</v>
      </c>
      <c r="G34" s="7">
        <v>508750</v>
      </c>
      <c r="H34" s="7">
        <v>786586</v>
      </c>
      <c r="I34" s="7">
        <v>820473</v>
      </c>
      <c r="J34" s="7">
        <v>329732</v>
      </c>
      <c r="K34" s="7">
        <v>2773131</v>
      </c>
      <c r="L34" s="7">
        <v>4138470</v>
      </c>
      <c r="M34" s="7">
        <v>2034161</v>
      </c>
      <c r="N34" s="9">
        <f t="shared" si="0"/>
        <v>833067</v>
      </c>
      <c r="O34" s="9">
        <f t="shared" si="1"/>
        <v>-258593</v>
      </c>
      <c r="P34" s="3"/>
    </row>
    <row r="35" spans="1:16" ht="17.100000000000001" customHeight="1">
      <c r="A35" s="5">
        <v>42185</v>
      </c>
      <c r="B35" s="6" t="s">
        <v>46</v>
      </c>
      <c r="C35" s="7">
        <v>12670654</v>
      </c>
      <c r="D35" s="7">
        <v>12690765</v>
      </c>
      <c r="E35" s="7">
        <v>509485</v>
      </c>
      <c r="F35" s="7">
        <v>125631</v>
      </c>
      <c r="G35" s="7">
        <v>444548</v>
      </c>
      <c r="H35" s="7">
        <v>802549</v>
      </c>
      <c r="I35" s="7">
        <v>816335</v>
      </c>
      <c r="J35" s="7">
        <v>340446</v>
      </c>
      <c r="K35" s="7">
        <v>2682775</v>
      </c>
      <c r="L35" s="7">
        <v>4178877</v>
      </c>
      <c r="M35" s="7">
        <v>1984264</v>
      </c>
      <c r="N35" s="9">
        <f t="shared" si="0"/>
        <v>805855</v>
      </c>
      <c r="O35" s="9">
        <f t="shared" si="1"/>
        <v>-20111</v>
      </c>
      <c r="P35" s="3"/>
    </row>
    <row r="36" spans="1:16" ht="17.100000000000001" customHeight="1">
      <c r="A36" s="5">
        <v>42277</v>
      </c>
      <c r="B36" s="6" t="s">
        <v>47</v>
      </c>
      <c r="C36" s="7">
        <v>12812842</v>
      </c>
      <c r="D36" s="7">
        <v>12960268</v>
      </c>
      <c r="E36" s="7">
        <v>505872</v>
      </c>
      <c r="F36" s="7">
        <v>116897</v>
      </c>
      <c r="G36" s="7">
        <v>435774</v>
      </c>
      <c r="H36" s="7">
        <v>880381</v>
      </c>
      <c r="I36" s="7">
        <v>804127</v>
      </c>
      <c r="J36" s="7">
        <v>589924</v>
      </c>
      <c r="K36" s="7">
        <v>2720453</v>
      </c>
      <c r="L36" s="7">
        <v>4147458</v>
      </c>
      <c r="M36" s="7">
        <v>1958427</v>
      </c>
      <c r="N36" s="9">
        <f t="shared" si="0"/>
        <v>800955</v>
      </c>
      <c r="O36" s="9">
        <f t="shared" si="1"/>
        <v>-147426</v>
      </c>
      <c r="P36" s="3"/>
    </row>
    <row r="37" spans="1:16" ht="17.100000000000001" customHeight="1">
      <c r="A37" s="5">
        <v>42369</v>
      </c>
      <c r="B37" s="6" t="s">
        <v>48</v>
      </c>
      <c r="C37" s="7">
        <v>13168996</v>
      </c>
      <c r="D37" s="7">
        <v>13152600</v>
      </c>
      <c r="E37" s="7">
        <v>537263</v>
      </c>
      <c r="F37" s="7">
        <v>120897</v>
      </c>
      <c r="G37" s="7">
        <v>530292</v>
      </c>
      <c r="H37" s="7">
        <v>912674</v>
      </c>
      <c r="I37" s="7">
        <v>803010</v>
      </c>
      <c r="J37" s="7">
        <v>613334</v>
      </c>
      <c r="K37" s="7">
        <v>2675909</v>
      </c>
      <c r="L37" s="7">
        <v>4093620</v>
      </c>
      <c r="M37" s="7">
        <v>2052601</v>
      </c>
      <c r="N37" s="9">
        <f t="shared" si="0"/>
        <v>813000</v>
      </c>
      <c r="O37" s="9">
        <f t="shared" si="1"/>
        <v>16396</v>
      </c>
      <c r="P37" s="3"/>
    </row>
    <row r="38" spans="1:16" ht="17.100000000000001" customHeight="1">
      <c r="A38" s="5">
        <v>42460</v>
      </c>
      <c r="B38" s="6" t="s">
        <v>49</v>
      </c>
      <c r="C38" s="7">
        <v>13407102</v>
      </c>
      <c r="D38" s="7">
        <v>13676289</v>
      </c>
      <c r="E38" s="7">
        <v>547959</v>
      </c>
      <c r="F38" s="7">
        <v>134869</v>
      </c>
      <c r="G38" s="7">
        <v>606063</v>
      </c>
      <c r="H38" s="7">
        <v>942196</v>
      </c>
      <c r="I38" s="7">
        <v>821522</v>
      </c>
      <c r="J38" s="7">
        <v>761211</v>
      </c>
      <c r="K38" s="7">
        <v>2757311</v>
      </c>
      <c r="L38" s="7">
        <v>4069170</v>
      </c>
      <c r="M38" s="7">
        <v>2215264</v>
      </c>
      <c r="N38" s="9">
        <f t="shared" si="0"/>
        <v>820724</v>
      </c>
      <c r="O38" s="9">
        <f t="shared" si="1"/>
        <v>-269187</v>
      </c>
      <c r="P38" s="3"/>
    </row>
    <row r="39" spans="1:16" ht="17.100000000000001" customHeight="1">
      <c r="A39" s="5">
        <v>42551</v>
      </c>
      <c r="B39" s="6" t="s">
        <v>50</v>
      </c>
      <c r="C39" s="7">
        <v>13391647</v>
      </c>
      <c r="D39" s="7">
        <v>13847889</v>
      </c>
      <c r="E39" s="7">
        <v>571832</v>
      </c>
      <c r="F39" s="7">
        <v>140879</v>
      </c>
      <c r="G39" s="7">
        <v>555988</v>
      </c>
      <c r="H39" s="7">
        <v>1009409</v>
      </c>
      <c r="I39" s="7">
        <v>859295</v>
      </c>
      <c r="J39" s="7">
        <v>818995</v>
      </c>
      <c r="K39" s="7">
        <v>2806334</v>
      </c>
      <c r="L39" s="7">
        <v>4034737</v>
      </c>
      <c r="M39" s="7">
        <v>2244316</v>
      </c>
      <c r="N39" s="9">
        <f t="shared" si="0"/>
        <v>806104</v>
      </c>
      <c r="O39" s="9">
        <f t="shared" si="1"/>
        <v>-456242</v>
      </c>
      <c r="P39" s="3"/>
    </row>
    <row r="40" spans="1:16" ht="17.100000000000001" customHeight="1">
      <c r="A40" s="5">
        <v>42643</v>
      </c>
      <c r="B40" s="6" t="s">
        <v>51</v>
      </c>
      <c r="C40" s="7">
        <v>13621965</v>
      </c>
      <c r="D40" s="7">
        <v>13976759</v>
      </c>
      <c r="E40" s="7">
        <v>619652</v>
      </c>
      <c r="F40" s="7">
        <v>143078</v>
      </c>
      <c r="G40" s="7">
        <v>709170</v>
      </c>
      <c r="H40" s="7">
        <v>1039774</v>
      </c>
      <c r="I40" s="7">
        <v>892661</v>
      </c>
      <c r="J40" s="7">
        <v>810056</v>
      </c>
      <c r="K40" s="7">
        <v>2780236</v>
      </c>
      <c r="L40" s="7">
        <v>3899391</v>
      </c>
      <c r="M40" s="7">
        <v>2256484</v>
      </c>
      <c r="N40" s="9">
        <f t="shared" si="0"/>
        <v>826257</v>
      </c>
      <c r="O40" s="9">
        <f t="shared" si="1"/>
        <v>-354794</v>
      </c>
      <c r="P40" s="3"/>
    </row>
    <row r="41" spans="1:16" ht="17.100000000000001" customHeight="1">
      <c r="A41" s="5">
        <v>42735</v>
      </c>
      <c r="B41" s="6" t="s">
        <v>52</v>
      </c>
      <c r="C41" s="7">
        <v>13880222</v>
      </c>
      <c r="D41" s="7">
        <v>13738248</v>
      </c>
      <c r="E41" s="7">
        <v>654053</v>
      </c>
      <c r="F41" s="7">
        <v>123967</v>
      </c>
      <c r="G41" s="7">
        <v>850977</v>
      </c>
      <c r="H41" s="7">
        <v>1000659</v>
      </c>
      <c r="I41" s="7">
        <v>887762</v>
      </c>
      <c r="J41" s="7">
        <v>754023</v>
      </c>
      <c r="K41" s="7">
        <v>2640706</v>
      </c>
      <c r="L41" s="7">
        <v>3813442</v>
      </c>
      <c r="M41" s="7">
        <v>2189355</v>
      </c>
      <c r="N41" s="9">
        <f t="shared" si="0"/>
        <v>823304</v>
      </c>
      <c r="O41" s="9">
        <f t="shared" si="1"/>
        <v>141974</v>
      </c>
      <c r="P41" s="3"/>
    </row>
    <row r="42" spans="1:16" ht="17.100000000000001" customHeight="1">
      <c r="A42" s="5">
        <v>42825</v>
      </c>
      <c r="B42" s="6" t="s">
        <v>53</v>
      </c>
      <c r="C42" s="7">
        <v>13923005</v>
      </c>
      <c r="D42" s="7">
        <v>13782524</v>
      </c>
      <c r="E42" s="7">
        <v>645694</v>
      </c>
      <c r="F42" s="7">
        <v>143078</v>
      </c>
      <c r="G42" s="7">
        <v>786773</v>
      </c>
      <c r="H42" s="7">
        <v>1030714</v>
      </c>
      <c r="I42" s="7">
        <v>928941</v>
      </c>
      <c r="J42" s="7">
        <v>723671</v>
      </c>
      <c r="K42" s="7">
        <v>2643568</v>
      </c>
      <c r="L42" s="7">
        <v>3880100</v>
      </c>
      <c r="M42" s="7">
        <v>2195234</v>
      </c>
      <c r="N42" s="9">
        <f t="shared" si="0"/>
        <v>804751</v>
      </c>
      <c r="O42" s="9">
        <f t="shared" si="1"/>
        <v>140481</v>
      </c>
      <c r="P42" s="3"/>
    </row>
    <row r="43" spans="1:16" ht="17.100000000000001" customHeight="1">
      <c r="A43" s="5">
        <v>42916</v>
      </c>
      <c r="B43" s="6" t="s">
        <v>54</v>
      </c>
      <c r="C43" s="7">
        <v>13965794</v>
      </c>
      <c r="D43" s="7">
        <v>13886649</v>
      </c>
      <c r="E43" s="7">
        <v>602098</v>
      </c>
      <c r="F43" s="7">
        <v>164612</v>
      </c>
      <c r="G43" s="7">
        <v>662297</v>
      </c>
      <c r="H43" s="7">
        <v>1091457</v>
      </c>
      <c r="I43" s="7">
        <v>974985</v>
      </c>
      <c r="J43" s="7">
        <v>766163</v>
      </c>
      <c r="K43" s="7">
        <v>2657025</v>
      </c>
      <c r="L43" s="7">
        <v>3994397</v>
      </c>
      <c r="M43" s="7">
        <v>2157509</v>
      </c>
      <c r="N43" s="9">
        <f t="shared" si="0"/>
        <v>816106</v>
      </c>
      <c r="O43" s="9">
        <f t="shared" si="1"/>
        <v>79145</v>
      </c>
      <c r="P43" s="3"/>
    </row>
    <row r="44" spans="1:16" ht="17.100000000000001" customHeight="1">
      <c r="A44" s="5">
        <v>43008</v>
      </c>
      <c r="B44" s="6" t="s">
        <v>55</v>
      </c>
      <c r="C44" s="7">
        <v>14156063</v>
      </c>
      <c r="D44" s="7">
        <v>14058873</v>
      </c>
      <c r="E44" s="7">
        <v>596419</v>
      </c>
      <c r="F44" s="7">
        <v>149038</v>
      </c>
      <c r="G44" s="7">
        <v>695020</v>
      </c>
      <c r="H44" s="7">
        <v>1161568</v>
      </c>
      <c r="I44" s="7">
        <v>1001617</v>
      </c>
      <c r="J44" s="7">
        <v>689147</v>
      </c>
      <c r="K44" s="7">
        <v>2651193</v>
      </c>
      <c r="L44" s="7">
        <v>4070417</v>
      </c>
      <c r="M44" s="7">
        <v>2231522</v>
      </c>
      <c r="N44" s="9">
        <f t="shared" si="0"/>
        <v>812932</v>
      </c>
      <c r="O44" s="9">
        <f t="shared" si="1"/>
        <v>97190</v>
      </c>
      <c r="P44" s="3"/>
    </row>
    <row r="45" spans="1:16" ht="17.100000000000001" customHeight="1">
      <c r="A45" s="5">
        <v>43100</v>
      </c>
      <c r="B45" s="6" t="s">
        <v>56</v>
      </c>
      <c r="C45" s="7">
        <v>14434589</v>
      </c>
      <c r="D45" s="7">
        <v>14207406</v>
      </c>
      <c r="E45" s="7">
        <v>616024</v>
      </c>
      <c r="F45" s="7">
        <v>136275</v>
      </c>
      <c r="G45" s="7">
        <v>756197</v>
      </c>
      <c r="H45" s="7">
        <v>1214137</v>
      </c>
      <c r="I45" s="7">
        <v>1048662</v>
      </c>
      <c r="J45" s="7">
        <v>703622</v>
      </c>
      <c r="K45" s="7">
        <v>2633008</v>
      </c>
      <c r="L45" s="7">
        <v>4023954</v>
      </c>
      <c r="M45" s="7">
        <v>2187325</v>
      </c>
      <c r="N45" s="9">
        <f t="shared" si="0"/>
        <v>888202</v>
      </c>
      <c r="O45" s="9">
        <f t="shared" si="1"/>
        <v>227183</v>
      </c>
      <c r="P45" s="3"/>
    </row>
    <row r="46" spans="1:16" ht="17.100000000000001" customHeight="1">
      <c r="A46" s="5">
        <v>43190</v>
      </c>
      <c r="B46" s="6" t="s">
        <v>57</v>
      </c>
      <c r="C46" s="7">
        <v>14894690</v>
      </c>
      <c r="D46" s="7">
        <v>14476755</v>
      </c>
      <c r="E46" s="7">
        <v>612797</v>
      </c>
      <c r="F46" s="7">
        <v>122712</v>
      </c>
      <c r="G46" s="7">
        <v>951188</v>
      </c>
      <c r="H46" s="7">
        <v>1225729</v>
      </c>
      <c r="I46" s="7">
        <v>1048146</v>
      </c>
      <c r="J46" s="7">
        <v>861772</v>
      </c>
      <c r="K46" s="7">
        <v>2555722</v>
      </c>
      <c r="L46" s="7">
        <v>4051690</v>
      </c>
      <c r="M46" s="7">
        <v>2171744</v>
      </c>
      <c r="N46" s="9">
        <f t="shared" si="0"/>
        <v>875255</v>
      </c>
      <c r="O46" s="9">
        <f t="shared" si="1"/>
        <v>417935</v>
      </c>
      <c r="P46" s="3"/>
    </row>
    <row r="47" spans="1:16" ht="17.100000000000001" customHeight="1">
      <c r="A47" s="5">
        <v>43281</v>
      </c>
      <c r="B47" s="6" t="s">
        <v>58</v>
      </c>
      <c r="C47" s="7">
        <v>14933718</v>
      </c>
      <c r="D47" s="7">
        <v>14474895</v>
      </c>
      <c r="E47" s="7">
        <v>631960</v>
      </c>
      <c r="F47" s="7">
        <v>164694</v>
      </c>
      <c r="G47" s="7">
        <v>788105</v>
      </c>
      <c r="H47" s="7">
        <v>1260046</v>
      </c>
      <c r="I47" s="7">
        <v>1052435</v>
      </c>
      <c r="J47" s="7">
        <v>949208</v>
      </c>
      <c r="K47" s="7">
        <v>2495040</v>
      </c>
      <c r="L47" s="7">
        <v>3988634</v>
      </c>
      <c r="M47" s="7">
        <v>2236381</v>
      </c>
      <c r="N47" s="9">
        <f t="shared" si="0"/>
        <v>908392</v>
      </c>
      <c r="O47" s="9">
        <f t="shared" si="1"/>
        <v>458823</v>
      </c>
      <c r="P47" s="3"/>
    </row>
    <row r="48" spans="1:16" ht="17.100000000000001" customHeight="1">
      <c r="A48" s="5">
        <v>43373</v>
      </c>
      <c r="B48" s="6" t="s">
        <v>59</v>
      </c>
      <c r="C48" s="7">
        <v>15227623</v>
      </c>
      <c r="D48" s="7">
        <v>14623625</v>
      </c>
      <c r="E48" s="7">
        <v>649330</v>
      </c>
      <c r="F48" s="7">
        <v>138529</v>
      </c>
      <c r="G48" s="7">
        <v>826306</v>
      </c>
      <c r="H48" s="7">
        <v>1281398</v>
      </c>
      <c r="I48" s="7">
        <v>1049700</v>
      </c>
      <c r="J48" s="7">
        <v>1122040</v>
      </c>
      <c r="K48" s="7">
        <v>2395142</v>
      </c>
      <c r="L48" s="7">
        <v>4010108</v>
      </c>
      <c r="M48" s="7">
        <v>2215788</v>
      </c>
      <c r="N48" s="9">
        <f t="shared" si="0"/>
        <v>935284</v>
      </c>
      <c r="O48" s="9">
        <f t="shared" si="1"/>
        <v>603998</v>
      </c>
      <c r="P48" s="3"/>
    </row>
    <row r="49" spans="1:16" ht="17.100000000000001" customHeight="1">
      <c r="A49" s="5">
        <v>43465</v>
      </c>
      <c r="B49" s="6" t="s">
        <v>60</v>
      </c>
      <c r="C49" s="7">
        <v>15566216</v>
      </c>
      <c r="D49" s="7">
        <v>15185239</v>
      </c>
      <c r="E49" s="7">
        <v>737043</v>
      </c>
      <c r="F49" s="7">
        <v>255063</v>
      </c>
      <c r="G49" s="7">
        <v>945064</v>
      </c>
      <c r="H49" s="7">
        <v>1325968</v>
      </c>
      <c r="I49" s="7">
        <v>1128292</v>
      </c>
      <c r="J49" s="7">
        <v>1259326</v>
      </c>
      <c r="K49" s="7">
        <v>2337994</v>
      </c>
      <c r="L49" s="7">
        <v>3956774</v>
      </c>
      <c r="M49" s="7">
        <v>2313356</v>
      </c>
      <c r="N49" s="9">
        <f t="shared" si="0"/>
        <v>926359</v>
      </c>
      <c r="O49" s="9">
        <f t="shared" si="1"/>
        <v>380977</v>
      </c>
      <c r="P49" s="3"/>
    </row>
    <row r="50" spans="1:16" ht="17.100000000000001" customHeight="1">
      <c r="A50" s="5">
        <v>43555</v>
      </c>
      <c r="B50" s="6" t="s">
        <v>61</v>
      </c>
      <c r="C50" s="7">
        <v>15888708</v>
      </c>
      <c r="D50" s="7">
        <v>15697168</v>
      </c>
      <c r="E50" s="7">
        <v>736739</v>
      </c>
      <c r="F50" s="7">
        <v>252870</v>
      </c>
      <c r="G50" s="7">
        <v>1010338</v>
      </c>
      <c r="H50" s="7">
        <v>1369164</v>
      </c>
      <c r="I50" s="7">
        <v>1138247</v>
      </c>
      <c r="J50" s="7">
        <v>1428322</v>
      </c>
      <c r="K50" s="7">
        <v>2330158</v>
      </c>
      <c r="L50" s="7">
        <v>4080853</v>
      </c>
      <c r="M50" s="7">
        <v>2393146</v>
      </c>
      <c r="N50" s="9">
        <f t="shared" si="0"/>
        <v>957331</v>
      </c>
      <c r="O50" s="9">
        <f t="shared" si="1"/>
        <v>191540</v>
      </c>
      <c r="P50" s="3"/>
    </row>
    <row r="51" spans="1:16" ht="17.100000000000001" customHeight="1">
      <c r="A51" s="5">
        <v>43646</v>
      </c>
      <c r="B51" s="6" t="s">
        <v>62</v>
      </c>
      <c r="C51" s="7">
        <v>15884286</v>
      </c>
      <c r="D51" s="7">
        <v>15993646</v>
      </c>
      <c r="E51" s="7">
        <v>770159</v>
      </c>
      <c r="F51" s="7">
        <v>280077</v>
      </c>
      <c r="G51" s="7">
        <v>829281</v>
      </c>
      <c r="H51" s="7">
        <v>1419085</v>
      </c>
      <c r="I51" s="7">
        <v>1191501</v>
      </c>
      <c r="J51" s="7">
        <v>1571577</v>
      </c>
      <c r="K51" s="7">
        <v>2315006</v>
      </c>
      <c r="L51" s="7">
        <v>4146061</v>
      </c>
      <c r="M51" s="7">
        <v>2479799</v>
      </c>
      <c r="N51" s="9">
        <f t="shared" si="0"/>
        <v>991100</v>
      </c>
      <c r="O51" s="9">
        <f t="shared" si="1"/>
        <v>-109360</v>
      </c>
      <c r="P51" s="3"/>
    </row>
    <row r="52" spans="1:16" ht="17.100000000000001" customHeight="1">
      <c r="A52" s="5">
        <v>43738</v>
      </c>
      <c r="B52" s="6" t="s">
        <v>63</v>
      </c>
      <c r="C52" s="7">
        <v>16303690</v>
      </c>
      <c r="D52" s="7">
        <v>16793180</v>
      </c>
      <c r="E52" s="7">
        <v>855814</v>
      </c>
      <c r="F52" s="7">
        <v>242590</v>
      </c>
      <c r="G52" s="7">
        <v>1048004</v>
      </c>
      <c r="H52" s="7">
        <v>1494667</v>
      </c>
      <c r="I52" s="7">
        <v>1172186</v>
      </c>
      <c r="J52" s="7">
        <v>1636111</v>
      </c>
      <c r="K52" s="7">
        <v>2366457</v>
      </c>
      <c r="L52" s="7">
        <v>4150909</v>
      </c>
      <c r="M52" s="7">
        <v>2809381</v>
      </c>
      <c r="N52" s="9">
        <f t="shared" si="0"/>
        <v>1017061</v>
      </c>
      <c r="O52" s="9">
        <f t="shared" si="1"/>
        <v>-489490</v>
      </c>
      <c r="P52" s="3"/>
    </row>
    <row r="53" spans="1:16" ht="17.100000000000001" customHeight="1">
      <c r="A53" s="5">
        <v>43830</v>
      </c>
      <c r="B53" s="6" t="s">
        <v>64</v>
      </c>
      <c r="C53" s="7">
        <v>16628907</v>
      </c>
      <c r="D53" s="7">
        <v>16930458</v>
      </c>
      <c r="E53" s="7">
        <v>879267</v>
      </c>
      <c r="F53" s="7">
        <v>227675</v>
      </c>
      <c r="G53" s="7">
        <v>1122598</v>
      </c>
      <c r="H53" s="7">
        <v>1517831</v>
      </c>
      <c r="I53" s="7">
        <v>1171466</v>
      </c>
      <c r="J53" s="7">
        <v>1498818</v>
      </c>
      <c r="K53" s="7">
        <v>2540730</v>
      </c>
      <c r="L53" s="7">
        <v>4076906</v>
      </c>
      <c r="M53" s="7">
        <v>2840916</v>
      </c>
      <c r="N53" s="9">
        <f t="shared" si="0"/>
        <v>1054251</v>
      </c>
      <c r="O53" s="9">
        <f t="shared" si="1"/>
        <v>-301551</v>
      </c>
      <c r="P53" s="3"/>
    </row>
    <row r="54" spans="1:16" ht="17.100000000000001" customHeight="1">
      <c r="A54" s="5">
        <v>43921</v>
      </c>
      <c r="B54" s="6" t="s">
        <v>65</v>
      </c>
      <c r="C54" s="7">
        <v>17115829</v>
      </c>
      <c r="D54" s="7">
        <v>18443407</v>
      </c>
      <c r="E54" s="7">
        <v>894181</v>
      </c>
      <c r="F54" s="7">
        <v>241108</v>
      </c>
      <c r="G54" s="7">
        <v>1358143</v>
      </c>
      <c r="H54" s="7">
        <v>1401905</v>
      </c>
      <c r="I54" s="7">
        <v>1233415</v>
      </c>
      <c r="J54" s="7">
        <v>1391978</v>
      </c>
      <c r="K54" s="7">
        <v>3757408</v>
      </c>
      <c r="L54" s="7">
        <v>4117857</v>
      </c>
      <c r="M54" s="7">
        <v>2942041</v>
      </c>
      <c r="N54" s="9">
        <f t="shared" si="0"/>
        <v>1105371</v>
      </c>
      <c r="O54" s="9">
        <f t="shared" si="1"/>
        <v>-1327578</v>
      </c>
      <c r="P54" s="3"/>
    </row>
    <row r="55" spans="1:16" ht="17.100000000000001" customHeight="1">
      <c r="A55" s="5">
        <v>44012</v>
      </c>
      <c r="B55" s="6" t="s">
        <v>66</v>
      </c>
      <c r="C55" s="7">
        <v>19867035</v>
      </c>
      <c r="D55" s="7">
        <v>21163796</v>
      </c>
      <c r="E55" s="7">
        <v>1103483</v>
      </c>
      <c r="F55" s="7">
        <v>305105</v>
      </c>
      <c r="G55" s="7">
        <v>2564674</v>
      </c>
      <c r="H55" s="7">
        <v>1395812</v>
      </c>
      <c r="I55" s="7">
        <v>1194677</v>
      </c>
      <c r="J55" s="7">
        <v>1221306</v>
      </c>
      <c r="K55" s="7">
        <v>4807860</v>
      </c>
      <c r="L55" s="7">
        <v>4147116</v>
      </c>
      <c r="M55" s="7">
        <v>3052228</v>
      </c>
      <c r="N55" s="9">
        <f t="shared" si="0"/>
        <v>1371535</v>
      </c>
      <c r="O55" s="9">
        <f t="shared" si="1"/>
        <v>-1296761</v>
      </c>
      <c r="P55" s="3"/>
    </row>
    <row r="56" spans="1:16" ht="17.100000000000001" customHeight="1">
      <c r="A56" s="5">
        <v>44104</v>
      </c>
      <c r="B56" s="6" t="s">
        <v>67</v>
      </c>
      <c r="C56" s="7">
        <v>20340181</v>
      </c>
      <c r="D56" s="7">
        <v>21568836</v>
      </c>
      <c r="E56" s="7">
        <v>1186801</v>
      </c>
      <c r="F56" s="7">
        <v>227271</v>
      </c>
      <c r="G56" s="7">
        <v>2493606</v>
      </c>
      <c r="H56" s="7">
        <v>1501073</v>
      </c>
      <c r="I56" s="7">
        <v>1230451</v>
      </c>
      <c r="J56" s="7">
        <v>1198982</v>
      </c>
      <c r="K56" s="7">
        <v>5055969</v>
      </c>
      <c r="L56" s="7">
        <v>4198868</v>
      </c>
      <c r="M56" s="7">
        <v>3054360</v>
      </c>
      <c r="N56" s="9">
        <f t="shared" si="0"/>
        <v>1421455</v>
      </c>
      <c r="O56" s="9">
        <f t="shared" si="1"/>
        <v>-1228655</v>
      </c>
      <c r="P56" s="3"/>
    </row>
    <row r="57" spans="1:16" ht="17.100000000000001" customHeight="1">
      <c r="A57" s="5">
        <v>44196</v>
      </c>
      <c r="B57" s="6" t="s">
        <v>68</v>
      </c>
      <c r="C57" s="7">
        <v>20946158</v>
      </c>
      <c r="D57" s="7">
        <v>21961626</v>
      </c>
      <c r="E57" s="7">
        <v>1203161</v>
      </c>
      <c r="F57" s="7">
        <v>211955</v>
      </c>
      <c r="G57" s="7">
        <v>2465928</v>
      </c>
      <c r="H57" s="7">
        <v>1589250</v>
      </c>
      <c r="I57" s="7">
        <v>1244613</v>
      </c>
      <c r="J57" s="7">
        <v>1280455</v>
      </c>
      <c r="K57" s="7">
        <v>5254556</v>
      </c>
      <c r="L57" s="7">
        <v>4186538</v>
      </c>
      <c r="M57" s="7">
        <v>3105028</v>
      </c>
      <c r="N57" s="9">
        <f t="shared" si="0"/>
        <v>1420142</v>
      </c>
      <c r="O57" s="9">
        <f t="shared" si="1"/>
        <v>-1015468</v>
      </c>
      <c r="P57" s="3"/>
    </row>
    <row r="58" spans="1:16" ht="17.100000000000001" customHeight="1">
      <c r="A58" s="5">
        <v>44286</v>
      </c>
      <c r="B58" s="6" t="s">
        <v>69</v>
      </c>
      <c r="C58" s="7">
        <v>21347365</v>
      </c>
      <c r="D58" s="7">
        <v>21584206</v>
      </c>
      <c r="E58" s="7">
        <v>1257510</v>
      </c>
      <c r="F58" s="7">
        <v>130587</v>
      </c>
      <c r="G58" s="7">
        <v>2583204</v>
      </c>
      <c r="H58" s="7">
        <v>1642733</v>
      </c>
      <c r="I58" s="7">
        <v>1221142</v>
      </c>
      <c r="J58" s="7">
        <v>783238</v>
      </c>
      <c r="K58" s="7">
        <v>5273242</v>
      </c>
      <c r="L58" s="7">
        <v>4202077</v>
      </c>
      <c r="M58" s="7">
        <v>3093843</v>
      </c>
      <c r="N58" s="9">
        <f t="shared" si="0"/>
        <v>1396630</v>
      </c>
      <c r="O58" s="9">
        <f t="shared" si="1"/>
        <v>-236841</v>
      </c>
      <c r="P58" s="3"/>
    </row>
    <row r="59" spans="1:16" ht="17.100000000000001" customHeight="1">
      <c r="A59" s="5">
        <v>44377</v>
      </c>
      <c r="B59" s="6" t="s">
        <v>70</v>
      </c>
      <c r="C59" s="7">
        <v>21699043</v>
      </c>
      <c r="D59" s="7">
        <v>22178052</v>
      </c>
      <c r="E59" s="7">
        <v>1346708</v>
      </c>
      <c r="F59" s="7">
        <v>157157</v>
      </c>
      <c r="G59" s="7">
        <v>2288119</v>
      </c>
      <c r="H59" s="7">
        <v>1783610</v>
      </c>
      <c r="I59" s="7">
        <v>1319417</v>
      </c>
      <c r="J59" s="7">
        <v>489215</v>
      </c>
      <c r="K59" s="7">
        <v>5596511</v>
      </c>
      <c r="L59" s="7">
        <v>4215874</v>
      </c>
      <c r="M59" s="7">
        <v>3303006</v>
      </c>
      <c r="N59" s="9">
        <f t="shared" si="0"/>
        <v>1678435</v>
      </c>
      <c r="O59" s="9">
        <f t="shared" si="1"/>
        <v>-479009</v>
      </c>
      <c r="P59" s="3"/>
    </row>
    <row r="60" spans="1:16" ht="17.100000000000001" customHeight="1">
      <c r="A60" s="5">
        <v>44469</v>
      </c>
      <c r="B60" s="6" t="s">
        <v>71</v>
      </c>
      <c r="C60" s="7">
        <v>21846135</v>
      </c>
      <c r="D60" s="7">
        <v>22249173</v>
      </c>
      <c r="E60" s="7">
        <v>1456273</v>
      </c>
      <c r="F60" s="7">
        <v>141750</v>
      </c>
      <c r="G60" s="7">
        <v>1694672</v>
      </c>
      <c r="H60" s="7">
        <v>1849013</v>
      </c>
      <c r="I60" s="7">
        <v>1330223</v>
      </c>
      <c r="J60" s="7">
        <v>648657</v>
      </c>
      <c r="K60" s="7">
        <v>5831294</v>
      </c>
      <c r="L60" s="7">
        <v>4207931</v>
      </c>
      <c r="M60" s="7">
        <v>3362965</v>
      </c>
      <c r="N60" s="9">
        <f t="shared" si="0"/>
        <v>1726395</v>
      </c>
      <c r="O60" s="9">
        <f t="shared" si="1"/>
        <v>-403038</v>
      </c>
      <c r="P60" s="3"/>
    </row>
    <row r="61" spans="1:16" ht="17.100000000000001" customHeight="1">
      <c r="A61" s="5">
        <v>44561</v>
      </c>
      <c r="B61" s="6" t="s">
        <v>72</v>
      </c>
      <c r="C61" s="7">
        <v>22557536</v>
      </c>
      <c r="D61" s="7">
        <v>22940933</v>
      </c>
      <c r="E61" s="7">
        <v>1641194</v>
      </c>
      <c r="F61" s="7">
        <v>199700</v>
      </c>
      <c r="G61" s="7">
        <v>1814671</v>
      </c>
      <c r="H61" s="7">
        <v>1929058</v>
      </c>
      <c r="I61" s="7">
        <v>1366488</v>
      </c>
      <c r="J61" s="7">
        <v>400490</v>
      </c>
      <c r="K61" s="7">
        <v>6052055</v>
      </c>
      <c r="L61" s="7">
        <v>4117652</v>
      </c>
      <c r="M61" s="7">
        <v>3622718</v>
      </c>
      <c r="N61" s="9">
        <f t="shared" si="0"/>
        <v>1796907</v>
      </c>
      <c r="O61" s="9">
        <f t="shared" si="1"/>
        <v>-383397</v>
      </c>
      <c r="P61" s="3"/>
    </row>
    <row r="62" spans="1:16" ht="17.100000000000001" customHeight="1">
      <c r="A62" s="5">
        <v>44651</v>
      </c>
      <c r="B62" s="6" t="s">
        <v>73</v>
      </c>
      <c r="C62" s="7">
        <v>23246108</v>
      </c>
      <c r="D62" s="7">
        <v>22593215</v>
      </c>
      <c r="E62" s="7">
        <v>1653695</v>
      </c>
      <c r="F62" s="7">
        <v>227898</v>
      </c>
      <c r="G62" s="7">
        <v>1759444</v>
      </c>
      <c r="H62" s="7">
        <v>1867299</v>
      </c>
      <c r="I62" s="7">
        <v>1254759</v>
      </c>
      <c r="J62" s="7">
        <v>585744</v>
      </c>
      <c r="K62" s="7">
        <v>5851446</v>
      </c>
      <c r="L62" s="7">
        <v>4025302</v>
      </c>
      <c r="M62" s="7">
        <v>3579098</v>
      </c>
      <c r="N62" s="9">
        <f t="shared" si="0"/>
        <v>1788530</v>
      </c>
      <c r="O62" s="9">
        <f t="shared" si="1"/>
        <v>652893</v>
      </c>
      <c r="P62" s="3"/>
    </row>
    <row r="63" spans="1:16" ht="17.100000000000001" customHeight="1">
      <c r="A63" s="5">
        <v>44742</v>
      </c>
      <c r="B63" s="6" t="s">
        <v>74</v>
      </c>
      <c r="C63" s="7">
        <v>23253368</v>
      </c>
      <c r="D63" s="7">
        <v>21859741</v>
      </c>
      <c r="E63" s="7">
        <v>1686642</v>
      </c>
      <c r="F63" s="7">
        <v>216847</v>
      </c>
      <c r="G63" s="7">
        <v>1458999</v>
      </c>
      <c r="H63" s="7">
        <v>1793757</v>
      </c>
      <c r="I63" s="7">
        <v>1207382</v>
      </c>
      <c r="J63" s="7">
        <v>682999</v>
      </c>
      <c r="K63" s="7">
        <v>5563801</v>
      </c>
      <c r="L63" s="7">
        <v>3855274</v>
      </c>
      <c r="M63" s="7">
        <v>3561669</v>
      </c>
      <c r="N63" s="9">
        <f t="shared" si="0"/>
        <v>1832371</v>
      </c>
      <c r="O63" s="9">
        <f t="shared" si="1"/>
        <v>1393627</v>
      </c>
      <c r="P63" s="3"/>
    </row>
    <row r="64" spans="1:16" ht="17.100000000000001" customHeight="1">
      <c r="A64" s="5">
        <v>44834</v>
      </c>
      <c r="B64" s="6" t="s">
        <v>75</v>
      </c>
      <c r="C64" s="7">
        <v>23616710</v>
      </c>
      <c r="D64" s="7">
        <v>21340082</v>
      </c>
      <c r="E64" s="7">
        <v>1605712</v>
      </c>
      <c r="F64" s="7">
        <v>226282</v>
      </c>
      <c r="G64" s="7">
        <v>1256135</v>
      </c>
      <c r="H64" s="7">
        <v>1729584</v>
      </c>
      <c r="I64" s="7">
        <v>1150243</v>
      </c>
      <c r="J64" s="7">
        <v>1108280</v>
      </c>
      <c r="K64" s="7">
        <v>5186546</v>
      </c>
      <c r="L64" s="7">
        <v>3713699</v>
      </c>
      <c r="M64" s="7">
        <v>3537809</v>
      </c>
      <c r="N64" s="9">
        <f t="shared" si="0"/>
        <v>1825792</v>
      </c>
      <c r="O64" s="9">
        <f t="shared" si="1"/>
        <v>2276628</v>
      </c>
      <c r="P64" s="3"/>
    </row>
    <row r="65" spans="1:16" ht="17.100000000000001" customHeight="1">
      <c r="A65" s="5">
        <v>44926</v>
      </c>
      <c r="B65" s="6" t="s">
        <v>76</v>
      </c>
      <c r="C65" s="7">
        <v>23844978</v>
      </c>
      <c r="D65" s="7">
        <v>21526392</v>
      </c>
      <c r="E65" s="7">
        <v>1579707</v>
      </c>
      <c r="F65" s="7">
        <v>215874</v>
      </c>
      <c r="G65" s="7">
        <v>1064015</v>
      </c>
      <c r="H65" s="7">
        <v>1745162</v>
      </c>
      <c r="I65" s="7">
        <v>1160203</v>
      </c>
      <c r="J65" s="7">
        <v>1658923</v>
      </c>
      <c r="K65" s="7">
        <v>5056405</v>
      </c>
      <c r="L65" s="7">
        <v>3667449</v>
      </c>
      <c r="M65" s="7">
        <v>3527235</v>
      </c>
      <c r="N65" s="9">
        <f t="shared" si="0"/>
        <v>1851419</v>
      </c>
      <c r="O65" s="9">
        <f t="shared" si="1"/>
        <v>2318586</v>
      </c>
      <c r="P65" s="3"/>
    </row>
    <row r="66" spans="1:16" ht="17.100000000000001" customHeight="1">
      <c r="A66" s="5">
        <v>45016</v>
      </c>
      <c r="B66" s="6" t="s">
        <v>77</v>
      </c>
      <c r="C66" s="7">
        <v>24282042</v>
      </c>
      <c r="D66" s="7">
        <v>22345872</v>
      </c>
      <c r="E66" s="7">
        <v>1492490</v>
      </c>
      <c r="F66" s="7">
        <v>327564</v>
      </c>
      <c r="G66" s="7">
        <v>1040799</v>
      </c>
      <c r="H66" s="7">
        <v>1823382</v>
      </c>
      <c r="I66" s="7">
        <v>1228892</v>
      </c>
      <c r="J66" s="7">
        <v>2104754</v>
      </c>
      <c r="K66" s="7">
        <v>4960204</v>
      </c>
      <c r="L66" s="7">
        <v>3769907</v>
      </c>
      <c r="M66" s="7">
        <v>3698735</v>
      </c>
      <c r="N66" s="9">
        <f t="shared" si="0"/>
        <v>1899145</v>
      </c>
      <c r="O66" s="9">
        <f t="shared" si="1"/>
        <v>1936170</v>
      </c>
      <c r="P66" s="3"/>
    </row>
    <row r="67" spans="1:16" ht="17.100000000000001" customHeight="1">
      <c r="A67" s="5">
        <v>45107</v>
      </c>
      <c r="B67" s="6" t="s">
        <v>78</v>
      </c>
      <c r="C67" s="7">
        <v>24772373</v>
      </c>
      <c r="D67" s="7">
        <v>22468953</v>
      </c>
      <c r="E67" s="7">
        <v>1433859</v>
      </c>
      <c r="F67" s="7">
        <v>301323</v>
      </c>
      <c r="G67" s="7">
        <v>1243962</v>
      </c>
      <c r="H67" s="7">
        <v>1808464</v>
      </c>
      <c r="I67" s="7">
        <v>1230707</v>
      </c>
      <c r="J67" s="7">
        <v>2255619</v>
      </c>
      <c r="K67" s="7">
        <v>4702866</v>
      </c>
      <c r="L67" s="7">
        <v>3769207</v>
      </c>
      <c r="M67" s="7">
        <v>3794008</v>
      </c>
      <c r="N67" s="9">
        <f t="shared" si="0"/>
        <v>1928938</v>
      </c>
      <c r="O67" s="9">
        <f t="shared" si="1"/>
        <v>2303420</v>
      </c>
      <c r="P67" s="3"/>
    </row>
    <row r="68" spans="1:16" ht="17.100000000000001" customHeight="1">
      <c r="A68" s="5">
        <v>45199</v>
      </c>
      <c r="B68" s="6" t="s">
        <v>79</v>
      </c>
      <c r="C68" s="7">
        <v>25630167</v>
      </c>
      <c r="D68" s="7">
        <v>22696877</v>
      </c>
      <c r="E68" s="7">
        <v>1428059</v>
      </c>
      <c r="F68" s="7">
        <v>312371</v>
      </c>
      <c r="G68" s="7">
        <v>1767115</v>
      </c>
      <c r="H68" s="7">
        <v>1788824</v>
      </c>
      <c r="I68" s="7">
        <v>1261997</v>
      </c>
      <c r="J68" s="7">
        <v>2359873</v>
      </c>
      <c r="K68" s="7">
        <v>4367410</v>
      </c>
      <c r="L68" s="7">
        <v>3690999</v>
      </c>
      <c r="M68" s="7">
        <v>3818116</v>
      </c>
      <c r="N68" s="9">
        <f t="shared" si="0"/>
        <v>1902113</v>
      </c>
      <c r="O68" s="9">
        <f t="shared" si="1"/>
        <v>2933290</v>
      </c>
      <c r="P68" s="3"/>
    </row>
    <row r="69" spans="1:16" ht="17.100000000000001" customHeight="1">
      <c r="A69" s="5">
        <v>45291</v>
      </c>
      <c r="B69" s="6" t="s">
        <v>80</v>
      </c>
      <c r="C69" s="7">
        <v>26226569</v>
      </c>
      <c r="D69" s="7">
        <v>24193934</v>
      </c>
      <c r="E69" s="7">
        <v>1513982</v>
      </c>
      <c r="F69" s="7">
        <v>328712</v>
      </c>
      <c r="G69" s="7">
        <v>2269494</v>
      </c>
      <c r="H69" s="7">
        <v>1877643</v>
      </c>
      <c r="I69" s="7">
        <v>1353004</v>
      </c>
      <c r="J69" s="7">
        <v>2518608</v>
      </c>
      <c r="K69" s="7">
        <v>4403083</v>
      </c>
      <c r="L69" s="7">
        <v>3796439</v>
      </c>
      <c r="M69" s="7">
        <v>4143569</v>
      </c>
      <c r="N69" s="9">
        <f t="shared" si="0"/>
        <v>1989400</v>
      </c>
      <c r="O69" s="9">
        <f t="shared" si="1"/>
        <v>2032635</v>
      </c>
      <c r="P69" s="3"/>
    </row>
    <row r="70" spans="1:16" ht="17.100000000000001" customHeight="1">
      <c r="A70" s="5">
        <v>45382</v>
      </c>
      <c r="B70" s="6" t="s">
        <v>81</v>
      </c>
      <c r="C70" s="7">
        <v>26808608</v>
      </c>
      <c r="D70" s="7">
        <v>24580402</v>
      </c>
      <c r="E70" s="7">
        <v>1614483</v>
      </c>
      <c r="F70" s="7">
        <v>390499</v>
      </c>
      <c r="G70" s="7">
        <v>2563670</v>
      </c>
      <c r="H70" s="7">
        <v>1894682</v>
      </c>
      <c r="I70" s="7">
        <v>1400685</v>
      </c>
      <c r="J70" s="7">
        <v>2449703</v>
      </c>
      <c r="K70" s="7">
        <v>4176260</v>
      </c>
      <c r="L70" s="7">
        <v>3816873</v>
      </c>
      <c r="M70" s="7">
        <v>4290998</v>
      </c>
      <c r="N70" s="9">
        <f t="shared" ref="N70:N78" si="2">D70-SUM(E70:M70)</f>
        <v>1982549</v>
      </c>
      <c r="O70" s="9">
        <f t="shared" ref="O70:O78" si="3">C70-D70</f>
        <v>2228206</v>
      </c>
      <c r="P70" s="3"/>
    </row>
    <row r="71" spans="1:16" ht="17.100000000000001" customHeight="1">
      <c r="A71" s="5">
        <v>45473</v>
      </c>
      <c r="B71" s="6" t="s">
        <v>82</v>
      </c>
      <c r="C71" s="7">
        <v>26903135</v>
      </c>
      <c r="D71" s="7">
        <v>24655034</v>
      </c>
      <c r="E71" s="7">
        <v>1603631</v>
      </c>
      <c r="F71" s="7">
        <v>358565</v>
      </c>
      <c r="G71" s="7">
        <v>2449906</v>
      </c>
      <c r="H71" s="7">
        <v>1931007</v>
      </c>
      <c r="I71" s="7">
        <v>1522941</v>
      </c>
      <c r="J71" s="7">
        <v>2536828</v>
      </c>
      <c r="K71" s="7">
        <v>3993177</v>
      </c>
      <c r="L71" s="7">
        <v>3831011</v>
      </c>
      <c r="M71" s="7">
        <v>4418485</v>
      </c>
      <c r="N71" s="9">
        <f t="shared" si="2"/>
        <v>2009483</v>
      </c>
      <c r="O71" s="9">
        <f t="shared" si="3"/>
        <v>2248101</v>
      </c>
      <c r="P71" s="3"/>
    </row>
    <row r="72" spans="1:16" ht="17.100000000000001" customHeight="1">
      <c r="A72" s="5">
        <v>45565</v>
      </c>
      <c r="B72" s="6" t="s">
        <v>83</v>
      </c>
      <c r="C72" s="7">
        <v>27586426</v>
      </c>
      <c r="D72" s="7">
        <v>26098697</v>
      </c>
      <c r="E72" s="7">
        <v>1669355</v>
      </c>
      <c r="F72" s="7">
        <v>391555</v>
      </c>
      <c r="G72" s="7">
        <v>2659841</v>
      </c>
      <c r="H72" s="7">
        <v>2066858</v>
      </c>
      <c r="I72" s="7">
        <v>1665956</v>
      </c>
      <c r="J72" s="7">
        <v>2738577</v>
      </c>
      <c r="K72" s="7">
        <v>4048034</v>
      </c>
      <c r="L72" s="7">
        <v>3914130</v>
      </c>
      <c r="M72" s="7">
        <v>4801071</v>
      </c>
      <c r="N72" s="9">
        <f t="shared" si="2"/>
        <v>2143320</v>
      </c>
      <c r="O72" s="9">
        <f t="shared" si="3"/>
        <v>1487729</v>
      </c>
      <c r="P72" s="3"/>
    </row>
    <row r="73" spans="1:16" ht="17.100000000000001" customHeight="1">
      <c r="A73" s="5">
        <v>45657</v>
      </c>
      <c r="B73" s="6" t="s">
        <v>84</v>
      </c>
      <c r="C73" s="7">
        <v>28139470</v>
      </c>
      <c r="D73" s="7">
        <v>25950550</v>
      </c>
      <c r="E73" s="7">
        <v>1722729</v>
      </c>
      <c r="F73" s="7">
        <v>454199</v>
      </c>
      <c r="G73" s="7">
        <v>2994851</v>
      </c>
      <c r="H73" s="7">
        <v>2058523</v>
      </c>
      <c r="I73" s="7">
        <v>1564077</v>
      </c>
      <c r="J73" s="7">
        <v>2631556</v>
      </c>
      <c r="K73" s="7">
        <v>3819872</v>
      </c>
      <c r="L73" s="7">
        <v>3782665</v>
      </c>
      <c r="M73" s="7">
        <v>4775695</v>
      </c>
      <c r="N73" s="9">
        <f t="shared" si="2"/>
        <v>2146383</v>
      </c>
      <c r="O73" s="9">
        <f t="shared" si="3"/>
        <v>2188920</v>
      </c>
      <c r="P73" s="3"/>
    </row>
    <row r="74" spans="1:16" ht="17.100000000000001" customHeight="1">
      <c r="A74" s="5">
        <v>45747</v>
      </c>
      <c r="B74" s="6" t="s">
        <v>85</v>
      </c>
      <c r="C74" s="7">
        <v>28447272</v>
      </c>
      <c r="D74" s="7">
        <v>26761787</v>
      </c>
      <c r="E74" s="7">
        <v>1740868</v>
      </c>
      <c r="F74" s="7">
        <v>487312</v>
      </c>
      <c r="G74" s="7">
        <v>2880571</v>
      </c>
      <c r="H74" s="7">
        <v>2142165</v>
      </c>
      <c r="I74" s="7">
        <v>1616927</v>
      </c>
      <c r="J74" s="7">
        <v>2829403</v>
      </c>
      <c r="K74" s="7">
        <v>3832193</v>
      </c>
      <c r="L74" s="7">
        <v>3925236</v>
      </c>
      <c r="M74" s="7">
        <v>5124314</v>
      </c>
      <c r="N74" s="9">
        <f t="shared" si="2"/>
        <v>2182798</v>
      </c>
      <c r="O74" s="9">
        <f t="shared" si="3"/>
        <v>1685485</v>
      </c>
      <c r="P74" s="3"/>
    </row>
    <row r="75" spans="1:16" ht="17.100000000000001" customHeight="1">
      <c r="A75" s="5">
        <v>45838</v>
      </c>
      <c r="B75" s="6" t="s">
        <v>86</v>
      </c>
      <c r="C75" s="7">
        <v>28518345</v>
      </c>
      <c r="D75" s="7">
        <v>26823019</v>
      </c>
      <c r="E75" s="7">
        <v>1848931</v>
      </c>
      <c r="F75" s="7">
        <v>513235</v>
      </c>
      <c r="G75" s="7">
        <v>2614034</v>
      </c>
      <c r="H75" s="7">
        <v>2170802</v>
      </c>
      <c r="I75" s="7">
        <v>1601740</v>
      </c>
      <c r="J75" s="7">
        <v>2910299</v>
      </c>
      <c r="K75" s="7">
        <v>3811025</v>
      </c>
      <c r="L75" s="7">
        <v>3905936</v>
      </c>
      <c r="M75" s="7">
        <v>5198217</v>
      </c>
      <c r="N75" s="9">
        <f t="shared" si="2"/>
        <v>2248800</v>
      </c>
      <c r="O75" s="9">
        <f t="shared" si="3"/>
        <v>1695326</v>
      </c>
      <c r="P75" s="3"/>
    </row>
    <row r="76" spans="1:16" ht="17.100000000000001" customHeight="1">
      <c r="A76" s="5">
        <v>45930</v>
      </c>
      <c r="B76" s="6" t="s">
        <v>87</v>
      </c>
      <c r="C76" s="7">
        <v>29571648</v>
      </c>
      <c r="D76" s="7">
        <v>28013972</v>
      </c>
      <c r="E76" s="7">
        <v>1940489</v>
      </c>
      <c r="F76" s="7">
        <v>492573</v>
      </c>
      <c r="G76" s="7">
        <v>3232354</v>
      </c>
      <c r="H76" s="7">
        <v>2311391</v>
      </c>
      <c r="I76" s="7">
        <v>1713619</v>
      </c>
      <c r="J76" s="7">
        <v>2968534</v>
      </c>
      <c r="K76" s="7">
        <v>3830924</v>
      </c>
      <c r="L76" s="7">
        <v>3882372</v>
      </c>
      <c r="M76" s="7">
        <v>5352001</v>
      </c>
      <c r="N76" s="9">
        <f t="shared" si="2"/>
        <v>2289715</v>
      </c>
      <c r="O76" s="9">
        <f t="shared" si="3"/>
        <v>1557676</v>
      </c>
      <c r="P76" s="3"/>
    </row>
    <row r="77" spans="1:16" ht="17.100000000000001" customHeight="1">
      <c r="A77" s="5">
        <v>46022</v>
      </c>
      <c r="B77" s="6" t="s">
        <v>88</v>
      </c>
      <c r="C77" s="7">
        <v>30069641</v>
      </c>
      <c r="D77" s="7">
        <v>28540476</v>
      </c>
      <c r="E77" s="7">
        <v>1961741</v>
      </c>
      <c r="F77" s="7">
        <v>542458</v>
      </c>
      <c r="G77" s="7">
        <v>3517832</v>
      </c>
      <c r="H77" s="7">
        <v>2391206</v>
      </c>
      <c r="I77" s="7">
        <v>1715756</v>
      </c>
      <c r="J77" s="7">
        <v>3006696</v>
      </c>
      <c r="K77" s="7">
        <v>3854942</v>
      </c>
      <c r="L77" s="7">
        <v>3886999</v>
      </c>
      <c r="M77" s="7">
        <v>5383909</v>
      </c>
      <c r="N77" s="9">
        <f t="shared" si="2"/>
        <v>2278937</v>
      </c>
      <c r="O77" s="9">
        <f t="shared" si="3"/>
        <v>1529165</v>
      </c>
      <c r="P77" s="3"/>
    </row>
    <row r="78" spans="1:16" ht="17.100000000000001" customHeight="1">
      <c r="A78" s="5">
        <v>46112</v>
      </c>
      <c r="B78" s="6" t="s">
        <v>89</v>
      </c>
      <c r="C78" s="7">
        <v>30641548</v>
      </c>
      <c r="D78" s="7">
        <v>28997929</v>
      </c>
      <c r="E78" s="7">
        <v>2049575</v>
      </c>
      <c r="F78" s="7">
        <v>620413</v>
      </c>
      <c r="G78" s="7">
        <v>3426437</v>
      </c>
      <c r="H78" s="7">
        <v>2475411</v>
      </c>
      <c r="I78" s="7">
        <v>1800980</v>
      </c>
      <c r="J78" s="7">
        <v>3039040</v>
      </c>
      <c r="K78" s="7">
        <v>4000420</v>
      </c>
      <c r="L78" s="7">
        <v>3917950</v>
      </c>
      <c r="M78" s="7">
        <v>5399274</v>
      </c>
      <c r="N78" s="9">
        <f t="shared" si="2"/>
        <v>2268429</v>
      </c>
      <c r="O78" s="9">
        <f t="shared" si="3"/>
        <v>1643619</v>
      </c>
      <c r="P78" s="3"/>
    </row>
    <row r="79" spans="1:16" ht="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ht="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ht="15">
      <c r="A81" s="57" t="s">
        <v>90</v>
      </c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3"/>
    </row>
    <row r="82" spans="1:16" ht="30" customHeight="1">
      <c r="A82" s="10" t="s">
        <v>91</v>
      </c>
      <c r="B82" s="53" t="s">
        <v>92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3"/>
    </row>
    <row r="83" spans="1:16" ht="30" customHeight="1">
      <c r="A83" s="10" t="s">
        <v>93</v>
      </c>
      <c r="B83" s="53" t="s">
        <v>94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3"/>
    </row>
    <row r="84" spans="1:16" ht="30" customHeight="1">
      <c r="A84" s="10" t="s">
        <v>95</v>
      </c>
      <c r="B84" s="53" t="s">
        <v>96</v>
      </c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3"/>
    </row>
    <row r="85" spans="1:16" ht="30" customHeight="1">
      <c r="A85" s="10" t="s">
        <v>97</v>
      </c>
      <c r="B85" s="53" t="s">
        <v>98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3"/>
    </row>
    <row r="86" spans="1:16" ht="30" customHeight="1">
      <c r="A86" s="10" t="s">
        <v>99</v>
      </c>
      <c r="B86" s="53" t="s">
        <v>100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3"/>
    </row>
    <row r="87" spans="1:16" ht="30" customHeight="1">
      <c r="A87" s="10" t="s">
        <v>101</v>
      </c>
      <c r="B87" s="53" t="s">
        <v>102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3"/>
    </row>
    <row r="88" spans="1:16" ht="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ht="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ht="15">
      <c r="A90" s="54" t="s">
        <v>103</v>
      </c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3"/>
    </row>
    <row r="91" spans="1:16" ht="29.25">
      <c r="A91" s="12" t="s">
        <v>104</v>
      </c>
      <c r="B91" s="12" t="s">
        <v>105</v>
      </c>
      <c r="C91" s="12" t="s">
        <v>106</v>
      </c>
      <c r="D91" s="12" t="s">
        <v>107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ht="27.95" customHeight="1">
      <c r="A92" s="11" t="s">
        <v>108</v>
      </c>
      <c r="B92" s="11" t="s">
        <v>109</v>
      </c>
      <c r="C92" s="13" t="s">
        <v>110</v>
      </c>
      <c r="D92" s="11" t="s">
        <v>111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ht="27.95" customHeight="1">
      <c r="A93" s="11" t="s">
        <v>112</v>
      </c>
      <c r="B93" s="11" t="s">
        <v>113</v>
      </c>
      <c r="C93" s="13" t="s">
        <v>114</v>
      </c>
      <c r="D93" s="11" t="s">
        <v>115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ht="27.95" customHeight="1">
      <c r="A94" s="11" t="s">
        <v>116</v>
      </c>
      <c r="B94" s="11" t="s">
        <v>117</v>
      </c>
      <c r="C94" s="13" t="s">
        <v>118</v>
      </c>
      <c r="D94" s="11" t="s">
        <v>119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ht="27.95" customHeight="1">
      <c r="A95" s="11" t="s">
        <v>120</v>
      </c>
      <c r="B95" s="11" t="s">
        <v>121</v>
      </c>
      <c r="C95" s="13" t="s">
        <v>122</v>
      </c>
      <c r="D95" s="11" t="s">
        <v>123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ht="27.95" customHeight="1">
      <c r="A96" s="11" t="s">
        <v>124</v>
      </c>
      <c r="B96" s="11" t="s">
        <v>125</v>
      </c>
      <c r="C96" s="13" t="s">
        <v>126</v>
      </c>
      <c r="D96" s="11" t="s">
        <v>127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ht="27.95" customHeight="1">
      <c r="A97" s="11" t="s">
        <v>128</v>
      </c>
      <c r="B97" s="11" t="s">
        <v>129</v>
      </c>
      <c r="C97" s="13" t="s">
        <v>130</v>
      </c>
      <c r="D97" s="11" t="s">
        <v>131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ht="27.95" customHeight="1">
      <c r="A98" s="11" t="s">
        <v>132</v>
      </c>
      <c r="B98" s="11" t="s">
        <v>133</v>
      </c>
      <c r="C98" s="13" t="s">
        <v>130</v>
      </c>
      <c r="D98" s="11" t="s">
        <v>134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</sheetData>
  <mergeCells count="10">
    <mergeCell ref="A1:O1"/>
    <mergeCell ref="A2:O2"/>
    <mergeCell ref="A81:O81"/>
    <mergeCell ref="B82:O82"/>
    <mergeCell ref="B83:O83"/>
    <mergeCell ref="B84:O84"/>
    <mergeCell ref="B85:O85"/>
    <mergeCell ref="B86:O86"/>
    <mergeCell ref="B87:O87"/>
    <mergeCell ref="A90:O90"/>
  </mergeCells>
  <phoneticPr fontId="19" type="noConversion"/>
  <pageMargins left="0.69930555555555596" right="0.69930555555555596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V80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F11" sqref="F11"/>
    </sheetView>
  </sheetViews>
  <sheetFormatPr defaultColWidth="9" defaultRowHeight="13.5"/>
  <cols>
    <col min="1" max="1" width="13" customWidth="1"/>
    <col min="2" max="2" width="10" customWidth="1"/>
    <col min="3" max="3" width="22" customWidth="1"/>
    <col min="4" max="7" width="16" customWidth="1"/>
    <col min="8" max="9" width="15" customWidth="1"/>
    <col min="10" max="11" width="17" customWidth="1"/>
    <col min="12" max="13" width="20" customWidth="1"/>
    <col min="14" max="15" width="27" customWidth="1"/>
    <col min="16" max="19" width="20" customWidth="1"/>
    <col min="20" max="21" width="18" customWidth="1"/>
  </cols>
  <sheetData>
    <row r="1" spans="1:22" ht="27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</row>
    <row r="2" spans="1:22" ht="21.9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</row>
    <row r="3" spans="1:22" ht="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s="17" customFormat="1" ht="50.1" customHeight="1">
      <c r="A5" s="14" t="s">
        <v>2</v>
      </c>
      <c r="B5" s="14" t="s">
        <v>152</v>
      </c>
      <c r="C5" s="14" t="s">
        <v>142</v>
      </c>
      <c r="D5" s="14" t="s">
        <v>143</v>
      </c>
      <c r="E5" s="15" t="s">
        <v>135</v>
      </c>
      <c r="F5" s="14" t="s">
        <v>156</v>
      </c>
      <c r="G5" s="14" t="s">
        <v>153</v>
      </c>
      <c r="H5" s="15" t="s">
        <v>144</v>
      </c>
      <c r="I5" s="15" t="s">
        <v>136</v>
      </c>
      <c r="J5" s="14" t="s">
        <v>145</v>
      </c>
      <c r="K5" s="15" t="s">
        <v>137</v>
      </c>
      <c r="L5" s="14" t="s">
        <v>146</v>
      </c>
      <c r="M5" s="15" t="s">
        <v>138</v>
      </c>
      <c r="N5" s="14" t="s">
        <v>147</v>
      </c>
      <c r="O5" s="15" t="s">
        <v>139</v>
      </c>
      <c r="P5" s="14" t="s">
        <v>155</v>
      </c>
      <c r="Q5" s="14" t="s">
        <v>158</v>
      </c>
      <c r="R5" s="14" t="s">
        <v>148</v>
      </c>
      <c r="S5" s="15" t="s">
        <v>140</v>
      </c>
      <c r="T5" s="15" t="s">
        <v>149</v>
      </c>
      <c r="U5" s="15" t="s">
        <v>141</v>
      </c>
      <c r="V5" s="16"/>
    </row>
    <row r="6" spans="1:22" s="26" customFormat="1" ht="48.75" customHeight="1">
      <c r="A6" s="24" t="s">
        <v>2</v>
      </c>
      <c r="B6" s="25" t="s">
        <v>151</v>
      </c>
      <c r="C6" s="20" t="s">
        <v>160</v>
      </c>
      <c r="D6" s="20" t="s">
        <v>159</v>
      </c>
      <c r="E6" s="21" t="s">
        <v>150</v>
      </c>
      <c r="F6" s="22" t="s">
        <v>153</v>
      </c>
      <c r="G6" s="21" t="s">
        <v>153</v>
      </c>
      <c r="H6" s="22" t="s">
        <v>12</v>
      </c>
      <c r="I6" s="21" t="s">
        <v>150</v>
      </c>
      <c r="J6" s="22" t="s">
        <v>8</v>
      </c>
      <c r="K6" s="21" t="s">
        <v>137</v>
      </c>
      <c r="L6" s="22" t="s">
        <v>11</v>
      </c>
      <c r="M6" s="21" t="s">
        <v>138</v>
      </c>
      <c r="N6" s="22" t="s">
        <v>9</v>
      </c>
      <c r="O6" s="21" t="s">
        <v>139</v>
      </c>
      <c r="P6" s="22" t="s">
        <v>154</v>
      </c>
      <c r="Q6" s="21" t="s">
        <v>157</v>
      </c>
      <c r="R6" s="22" t="s">
        <v>10</v>
      </c>
      <c r="S6" s="21" t="s">
        <v>140</v>
      </c>
      <c r="T6" s="22" t="s">
        <v>7</v>
      </c>
      <c r="U6" s="21" t="s">
        <v>141</v>
      </c>
      <c r="V6" s="25"/>
    </row>
    <row r="7" spans="1:22" ht="17.100000000000001" customHeight="1">
      <c r="A7" s="5">
        <v>39538</v>
      </c>
      <c r="B7" s="6" t="s">
        <v>17</v>
      </c>
      <c r="C7" s="7">
        <v>4691656</v>
      </c>
      <c r="D7" s="7">
        <v>669426</v>
      </c>
      <c r="E7" s="8">
        <v>0.14268437413143675</v>
      </c>
      <c r="F7" s="7">
        <v>1887107</v>
      </c>
      <c r="G7" s="8">
        <v>0.40222620754803801</v>
      </c>
      <c r="H7" s="7">
        <v>591234</v>
      </c>
      <c r="I7" s="8">
        <v>0.12601819059197861</v>
      </c>
      <c r="J7" s="7">
        <v>302500</v>
      </c>
      <c r="K7" s="8">
        <v>6.4476167903188122E-2</v>
      </c>
      <c r="L7" s="7">
        <v>-214488</v>
      </c>
      <c r="M7" s="8">
        <v>-4.5716906780889306E-2</v>
      </c>
      <c r="N7" s="7">
        <v>218723</v>
      </c>
      <c r="O7" s="8">
        <v>4.6619573131533941E-2</v>
      </c>
      <c r="P7" s="7">
        <v>120440</v>
      </c>
      <c r="Q7" s="8">
        <v>2.567110632152059E-2</v>
      </c>
      <c r="R7" s="7">
        <v>472857</v>
      </c>
      <c r="S7" s="8">
        <v>0.10078680107833993</v>
      </c>
      <c r="T7" s="7">
        <v>-20874</v>
      </c>
      <c r="U7" s="8">
        <v>-4.449175301855038E-3</v>
      </c>
      <c r="V7" s="3"/>
    </row>
    <row r="8" spans="1:22" ht="17.100000000000001" customHeight="1">
      <c r="A8" s="5">
        <v>39629</v>
      </c>
      <c r="B8" s="6" t="s">
        <v>18</v>
      </c>
      <c r="C8" s="7">
        <v>4656134</v>
      </c>
      <c r="D8" s="7">
        <v>670443</v>
      </c>
      <c r="E8" s="8">
        <f t="shared" ref="E8:E39" si="0">D8/$C8</f>
        <v>0.14399134560989868</v>
      </c>
      <c r="F8" s="7">
        <v>1917057</v>
      </c>
      <c r="G8" s="8">
        <f t="shared" ref="G8:G39" si="1">F8/$C8</f>
        <v>0.41172719685472969</v>
      </c>
      <c r="H8" s="7">
        <v>478841</v>
      </c>
      <c r="I8" s="8">
        <f t="shared" ref="I8:I39" si="2">H8/$C8</f>
        <v>0.10284089762021453</v>
      </c>
      <c r="J8" s="7">
        <v>289666</v>
      </c>
      <c r="K8" s="8">
        <f t="shared" ref="K8:K39" si="3">J8/$C8</f>
        <v>6.2211697515578375E-2</v>
      </c>
      <c r="L8" s="7">
        <v>-180487</v>
      </c>
      <c r="M8" s="8">
        <f t="shared" ref="M8:M39" si="4">L8/$C8</f>
        <v>-3.8763274424662174E-2</v>
      </c>
      <c r="N8" s="7">
        <v>202106</v>
      </c>
      <c r="O8" s="8">
        <f t="shared" ref="O8:O39" si="5">N8/$C8</f>
        <v>4.3406396809026547E-2</v>
      </c>
      <c r="P8" s="7">
        <v>101197</v>
      </c>
      <c r="Q8" s="8">
        <f t="shared" ref="Q8:Q39" si="6">P8/$C8</f>
        <v>2.1734125349485215E-2</v>
      </c>
      <c r="R8" s="7">
        <v>472553</v>
      </c>
      <c r="S8" s="8">
        <f t="shared" ref="S8:S39" si="7">R8/$C8</f>
        <v>0.10149042102310629</v>
      </c>
      <c r="T8" s="7">
        <v>-47335</v>
      </c>
      <c r="U8" s="8">
        <f t="shared" ref="U8:U39" si="8">T8/$C8</f>
        <v>-1.0166159307270797E-2</v>
      </c>
      <c r="V8" s="3"/>
    </row>
    <row r="9" spans="1:22" ht="17.100000000000001" customHeight="1">
      <c r="A9" s="5">
        <v>39721</v>
      </c>
      <c r="B9" s="6" t="s">
        <v>19</v>
      </c>
      <c r="C9" s="7">
        <v>5192997</v>
      </c>
      <c r="D9" s="7">
        <v>743896</v>
      </c>
      <c r="E9" s="8">
        <f t="shared" si="0"/>
        <v>0.14324984204689509</v>
      </c>
      <c r="F9" s="7">
        <v>2089983</v>
      </c>
      <c r="G9" s="8">
        <f t="shared" si="1"/>
        <v>0.40246181540255077</v>
      </c>
      <c r="H9" s="7">
        <v>476627</v>
      </c>
      <c r="I9" s="8">
        <f t="shared" si="2"/>
        <v>9.1782644973605804E-2</v>
      </c>
      <c r="J9" s="7">
        <v>470378</v>
      </c>
      <c r="K9" s="8">
        <f t="shared" si="3"/>
        <v>9.057929361407295E-2</v>
      </c>
      <c r="L9" s="7">
        <v>-70117</v>
      </c>
      <c r="M9" s="8">
        <f t="shared" si="4"/>
        <v>-1.3502222319789517E-2</v>
      </c>
      <c r="N9" s="7">
        <v>225306</v>
      </c>
      <c r="O9" s="8">
        <f t="shared" si="5"/>
        <v>4.3386506866843942E-2</v>
      </c>
      <c r="P9" s="7">
        <v>116749</v>
      </c>
      <c r="Q9" s="8">
        <f t="shared" si="6"/>
        <v>2.2482007981133052E-2</v>
      </c>
      <c r="R9" s="7">
        <v>479686</v>
      </c>
      <c r="S9" s="8">
        <f t="shared" si="7"/>
        <v>9.2371707513021858E-2</v>
      </c>
      <c r="T9" s="7">
        <v>-36489</v>
      </c>
      <c r="U9" s="8">
        <f t="shared" si="8"/>
        <v>-7.0265782938060623E-3</v>
      </c>
      <c r="V9" s="3"/>
    </row>
    <row r="10" spans="1:22" ht="17.100000000000001" customHeight="1">
      <c r="A10" s="5">
        <v>39813</v>
      </c>
      <c r="B10" s="6" t="s">
        <v>20</v>
      </c>
      <c r="C10" s="7">
        <v>5757055</v>
      </c>
      <c r="D10" s="7">
        <v>852458</v>
      </c>
      <c r="E10" s="8">
        <f t="shared" si="0"/>
        <v>0.14807188744939903</v>
      </c>
      <c r="F10" s="7">
        <v>2400516</v>
      </c>
      <c r="G10" s="8">
        <f t="shared" si="1"/>
        <v>0.41696944010435893</v>
      </c>
      <c r="H10" s="7">
        <v>475921</v>
      </c>
      <c r="I10" s="8">
        <f t="shared" si="2"/>
        <v>8.2667440210315871E-2</v>
      </c>
      <c r="J10" s="7">
        <v>590959</v>
      </c>
      <c r="K10" s="8">
        <f t="shared" si="3"/>
        <v>0.10264953174843736</v>
      </c>
      <c r="L10" s="7">
        <v>78316</v>
      </c>
      <c r="M10" s="8">
        <f t="shared" si="4"/>
        <v>1.3603483030820445E-2</v>
      </c>
      <c r="N10" s="7">
        <v>232885</v>
      </c>
      <c r="O10" s="8">
        <f t="shared" si="5"/>
        <v>4.0452106154969858E-2</v>
      </c>
      <c r="P10" s="7">
        <v>102278</v>
      </c>
      <c r="Q10" s="8">
        <f t="shared" si="6"/>
        <v>1.7765680543263874E-2</v>
      </c>
      <c r="R10" s="7">
        <v>503153</v>
      </c>
      <c r="S10" s="8">
        <f t="shared" si="7"/>
        <v>8.739763646517186E-2</v>
      </c>
      <c r="T10" s="7">
        <v>30708</v>
      </c>
      <c r="U10" s="8">
        <f t="shared" si="8"/>
        <v>5.3339771810413487E-3</v>
      </c>
      <c r="V10" s="3"/>
    </row>
    <row r="11" spans="1:22" ht="17.100000000000001" customHeight="1">
      <c r="A11" s="5">
        <v>39903</v>
      </c>
      <c r="B11" s="6" t="s">
        <v>21</v>
      </c>
      <c r="C11" s="7">
        <v>6227207</v>
      </c>
      <c r="D11" s="7">
        <v>881817</v>
      </c>
      <c r="E11" s="8">
        <f t="shared" si="0"/>
        <v>0.14160714426226717</v>
      </c>
      <c r="F11" s="7">
        <v>2536022</v>
      </c>
      <c r="G11" s="8">
        <f t="shared" si="1"/>
        <v>0.40724870716518657</v>
      </c>
      <c r="H11" s="7">
        <v>492323</v>
      </c>
      <c r="I11" s="8">
        <f t="shared" si="2"/>
        <v>7.9060002341338587E-2</v>
      </c>
      <c r="J11" s="7">
        <v>532664</v>
      </c>
      <c r="K11" s="8">
        <f t="shared" si="3"/>
        <v>8.553818750524915E-2</v>
      </c>
      <c r="L11" s="7">
        <v>256317</v>
      </c>
      <c r="M11" s="8">
        <f t="shared" si="4"/>
        <v>4.1160828602614302E-2</v>
      </c>
      <c r="N11" s="7">
        <v>268316</v>
      </c>
      <c r="O11" s="8">
        <f t="shared" si="5"/>
        <v>4.3087695655532249E-2</v>
      </c>
      <c r="P11" s="7">
        <v>125631</v>
      </c>
      <c r="Q11" s="8">
        <f t="shared" si="6"/>
        <v>2.0174534104936612E-2</v>
      </c>
      <c r="R11" s="7">
        <v>522119</v>
      </c>
      <c r="S11" s="8">
        <f t="shared" si="7"/>
        <v>8.3844811967869387E-2</v>
      </c>
      <c r="T11" s="7">
        <v>67869</v>
      </c>
      <c r="U11" s="8">
        <f t="shared" si="8"/>
        <v>1.0898786566754566E-2</v>
      </c>
      <c r="V11" s="3"/>
    </row>
    <row r="12" spans="1:22" ht="17.100000000000001" customHeight="1">
      <c r="A12" s="5">
        <v>39994</v>
      </c>
      <c r="B12" s="6" t="s">
        <v>22</v>
      </c>
      <c r="C12" s="7">
        <v>6571808</v>
      </c>
      <c r="D12" s="7">
        <v>827250</v>
      </c>
      <c r="E12" s="8">
        <f t="shared" si="0"/>
        <v>0.12587860144422966</v>
      </c>
      <c r="F12" s="7">
        <v>2634733</v>
      </c>
      <c r="G12" s="8">
        <f t="shared" si="1"/>
        <v>0.40091448198121432</v>
      </c>
      <c r="H12" s="7">
        <v>656466</v>
      </c>
      <c r="I12" s="8">
        <f t="shared" si="2"/>
        <v>9.9891232367105065E-2</v>
      </c>
      <c r="J12" s="7">
        <v>500464</v>
      </c>
      <c r="K12" s="8">
        <f t="shared" si="3"/>
        <v>7.6153168199679599E-2</v>
      </c>
      <c r="L12" s="7">
        <v>185497</v>
      </c>
      <c r="M12" s="8">
        <f t="shared" si="4"/>
        <v>2.8226174593049585E-2</v>
      </c>
      <c r="N12" s="7">
        <v>292868</v>
      </c>
      <c r="O12" s="8">
        <f t="shared" si="5"/>
        <v>4.4564296461491265E-2</v>
      </c>
      <c r="P12" s="7">
        <v>134267</v>
      </c>
      <c r="Q12" s="8">
        <f t="shared" si="6"/>
        <v>2.0430755128573445E-2</v>
      </c>
      <c r="R12" s="7">
        <v>527941</v>
      </c>
      <c r="S12" s="8">
        <f t="shared" si="7"/>
        <v>8.0334209398692111E-2</v>
      </c>
      <c r="T12" s="7">
        <v>71358</v>
      </c>
      <c r="U12" s="8">
        <f t="shared" si="8"/>
        <v>1.085819914397986E-2</v>
      </c>
      <c r="V12" s="3"/>
    </row>
    <row r="13" spans="1:22" ht="17.100000000000001" customHeight="1">
      <c r="A13" s="5">
        <v>40086</v>
      </c>
      <c r="B13" s="6" t="s">
        <v>23</v>
      </c>
      <c r="C13" s="7">
        <v>6968783</v>
      </c>
      <c r="D13" s="7">
        <v>807303</v>
      </c>
      <c r="E13" s="8">
        <f t="shared" si="0"/>
        <v>0.11584562182521682</v>
      </c>
      <c r="F13" s="7">
        <v>2778554</v>
      </c>
      <c r="G13" s="8">
        <f t="shared" si="1"/>
        <v>0.39871438097584616</v>
      </c>
      <c r="H13" s="7">
        <v>769160</v>
      </c>
      <c r="I13" s="8">
        <f t="shared" si="2"/>
        <v>0.11037221276656196</v>
      </c>
      <c r="J13" s="7">
        <v>435474</v>
      </c>
      <c r="K13" s="8">
        <f t="shared" si="3"/>
        <v>6.2489246687692818E-2</v>
      </c>
      <c r="L13" s="7">
        <v>356436</v>
      </c>
      <c r="M13" s="8">
        <f t="shared" si="4"/>
        <v>5.1147524610825161E-2</v>
      </c>
      <c r="N13" s="7">
        <v>327389</v>
      </c>
      <c r="O13" s="8">
        <f t="shared" si="5"/>
        <v>4.697936497663939E-2</v>
      </c>
      <c r="P13" s="7">
        <v>194473</v>
      </c>
      <c r="Q13" s="8">
        <f t="shared" si="6"/>
        <v>2.790630731362994E-2</v>
      </c>
      <c r="R13" s="7">
        <v>542165</v>
      </c>
      <c r="S13" s="8">
        <f t="shared" si="7"/>
        <v>7.7799093471557376E-2</v>
      </c>
      <c r="T13" s="7">
        <v>22428</v>
      </c>
      <c r="U13" s="8">
        <f t="shared" si="8"/>
        <v>3.218352472734479E-3</v>
      </c>
      <c r="V13" s="3"/>
    </row>
    <row r="14" spans="1:22" ht="17.100000000000001" customHeight="1">
      <c r="A14" s="5">
        <v>40178</v>
      </c>
      <c r="B14" s="6" t="s">
        <v>24</v>
      </c>
      <c r="C14" s="7">
        <v>7232689</v>
      </c>
      <c r="D14" s="7">
        <v>790985</v>
      </c>
      <c r="E14" s="8">
        <f t="shared" si="0"/>
        <v>0.10936250680763407</v>
      </c>
      <c r="F14" s="7">
        <v>2879612</v>
      </c>
      <c r="G14" s="8">
        <f t="shared" si="1"/>
        <v>0.39813850699235098</v>
      </c>
      <c r="H14" s="7">
        <v>776588</v>
      </c>
      <c r="I14" s="8">
        <f t="shared" si="2"/>
        <v>0.10737196082950615</v>
      </c>
      <c r="J14" s="7">
        <v>414572</v>
      </c>
      <c r="K14" s="8">
        <f t="shared" si="3"/>
        <v>5.7319207282381421E-2</v>
      </c>
      <c r="L14" s="7">
        <v>431973</v>
      </c>
      <c r="M14" s="8">
        <f t="shared" si="4"/>
        <v>5.9725089797169492E-2</v>
      </c>
      <c r="N14" s="7">
        <v>335096</v>
      </c>
      <c r="O14" s="8">
        <f t="shared" si="5"/>
        <v>4.6330763012207496E-2</v>
      </c>
      <c r="P14" s="7">
        <v>197136</v>
      </c>
      <c r="Q14" s="8">
        <f t="shared" si="6"/>
        <v>2.725625282657667E-2</v>
      </c>
      <c r="R14" s="7">
        <v>553723</v>
      </c>
      <c r="S14" s="8">
        <f t="shared" si="7"/>
        <v>7.6558386514337884E-2</v>
      </c>
      <c r="T14" s="7">
        <v>42183</v>
      </c>
      <c r="U14" s="8">
        <f t="shared" si="8"/>
        <v>5.8322706810703465E-3</v>
      </c>
      <c r="V14" s="3"/>
    </row>
    <row r="15" spans="1:22" ht="17.100000000000001" customHeight="1">
      <c r="A15" s="5">
        <v>40268</v>
      </c>
      <c r="B15" s="6" t="s">
        <v>25</v>
      </c>
      <c r="C15" s="7">
        <v>7714997</v>
      </c>
      <c r="D15" s="7">
        <v>877640</v>
      </c>
      <c r="E15" s="8">
        <f t="shared" si="0"/>
        <v>0.11375765927063873</v>
      </c>
      <c r="F15" s="7">
        <v>2984062</v>
      </c>
      <c r="G15" s="8">
        <f t="shared" si="1"/>
        <v>0.38678718864051403</v>
      </c>
      <c r="H15" s="7">
        <v>776705</v>
      </c>
      <c r="I15" s="8">
        <f t="shared" si="2"/>
        <v>0.10067469890137352</v>
      </c>
      <c r="J15" s="7">
        <v>379203</v>
      </c>
      <c r="K15" s="8">
        <f t="shared" si="3"/>
        <v>4.9151412502169478E-2</v>
      </c>
      <c r="L15" s="7">
        <v>523689</v>
      </c>
      <c r="M15" s="8">
        <f t="shared" si="4"/>
        <v>6.7879352383416358E-2</v>
      </c>
      <c r="N15" s="7">
        <v>390166</v>
      </c>
      <c r="O15" s="8">
        <f t="shared" si="5"/>
        <v>5.0572411110464462E-2</v>
      </c>
      <c r="P15" s="7">
        <v>263934</v>
      </c>
      <c r="Q15" s="8">
        <f t="shared" si="6"/>
        <v>3.4210512330724176E-2</v>
      </c>
      <c r="R15" s="7">
        <v>576896</v>
      </c>
      <c r="S15" s="8">
        <f t="shared" si="7"/>
        <v>7.4775920198024703E-2</v>
      </c>
      <c r="T15" s="7">
        <v>71534</v>
      </c>
      <c r="U15" s="8">
        <f t="shared" si="8"/>
        <v>9.27207100663811E-3</v>
      </c>
      <c r="V15" s="3"/>
    </row>
    <row r="16" spans="1:22" ht="17.100000000000001" customHeight="1">
      <c r="A16" s="5">
        <v>40359</v>
      </c>
      <c r="B16" s="6" t="s">
        <v>26</v>
      </c>
      <c r="C16" s="7">
        <v>8059428</v>
      </c>
      <c r="D16" s="7">
        <v>992290</v>
      </c>
      <c r="E16" s="8">
        <f t="shared" si="0"/>
        <v>0.12312164089064385</v>
      </c>
      <c r="F16" s="7">
        <v>3077445</v>
      </c>
      <c r="G16" s="8">
        <f t="shared" si="1"/>
        <v>0.3818440961318843</v>
      </c>
      <c r="H16" s="7">
        <v>776989</v>
      </c>
      <c r="I16" s="8">
        <f t="shared" si="2"/>
        <v>9.6407462167290278E-2</v>
      </c>
      <c r="J16" s="7">
        <v>356585</v>
      </c>
      <c r="K16" s="8">
        <f t="shared" si="3"/>
        <v>4.4244455065545592E-2</v>
      </c>
      <c r="L16" s="7">
        <v>778573</v>
      </c>
      <c r="M16" s="8">
        <f t="shared" si="4"/>
        <v>9.6604002169881034E-2</v>
      </c>
      <c r="N16" s="7">
        <v>453592</v>
      </c>
      <c r="O16" s="8">
        <f t="shared" si="5"/>
        <v>5.6280917206531285E-2</v>
      </c>
      <c r="P16" s="7">
        <v>261173</v>
      </c>
      <c r="Q16" s="8">
        <f t="shared" si="6"/>
        <v>3.2405897788279764E-2</v>
      </c>
      <c r="R16" s="7">
        <v>600436</v>
      </c>
      <c r="S16" s="8">
        <f t="shared" si="7"/>
        <v>7.4501068810342366E-2</v>
      </c>
      <c r="T16" s="7">
        <v>54541</v>
      </c>
      <c r="U16" s="8">
        <f t="shared" si="8"/>
        <v>6.7673537129433999E-3</v>
      </c>
      <c r="V16" s="3"/>
    </row>
    <row r="17" spans="1:22" ht="17.100000000000001" customHeight="1">
      <c r="A17" s="5">
        <v>40451</v>
      </c>
      <c r="B17" s="6" t="s">
        <v>27</v>
      </c>
      <c r="C17" s="7">
        <v>8457152</v>
      </c>
      <c r="D17" s="7">
        <v>1077090</v>
      </c>
      <c r="E17" s="8">
        <f t="shared" si="0"/>
        <v>0.12735847718002466</v>
      </c>
      <c r="F17" s="7">
        <v>3332090</v>
      </c>
      <c r="G17" s="8">
        <f t="shared" si="1"/>
        <v>0.39399670243599738</v>
      </c>
      <c r="H17" s="7">
        <v>811669</v>
      </c>
      <c r="I17" s="8">
        <f t="shared" si="2"/>
        <v>9.5974271244031087E-2</v>
      </c>
      <c r="J17" s="7">
        <v>314578</v>
      </c>
      <c r="K17" s="8">
        <f t="shared" si="3"/>
        <v>3.7196682760342964E-2</v>
      </c>
      <c r="L17" s="7">
        <v>777589</v>
      </c>
      <c r="M17" s="8">
        <f t="shared" si="4"/>
        <v>9.1944545870761216E-2</v>
      </c>
      <c r="N17" s="7">
        <v>473267</v>
      </c>
      <c r="O17" s="8">
        <f t="shared" si="5"/>
        <v>5.5960564502092427E-2</v>
      </c>
      <c r="P17" s="7">
        <v>306719</v>
      </c>
      <c r="Q17" s="8">
        <f t="shared" si="6"/>
        <v>3.6267410116313389E-2</v>
      </c>
      <c r="R17" s="7">
        <v>620657</v>
      </c>
      <c r="S17" s="8">
        <f t="shared" si="7"/>
        <v>7.3388417282792121E-2</v>
      </c>
      <c r="T17" s="7">
        <v>71618</v>
      </c>
      <c r="U17" s="8">
        <f t="shared" si="8"/>
        <v>8.4683354396373634E-3</v>
      </c>
      <c r="V17" s="3"/>
    </row>
    <row r="18" spans="1:22" ht="17.100000000000001" customHeight="1">
      <c r="A18" s="5">
        <v>40543</v>
      </c>
      <c r="B18" s="6" t="s">
        <v>28</v>
      </c>
      <c r="C18" s="7">
        <v>8822662</v>
      </c>
      <c r="D18" s="7">
        <v>1094066</v>
      </c>
      <c r="E18" s="8">
        <f t="shared" si="0"/>
        <v>0.12400633731633377</v>
      </c>
      <c r="F18" s="7">
        <v>3364758</v>
      </c>
      <c r="G18" s="8">
        <f t="shared" si="1"/>
        <v>0.38137673187525489</v>
      </c>
      <c r="H18" s="7">
        <v>1021493</v>
      </c>
      <c r="I18" s="8">
        <f t="shared" si="2"/>
        <v>0.11578058867040356</v>
      </c>
      <c r="J18" s="7">
        <v>380546</v>
      </c>
      <c r="K18" s="8">
        <f t="shared" si="3"/>
        <v>4.3132786907171553E-2</v>
      </c>
      <c r="L18" s="7">
        <v>653847</v>
      </c>
      <c r="M18" s="8">
        <f t="shared" si="4"/>
        <v>7.4109945501709115E-2</v>
      </c>
      <c r="N18" s="7">
        <v>475387</v>
      </c>
      <c r="O18" s="8">
        <f t="shared" si="5"/>
        <v>5.3882490341350488E-2</v>
      </c>
      <c r="P18" s="7">
        <v>299540</v>
      </c>
      <c r="Q18" s="8">
        <f t="shared" si="6"/>
        <v>3.3951204296390362E-2</v>
      </c>
      <c r="R18" s="7">
        <v>637649</v>
      </c>
      <c r="S18" s="8">
        <f t="shared" si="7"/>
        <v>7.2273991681875607E-2</v>
      </c>
      <c r="T18" s="7">
        <v>51931</v>
      </c>
      <c r="U18" s="8">
        <f t="shared" si="8"/>
        <v>5.8860919754151302E-3</v>
      </c>
      <c r="V18" s="3"/>
    </row>
    <row r="19" spans="1:22" ht="17.100000000000001" customHeight="1">
      <c r="A19" s="5">
        <v>40633</v>
      </c>
      <c r="B19" s="6" t="s">
        <v>29</v>
      </c>
      <c r="C19" s="7">
        <v>9090815</v>
      </c>
      <c r="D19" s="7">
        <v>1138460</v>
      </c>
      <c r="E19" s="8">
        <f t="shared" si="0"/>
        <v>0.12523189615012514</v>
      </c>
      <c r="F19" s="7">
        <v>3402420</v>
      </c>
      <c r="G19" s="8">
        <f t="shared" si="1"/>
        <v>0.37427007369526277</v>
      </c>
      <c r="H19" s="7">
        <v>1340446</v>
      </c>
      <c r="I19" s="8">
        <f t="shared" si="2"/>
        <v>0.14745058611356626</v>
      </c>
      <c r="J19" s="7">
        <v>369324</v>
      </c>
      <c r="K19" s="8">
        <f t="shared" si="3"/>
        <v>4.0626060479725966E-2</v>
      </c>
      <c r="L19" s="7">
        <v>487290</v>
      </c>
      <c r="M19" s="8">
        <f t="shared" si="4"/>
        <v>5.3602454785407032E-2</v>
      </c>
      <c r="N19" s="7">
        <v>459125</v>
      </c>
      <c r="O19" s="8">
        <f t="shared" si="5"/>
        <v>5.0504272719222643E-2</v>
      </c>
      <c r="P19" s="7">
        <v>304625</v>
      </c>
      <c r="Q19" s="8">
        <f t="shared" si="6"/>
        <v>3.3509096819152082E-2</v>
      </c>
      <c r="R19" s="7">
        <v>658008</v>
      </c>
      <c r="S19" s="8">
        <f t="shared" si="7"/>
        <v>7.2381629149861695E-2</v>
      </c>
      <c r="T19" s="7">
        <v>61912</v>
      </c>
      <c r="U19" s="8">
        <f t="shared" si="8"/>
        <v>6.8103904875415457E-3</v>
      </c>
      <c r="V19" s="3"/>
    </row>
    <row r="20" spans="1:22" ht="17.100000000000001" customHeight="1">
      <c r="A20" s="5">
        <v>40724</v>
      </c>
      <c r="B20" s="6" t="s">
        <v>30</v>
      </c>
      <c r="C20" s="7">
        <v>9295140</v>
      </c>
      <c r="D20" s="7">
        <v>1175983</v>
      </c>
      <c r="E20" s="8">
        <f t="shared" si="0"/>
        <v>0.12651589970672847</v>
      </c>
      <c r="F20" s="7">
        <v>3514579</v>
      </c>
      <c r="G20" s="8">
        <f t="shared" si="1"/>
        <v>0.37810931303885686</v>
      </c>
      <c r="H20" s="7">
        <v>1619538</v>
      </c>
      <c r="I20" s="8">
        <f t="shared" si="2"/>
        <v>0.17423492276609068</v>
      </c>
      <c r="J20" s="7">
        <v>363175</v>
      </c>
      <c r="K20" s="8">
        <f t="shared" si="3"/>
        <v>3.907149327498026E-2</v>
      </c>
      <c r="L20" s="7">
        <v>355466</v>
      </c>
      <c r="M20" s="8">
        <f t="shared" si="4"/>
        <v>3.8242135137286797E-2</v>
      </c>
      <c r="N20" s="7">
        <v>464015</v>
      </c>
      <c r="O20" s="8">
        <f t="shared" si="5"/>
        <v>4.9920173337894856E-2</v>
      </c>
      <c r="P20" s="7">
        <v>270324</v>
      </c>
      <c r="Q20" s="8">
        <f t="shared" si="6"/>
        <v>2.9082294618478045E-2</v>
      </c>
      <c r="R20" s="7">
        <v>685186</v>
      </c>
      <c r="S20" s="8">
        <f t="shared" si="7"/>
        <v>7.371443571586872E-2</v>
      </c>
      <c r="T20" s="7">
        <v>71088</v>
      </c>
      <c r="U20" s="8">
        <f t="shared" si="8"/>
        <v>7.647867595324008E-3</v>
      </c>
      <c r="V20" s="3"/>
    </row>
    <row r="21" spans="1:22" ht="17.100000000000001" customHeight="1">
      <c r="A21" s="5">
        <v>40816</v>
      </c>
      <c r="B21" s="6" t="s">
        <v>31</v>
      </c>
      <c r="C21" s="7">
        <v>9588341</v>
      </c>
      <c r="D21" s="7">
        <v>1335259</v>
      </c>
      <c r="E21" s="8">
        <f t="shared" si="0"/>
        <v>0.13925860584224112</v>
      </c>
      <c r="F21" s="7">
        <v>3639140</v>
      </c>
      <c r="G21" s="8">
        <f t="shared" si="1"/>
        <v>0.37953802435687256</v>
      </c>
      <c r="H21" s="7">
        <v>1664660</v>
      </c>
      <c r="I21" s="8">
        <f t="shared" si="2"/>
        <v>0.17361293262306796</v>
      </c>
      <c r="J21" s="7">
        <v>402652</v>
      </c>
      <c r="K21" s="8">
        <f t="shared" si="3"/>
        <v>4.1993917404481128E-2</v>
      </c>
      <c r="L21" s="7">
        <v>518307</v>
      </c>
      <c r="M21" s="8">
        <f t="shared" si="4"/>
        <v>5.4055962340096166E-2</v>
      </c>
      <c r="N21" s="7">
        <v>467701</v>
      </c>
      <c r="O21" s="8">
        <f t="shared" si="5"/>
        <v>4.8778094145796438E-2</v>
      </c>
      <c r="P21" s="7">
        <v>273351</v>
      </c>
      <c r="Q21" s="8">
        <f t="shared" si="6"/>
        <v>2.8508685704857598E-2</v>
      </c>
      <c r="R21" s="7">
        <v>701709</v>
      </c>
      <c r="S21" s="8">
        <f t="shared" si="7"/>
        <v>7.3183567417971468E-2</v>
      </c>
      <c r="T21" s="7">
        <v>79315</v>
      </c>
      <c r="U21" s="8">
        <f t="shared" si="8"/>
        <v>8.2720253691436294E-3</v>
      </c>
      <c r="V21" s="3"/>
    </row>
    <row r="22" spans="1:22" ht="17.100000000000001" customHeight="1">
      <c r="A22" s="5">
        <v>40908</v>
      </c>
      <c r="B22" s="6" t="s">
        <v>32</v>
      </c>
      <c r="C22" s="7">
        <v>9906085</v>
      </c>
      <c r="D22" s="7">
        <v>1383774</v>
      </c>
      <c r="E22" s="8">
        <f t="shared" si="0"/>
        <v>0.13968929198568356</v>
      </c>
      <c r="F22" s="7">
        <v>3620580</v>
      </c>
      <c r="G22" s="8">
        <f t="shared" si="1"/>
        <v>0.36549050406896366</v>
      </c>
      <c r="H22" s="7">
        <v>1663446</v>
      </c>
      <c r="I22" s="8">
        <f t="shared" si="2"/>
        <v>0.16792163604491583</v>
      </c>
      <c r="J22" s="7">
        <v>496874</v>
      </c>
      <c r="K22" s="8">
        <f t="shared" si="3"/>
        <v>5.015846320721052E-2</v>
      </c>
      <c r="L22" s="7">
        <v>540699</v>
      </c>
      <c r="M22" s="8">
        <f t="shared" si="4"/>
        <v>5.4582511658238346E-2</v>
      </c>
      <c r="N22" s="7">
        <v>537702</v>
      </c>
      <c r="O22" s="8">
        <f t="shared" si="5"/>
        <v>5.4279970341461842E-2</v>
      </c>
      <c r="P22" s="7">
        <v>252768</v>
      </c>
      <c r="Q22" s="8">
        <f t="shared" si="6"/>
        <v>2.5516437623945284E-2</v>
      </c>
      <c r="R22" s="7">
        <v>722743</v>
      </c>
      <c r="S22" s="8">
        <f t="shared" si="7"/>
        <v>7.2959499136137029E-2</v>
      </c>
      <c r="T22" s="7">
        <v>157679</v>
      </c>
      <c r="U22" s="8">
        <f t="shared" si="8"/>
        <v>1.5917388150818411E-2</v>
      </c>
      <c r="V22" s="3"/>
    </row>
    <row r="23" spans="1:22" ht="17.100000000000001" customHeight="1">
      <c r="A23" s="5">
        <v>40999</v>
      </c>
      <c r="B23" s="6" t="s">
        <v>33</v>
      </c>
      <c r="C23" s="7">
        <v>10306692</v>
      </c>
      <c r="D23" s="7">
        <v>1422509</v>
      </c>
      <c r="E23" s="8">
        <f t="shared" si="0"/>
        <v>0.13801799840336745</v>
      </c>
      <c r="F23" s="7">
        <v>3722551</v>
      </c>
      <c r="G23" s="8">
        <f t="shared" si="1"/>
        <v>0.36117805790645535</v>
      </c>
      <c r="H23" s="7">
        <v>1892042</v>
      </c>
      <c r="I23" s="8">
        <f t="shared" si="2"/>
        <v>0.1835741283430222</v>
      </c>
      <c r="J23" s="7">
        <v>544720</v>
      </c>
      <c r="K23" s="8">
        <f t="shared" si="3"/>
        <v>5.2851099072330869E-2</v>
      </c>
      <c r="L23" s="7">
        <v>498455</v>
      </c>
      <c r="M23" s="8">
        <f t="shared" si="4"/>
        <v>4.836226793232979E-2</v>
      </c>
      <c r="N23" s="7">
        <v>593925</v>
      </c>
      <c r="O23" s="8">
        <f t="shared" si="5"/>
        <v>5.7625181775103014E-2</v>
      </c>
      <c r="P23" s="7">
        <v>281701</v>
      </c>
      <c r="Q23" s="8">
        <f t="shared" si="6"/>
        <v>2.7331853906180568E-2</v>
      </c>
      <c r="R23" s="7">
        <v>767575</v>
      </c>
      <c r="S23" s="8">
        <f t="shared" si="7"/>
        <v>7.4473458603400586E-2</v>
      </c>
      <c r="T23" s="7">
        <v>158672</v>
      </c>
      <c r="U23" s="8">
        <f t="shared" si="8"/>
        <v>1.5395046247622418E-2</v>
      </c>
      <c r="V23" s="3"/>
    </row>
    <row r="24" spans="1:22" ht="17.100000000000001" customHeight="1">
      <c r="A24" s="5">
        <v>41090</v>
      </c>
      <c r="B24" s="6" t="s">
        <v>34</v>
      </c>
      <c r="C24" s="7">
        <v>10490548</v>
      </c>
      <c r="D24" s="7">
        <v>1452999</v>
      </c>
      <c r="E24" s="8">
        <f t="shared" si="0"/>
        <v>0.13850553850952305</v>
      </c>
      <c r="F24" s="7">
        <v>3857872</v>
      </c>
      <c r="G24" s="8">
        <f t="shared" si="1"/>
        <v>0.36774742368082203</v>
      </c>
      <c r="H24" s="7">
        <v>1964773</v>
      </c>
      <c r="I24" s="8">
        <f t="shared" si="2"/>
        <v>0.18728983462065091</v>
      </c>
      <c r="J24" s="7">
        <v>489640</v>
      </c>
      <c r="K24" s="8">
        <f t="shared" si="3"/>
        <v>4.6674396799862121E-2</v>
      </c>
      <c r="L24" s="7">
        <v>666429</v>
      </c>
      <c r="M24" s="8">
        <f t="shared" si="4"/>
        <v>6.3526614624898531E-2</v>
      </c>
      <c r="N24" s="7">
        <v>611397</v>
      </c>
      <c r="O24" s="8">
        <f t="shared" si="5"/>
        <v>5.8280749489921783E-2</v>
      </c>
      <c r="P24" s="7">
        <v>297212</v>
      </c>
      <c r="Q24" s="8">
        <f t="shared" si="6"/>
        <v>2.8331408425946863E-2</v>
      </c>
      <c r="R24" s="7">
        <v>790165</v>
      </c>
      <c r="S24" s="8">
        <f t="shared" si="7"/>
        <v>7.5321613322773984E-2</v>
      </c>
      <c r="T24" s="7">
        <v>171910</v>
      </c>
      <c r="U24" s="8">
        <f t="shared" si="8"/>
        <v>1.6387132492983209E-2</v>
      </c>
      <c r="V24" s="3"/>
    </row>
    <row r="25" spans="1:22" ht="17.100000000000001" customHeight="1">
      <c r="A25" s="5">
        <v>41182</v>
      </c>
      <c r="B25" s="6" t="s">
        <v>35</v>
      </c>
      <c r="C25" s="7">
        <v>10723156</v>
      </c>
      <c r="D25" s="7">
        <v>1514604</v>
      </c>
      <c r="E25" s="8">
        <f t="shared" si="0"/>
        <v>0.14124610329272463</v>
      </c>
      <c r="F25" s="7">
        <v>3958112</v>
      </c>
      <c r="G25" s="8">
        <f t="shared" si="1"/>
        <v>0.36911819617284314</v>
      </c>
      <c r="H25" s="7">
        <v>1967526</v>
      </c>
      <c r="I25" s="8">
        <f t="shared" si="2"/>
        <v>0.18348385493972111</v>
      </c>
      <c r="J25" s="7">
        <v>513720</v>
      </c>
      <c r="K25" s="8">
        <f t="shared" si="3"/>
        <v>4.790753766894746E-2</v>
      </c>
      <c r="L25" s="7">
        <v>584341</v>
      </c>
      <c r="M25" s="8">
        <f t="shared" si="4"/>
        <v>5.4493378628456025E-2</v>
      </c>
      <c r="N25" s="7">
        <v>678827</v>
      </c>
      <c r="O25" s="8">
        <f t="shared" si="5"/>
        <v>6.3304777063767415E-2</v>
      </c>
      <c r="P25" s="7">
        <v>330666</v>
      </c>
      <c r="Q25" s="8">
        <f t="shared" si="6"/>
        <v>3.0836630559137625E-2</v>
      </c>
      <c r="R25" s="7">
        <v>792110</v>
      </c>
      <c r="S25" s="8">
        <f t="shared" si="7"/>
        <v>7.3869110922194919E-2</v>
      </c>
      <c r="T25" s="7">
        <v>153986</v>
      </c>
      <c r="U25" s="8">
        <f t="shared" si="8"/>
        <v>1.4360138004147286E-2</v>
      </c>
      <c r="V25" s="3"/>
    </row>
    <row r="26" spans="1:22" ht="17.100000000000001" customHeight="1">
      <c r="A26" s="5">
        <v>41274</v>
      </c>
      <c r="B26" s="6" t="s">
        <v>36</v>
      </c>
      <c r="C26" s="7">
        <v>11027944</v>
      </c>
      <c r="D26" s="7">
        <v>1538647</v>
      </c>
      <c r="E26" s="8">
        <f t="shared" si="0"/>
        <v>0.13952256195715176</v>
      </c>
      <c r="F26" s="7">
        <v>4032835</v>
      </c>
      <c r="G26" s="8">
        <f t="shared" si="1"/>
        <v>0.36569237203235705</v>
      </c>
      <c r="H26" s="7">
        <v>1974315</v>
      </c>
      <c r="I26" s="8">
        <f t="shared" si="2"/>
        <v>0.17902838462001622</v>
      </c>
      <c r="J26" s="7">
        <v>510255</v>
      </c>
      <c r="K26" s="8">
        <f t="shared" si="3"/>
        <v>4.6269277392050591E-2</v>
      </c>
      <c r="L26" s="7">
        <v>677704</v>
      </c>
      <c r="M26" s="8">
        <f t="shared" si="4"/>
        <v>6.1453340713373224E-2</v>
      </c>
      <c r="N26" s="7">
        <v>629504</v>
      </c>
      <c r="O26" s="8">
        <f t="shared" si="5"/>
        <v>5.7082625736946072E-2</v>
      </c>
      <c r="P26" s="7">
        <v>342304</v>
      </c>
      <c r="Q26" s="8">
        <f t="shared" si="6"/>
        <v>3.1039693346284675E-2</v>
      </c>
      <c r="R26" s="7">
        <v>805281</v>
      </c>
      <c r="S26" s="8">
        <f t="shared" si="7"/>
        <v>7.3021861554610726E-2</v>
      </c>
      <c r="T26" s="7">
        <v>220902</v>
      </c>
      <c r="U26" s="8">
        <f t="shared" si="8"/>
        <v>2.0031113687193187E-2</v>
      </c>
      <c r="V26" s="3"/>
    </row>
    <row r="27" spans="1:22" ht="17.100000000000001" customHeight="1">
      <c r="A27" s="5">
        <v>41364</v>
      </c>
      <c r="B27" s="6" t="s">
        <v>37</v>
      </c>
      <c r="C27" s="7">
        <v>11373129</v>
      </c>
      <c r="D27" s="7">
        <v>1627547</v>
      </c>
      <c r="E27" s="8">
        <f t="shared" si="0"/>
        <v>0.14310459329178452</v>
      </c>
      <c r="F27" s="7">
        <v>4093764</v>
      </c>
      <c r="G27" s="8">
        <f t="shared" si="1"/>
        <v>0.35995054659100412</v>
      </c>
      <c r="H27" s="7">
        <v>2098312</v>
      </c>
      <c r="I27" s="8">
        <f t="shared" si="2"/>
        <v>0.18449733578156019</v>
      </c>
      <c r="J27" s="7">
        <v>531816</v>
      </c>
      <c r="K27" s="8">
        <f t="shared" si="3"/>
        <v>4.6760746317042565E-2</v>
      </c>
      <c r="L27" s="7">
        <v>683487</v>
      </c>
      <c r="M27" s="8">
        <f t="shared" si="4"/>
        <v>6.0096654139771034E-2</v>
      </c>
      <c r="N27" s="7">
        <v>651220</v>
      </c>
      <c r="O27" s="8">
        <f t="shared" si="5"/>
        <v>5.7259528138650324E-2</v>
      </c>
      <c r="P27" s="7">
        <v>331772</v>
      </c>
      <c r="Q27" s="8">
        <f t="shared" si="6"/>
        <v>2.9171567472768486E-2</v>
      </c>
      <c r="R27" s="7">
        <v>805068</v>
      </c>
      <c r="S27" s="8">
        <f t="shared" si="7"/>
        <v>7.0786852061556674E-2</v>
      </c>
      <c r="T27" s="7">
        <v>185084</v>
      </c>
      <c r="U27" s="8">
        <f t="shared" si="8"/>
        <v>1.6273797650584988E-2</v>
      </c>
      <c r="V27" s="3"/>
    </row>
    <row r="28" spans="1:22" ht="17.100000000000001" customHeight="1">
      <c r="A28" s="5">
        <v>41455</v>
      </c>
      <c r="B28" s="6" t="s">
        <v>38</v>
      </c>
      <c r="C28" s="7">
        <v>11368166</v>
      </c>
      <c r="D28" s="7">
        <v>1582801</v>
      </c>
      <c r="E28" s="8">
        <f t="shared" si="0"/>
        <v>0.13923098941377177</v>
      </c>
      <c r="F28" s="7">
        <v>4012216</v>
      </c>
      <c r="G28" s="8">
        <f t="shared" si="1"/>
        <v>0.35293432555435944</v>
      </c>
      <c r="H28" s="7">
        <v>2143888</v>
      </c>
      <c r="I28" s="8">
        <f t="shared" si="2"/>
        <v>0.18858697172437489</v>
      </c>
      <c r="J28" s="7">
        <v>498739</v>
      </c>
      <c r="K28" s="8">
        <f t="shared" si="3"/>
        <v>4.3871544451409311E-2</v>
      </c>
      <c r="L28" s="7">
        <v>602056</v>
      </c>
      <c r="M28" s="8">
        <f t="shared" si="4"/>
        <v>5.2959817792949185E-2</v>
      </c>
      <c r="N28" s="7">
        <v>605492</v>
      </c>
      <c r="O28" s="8">
        <f t="shared" si="5"/>
        <v>5.3262065314669052E-2</v>
      </c>
      <c r="P28" s="7">
        <v>283610</v>
      </c>
      <c r="Q28" s="8">
        <f t="shared" si="6"/>
        <v>2.4947735632994805E-2</v>
      </c>
      <c r="R28" s="7">
        <v>781881</v>
      </c>
      <c r="S28" s="8">
        <f t="shared" si="7"/>
        <v>6.8778112494134944E-2</v>
      </c>
      <c r="T28" s="7">
        <v>169160</v>
      </c>
      <c r="U28" s="8">
        <f t="shared" si="8"/>
        <v>1.4880148653705443E-2</v>
      </c>
      <c r="V28" s="3"/>
    </row>
    <row r="29" spans="1:22" ht="17.100000000000001" customHeight="1">
      <c r="A29" s="5">
        <v>41547</v>
      </c>
      <c r="B29" s="6" t="s">
        <v>39</v>
      </c>
      <c r="C29" s="7">
        <v>11563589</v>
      </c>
      <c r="D29" s="7">
        <v>1635713</v>
      </c>
      <c r="E29" s="8">
        <f t="shared" si="0"/>
        <v>0.14145374762108892</v>
      </c>
      <c r="F29" s="7">
        <v>4017107</v>
      </c>
      <c r="G29" s="8">
        <f t="shared" si="1"/>
        <v>0.34739275150647431</v>
      </c>
      <c r="H29" s="7">
        <v>2262042</v>
      </c>
      <c r="I29" s="8">
        <f t="shared" si="2"/>
        <v>0.19561764085527425</v>
      </c>
      <c r="J29" s="7">
        <v>526649</v>
      </c>
      <c r="K29" s="8">
        <f t="shared" si="3"/>
        <v>4.5543732140600986E-2</v>
      </c>
      <c r="L29" s="7">
        <v>530136</v>
      </c>
      <c r="M29" s="8">
        <f t="shared" si="4"/>
        <v>4.5845282117861506E-2</v>
      </c>
      <c r="N29" s="7">
        <v>564525</v>
      </c>
      <c r="O29" s="8">
        <f t="shared" si="5"/>
        <v>4.881918580814313E-2</v>
      </c>
      <c r="P29" s="7">
        <v>277728</v>
      </c>
      <c r="Q29" s="8">
        <f t="shared" si="6"/>
        <v>2.4017456863954609E-2</v>
      </c>
      <c r="R29" s="7">
        <v>769909</v>
      </c>
      <c r="S29" s="8">
        <f t="shared" si="7"/>
        <v>6.6580453525285271E-2</v>
      </c>
      <c r="T29" s="7">
        <v>216452</v>
      </c>
      <c r="U29" s="8">
        <f t="shared" si="8"/>
        <v>1.8718410002292542E-2</v>
      </c>
      <c r="V29" s="3"/>
    </row>
    <row r="30" spans="1:22" ht="17.100000000000001" customHeight="1">
      <c r="A30" s="5">
        <v>41639</v>
      </c>
      <c r="B30" s="6" t="s">
        <v>40</v>
      </c>
      <c r="C30" s="7">
        <v>11834187</v>
      </c>
      <c r="D30" s="7">
        <v>1736346</v>
      </c>
      <c r="E30" s="8">
        <f t="shared" si="0"/>
        <v>0.14672288007617254</v>
      </c>
      <c r="F30" s="7">
        <v>4056270</v>
      </c>
      <c r="G30" s="8">
        <f t="shared" si="1"/>
        <v>0.34275865338277989</v>
      </c>
      <c r="H30" s="7">
        <v>2341336</v>
      </c>
      <c r="I30" s="8">
        <f t="shared" si="2"/>
        <v>0.1978451075684371</v>
      </c>
      <c r="J30" s="7">
        <v>547316</v>
      </c>
      <c r="K30" s="8">
        <f t="shared" si="3"/>
        <v>4.6248719916289982E-2</v>
      </c>
      <c r="L30" s="7">
        <v>425403</v>
      </c>
      <c r="M30" s="8">
        <f t="shared" si="4"/>
        <v>3.5946956051987347E-2</v>
      </c>
      <c r="N30" s="7">
        <v>534936</v>
      </c>
      <c r="O30" s="8">
        <f t="shared" si="5"/>
        <v>4.5202598201295956E-2</v>
      </c>
      <c r="P30" s="7">
        <v>305146</v>
      </c>
      <c r="Q30" s="8">
        <f t="shared" si="6"/>
        <v>2.5785125754730763E-2</v>
      </c>
      <c r="R30" s="7">
        <v>767715</v>
      </c>
      <c r="S30" s="8">
        <f t="shared" si="7"/>
        <v>6.4872643976303573E-2</v>
      </c>
      <c r="T30" s="7">
        <v>181190</v>
      </c>
      <c r="U30" s="8">
        <f t="shared" si="8"/>
        <v>1.5310726457170231E-2</v>
      </c>
      <c r="V30" s="3"/>
    </row>
    <row r="31" spans="1:22" ht="17.100000000000001" customHeight="1">
      <c r="A31" s="5">
        <v>41729</v>
      </c>
      <c r="B31" s="6" t="s">
        <v>41</v>
      </c>
      <c r="C31" s="7">
        <v>12098504</v>
      </c>
      <c r="D31" s="7">
        <v>1894543</v>
      </c>
      <c r="E31" s="8">
        <f t="shared" si="0"/>
        <v>0.15659316226204495</v>
      </c>
      <c r="F31" s="7">
        <v>4053768</v>
      </c>
      <c r="G31" s="8">
        <f t="shared" si="1"/>
        <v>0.33506357480230614</v>
      </c>
      <c r="H31" s="7">
        <v>2494381</v>
      </c>
      <c r="I31" s="8">
        <f t="shared" si="2"/>
        <v>0.20617268052314566</v>
      </c>
      <c r="J31" s="7">
        <v>525350</v>
      </c>
      <c r="K31" s="8">
        <f t="shared" si="3"/>
        <v>4.342272399959532E-2</v>
      </c>
      <c r="L31" s="7">
        <v>323595</v>
      </c>
      <c r="M31" s="8">
        <f t="shared" si="4"/>
        <v>2.6746695293897494E-2</v>
      </c>
      <c r="N31" s="7">
        <v>643567</v>
      </c>
      <c r="O31" s="8">
        <f t="shared" si="5"/>
        <v>5.3193932076230251E-2</v>
      </c>
      <c r="P31" s="7">
        <v>352762</v>
      </c>
      <c r="Q31" s="8">
        <f t="shared" si="6"/>
        <v>2.9157489223461015E-2</v>
      </c>
      <c r="R31" s="7">
        <v>781987</v>
      </c>
      <c r="S31" s="8">
        <f t="shared" si="7"/>
        <v>6.4635016031734174E-2</v>
      </c>
      <c r="T31" s="7">
        <v>180058</v>
      </c>
      <c r="U31" s="8">
        <f t="shared" si="8"/>
        <v>1.4882666485046415E-2</v>
      </c>
      <c r="V31" s="3"/>
    </row>
    <row r="32" spans="1:22" ht="17.100000000000001" customHeight="1">
      <c r="A32" s="5">
        <v>41820</v>
      </c>
      <c r="B32" s="6" t="s">
        <v>42</v>
      </c>
      <c r="C32" s="7">
        <v>12047511</v>
      </c>
      <c r="D32" s="7">
        <v>1910474</v>
      </c>
      <c r="E32" s="8">
        <f t="shared" si="0"/>
        <v>0.15857831547113757</v>
      </c>
      <c r="F32" s="7">
        <v>4108219</v>
      </c>
      <c r="G32" s="8">
        <f t="shared" si="1"/>
        <v>0.34100147325036684</v>
      </c>
      <c r="H32" s="7">
        <v>2614159</v>
      </c>
      <c r="I32" s="8">
        <f t="shared" si="2"/>
        <v>0.21698747567028576</v>
      </c>
      <c r="J32" s="7">
        <v>427503</v>
      </c>
      <c r="K32" s="8">
        <f t="shared" si="3"/>
        <v>3.5484756975942999E-2</v>
      </c>
      <c r="L32" s="7">
        <v>240317</v>
      </c>
      <c r="M32" s="8">
        <f t="shared" si="4"/>
        <v>1.9947439765774025E-2</v>
      </c>
      <c r="N32" s="7">
        <v>660926</v>
      </c>
      <c r="O32" s="8">
        <f t="shared" si="5"/>
        <v>5.4859962360690101E-2</v>
      </c>
      <c r="P32" s="7">
        <v>387261</v>
      </c>
      <c r="Q32" s="8">
        <f t="shared" si="6"/>
        <v>3.2144481959800658E-2</v>
      </c>
      <c r="R32" s="7">
        <v>812199</v>
      </c>
      <c r="S32" s="8">
        <f t="shared" si="7"/>
        <v>6.7416331887972539E-2</v>
      </c>
      <c r="T32" s="7">
        <v>154273</v>
      </c>
      <c r="U32" s="8">
        <f t="shared" si="8"/>
        <v>1.2805383618242806E-2</v>
      </c>
      <c r="V32" s="3"/>
    </row>
    <row r="33" spans="1:22" ht="17.100000000000001" customHeight="1">
      <c r="A33" s="5">
        <v>41912</v>
      </c>
      <c r="B33" s="6" t="s">
        <v>43</v>
      </c>
      <c r="C33" s="7">
        <v>12255772</v>
      </c>
      <c r="D33" s="7">
        <v>1921113</v>
      </c>
      <c r="E33" s="8">
        <f t="shared" si="0"/>
        <v>0.15675169218226317</v>
      </c>
      <c r="F33" s="7">
        <v>4148038</v>
      </c>
      <c r="G33" s="8">
        <f t="shared" si="1"/>
        <v>0.33845587205767208</v>
      </c>
      <c r="H33" s="7">
        <v>2662378</v>
      </c>
      <c r="I33" s="8">
        <f t="shared" si="2"/>
        <v>0.21723462218455108</v>
      </c>
      <c r="J33" s="7">
        <v>446312</v>
      </c>
      <c r="K33" s="8">
        <f t="shared" si="3"/>
        <v>3.641647380515891E-2</v>
      </c>
      <c r="L33" s="7">
        <v>201676</v>
      </c>
      <c r="M33" s="8">
        <f t="shared" si="4"/>
        <v>1.6455593331860287E-2</v>
      </c>
      <c r="N33" s="7">
        <v>729389</v>
      </c>
      <c r="O33" s="8">
        <f t="shared" si="5"/>
        <v>5.9513917197545778E-2</v>
      </c>
      <c r="P33" s="7">
        <v>448211</v>
      </c>
      <c r="Q33" s="8">
        <f t="shared" si="6"/>
        <v>3.6571421204637293E-2</v>
      </c>
      <c r="R33" s="7">
        <v>825959</v>
      </c>
      <c r="S33" s="8">
        <f t="shared" si="7"/>
        <v>6.7393469787133772E-2</v>
      </c>
      <c r="T33" s="7">
        <v>120853</v>
      </c>
      <c r="U33" s="8">
        <f t="shared" si="8"/>
        <v>9.8609047230970026E-3</v>
      </c>
      <c r="V33" s="3"/>
    </row>
    <row r="34" spans="1:22" ht="17.100000000000001" customHeight="1">
      <c r="A34" s="5">
        <v>42004</v>
      </c>
      <c r="B34" s="6" t="s">
        <v>44</v>
      </c>
      <c r="C34" s="7">
        <v>12480854</v>
      </c>
      <c r="D34" s="7">
        <v>2035400</v>
      </c>
      <c r="E34" s="8">
        <f t="shared" si="0"/>
        <v>0.16308178911475127</v>
      </c>
      <c r="F34" s="7">
        <v>4122566</v>
      </c>
      <c r="G34" s="8">
        <f t="shared" si="1"/>
        <v>0.33031121107578054</v>
      </c>
      <c r="H34" s="7">
        <v>2736293</v>
      </c>
      <c r="I34" s="8">
        <f t="shared" si="2"/>
        <v>0.21923924436581022</v>
      </c>
      <c r="J34" s="7">
        <v>484687</v>
      </c>
      <c r="K34" s="8">
        <f t="shared" si="3"/>
        <v>3.8834441938027639E-2</v>
      </c>
      <c r="L34" s="7">
        <v>208221</v>
      </c>
      <c r="M34" s="8">
        <f t="shared" si="4"/>
        <v>1.6683233374895662E-2</v>
      </c>
      <c r="N34" s="7">
        <v>756783</v>
      </c>
      <c r="O34" s="8">
        <f t="shared" si="5"/>
        <v>6.0635514204396591E-2</v>
      </c>
      <c r="P34" s="7">
        <v>502805</v>
      </c>
      <c r="Q34" s="8">
        <f t="shared" si="6"/>
        <v>4.0286105421952698E-2</v>
      </c>
      <c r="R34" s="7">
        <v>844532</v>
      </c>
      <c r="S34" s="8">
        <f t="shared" si="7"/>
        <v>6.7666202969764735E-2</v>
      </c>
      <c r="T34" s="7">
        <v>118741</v>
      </c>
      <c r="U34" s="8">
        <f t="shared" si="8"/>
        <v>9.513852177102624E-3</v>
      </c>
      <c r="V34" s="3"/>
    </row>
    <row r="35" spans="1:22" ht="17.100000000000001" customHeight="1">
      <c r="A35" s="5">
        <v>42094</v>
      </c>
      <c r="B35" s="6" t="s">
        <v>45</v>
      </c>
      <c r="C35" s="7">
        <v>12606703</v>
      </c>
      <c r="D35" s="7">
        <v>2034161</v>
      </c>
      <c r="E35" s="8">
        <f t="shared" si="0"/>
        <v>0.16135551063588949</v>
      </c>
      <c r="F35" s="7">
        <v>4138470</v>
      </c>
      <c r="G35" s="8">
        <f t="shared" si="1"/>
        <v>0.3282753627177542</v>
      </c>
      <c r="H35" s="7">
        <v>2773131</v>
      </c>
      <c r="I35" s="8">
        <f t="shared" si="2"/>
        <v>0.21997273989876656</v>
      </c>
      <c r="J35" s="7">
        <v>508750</v>
      </c>
      <c r="K35" s="8">
        <f t="shared" si="3"/>
        <v>4.035551563323099E-2</v>
      </c>
      <c r="L35" s="7">
        <v>329732</v>
      </c>
      <c r="M35" s="8">
        <f t="shared" si="4"/>
        <v>2.6155292148946477E-2</v>
      </c>
      <c r="N35" s="7">
        <v>786586</v>
      </c>
      <c r="O35" s="8">
        <f t="shared" si="5"/>
        <v>6.2394267557504927E-2</v>
      </c>
      <c r="P35" s="7">
        <v>507710</v>
      </c>
      <c r="Q35" s="8">
        <f t="shared" si="6"/>
        <v>4.0273019837145367E-2</v>
      </c>
      <c r="R35" s="7">
        <v>820473</v>
      </c>
      <c r="S35" s="8">
        <f t="shared" si="7"/>
        <v>6.5082282020921728E-2</v>
      </c>
      <c r="T35" s="7">
        <v>133216</v>
      </c>
      <c r="U35" s="8">
        <f t="shared" si="8"/>
        <v>1.0567076895521374E-2</v>
      </c>
      <c r="V35" s="3"/>
    </row>
    <row r="36" spans="1:22" ht="17.100000000000001" customHeight="1">
      <c r="A36" s="5">
        <v>42185</v>
      </c>
      <c r="B36" s="6" t="s">
        <v>46</v>
      </c>
      <c r="C36" s="7">
        <v>12670654</v>
      </c>
      <c r="D36" s="7">
        <v>1984264</v>
      </c>
      <c r="E36" s="8">
        <f t="shared" si="0"/>
        <v>0.15660312403763846</v>
      </c>
      <c r="F36" s="7">
        <v>4178877</v>
      </c>
      <c r="G36" s="8">
        <f t="shared" si="1"/>
        <v>0.32980752216894249</v>
      </c>
      <c r="H36" s="7">
        <v>2682775</v>
      </c>
      <c r="I36" s="8">
        <f t="shared" si="2"/>
        <v>0.21173137550753102</v>
      </c>
      <c r="J36" s="7">
        <v>444548</v>
      </c>
      <c r="K36" s="8">
        <f t="shared" si="3"/>
        <v>3.5084850395251894E-2</v>
      </c>
      <c r="L36" s="7">
        <v>340446</v>
      </c>
      <c r="M36" s="8">
        <f t="shared" si="4"/>
        <v>2.6868857755882214E-2</v>
      </c>
      <c r="N36" s="7">
        <v>802549</v>
      </c>
      <c r="O36" s="8">
        <f t="shared" si="5"/>
        <v>6.3339193067698002E-2</v>
      </c>
      <c r="P36" s="7">
        <v>509485</v>
      </c>
      <c r="Q36" s="8">
        <f t="shared" si="6"/>
        <v>4.0209842364885034E-2</v>
      </c>
      <c r="R36" s="7">
        <v>816335</v>
      </c>
      <c r="S36" s="8">
        <f t="shared" si="7"/>
        <v>6.4427218989643306E-2</v>
      </c>
      <c r="T36" s="7">
        <v>125631</v>
      </c>
      <c r="U36" s="8">
        <f t="shared" si="8"/>
        <v>9.9151156680625952E-3</v>
      </c>
      <c r="V36" s="3"/>
    </row>
    <row r="37" spans="1:22" ht="17.100000000000001" customHeight="1">
      <c r="A37" s="5">
        <v>42277</v>
      </c>
      <c r="B37" s="6" t="s">
        <v>47</v>
      </c>
      <c r="C37" s="7">
        <v>12812842</v>
      </c>
      <c r="D37" s="7">
        <v>1958427</v>
      </c>
      <c r="E37" s="8">
        <f t="shared" si="0"/>
        <v>0.15284875908092835</v>
      </c>
      <c r="F37" s="7">
        <v>4147458</v>
      </c>
      <c r="G37" s="8">
        <f t="shared" si="1"/>
        <v>0.32369539872574721</v>
      </c>
      <c r="H37" s="7">
        <v>2720453</v>
      </c>
      <c r="I37" s="8">
        <f t="shared" si="2"/>
        <v>0.21232237157064765</v>
      </c>
      <c r="J37" s="7">
        <v>435774</v>
      </c>
      <c r="K37" s="8">
        <f t="shared" si="3"/>
        <v>3.4010721430889415E-2</v>
      </c>
      <c r="L37" s="7">
        <v>589924</v>
      </c>
      <c r="M37" s="8">
        <f t="shared" si="4"/>
        <v>4.6041619806128885E-2</v>
      </c>
      <c r="N37" s="7">
        <v>880381</v>
      </c>
      <c r="O37" s="8">
        <f t="shared" si="5"/>
        <v>6.8710829338252982E-2</v>
      </c>
      <c r="P37" s="7">
        <v>505872</v>
      </c>
      <c r="Q37" s="8">
        <f t="shared" si="6"/>
        <v>3.9481638812060585E-2</v>
      </c>
      <c r="R37" s="7">
        <v>804127</v>
      </c>
      <c r="S37" s="8">
        <f t="shared" si="7"/>
        <v>6.2759456489044352E-2</v>
      </c>
      <c r="T37" s="7">
        <v>116897</v>
      </c>
      <c r="U37" s="8">
        <f t="shared" si="8"/>
        <v>9.1234247639984944E-3</v>
      </c>
      <c r="V37" s="3"/>
    </row>
    <row r="38" spans="1:22" ht="17.100000000000001" customHeight="1">
      <c r="A38" s="5">
        <v>42369</v>
      </c>
      <c r="B38" s="6" t="s">
        <v>48</v>
      </c>
      <c r="C38" s="7">
        <v>13168996</v>
      </c>
      <c r="D38" s="7">
        <v>2052601</v>
      </c>
      <c r="E38" s="8">
        <f t="shared" si="0"/>
        <v>0.1558661723338666</v>
      </c>
      <c r="F38" s="7">
        <v>4093620</v>
      </c>
      <c r="G38" s="8">
        <f t="shared" si="1"/>
        <v>0.31085285468990953</v>
      </c>
      <c r="H38" s="7">
        <v>2675909</v>
      </c>
      <c r="I38" s="8">
        <f t="shared" si="2"/>
        <v>0.20319764695805209</v>
      </c>
      <c r="J38" s="7">
        <v>530292</v>
      </c>
      <c r="K38" s="8">
        <f t="shared" si="3"/>
        <v>4.0268217865659615E-2</v>
      </c>
      <c r="L38" s="7">
        <v>613334</v>
      </c>
      <c r="M38" s="8">
        <f t="shared" si="4"/>
        <v>4.657408962687816E-2</v>
      </c>
      <c r="N38" s="7">
        <v>912674</v>
      </c>
      <c r="O38" s="8">
        <f t="shared" si="5"/>
        <v>6.9304751858076344E-2</v>
      </c>
      <c r="P38" s="7">
        <v>537263</v>
      </c>
      <c r="Q38" s="8">
        <f t="shared" si="6"/>
        <v>4.0797567255696637E-2</v>
      </c>
      <c r="R38" s="7">
        <v>803010</v>
      </c>
      <c r="S38" s="8">
        <f t="shared" si="7"/>
        <v>6.0977313684353766E-2</v>
      </c>
      <c r="T38" s="7">
        <v>120897</v>
      </c>
      <c r="U38" s="8">
        <f t="shared" si="8"/>
        <v>9.1804265108744818E-3</v>
      </c>
      <c r="V38" s="3"/>
    </row>
    <row r="39" spans="1:22" ht="17.100000000000001" customHeight="1">
      <c r="A39" s="5">
        <v>42460</v>
      </c>
      <c r="B39" s="6" t="s">
        <v>49</v>
      </c>
      <c r="C39" s="7">
        <v>13407102</v>
      </c>
      <c r="D39" s="7">
        <v>2215264</v>
      </c>
      <c r="E39" s="8">
        <f t="shared" si="0"/>
        <v>0.16523063671776347</v>
      </c>
      <c r="F39" s="7">
        <v>4069170</v>
      </c>
      <c r="G39" s="8">
        <f t="shared" si="1"/>
        <v>0.30350854345704237</v>
      </c>
      <c r="H39" s="7">
        <v>2757311</v>
      </c>
      <c r="I39" s="8">
        <f t="shared" si="2"/>
        <v>0.20566047755883413</v>
      </c>
      <c r="J39" s="7">
        <v>606063</v>
      </c>
      <c r="K39" s="8">
        <f t="shared" si="3"/>
        <v>4.5204623639023556E-2</v>
      </c>
      <c r="L39" s="7">
        <v>761211</v>
      </c>
      <c r="M39" s="8">
        <f t="shared" si="4"/>
        <v>5.6776699394097248E-2</v>
      </c>
      <c r="N39" s="7">
        <v>942196</v>
      </c>
      <c r="O39" s="8">
        <f t="shared" si="5"/>
        <v>7.0275888107661152E-2</v>
      </c>
      <c r="P39" s="7">
        <v>547959</v>
      </c>
      <c r="Q39" s="8">
        <f t="shared" si="6"/>
        <v>4.0870801161951333E-2</v>
      </c>
      <c r="R39" s="7">
        <v>821522</v>
      </c>
      <c r="S39" s="8">
        <f t="shared" si="7"/>
        <v>6.1275136118155882E-2</v>
      </c>
      <c r="T39" s="7">
        <v>134869</v>
      </c>
      <c r="U39" s="8">
        <f t="shared" si="8"/>
        <v>1.0059519201092078E-2</v>
      </c>
      <c r="V39" s="3"/>
    </row>
    <row r="40" spans="1:22" ht="17.100000000000001" customHeight="1">
      <c r="A40" s="5">
        <v>42551</v>
      </c>
      <c r="B40" s="6" t="s">
        <v>50</v>
      </c>
      <c r="C40" s="7">
        <v>13391647</v>
      </c>
      <c r="D40" s="7">
        <v>2244316</v>
      </c>
      <c r="E40" s="8">
        <f t="shared" ref="E40:E71" si="9">D40/$C40</f>
        <v>0.1675907377188183</v>
      </c>
      <c r="F40" s="7">
        <v>4034737</v>
      </c>
      <c r="G40" s="8">
        <f t="shared" ref="G40:G71" si="10">F40/$C40</f>
        <v>0.30128758620952301</v>
      </c>
      <c r="H40" s="7">
        <v>2806334</v>
      </c>
      <c r="I40" s="8">
        <f t="shared" ref="I40:I71" si="11">H40/$C40</f>
        <v>0.2095585404842287</v>
      </c>
      <c r="J40" s="7">
        <v>555988</v>
      </c>
      <c r="K40" s="8">
        <f t="shared" ref="K40:K71" si="12">J40/$C40</f>
        <v>4.1517522079248352E-2</v>
      </c>
      <c r="L40" s="7">
        <v>818995</v>
      </c>
      <c r="M40" s="8">
        <f t="shared" ref="M40:M71" si="13">L40/$C40</f>
        <v>6.1157152663895639E-2</v>
      </c>
      <c r="N40" s="7">
        <v>1009409</v>
      </c>
      <c r="O40" s="8">
        <f t="shared" ref="O40:O71" si="14">N40/$C40</f>
        <v>7.5376016109146252E-2</v>
      </c>
      <c r="P40" s="7">
        <v>571832</v>
      </c>
      <c r="Q40" s="8">
        <f t="shared" ref="Q40:Q71" si="15">P40/$C40</f>
        <v>4.2700647649986594E-2</v>
      </c>
      <c r="R40" s="7">
        <v>859295</v>
      </c>
      <c r="S40" s="8">
        <f t="shared" ref="S40:S71" si="16">R40/$C40</f>
        <v>6.4166491246371707E-2</v>
      </c>
      <c r="T40" s="7">
        <v>140879</v>
      </c>
      <c r="U40" s="8">
        <f t="shared" ref="U40:U71" si="17">T40/$C40</f>
        <v>1.0519915884879582E-2</v>
      </c>
      <c r="V40" s="3"/>
    </row>
    <row r="41" spans="1:22" ht="17.100000000000001" customHeight="1">
      <c r="A41" s="5">
        <v>42643</v>
      </c>
      <c r="B41" s="6" t="s">
        <v>51</v>
      </c>
      <c r="C41" s="7">
        <v>13621965</v>
      </c>
      <c r="D41" s="7">
        <v>2256484</v>
      </c>
      <c r="E41" s="8">
        <f t="shared" si="9"/>
        <v>0.16565040359448877</v>
      </c>
      <c r="F41" s="7">
        <v>3899391</v>
      </c>
      <c r="G41" s="8">
        <f t="shared" si="10"/>
        <v>0.28625759939920564</v>
      </c>
      <c r="H41" s="7">
        <v>2780236</v>
      </c>
      <c r="I41" s="8">
        <f t="shared" si="11"/>
        <v>0.20409948197635217</v>
      </c>
      <c r="J41" s="7">
        <v>709170</v>
      </c>
      <c r="K41" s="8">
        <f t="shared" si="12"/>
        <v>5.2060770968065183E-2</v>
      </c>
      <c r="L41" s="7">
        <v>810056</v>
      </c>
      <c r="M41" s="8">
        <f t="shared" si="13"/>
        <v>5.9466897764015689E-2</v>
      </c>
      <c r="N41" s="7">
        <v>1039774</v>
      </c>
      <c r="O41" s="8">
        <f t="shared" si="14"/>
        <v>7.6330690909865065E-2</v>
      </c>
      <c r="P41" s="7">
        <v>619652</v>
      </c>
      <c r="Q41" s="8">
        <f t="shared" si="15"/>
        <v>4.5489178690445907E-2</v>
      </c>
      <c r="R41" s="7">
        <v>892661</v>
      </c>
      <c r="S41" s="8">
        <f t="shared" si="16"/>
        <v>6.5531000850464677E-2</v>
      </c>
      <c r="T41" s="7">
        <v>143078</v>
      </c>
      <c r="U41" s="8">
        <f t="shared" si="17"/>
        <v>1.050347728833542E-2</v>
      </c>
      <c r="V41" s="3"/>
    </row>
    <row r="42" spans="1:22" ht="17.100000000000001" customHeight="1">
      <c r="A42" s="5">
        <v>42735</v>
      </c>
      <c r="B42" s="6" t="s">
        <v>52</v>
      </c>
      <c r="C42" s="7">
        <v>13880222</v>
      </c>
      <c r="D42" s="7">
        <v>2189355</v>
      </c>
      <c r="E42" s="8">
        <f t="shared" si="9"/>
        <v>0.15773198728377688</v>
      </c>
      <c r="F42" s="7">
        <v>3813442</v>
      </c>
      <c r="G42" s="8">
        <f t="shared" si="10"/>
        <v>0.27473926569762358</v>
      </c>
      <c r="H42" s="7">
        <v>2640706</v>
      </c>
      <c r="I42" s="8">
        <f t="shared" si="11"/>
        <v>0.19024955076366934</v>
      </c>
      <c r="J42" s="7">
        <v>850977</v>
      </c>
      <c r="K42" s="8">
        <f t="shared" si="12"/>
        <v>6.1308601548303768E-2</v>
      </c>
      <c r="L42" s="7">
        <v>754023</v>
      </c>
      <c r="M42" s="8">
        <f t="shared" si="13"/>
        <v>5.4323554767351706E-2</v>
      </c>
      <c r="N42" s="7">
        <v>1000659</v>
      </c>
      <c r="O42" s="8">
        <f t="shared" si="14"/>
        <v>7.2092434832814634E-2</v>
      </c>
      <c r="P42" s="7">
        <v>654053</v>
      </c>
      <c r="Q42" s="8">
        <f t="shared" si="15"/>
        <v>4.7121220395466297E-2</v>
      </c>
      <c r="R42" s="7">
        <v>887762</v>
      </c>
      <c r="S42" s="8">
        <f t="shared" si="16"/>
        <v>6.3958775299127066E-2</v>
      </c>
      <c r="T42" s="7">
        <v>123967</v>
      </c>
      <c r="U42" s="8">
        <f t="shared" si="17"/>
        <v>8.931197209958169E-3</v>
      </c>
      <c r="V42" s="3"/>
    </row>
    <row r="43" spans="1:22" ht="17.100000000000001" customHeight="1">
      <c r="A43" s="5">
        <v>42825</v>
      </c>
      <c r="B43" s="6" t="s">
        <v>53</v>
      </c>
      <c r="C43" s="7">
        <v>13923005</v>
      </c>
      <c r="D43" s="7">
        <v>2195234</v>
      </c>
      <c r="E43" s="8">
        <f t="shared" si="9"/>
        <v>0.15766955481234116</v>
      </c>
      <c r="F43" s="7">
        <v>3880100</v>
      </c>
      <c r="G43" s="8">
        <f t="shared" si="10"/>
        <v>0.27868265507338397</v>
      </c>
      <c r="H43" s="7">
        <v>2643568</v>
      </c>
      <c r="I43" s="8">
        <f t="shared" si="11"/>
        <v>0.18987050568465644</v>
      </c>
      <c r="J43" s="7">
        <v>786773</v>
      </c>
      <c r="K43" s="8">
        <f t="shared" si="12"/>
        <v>5.6508849921407055E-2</v>
      </c>
      <c r="L43" s="7">
        <v>723671</v>
      </c>
      <c r="M43" s="8">
        <f t="shared" si="13"/>
        <v>5.197663866385166E-2</v>
      </c>
      <c r="N43" s="7">
        <v>1030714</v>
      </c>
      <c r="O43" s="8">
        <f t="shared" si="14"/>
        <v>7.4029564738359283E-2</v>
      </c>
      <c r="P43" s="7">
        <v>645694</v>
      </c>
      <c r="Q43" s="8">
        <f t="shared" si="15"/>
        <v>4.6376051721593148E-2</v>
      </c>
      <c r="R43" s="7">
        <v>928941</v>
      </c>
      <c r="S43" s="8">
        <f t="shared" si="16"/>
        <v>6.6719863994877546E-2</v>
      </c>
      <c r="T43" s="7">
        <v>143078</v>
      </c>
      <c r="U43" s="8">
        <f t="shared" si="17"/>
        <v>1.0276373527122917E-2</v>
      </c>
      <c r="V43" s="3"/>
    </row>
    <row r="44" spans="1:22" ht="17.100000000000001" customHeight="1">
      <c r="A44" s="5">
        <v>42916</v>
      </c>
      <c r="B44" s="6" t="s">
        <v>54</v>
      </c>
      <c r="C44" s="7">
        <v>13965794</v>
      </c>
      <c r="D44" s="7">
        <v>2157509</v>
      </c>
      <c r="E44" s="8">
        <f t="shared" si="9"/>
        <v>0.15448523728761859</v>
      </c>
      <c r="F44" s="7">
        <v>3994397</v>
      </c>
      <c r="G44" s="8">
        <f t="shared" si="10"/>
        <v>0.28601288261877555</v>
      </c>
      <c r="H44" s="7">
        <v>2657025</v>
      </c>
      <c r="I44" s="8">
        <f t="shared" si="11"/>
        <v>0.19025234082645068</v>
      </c>
      <c r="J44" s="7">
        <v>662297</v>
      </c>
      <c r="K44" s="8">
        <f t="shared" si="12"/>
        <v>4.7422796011454847E-2</v>
      </c>
      <c r="L44" s="7">
        <v>766163</v>
      </c>
      <c r="M44" s="8">
        <f t="shared" si="13"/>
        <v>5.485996714544121E-2</v>
      </c>
      <c r="N44" s="7">
        <v>1091457</v>
      </c>
      <c r="O44" s="8">
        <f t="shared" si="14"/>
        <v>7.8152162347518511E-2</v>
      </c>
      <c r="P44" s="7">
        <v>602098</v>
      </c>
      <c r="Q44" s="8">
        <f t="shared" si="15"/>
        <v>4.3112335754057381E-2</v>
      </c>
      <c r="R44" s="7">
        <v>974985</v>
      </c>
      <c r="S44" s="8">
        <f t="shared" si="16"/>
        <v>6.9812357249433868E-2</v>
      </c>
      <c r="T44" s="7">
        <v>164612</v>
      </c>
      <c r="U44" s="8">
        <f t="shared" si="17"/>
        <v>1.1786798516432363E-2</v>
      </c>
      <c r="V44" s="3"/>
    </row>
    <row r="45" spans="1:22" ht="17.100000000000001" customHeight="1">
      <c r="A45" s="5">
        <v>43008</v>
      </c>
      <c r="B45" s="6" t="s">
        <v>55</v>
      </c>
      <c r="C45" s="7">
        <v>14156063</v>
      </c>
      <c r="D45" s="7">
        <v>2231522</v>
      </c>
      <c r="E45" s="8">
        <f t="shared" si="9"/>
        <v>0.157637190509819</v>
      </c>
      <c r="F45" s="7">
        <v>4070417</v>
      </c>
      <c r="G45" s="8">
        <f t="shared" si="10"/>
        <v>0.28753877402212746</v>
      </c>
      <c r="H45" s="7">
        <v>2651193</v>
      </c>
      <c r="I45" s="8">
        <f t="shared" si="11"/>
        <v>0.18728321567938769</v>
      </c>
      <c r="J45" s="7">
        <v>695020</v>
      </c>
      <c r="K45" s="8">
        <f t="shared" si="12"/>
        <v>4.9096984097909142E-2</v>
      </c>
      <c r="L45" s="7">
        <v>689147</v>
      </c>
      <c r="M45" s="8">
        <f t="shared" si="13"/>
        <v>4.8682108860351923E-2</v>
      </c>
      <c r="N45" s="7">
        <v>1161568</v>
      </c>
      <c r="O45" s="8">
        <f t="shared" si="14"/>
        <v>8.2054452569192443E-2</v>
      </c>
      <c r="P45" s="7">
        <v>596419</v>
      </c>
      <c r="Q45" s="8">
        <f t="shared" si="15"/>
        <v>4.2131700035525417E-2</v>
      </c>
      <c r="R45" s="7">
        <v>1001617</v>
      </c>
      <c r="S45" s="8">
        <f t="shared" si="16"/>
        <v>7.0755336423693513E-2</v>
      </c>
      <c r="T45" s="7">
        <v>149038</v>
      </c>
      <c r="U45" s="8">
        <f t="shared" si="17"/>
        <v>1.0528209714805592E-2</v>
      </c>
      <c r="V45" s="3"/>
    </row>
    <row r="46" spans="1:22" ht="17.100000000000001" customHeight="1">
      <c r="A46" s="5">
        <v>43100</v>
      </c>
      <c r="B46" s="6" t="s">
        <v>56</v>
      </c>
      <c r="C46" s="7">
        <v>14434589</v>
      </c>
      <c r="D46" s="7">
        <v>2187325</v>
      </c>
      <c r="E46" s="8">
        <f t="shared" si="9"/>
        <v>0.15153358367183159</v>
      </c>
      <c r="F46" s="7">
        <v>4023954</v>
      </c>
      <c r="G46" s="8">
        <f t="shared" si="10"/>
        <v>0.27877163665692178</v>
      </c>
      <c r="H46" s="7">
        <v>2633008</v>
      </c>
      <c r="I46" s="8">
        <f t="shared" si="11"/>
        <v>0.18240962731948931</v>
      </c>
      <c r="J46" s="7">
        <v>756197</v>
      </c>
      <c r="K46" s="8">
        <f t="shared" si="12"/>
        <v>5.2387844226115476E-2</v>
      </c>
      <c r="L46" s="7">
        <v>703622</v>
      </c>
      <c r="M46" s="8">
        <f t="shared" si="13"/>
        <v>4.8745551397410762E-2</v>
      </c>
      <c r="N46" s="7">
        <v>1214137</v>
      </c>
      <c r="O46" s="8">
        <f t="shared" si="14"/>
        <v>8.4113028781075794E-2</v>
      </c>
      <c r="P46" s="7">
        <v>616024</v>
      </c>
      <c r="Q46" s="8">
        <f t="shared" si="15"/>
        <v>4.2676933856585733E-2</v>
      </c>
      <c r="R46" s="7">
        <v>1048662</v>
      </c>
      <c r="S46" s="8">
        <f t="shared" si="16"/>
        <v>7.2649245503283819E-2</v>
      </c>
      <c r="T46" s="7">
        <v>136275</v>
      </c>
      <c r="U46" s="8">
        <f t="shared" si="17"/>
        <v>9.4408645788252102E-3</v>
      </c>
      <c r="V46" s="3"/>
    </row>
    <row r="47" spans="1:22" ht="17.100000000000001" customHeight="1">
      <c r="A47" s="5">
        <v>43190</v>
      </c>
      <c r="B47" s="6" t="s">
        <v>57</v>
      </c>
      <c r="C47" s="7">
        <v>14894690</v>
      </c>
      <c r="D47" s="7">
        <v>2171744</v>
      </c>
      <c r="E47" s="8">
        <f t="shared" si="9"/>
        <v>0.14580659281932018</v>
      </c>
      <c r="F47" s="7">
        <v>4051690</v>
      </c>
      <c r="G47" s="8">
        <f t="shared" si="10"/>
        <v>0.27202244558295607</v>
      </c>
      <c r="H47" s="7">
        <v>2555722</v>
      </c>
      <c r="I47" s="8">
        <f t="shared" si="11"/>
        <v>0.17158611558884407</v>
      </c>
      <c r="J47" s="7">
        <v>951188</v>
      </c>
      <c r="K47" s="8">
        <f t="shared" si="12"/>
        <v>6.3860879279797028E-2</v>
      </c>
      <c r="L47" s="7">
        <v>861772</v>
      </c>
      <c r="M47" s="8">
        <f t="shared" si="13"/>
        <v>5.7857666054144129E-2</v>
      </c>
      <c r="N47" s="7">
        <v>1225729</v>
      </c>
      <c r="O47" s="8">
        <f t="shared" si="14"/>
        <v>8.229301851868015E-2</v>
      </c>
      <c r="P47" s="7">
        <v>612797</v>
      </c>
      <c r="Q47" s="8">
        <f t="shared" si="15"/>
        <v>4.1141977442967929E-2</v>
      </c>
      <c r="R47" s="7">
        <v>1048146</v>
      </c>
      <c r="S47" s="8">
        <f t="shared" si="16"/>
        <v>7.0370447454764076E-2</v>
      </c>
      <c r="T47" s="7">
        <v>122712</v>
      </c>
      <c r="U47" s="8">
        <f t="shared" si="17"/>
        <v>8.2386407504956467E-3</v>
      </c>
      <c r="V47" s="3"/>
    </row>
    <row r="48" spans="1:22" ht="17.100000000000001" customHeight="1">
      <c r="A48" s="5">
        <v>43281</v>
      </c>
      <c r="B48" s="6" t="s">
        <v>58</v>
      </c>
      <c r="C48" s="7">
        <v>14933718</v>
      </c>
      <c r="D48" s="7">
        <v>2236381</v>
      </c>
      <c r="E48" s="8">
        <f t="shared" si="9"/>
        <v>0.14975379875259462</v>
      </c>
      <c r="F48" s="7">
        <v>3988634</v>
      </c>
      <c r="G48" s="8">
        <f t="shared" si="10"/>
        <v>0.26708914685545826</v>
      </c>
      <c r="H48" s="7">
        <v>2495040</v>
      </c>
      <c r="I48" s="8">
        <f t="shared" si="11"/>
        <v>0.1670742677744417</v>
      </c>
      <c r="J48" s="7">
        <v>788105</v>
      </c>
      <c r="K48" s="8">
        <f t="shared" si="12"/>
        <v>5.2773529003293088E-2</v>
      </c>
      <c r="L48" s="7">
        <v>949208</v>
      </c>
      <c r="M48" s="8">
        <f t="shared" si="13"/>
        <v>6.3561398440763375E-2</v>
      </c>
      <c r="N48" s="7">
        <v>1260046</v>
      </c>
      <c r="O48" s="8">
        <f t="shared" si="14"/>
        <v>8.4375906924183244E-2</v>
      </c>
      <c r="P48" s="7">
        <v>631960</v>
      </c>
      <c r="Q48" s="8">
        <f t="shared" si="15"/>
        <v>4.2317659942420233E-2</v>
      </c>
      <c r="R48" s="7">
        <v>1052435</v>
      </c>
      <c r="S48" s="8">
        <f t="shared" si="16"/>
        <v>7.0473742707609713E-2</v>
      </c>
      <c r="T48" s="7">
        <v>164694</v>
      </c>
      <c r="U48" s="8">
        <f t="shared" si="17"/>
        <v>1.1028331993412492E-2</v>
      </c>
      <c r="V48" s="3"/>
    </row>
    <row r="49" spans="1:22" ht="17.100000000000001" customHeight="1">
      <c r="A49" s="5">
        <v>43373</v>
      </c>
      <c r="B49" s="6" t="s">
        <v>59</v>
      </c>
      <c r="C49" s="7">
        <v>15227623</v>
      </c>
      <c r="D49" s="7">
        <v>2215788</v>
      </c>
      <c r="E49" s="8">
        <f t="shared" si="9"/>
        <v>0.14551108863149553</v>
      </c>
      <c r="F49" s="7">
        <v>4010108</v>
      </c>
      <c r="G49" s="8">
        <f t="shared" si="10"/>
        <v>0.26334431841397704</v>
      </c>
      <c r="H49" s="7">
        <v>2395142</v>
      </c>
      <c r="I49" s="8">
        <f t="shared" si="11"/>
        <v>0.1572892893395115</v>
      </c>
      <c r="J49" s="7">
        <v>826306</v>
      </c>
      <c r="K49" s="8">
        <f t="shared" si="12"/>
        <v>5.42636234164715E-2</v>
      </c>
      <c r="L49" s="7">
        <v>1122040</v>
      </c>
      <c r="M49" s="8">
        <f t="shared" si="13"/>
        <v>7.3684513991448305E-2</v>
      </c>
      <c r="N49" s="7">
        <v>1281398</v>
      </c>
      <c r="O49" s="8">
        <f t="shared" si="14"/>
        <v>8.4149574756349044E-2</v>
      </c>
      <c r="P49" s="7">
        <v>649330</v>
      </c>
      <c r="Q49" s="8">
        <f t="shared" si="15"/>
        <v>4.2641586280406339E-2</v>
      </c>
      <c r="R49" s="7">
        <v>1049700</v>
      </c>
      <c r="S49" s="8">
        <f t="shared" si="16"/>
        <v>6.893393670174261E-2</v>
      </c>
      <c r="T49" s="7">
        <v>138529</v>
      </c>
      <c r="U49" s="8">
        <f t="shared" si="17"/>
        <v>9.0972176025109104E-3</v>
      </c>
      <c r="V49" s="3"/>
    </row>
    <row r="50" spans="1:22" ht="17.100000000000001" customHeight="1">
      <c r="A50" s="5">
        <v>43465</v>
      </c>
      <c r="B50" s="6" t="s">
        <v>60</v>
      </c>
      <c r="C50" s="7">
        <v>15566216</v>
      </c>
      <c r="D50" s="7">
        <v>2313356</v>
      </c>
      <c r="E50" s="8">
        <f t="shared" si="9"/>
        <v>0.148613895631411</v>
      </c>
      <c r="F50" s="7">
        <v>3956774</v>
      </c>
      <c r="G50" s="8">
        <f t="shared" si="10"/>
        <v>0.25418984292650187</v>
      </c>
      <c r="H50" s="7">
        <v>2337994</v>
      </c>
      <c r="I50" s="8">
        <f t="shared" si="11"/>
        <v>0.15019668235363046</v>
      </c>
      <c r="J50" s="7">
        <v>945064</v>
      </c>
      <c r="K50" s="8">
        <f t="shared" si="12"/>
        <v>6.0712507137251598E-2</v>
      </c>
      <c r="L50" s="7">
        <v>1259326</v>
      </c>
      <c r="M50" s="8">
        <f t="shared" si="13"/>
        <v>8.090122866083832E-2</v>
      </c>
      <c r="N50" s="7">
        <v>1325968</v>
      </c>
      <c r="O50" s="8">
        <f t="shared" si="14"/>
        <v>8.5182423268442373E-2</v>
      </c>
      <c r="P50" s="7">
        <v>737043</v>
      </c>
      <c r="Q50" s="8">
        <f t="shared" si="15"/>
        <v>4.7348886845717676E-2</v>
      </c>
      <c r="R50" s="7">
        <v>1128292</v>
      </c>
      <c r="S50" s="8">
        <f t="shared" si="16"/>
        <v>7.2483383244842547E-2</v>
      </c>
      <c r="T50" s="7">
        <v>255063</v>
      </c>
      <c r="U50" s="8">
        <f t="shared" si="17"/>
        <v>1.6385677803777102E-2</v>
      </c>
      <c r="V50" s="3"/>
    </row>
    <row r="51" spans="1:22" ht="17.100000000000001" customHeight="1">
      <c r="A51" s="5">
        <v>43555</v>
      </c>
      <c r="B51" s="6" t="s">
        <v>61</v>
      </c>
      <c r="C51" s="7">
        <v>15888708</v>
      </c>
      <c r="D51" s="7">
        <v>2393146</v>
      </c>
      <c r="E51" s="8">
        <f t="shared" si="9"/>
        <v>0.15061929516232533</v>
      </c>
      <c r="F51" s="7">
        <v>4080853</v>
      </c>
      <c r="G51" s="8">
        <f t="shared" si="10"/>
        <v>0.25683982612053791</v>
      </c>
      <c r="H51" s="7">
        <v>2330158</v>
      </c>
      <c r="I51" s="8">
        <f t="shared" si="11"/>
        <v>0.14665497030973193</v>
      </c>
      <c r="J51" s="7">
        <v>1010338</v>
      </c>
      <c r="K51" s="8">
        <f t="shared" si="12"/>
        <v>6.3588430223527295E-2</v>
      </c>
      <c r="L51" s="7">
        <v>1428322</v>
      </c>
      <c r="M51" s="8">
        <f t="shared" si="13"/>
        <v>8.9895415033116599E-2</v>
      </c>
      <c r="N51" s="7">
        <v>1369164</v>
      </c>
      <c r="O51" s="8">
        <f t="shared" si="14"/>
        <v>8.6172141875852967E-2</v>
      </c>
      <c r="P51" s="7">
        <v>736739</v>
      </c>
      <c r="Q51" s="8">
        <f t="shared" si="15"/>
        <v>4.6368716701194329E-2</v>
      </c>
      <c r="R51" s="7">
        <v>1138247</v>
      </c>
      <c r="S51" s="8">
        <f t="shared" si="16"/>
        <v>7.1638738656409323E-2</v>
      </c>
      <c r="T51" s="7">
        <v>252870</v>
      </c>
      <c r="U51" s="8">
        <f t="shared" si="17"/>
        <v>1.5915076291917504E-2</v>
      </c>
      <c r="V51" s="3"/>
    </row>
    <row r="52" spans="1:22" ht="17.100000000000001" customHeight="1">
      <c r="A52" s="5">
        <v>43646</v>
      </c>
      <c r="B52" s="6" t="s">
        <v>62</v>
      </c>
      <c r="C52" s="7">
        <v>15884286</v>
      </c>
      <c r="D52" s="7">
        <v>2479799</v>
      </c>
      <c r="E52" s="8">
        <f t="shared" si="9"/>
        <v>0.15611649148095169</v>
      </c>
      <c r="F52" s="7">
        <v>4146061</v>
      </c>
      <c r="G52" s="8">
        <f t="shared" si="10"/>
        <v>0.26101651657493452</v>
      </c>
      <c r="H52" s="7">
        <v>2315006</v>
      </c>
      <c r="I52" s="8">
        <f t="shared" si="11"/>
        <v>0.1457418986286195</v>
      </c>
      <c r="J52" s="7">
        <v>829281</v>
      </c>
      <c r="K52" s="8">
        <f t="shared" si="12"/>
        <v>5.2207634639668411E-2</v>
      </c>
      <c r="L52" s="7">
        <v>1571577</v>
      </c>
      <c r="M52" s="8">
        <f t="shared" si="13"/>
        <v>9.8939102456352152E-2</v>
      </c>
      <c r="N52" s="7">
        <v>1419085</v>
      </c>
      <c r="O52" s="8">
        <f t="shared" si="14"/>
        <v>8.9338922756742101E-2</v>
      </c>
      <c r="P52" s="7">
        <v>770159</v>
      </c>
      <c r="Q52" s="8">
        <f t="shared" si="15"/>
        <v>4.8485591357395608E-2</v>
      </c>
      <c r="R52" s="7">
        <v>1191501</v>
      </c>
      <c r="S52" s="8">
        <f t="shared" si="16"/>
        <v>7.5011303624223341E-2</v>
      </c>
      <c r="T52" s="7">
        <v>280077</v>
      </c>
      <c r="U52" s="8">
        <f t="shared" si="17"/>
        <v>1.7632331727091794E-2</v>
      </c>
      <c r="V52" s="3"/>
    </row>
    <row r="53" spans="1:22" ht="17.100000000000001" customHeight="1">
      <c r="A53" s="5">
        <v>43738</v>
      </c>
      <c r="B53" s="6" t="s">
        <v>63</v>
      </c>
      <c r="C53" s="7">
        <v>16303690</v>
      </c>
      <c r="D53" s="7">
        <v>2809381</v>
      </c>
      <c r="E53" s="8">
        <f t="shared" si="9"/>
        <v>0.17231565369557444</v>
      </c>
      <c r="F53" s="7">
        <v>4150909</v>
      </c>
      <c r="G53" s="8">
        <f t="shared" si="10"/>
        <v>0.25459935756874669</v>
      </c>
      <c r="H53" s="7">
        <v>2366457</v>
      </c>
      <c r="I53" s="8">
        <f t="shared" si="11"/>
        <v>0.14514855226025519</v>
      </c>
      <c r="J53" s="7">
        <v>1048004</v>
      </c>
      <c r="K53" s="8">
        <f t="shared" si="12"/>
        <v>6.428017215734598E-2</v>
      </c>
      <c r="L53" s="7">
        <v>1636111</v>
      </c>
      <c r="M53" s="8">
        <f t="shared" si="13"/>
        <v>0.100352190209701</v>
      </c>
      <c r="N53" s="7">
        <v>1494667</v>
      </c>
      <c r="O53" s="8">
        <f t="shared" si="14"/>
        <v>9.1676608178884664E-2</v>
      </c>
      <c r="P53" s="7">
        <v>855814</v>
      </c>
      <c r="Q53" s="8">
        <f t="shared" si="15"/>
        <v>5.2492043212303476E-2</v>
      </c>
      <c r="R53" s="7">
        <v>1172186</v>
      </c>
      <c r="S53" s="8">
        <f t="shared" si="16"/>
        <v>7.1896975469970301E-2</v>
      </c>
      <c r="T53" s="7">
        <v>242590</v>
      </c>
      <c r="U53" s="8">
        <f t="shared" si="17"/>
        <v>1.4879453669690727E-2</v>
      </c>
      <c r="V53" s="3"/>
    </row>
    <row r="54" spans="1:22" ht="17.100000000000001" customHeight="1">
      <c r="A54" s="5">
        <v>43830</v>
      </c>
      <c r="B54" s="6" t="s">
        <v>64</v>
      </c>
      <c r="C54" s="7">
        <v>16628907</v>
      </c>
      <c r="D54" s="7">
        <v>2840916</v>
      </c>
      <c r="E54" s="8">
        <f t="shared" si="9"/>
        <v>0.17084201625518744</v>
      </c>
      <c r="F54" s="7">
        <v>4076906</v>
      </c>
      <c r="G54" s="8">
        <f t="shared" si="10"/>
        <v>0.2451698118222683</v>
      </c>
      <c r="H54" s="7">
        <v>2540730</v>
      </c>
      <c r="I54" s="8">
        <f t="shared" si="11"/>
        <v>0.15278995787275737</v>
      </c>
      <c r="J54" s="7">
        <v>1122598</v>
      </c>
      <c r="K54" s="8">
        <f t="shared" si="12"/>
        <v>6.7508826647475983E-2</v>
      </c>
      <c r="L54" s="7">
        <v>1498818</v>
      </c>
      <c r="M54" s="8">
        <f t="shared" si="13"/>
        <v>9.0133284165940672E-2</v>
      </c>
      <c r="N54" s="7">
        <v>1517831</v>
      </c>
      <c r="O54" s="8">
        <f t="shared" si="14"/>
        <v>9.1276654563044943E-2</v>
      </c>
      <c r="P54" s="7">
        <v>879267</v>
      </c>
      <c r="Q54" s="8">
        <f t="shared" si="15"/>
        <v>5.2875814387560172E-2</v>
      </c>
      <c r="R54" s="7">
        <v>1171466</v>
      </c>
      <c r="S54" s="8">
        <f t="shared" si="16"/>
        <v>7.0447564593391493E-2</v>
      </c>
      <c r="T54" s="7">
        <v>227675</v>
      </c>
      <c r="U54" s="8">
        <f t="shared" si="17"/>
        <v>1.3691519232141956E-2</v>
      </c>
      <c r="V54" s="3"/>
    </row>
    <row r="55" spans="1:22" ht="17.100000000000001" customHeight="1">
      <c r="A55" s="5">
        <v>43921</v>
      </c>
      <c r="B55" s="6" t="s">
        <v>65</v>
      </c>
      <c r="C55" s="7">
        <v>17115829</v>
      </c>
      <c r="D55" s="7">
        <v>2942041</v>
      </c>
      <c r="E55" s="8">
        <f t="shared" si="9"/>
        <v>0.17189006737564391</v>
      </c>
      <c r="F55" s="7">
        <v>4117857</v>
      </c>
      <c r="G55" s="8">
        <f t="shared" si="10"/>
        <v>0.24058764550639061</v>
      </c>
      <c r="H55" s="7">
        <v>3757408</v>
      </c>
      <c r="I55" s="8">
        <f t="shared" si="11"/>
        <v>0.21952825072042961</v>
      </c>
      <c r="J55" s="7">
        <v>1358143</v>
      </c>
      <c r="K55" s="8">
        <f t="shared" si="12"/>
        <v>7.9350115030945911E-2</v>
      </c>
      <c r="L55" s="7">
        <v>1391978</v>
      </c>
      <c r="M55" s="8">
        <f t="shared" si="13"/>
        <v>8.1326940109065118E-2</v>
      </c>
      <c r="N55" s="7">
        <v>1401905</v>
      </c>
      <c r="O55" s="8">
        <f t="shared" si="14"/>
        <v>8.1906929544575374E-2</v>
      </c>
      <c r="P55" s="7">
        <v>894181</v>
      </c>
      <c r="Q55" s="8">
        <f t="shared" si="15"/>
        <v>5.2242926708370364E-2</v>
      </c>
      <c r="R55" s="7">
        <v>1233415</v>
      </c>
      <c r="S55" s="8">
        <f t="shared" si="16"/>
        <v>7.206282558677117E-2</v>
      </c>
      <c r="T55" s="7">
        <v>241108</v>
      </c>
      <c r="U55" s="8">
        <f t="shared" si="17"/>
        <v>1.4086843237333115E-2</v>
      </c>
      <c r="V55" s="3"/>
    </row>
    <row r="56" spans="1:22" ht="17.100000000000001" customHeight="1">
      <c r="A56" s="5">
        <v>44012</v>
      </c>
      <c r="B56" s="6" t="s">
        <v>66</v>
      </c>
      <c r="C56" s="7">
        <v>19867035</v>
      </c>
      <c r="D56" s="7">
        <v>3052228</v>
      </c>
      <c r="E56" s="8">
        <f t="shared" si="9"/>
        <v>0.15363278919073731</v>
      </c>
      <c r="F56" s="7">
        <v>4147116</v>
      </c>
      <c r="G56" s="8">
        <f t="shared" si="10"/>
        <v>0.208743579502427</v>
      </c>
      <c r="H56" s="7">
        <v>4807860</v>
      </c>
      <c r="I56" s="8">
        <f t="shared" si="11"/>
        <v>0.24200188905893608</v>
      </c>
      <c r="J56" s="7">
        <v>2564674</v>
      </c>
      <c r="K56" s="8">
        <f t="shared" si="12"/>
        <v>0.12909193545992143</v>
      </c>
      <c r="L56" s="7">
        <v>1221306</v>
      </c>
      <c r="M56" s="8">
        <f t="shared" si="13"/>
        <v>6.14739944838271E-2</v>
      </c>
      <c r="N56" s="7">
        <v>1395812</v>
      </c>
      <c r="O56" s="8">
        <f t="shared" si="14"/>
        <v>7.0257690692144048E-2</v>
      </c>
      <c r="P56" s="7">
        <v>1103483</v>
      </c>
      <c r="Q56" s="8">
        <f t="shared" si="15"/>
        <v>5.554341651887159E-2</v>
      </c>
      <c r="R56" s="7">
        <v>1194677</v>
      </c>
      <c r="S56" s="8">
        <f t="shared" si="16"/>
        <v>6.0133633428440629E-2</v>
      </c>
      <c r="T56" s="7">
        <v>305105</v>
      </c>
      <c r="U56" s="8">
        <f t="shared" si="17"/>
        <v>1.5357349498805434E-2</v>
      </c>
      <c r="V56" s="3"/>
    </row>
    <row r="57" spans="1:22" ht="17.100000000000001" customHeight="1">
      <c r="A57" s="5">
        <v>44104</v>
      </c>
      <c r="B57" s="6" t="s">
        <v>67</v>
      </c>
      <c r="C57" s="7">
        <v>20340181</v>
      </c>
      <c r="D57" s="7">
        <v>3054360</v>
      </c>
      <c r="E57" s="8">
        <f t="shared" si="9"/>
        <v>0.15016385547404912</v>
      </c>
      <c r="F57" s="7">
        <v>4198868</v>
      </c>
      <c r="G57" s="8">
        <f t="shared" si="10"/>
        <v>0.2064321846496843</v>
      </c>
      <c r="H57" s="7">
        <v>5055969</v>
      </c>
      <c r="I57" s="8">
        <f t="shared" si="11"/>
        <v>0.24857050190457991</v>
      </c>
      <c r="J57" s="7">
        <v>2493606</v>
      </c>
      <c r="K57" s="8">
        <f t="shared" si="12"/>
        <v>0.1225950742522891</v>
      </c>
      <c r="L57" s="7">
        <v>1198982</v>
      </c>
      <c r="M57" s="8">
        <f t="shared" si="13"/>
        <v>5.8946476434993379E-2</v>
      </c>
      <c r="N57" s="7">
        <v>1501073</v>
      </c>
      <c r="O57" s="8">
        <f t="shared" si="14"/>
        <v>7.3798409168531975E-2</v>
      </c>
      <c r="P57" s="7">
        <v>1186801</v>
      </c>
      <c r="Q57" s="8">
        <f t="shared" si="15"/>
        <v>5.8347612540911017E-2</v>
      </c>
      <c r="R57" s="7">
        <v>1230451</v>
      </c>
      <c r="S57" s="8">
        <f t="shared" si="16"/>
        <v>6.0493611143381663E-2</v>
      </c>
      <c r="T57" s="7">
        <v>227271</v>
      </c>
      <c r="U57" s="8">
        <f t="shared" si="17"/>
        <v>1.1173499390197166E-2</v>
      </c>
      <c r="V57" s="3"/>
    </row>
    <row r="58" spans="1:22" ht="17.100000000000001" customHeight="1">
      <c r="A58" s="5">
        <v>44196</v>
      </c>
      <c r="B58" s="6" t="s">
        <v>68</v>
      </c>
      <c r="C58" s="7">
        <v>20946158</v>
      </c>
      <c r="D58" s="7">
        <v>3105028</v>
      </c>
      <c r="E58" s="8">
        <f t="shared" si="9"/>
        <v>0.14823854570370376</v>
      </c>
      <c r="F58" s="7">
        <v>4186538</v>
      </c>
      <c r="G58" s="8">
        <f t="shared" si="10"/>
        <v>0.19987140362447375</v>
      </c>
      <c r="H58" s="7">
        <v>5254556</v>
      </c>
      <c r="I58" s="8">
        <f t="shared" si="11"/>
        <v>0.25086013387276079</v>
      </c>
      <c r="J58" s="7">
        <v>2465928</v>
      </c>
      <c r="K58" s="8">
        <f t="shared" si="12"/>
        <v>0.11772698363107927</v>
      </c>
      <c r="L58" s="7">
        <v>1280455</v>
      </c>
      <c r="M58" s="8">
        <f t="shared" si="13"/>
        <v>6.1130781119859784E-2</v>
      </c>
      <c r="N58" s="7">
        <v>1589250</v>
      </c>
      <c r="O58" s="8">
        <f t="shared" si="14"/>
        <v>7.5873102838238879E-2</v>
      </c>
      <c r="P58" s="7">
        <v>1203161</v>
      </c>
      <c r="Q58" s="8">
        <f t="shared" si="15"/>
        <v>5.7440653316947192E-2</v>
      </c>
      <c r="R58" s="7">
        <v>1244613</v>
      </c>
      <c r="S58" s="8">
        <f t="shared" si="16"/>
        <v>5.9419631991699862E-2</v>
      </c>
      <c r="T58" s="7">
        <v>211955</v>
      </c>
      <c r="U58" s="8">
        <f t="shared" si="17"/>
        <v>1.011903949163374E-2</v>
      </c>
      <c r="V58" s="3"/>
    </row>
    <row r="59" spans="1:22" ht="17.100000000000001" customHeight="1">
      <c r="A59" s="5">
        <v>44286</v>
      </c>
      <c r="B59" s="6" t="s">
        <v>69</v>
      </c>
      <c r="C59" s="7">
        <v>21347365</v>
      </c>
      <c r="D59" s="7">
        <v>3093843</v>
      </c>
      <c r="E59" s="8">
        <f t="shared" si="9"/>
        <v>0.14492856612514005</v>
      </c>
      <c r="F59" s="7">
        <v>4202077</v>
      </c>
      <c r="G59" s="8">
        <f t="shared" si="10"/>
        <v>0.19684288904040381</v>
      </c>
      <c r="H59" s="7">
        <v>5273242</v>
      </c>
      <c r="I59" s="8">
        <f t="shared" si="11"/>
        <v>0.24702074471486293</v>
      </c>
      <c r="J59" s="7">
        <v>2583204</v>
      </c>
      <c r="K59" s="8">
        <f t="shared" si="12"/>
        <v>0.12100809631540005</v>
      </c>
      <c r="L59" s="7">
        <v>783238</v>
      </c>
      <c r="M59" s="8">
        <f t="shared" si="13"/>
        <v>3.6690148877859166E-2</v>
      </c>
      <c r="N59" s="7">
        <v>1642733</v>
      </c>
      <c r="O59" s="8">
        <f t="shared" si="14"/>
        <v>7.6952495073747976E-2</v>
      </c>
      <c r="P59" s="7">
        <v>1257510</v>
      </c>
      <c r="Q59" s="8">
        <f t="shared" si="15"/>
        <v>5.8907036067449077E-2</v>
      </c>
      <c r="R59" s="7">
        <v>1221142</v>
      </c>
      <c r="S59" s="8">
        <f t="shared" si="16"/>
        <v>5.7203406603110032E-2</v>
      </c>
      <c r="T59" s="7">
        <v>130587</v>
      </c>
      <c r="U59" s="8">
        <f t="shared" si="17"/>
        <v>6.1172421045876156E-3</v>
      </c>
      <c r="V59" s="3"/>
    </row>
    <row r="60" spans="1:22" ht="17.100000000000001" customHeight="1">
      <c r="A60" s="5">
        <v>44377</v>
      </c>
      <c r="B60" s="6" t="s">
        <v>70</v>
      </c>
      <c r="C60" s="7">
        <v>21699043</v>
      </c>
      <c r="D60" s="7">
        <v>3303006</v>
      </c>
      <c r="E60" s="8">
        <f t="shared" si="9"/>
        <v>0.152218971131584</v>
      </c>
      <c r="F60" s="7">
        <v>4215874</v>
      </c>
      <c r="G60" s="8">
        <f t="shared" si="10"/>
        <v>0.19428847622450446</v>
      </c>
      <c r="H60" s="7">
        <v>5596511</v>
      </c>
      <c r="I60" s="8">
        <f t="shared" si="11"/>
        <v>0.2579151071316832</v>
      </c>
      <c r="J60" s="7">
        <v>2288119</v>
      </c>
      <c r="K60" s="8">
        <f t="shared" si="12"/>
        <v>0.10544792228855439</v>
      </c>
      <c r="L60" s="7">
        <v>489215</v>
      </c>
      <c r="M60" s="8">
        <f t="shared" si="13"/>
        <v>2.2545464332228846E-2</v>
      </c>
      <c r="N60" s="7">
        <v>1783610</v>
      </c>
      <c r="O60" s="8">
        <f t="shared" si="14"/>
        <v>8.2197634245897391E-2</v>
      </c>
      <c r="P60" s="7">
        <v>1346708</v>
      </c>
      <c r="Q60" s="8">
        <f t="shared" si="15"/>
        <v>6.2063013562395353E-2</v>
      </c>
      <c r="R60" s="7">
        <v>1319417</v>
      </c>
      <c r="S60" s="8">
        <f t="shared" si="16"/>
        <v>6.0805308326270423E-2</v>
      </c>
      <c r="T60" s="7">
        <v>157157</v>
      </c>
      <c r="U60" s="8">
        <f t="shared" si="17"/>
        <v>7.242577472195433E-3</v>
      </c>
      <c r="V60" s="3"/>
    </row>
    <row r="61" spans="1:22" ht="17.100000000000001" customHeight="1">
      <c r="A61" s="5">
        <v>44469</v>
      </c>
      <c r="B61" s="6" t="s">
        <v>71</v>
      </c>
      <c r="C61" s="7">
        <v>21846135</v>
      </c>
      <c r="D61" s="7">
        <v>3362965</v>
      </c>
      <c r="E61" s="8">
        <f t="shared" si="9"/>
        <v>0.15393867153160043</v>
      </c>
      <c r="F61" s="7">
        <v>4207931</v>
      </c>
      <c r="G61" s="8">
        <f t="shared" si="10"/>
        <v>0.19261672602499252</v>
      </c>
      <c r="H61" s="7">
        <v>5831294</v>
      </c>
      <c r="I61" s="8">
        <f t="shared" si="11"/>
        <v>0.26692565984784034</v>
      </c>
      <c r="J61" s="7">
        <v>1694672</v>
      </c>
      <c r="K61" s="8">
        <f t="shared" si="12"/>
        <v>7.7573081004946642E-2</v>
      </c>
      <c r="L61" s="7">
        <v>648657</v>
      </c>
      <c r="M61" s="8">
        <f t="shared" si="13"/>
        <v>2.9692071389286936E-2</v>
      </c>
      <c r="N61" s="7">
        <v>1849013</v>
      </c>
      <c r="O61" s="8">
        <f t="shared" si="14"/>
        <v>8.4637992029253692E-2</v>
      </c>
      <c r="P61" s="7">
        <v>1456273</v>
      </c>
      <c r="Q61" s="8">
        <f t="shared" si="15"/>
        <v>6.6660441309183527E-2</v>
      </c>
      <c r="R61" s="7">
        <v>1330223</v>
      </c>
      <c r="S61" s="8">
        <f t="shared" si="16"/>
        <v>6.0890541965432331E-2</v>
      </c>
      <c r="T61" s="7">
        <v>141750</v>
      </c>
      <c r="U61" s="8">
        <f t="shared" si="17"/>
        <v>6.4885619355551909E-3</v>
      </c>
      <c r="V61" s="3"/>
    </row>
    <row r="62" spans="1:22" ht="17.100000000000001" customHeight="1">
      <c r="A62" s="5">
        <v>44561</v>
      </c>
      <c r="B62" s="6" t="s">
        <v>72</v>
      </c>
      <c r="C62" s="7">
        <v>22557536</v>
      </c>
      <c r="D62" s="7">
        <v>3622718</v>
      </c>
      <c r="E62" s="8">
        <f t="shared" si="9"/>
        <v>0.16059901223254172</v>
      </c>
      <c r="F62" s="7">
        <v>4117652</v>
      </c>
      <c r="G62" s="8">
        <f t="shared" si="10"/>
        <v>0.18253997245089179</v>
      </c>
      <c r="H62" s="7">
        <v>6052055</v>
      </c>
      <c r="I62" s="8">
        <f t="shared" si="11"/>
        <v>0.26829415234004284</v>
      </c>
      <c r="J62" s="7">
        <v>1814671</v>
      </c>
      <c r="K62" s="8">
        <f t="shared" si="12"/>
        <v>8.0446330663065321E-2</v>
      </c>
      <c r="L62" s="7">
        <v>400490</v>
      </c>
      <c r="M62" s="8">
        <f t="shared" si="13"/>
        <v>1.7754155418393213E-2</v>
      </c>
      <c r="N62" s="7">
        <v>1929058</v>
      </c>
      <c r="O62" s="8">
        <f t="shared" si="14"/>
        <v>8.5517230250679865E-2</v>
      </c>
      <c r="P62" s="7">
        <v>1641194</v>
      </c>
      <c r="Q62" s="8">
        <f t="shared" si="15"/>
        <v>7.2755907382792168E-2</v>
      </c>
      <c r="R62" s="7">
        <v>1366488</v>
      </c>
      <c r="S62" s="8">
        <f t="shared" si="16"/>
        <v>6.0577892904615113E-2</v>
      </c>
      <c r="T62" s="7">
        <v>199700</v>
      </c>
      <c r="U62" s="8">
        <f t="shared" si="17"/>
        <v>8.8529172689783137E-3</v>
      </c>
      <c r="V62" s="3"/>
    </row>
    <row r="63" spans="1:22" ht="17.100000000000001" customHeight="1">
      <c r="A63" s="5">
        <v>44651</v>
      </c>
      <c r="B63" s="6" t="s">
        <v>73</v>
      </c>
      <c r="C63" s="7">
        <v>23246108</v>
      </c>
      <c r="D63" s="7">
        <v>3579098</v>
      </c>
      <c r="E63" s="8">
        <f t="shared" si="9"/>
        <v>0.1539654724137047</v>
      </c>
      <c r="F63" s="7">
        <v>4025302</v>
      </c>
      <c r="G63" s="8">
        <f t="shared" si="10"/>
        <v>0.17316025547158259</v>
      </c>
      <c r="H63" s="7">
        <v>5851446</v>
      </c>
      <c r="I63" s="8">
        <f t="shared" si="11"/>
        <v>0.25171723369778715</v>
      </c>
      <c r="J63" s="7">
        <v>1759444</v>
      </c>
      <c r="K63" s="8">
        <f t="shared" si="12"/>
        <v>7.568768070766943E-2</v>
      </c>
      <c r="L63" s="7">
        <v>585744</v>
      </c>
      <c r="M63" s="8">
        <f t="shared" si="13"/>
        <v>2.5197508331287113E-2</v>
      </c>
      <c r="N63" s="7">
        <v>1867299</v>
      </c>
      <c r="O63" s="8">
        <f t="shared" si="14"/>
        <v>8.0327382114889948E-2</v>
      </c>
      <c r="P63" s="7">
        <v>1653695</v>
      </c>
      <c r="Q63" s="8">
        <f t="shared" si="15"/>
        <v>7.1138575111154095E-2</v>
      </c>
      <c r="R63" s="7">
        <v>1254759</v>
      </c>
      <c r="S63" s="8">
        <f t="shared" si="16"/>
        <v>5.3977164693547838E-2</v>
      </c>
      <c r="T63" s="7">
        <v>227898</v>
      </c>
      <c r="U63" s="8">
        <f t="shared" si="17"/>
        <v>9.803705635369156E-3</v>
      </c>
      <c r="V63" s="3"/>
    </row>
    <row r="64" spans="1:22" ht="17.100000000000001" customHeight="1">
      <c r="A64" s="5">
        <v>44742</v>
      </c>
      <c r="B64" s="6" t="s">
        <v>74</v>
      </c>
      <c r="C64" s="7">
        <v>23253368</v>
      </c>
      <c r="D64" s="7">
        <v>3561669</v>
      </c>
      <c r="E64" s="8">
        <f t="shared" si="9"/>
        <v>0.15316787658458766</v>
      </c>
      <c r="F64" s="7">
        <v>3855274</v>
      </c>
      <c r="G64" s="8">
        <f t="shared" si="10"/>
        <v>0.1657942195728378</v>
      </c>
      <c r="H64" s="7">
        <v>5563801</v>
      </c>
      <c r="I64" s="8">
        <f t="shared" si="11"/>
        <v>0.23926860831514815</v>
      </c>
      <c r="J64" s="7">
        <v>1458999</v>
      </c>
      <c r="K64" s="8">
        <f t="shared" si="12"/>
        <v>6.2743556116258078E-2</v>
      </c>
      <c r="L64" s="7">
        <v>682999</v>
      </c>
      <c r="M64" s="8">
        <f t="shared" si="13"/>
        <v>2.9372046234334741E-2</v>
      </c>
      <c r="N64" s="7">
        <v>1793757</v>
      </c>
      <c r="O64" s="8">
        <f t="shared" si="14"/>
        <v>7.7139664241326247E-2</v>
      </c>
      <c r="P64" s="7">
        <v>1686642</v>
      </c>
      <c r="Q64" s="8">
        <f t="shared" si="15"/>
        <v>7.2533234755498638E-2</v>
      </c>
      <c r="R64" s="7">
        <v>1207382</v>
      </c>
      <c r="S64" s="8">
        <f t="shared" si="16"/>
        <v>5.1922887041567486E-2</v>
      </c>
      <c r="T64" s="7">
        <v>216847</v>
      </c>
      <c r="U64" s="8">
        <f t="shared" si="17"/>
        <v>9.3254018084606063E-3</v>
      </c>
      <c r="V64" s="3"/>
    </row>
    <row r="65" spans="1:22" ht="17.100000000000001" customHeight="1">
      <c r="A65" s="5">
        <v>44834</v>
      </c>
      <c r="B65" s="6" t="s">
        <v>75</v>
      </c>
      <c r="C65" s="7">
        <v>23616710</v>
      </c>
      <c r="D65" s="7">
        <v>3537809</v>
      </c>
      <c r="E65" s="8">
        <f t="shared" si="9"/>
        <v>0.14980109422523288</v>
      </c>
      <c r="F65" s="7">
        <v>3713699</v>
      </c>
      <c r="G65" s="8">
        <f t="shared" si="10"/>
        <v>0.15724878698175995</v>
      </c>
      <c r="H65" s="7">
        <v>5186546</v>
      </c>
      <c r="I65" s="8">
        <f t="shared" si="11"/>
        <v>0.21961340085049949</v>
      </c>
      <c r="J65" s="7">
        <v>1256135</v>
      </c>
      <c r="K65" s="8">
        <f t="shared" si="12"/>
        <v>5.318839923088356E-2</v>
      </c>
      <c r="L65" s="7">
        <v>1108280</v>
      </c>
      <c r="M65" s="8">
        <f t="shared" si="13"/>
        <v>4.6927789687894718E-2</v>
      </c>
      <c r="N65" s="7">
        <v>1729584</v>
      </c>
      <c r="O65" s="8">
        <f t="shared" si="14"/>
        <v>7.3235603096282256E-2</v>
      </c>
      <c r="P65" s="7">
        <v>1605712</v>
      </c>
      <c r="Q65" s="8">
        <f t="shared" si="15"/>
        <v>6.7990503334291699E-2</v>
      </c>
      <c r="R65" s="7">
        <v>1150243</v>
      </c>
      <c r="S65" s="8">
        <f t="shared" si="16"/>
        <v>4.8704624818613602E-2</v>
      </c>
      <c r="T65" s="7">
        <v>226282</v>
      </c>
      <c r="U65" s="8">
        <f t="shared" si="17"/>
        <v>9.5814361949653447E-3</v>
      </c>
      <c r="V65" s="3"/>
    </row>
    <row r="66" spans="1:22" ht="17.100000000000001" customHeight="1">
      <c r="A66" s="5">
        <v>44926</v>
      </c>
      <c r="B66" s="6" t="s">
        <v>76</v>
      </c>
      <c r="C66" s="7">
        <v>23844978</v>
      </c>
      <c r="D66" s="7">
        <v>3527235</v>
      </c>
      <c r="E66" s="8">
        <f t="shared" si="9"/>
        <v>0.14792360051663708</v>
      </c>
      <c r="F66" s="7">
        <v>3667449</v>
      </c>
      <c r="G66" s="8">
        <f t="shared" si="10"/>
        <v>0.1538038324044585</v>
      </c>
      <c r="H66" s="7">
        <v>5056405</v>
      </c>
      <c r="I66" s="8">
        <f t="shared" si="11"/>
        <v>0.21205324659976621</v>
      </c>
      <c r="J66" s="7">
        <v>1064015</v>
      </c>
      <c r="K66" s="8">
        <f t="shared" si="12"/>
        <v>4.4622184176475232E-2</v>
      </c>
      <c r="L66" s="7">
        <v>1658923</v>
      </c>
      <c r="M66" s="8">
        <f t="shared" si="13"/>
        <v>6.9571169241590403E-2</v>
      </c>
      <c r="N66" s="7">
        <v>1745162</v>
      </c>
      <c r="O66" s="8">
        <f t="shared" si="14"/>
        <v>7.3187821771108372E-2</v>
      </c>
      <c r="P66" s="7">
        <v>1579707</v>
      </c>
      <c r="Q66" s="8">
        <f t="shared" si="15"/>
        <v>6.6249044138350643E-2</v>
      </c>
      <c r="R66" s="7">
        <v>1160203</v>
      </c>
      <c r="S66" s="8">
        <f t="shared" si="16"/>
        <v>4.865607340883267E-2</v>
      </c>
      <c r="T66" s="7">
        <v>215874</v>
      </c>
      <c r="U66" s="8">
        <f t="shared" si="17"/>
        <v>9.0532270568670688E-3</v>
      </c>
      <c r="V66" s="3"/>
    </row>
    <row r="67" spans="1:22" ht="17.100000000000001" customHeight="1">
      <c r="A67" s="5">
        <v>45016</v>
      </c>
      <c r="B67" s="6" t="s">
        <v>77</v>
      </c>
      <c r="C67" s="7">
        <v>24282042</v>
      </c>
      <c r="D67" s="7">
        <v>3698735</v>
      </c>
      <c r="E67" s="8">
        <f t="shared" si="9"/>
        <v>0.15232388610480124</v>
      </c>
      <c r="F67" s="7">
        <v>3769907</v>
      </c>
      <c r="G67" s="8">
        <f t="shared" si="10"/>
        <v>0.1552549410795023</v>
      </c>
      <c r="H67" s="7">
        <v>4960204</v>
      </c>
      <c r="I67" s="8">
        <f t="shared" si="11"/>
        <v>0.20427458283780253</v>
      </c>
      <c r="J67" s="7">
        <v>1040799</v>
      </c>
      <c r="K67" s="8">
        <f t="shared" si="12"/>
        <v>4.2862910788145414E-2</v>
      </c>
      <c r="L67" s="7">
        <v>2104754</v>
      </c>
      <c r="M67" s="8">
        <f t="shared" si="13"/>
        <v>8.6679448128785877E-2</v>
      </c>
      <c r="N67" s="7">
        <v>1823382</v>
      </c>
      <c r="O67" s="8">
        <f t="shared" si="14"/>
        <v>7.5091790056206975E-2</v>
      </c>
      <c r="P67" s="7">
        <v>1492490</v>
      </c>
      <c r="Q67" s="8">
        <f t="shared" si="15"/>
        <v>6.1464764783785479E-2</v>
      </c>
      <c r="R67" s="7">
        <v>1228892</v>
      </c>
      <c r="S67" s="8">
        <f t="shared" si="16"/>
        <v>5.0609087983621806E-2</v>
      </c>
      <c r="T67" s="7">
        <v>327564</v>
      </c>
      <c r="U67" s="8">
        <f t="shared" si="17"/>
        <v>1.3489969253821404E-2</v>
      </c>
      <c r="V67" s="3"/>
    </row>
    <row r="68" spans="1:22" ht="17.100000000000001" customHeight="1">
      <c r="A68" s="5">
        <v>45107</v>
      </c>
      <c r="B68" s="6" t="s">
        <v>78</v>
      </c>
      <c r="C68" s="7">
        <v>24772373</v>
      </c>
      <c r="D68" s="7">
        <v>3794008</v>
      </c>
      <c r="E68" s="8">
        <f t="shared" si="9"/>
        <v>0.15315480676800725</v>
      </c>
      <c r="F68" s="7">
        <v>3769207</v>
      </c>
      <c r="G68" s="8">
        <f t="shared" si="10"/>
        <v>0.15215365116615998</v>
      </c>
      <c r="H68" s="7">
        <v>4702866</v>
      </c>
      <c r="I68" s="8">
        <f t="shared" si="11"/>
        <v>0.18984317731692479</v>
      </c>
      <c r="J68" s="7">
        <v>1243962</v>
      </c>
      <c r="K68" s="8">
        <f t="shared" si="12"/>
        <v>5.0215697947063855E-2</v>
      </c>
      <c r="L68" s="7">
        <v>2255619</v>
      </c>
      <c r="M68" s="8">
        <f t="shared" si="13"/>
        <v>9.1053812244793822E-2</v>
      </c>
      <c r="N68" s="7">
        <v>1808464</v>
      </c>
      <c r="O68" s="8">
        <f t="shared" si="14"/>
        <v>7.3003260527362474E-2</v>
      </c>
      <c r="P68" s="7">
        <v>1433859</v>
      </c>
      <c r="Q68" s="8">
        <f t="shared" si="15"/>
        <v>5.7881374545749008E-2</v>
      </c>
      <c r="R68" s="7">
        <v>1230707</v>
      </c>
      <c r="S68" s="8">
        <f t="shared" si="16"/>
        <v>4.9680626074861699E-2</v>
      </c>
      <c r="T68" s="7">
        <v>301323</v>
      </c>
      <c r="U68" s="8">
        <f t="shared" si="17"/>
        <v>1.2163671199363905E-2</v>
      </c>
      <c r="V68" s="3"/>
    </row>
    <row r="69" spans="1:22" ht="17.100000000000001" customHeight="1">
      <c r="A69" s="5">
        <v>45199</v>
      </c>
      <c r="B69" s="6" t="s">
        <v>79</v>
      </c>
      <c r="C69" s="7">
        <v>25630167</v>
      </c>
      <c r="D69" s="7">
        <v>3818116</v>
      </c>
      <c r="E69" s="8">
        <f t="shared" si="9"/>
        <v>0.14896961069352377</v>
      </c>
      <c r="F69" s="7">
        <v>3690999</v>
      </c>
      <c r="G69" s="8">
        <f t="shared" si="10"/>
        <v>0.14400994734056941</v>
      </c>
      <c r="H69" s="7">
        <v>4367410</v>
      </c>
      <c r="I69" s="8">
        <f t="shared" si="11"/>
        <v>0.17040115267294201</v>
      </c>
      <c r="J69" s="7">
        <v>1767115</v>
      </c>
      <c r="K69" s="8">
        <f t="shared" si="12"/>
        <v>6.8946683023953764E-2</v>
      </c>
      <c r="L69" s="7">
        <v>2359873</v>
      </c>
      <c r="M69" s="8">
        <f t="shared" si="13"/>
        <v>9.2074039158621168E-2</v>
      </c>
      <c r="N69" s="7">
        <v>1788824</v>
      </c>
      <c r="O69" s="8">
        <f t="shared" si="14"/>
        <v>6.9793692721549574E-2</v>
      </c>
      <c r="P69" s="7">
        <v>1428059</v>
      </c>
      <c r="Q69" s="8">
        <f t="shared" si="15"/>
        <v>5.5717896804964244E-2</v>
      </c>
      <c r="R69" s="7">
        <v>1261997</v>
      </c>
      <c r="S69" s="8">
        <f t="shared" si="16"/>
        <v>4.9238734964153763E-2</v>
      </c>
      <c r="T69" s="7">
        <v>312371</v>
      </c>
      <c r="U69" s="8">
        <f t="shared" si="17"/>
        <v>1.2187630302994124E-2</v>
      </c>
      <c r="V69" s="3"/>
    </row>
    <row r="70" spans="1:22" ht="17.100000000000001" customHeight="1">
      <c r="A70" s="5">
        <v>45291</v>
      </c>
      <c r="B70" s="6" t="s">
        <v>80</v>
      </c>
      <c r="C70" s="7">
        <v>26226569</v>
      </c>
      <c r="D70" s="7">
        <v>4143569</v>
      </c>
      <c r="E70" s="8">
        <f t="shared" si="9"/>
        <v>0.15799127213323252</v>
      </c>
      <c r="F70" s="7">
        <v>3796439</v>
      </c>
      <c r="G70" s="8">
        <f t="shared" si="10"/>
        <v>0.14475545771923121</v>
      </c>
      <c r="H70" s="7">
        <v>4403083</v>
      </c>
      <c r="I70" s="8">
        <f t="shared" si="11"/>
        <v>0.16788635219498213</v>
      </c>
      <c r="J70" s="7">
        <v>2269494</v>
      </c>
      <c r="K70" s="8">
        <f t="shared" si="12"/>
        <v>8.6534155497045767E-2</v>
      </c>
      <c r="L70" s="7">
        <v>2518608</v>
      </c>
      <c r="M70" s="8">
        <f t="shared" si="13"/>
        <v>9.603269112326511E-2</v>
      </c>
      <c r="N70" s="7">
        <v>1877643</v>
      </c>
      <c r="O70" s="8">
        <f t="shared" si="14"/>
        <v>7.1593161880991754E-2</v>
      </c>
      <c r="P70" s="7">
        <v>1513982</v>
      </c>
      <c r="Q70" s="8">
        <f t="shared" si="15"/>
        <v>5.772703246086059E-2</v>
      </c>
      <c r="R70" s="7">
        <v>1353004</v>
      </c>
      <c r="S70" s="8">
        <f t="shared" si="16"/>
        <v>5.1589058408669466E-2</v>
      </c>
      <c r="T70" s="7">
        <v>328712</v>
      </c>
      <c r="U70" s="8">
        <f t="shared" si="17"/>
        <v>1.2533549470386309E-2</v>
      </c>
      <c r="V70" s="3"/>
    </row>
    <row r="71" spans="1:22" ht="17.100000000000001" customHeight="1">
      <c r="A71" s="5">
        <v>45382</v>
      </c>
      <c r="B71" s="6" t="s">
        <v>81</v>
      </c>
      <c r="C71" s="7">
        <v>26808608</v>
      </c>
      <c r="D71" s="7">
        <v>4290998</v>
      </c>
      <c r="E71" s="8">
        <f t="shared" ref="E71:E79" si="18">D71/$C71</f>
        <v>0.16006045520901346</v>
      </c>
      <c r="F71" s="7">
        <v>3816873</v>
      </c>
      <c r="G71" s="8">
        <f t="shared" ref="G71:G79" si="19">F71/$C71</f>
        <v>0.14237490435907751</v>
      </c>
      <c r="H71" s="7">
        <v>4176260</v>
      </c>
      <c r="I71" s="8">
        <f t="shared" ref="I71:I79" si="20">H71/$C71</f>
        <v>0.15578056122869191</v>
      </c>
      <c r="J71" s="7">
        <v>2563670</v>
      </c>
      <c r="K71" s="8">
        <f t="shared" ref="K71:K79" si="21">J71/$C71</f>
        <v>9.5628613018624464E-2</v>
      </c>
      <c r="L71" s="7">
        <v>2449703</v>
      </c>
      <c r="M71" s="8">
        <f t="shared" ref="M71:M79" si="22">L71/$C71</f>
        <v>9.1377478457665542E-2</v>
      </c>
      <c r="N71" s="7">
        <v>1894682</v>
      </c>
      <c r="O71" s="8">
        <f t="shared" ref="O71:O79" si="23">N71/$C71</f>
        <v>7.0674389360312923E-2</v>
      </c>
      <c r="P71" s="7">
        <v>1614483</v>
      </c>
      <c r="Q71" s="8">
        <f t="shared" ref="Q71:Q79" si="24">P71/$C71</f>
        <v>6.0222559858385781E-2</v>
      </c>
      <c r="R71" s="7">
        <v>1400685</v>
      </c>
      <c r="S71" s="8">
        <f t="shared" ref="S71:S79" si="25">R71/$C71</f>
        <v>5.2247584059567732E-2</v>
      </c>
      <c r="T71" s="7">
        <v>390499</v>
      </c>
      <c r="U71" s="8">
        <f t="shared" ref="U71:U79" si="26">T71/$C71</f>
        <v>1.4566179639017438E-2</v>
      </c>
      <c r="V71" s="3"/>
    </row>
    <row r="72" spans="1:22" ht="17.100000000000001" customHeight="1">
      <c r="A72" s="5">
        <v>45473</v>
      </c>
      <c r="B72" s="6" t="s">
        <v>82</v>
      </c>
      <c r="C72" s="7">
        <v>26903135</v>
      </c>
      <c r="D72" s="7">
        <v>4418485</v>
      </c>
      <c r="E72" s="8">
        <f t="shared" si="18"/>
        <v>0.16423680734605836</v>
      </c>
      <c r="F72" s="7">
        <v>3831011</v>
      </c>
      <c r="G72" s="8">
        <f t="shared" si="19"/>
        <v>0.14240017009170122</v>
      </c>
      <c r="H72" s="7">
        <v>3993177</v>
      </c>
      <c r="I72" s="8">
        <f t="shared" si="20"/>
        <v>0.14842794343484506</v>
      </c>
      <c r="J72" s="7">
        <v>2449906</v>
      </c>
      <c r="K72" s="8">
        <f t="shared" si="21"/>
        <v>9.1063959646338608E-2</v>
      </c>
      <c r="L72" s="7">
        <v>2536828</v>
      </c>
      <c r="M72" s="8">
        <f t="shared" si="22"/>
        <v>9.4294884220742309E-2</v>
      </c>
      <c r="N72" s="7">
        <v>1931007</v>
      </c>
      <c r="O72" s="8">
        <f t="shared" si="23"/>
        <v>7.1776281834812189E-2</v>
      </c>
      <c r="P72" s="7">
        <v>1603631</v>
      </c>
      <c r="Q72" s="8">
        <f t="shared" si="24"/>
        <v>5.960758848364698E-2</v>
      </c>
      <c r="R72" s="7">
        <v>1522941</v>
      </c>
      <c r="S72" s="8">
        <f t="shared" si="25"/>
        <v>5.6608309775050381E-2</v>
      </c>
      <c r="T72" s="7">
        <v>358565</v>
      </c>
      <c r="U72" s="8">
        <f t="shared" si="26"/>
        <v>1.3328000621488909E-2</v>
      </c>
      <c r="V72" s="3"/>
    </row>
    <row r="73" spans="1:22" ht="17.100000000000001" customHeight="1">
      <c r="A73" s="5">
        <v>45565</v>
      </c>
      <c r="B73" s="6" t="s">
        <v>83</v>
      </c>
      <c r="C73" s="7">
        <v>27586426</v>
      </c>
      <c r="D73" s="7">
        <v>4801071</v>
      </c>
      <c r="E73" s="8">
        <f t="shared" si="18"/>
        <v>0.17403744145762123</v>
      </c>
      <c r="F73" s="7">
        <v>3914130</v>
      </c>
      <c r="G73" s="8">
        <f t="shared" si="19"/>
        <v>0.14188608556976537</v>
      </c>
      <c r="H73" s="7">
        <v>4048034</v>
      </c>
      <c r="I73" s="8">
        <f t="shared" si="20"/>
        <v>0.14674006701701772</v>
      </c>
      <c r="J73" s="7">
        <v>2659841</v>
      </c>
      <c r="K73" s="8">
        <f t="shared" si="21"/>
        <v>9.6418470446298477E-2</v>
      </c>
      <c r="L73" s="7">
        <v>2738577</v>
      </c>
      <c r="M73" s="8">
        <f t="shared" si="22"/>
        <v>9.9272627777153885E-2</v>
      </c>
      <c r="N73" s="7">
        <v>2066858</v>
      </c>
      <c r="O73" s="8">
        <f t="shared" si="23"/>
        <v>7.4923007424013532E-2</v>
      </c>
      <c r="P73" s="7">
        <v>1669355</v>
      </c>
      <c r="Q73" s="8">
        <f t="shared" si="24"/>
        <v>6.0513638120429231E-2</v>
      </c>
      <c r="R73" s="7">
        <v>1665956</v>
      </c>
      <c r="S73" s="8">
        <f t="shared" si="25"/>
        <v>6.0390425349046664E-2</v>
      </c>
      <c r="T73" s="7">
        <v>391555</v>
      </c>
      <c r="U73" s="8">
        <f t="shared" si="26"/>
        <v>1.4193756016092842E-2</v>
      </c>
      <c r="V73" s="3"/>
    </row>
    <row r="74" spans="1:22" ht="17.100000000000001" customHeight="1">
      <c r="A74" s="5">
        <v>45657</v>
      </c>
      <c r="B74" s="6" t="s">
        <v>84</v>
      </c>
      <c r="C74" s="7">
        <v>28139470</v>
      </c>
      <c r="D74" s="7">
        <v>4775695</v>
      </c>
      <c r="E74" s="8">
        <f t="shared" si="18"/>
        <v>0.16971517231845518</v>
      </c>
      <c r="F74" s="7">
        <v>3782665</v>
      </c>
      <c r="G74" s="8">
        <f t="shared" si="19"/>
        <v>0.13442559508050436</v>
      </c>
      <c r="H74" s="7">
        <v>3819872</v>
      </c>
      <c r="I74" s="8">
        <f t="shared" si="20"/>
        <v>0.13574783036069976</v>
      </c>
      <c r="J74" s="7">
        <v>2994851</v>
      </c>
      <c r="K74" s="8">
        <f t="shared" si="21"/>
        <v>0.10642883465822206</v>
      </c>
      <c r="L74" s="7">
        <v>2631556</v>
      </c>
      <c r="M74" s="8">
        <f t="shared" si="22"/>
        <v>9.3518321418278316E-2</v>
      </c>
      <c r="N74" s="7">
        <v>2058523</v>
      </c>
      <c r="O74" s="8">
        <f t="shared" si="23"/>
        <v>7.3154291818573691E-2</v>
      </c>
      <c r="P74" s="7">
        <v>1722729</v>
      </c>
      <c r="Q74" s="8">
        <f t="shared" si="24"/>
        <v>6.1221089096560807E-2</v>
      </c>
      <c r="R74" s="7">
        <v>1564077</v>
      </c>
      <c r="S74" s="8">
        <f t="shared" si="25"/>
        <v>5.5583029815415852E-2</v>
      </c>
      <c r="T74" s="7">
        <v>454199</v>
      </c>
      <c r="U74" s="8">
        <f t="shared" si="26"/>
        <v>1.6140993416009611E-2</v>
      </c>
      <c r="V74" s="3"/>
    </row>
    <row r="75" spans="1:22" ht="17.100000000000001" customHeight="1">
      <c r="A75" s="5">
        <v>45747</v>
      </c>
      <c r="B75" s="6" t="s">
        <v>85</v>
      </c>
      <c r="C75" s="7">
        <v>28447272</v>
      </c>
      <c r="D75" s="7">
        <v>5124314</v>
      </c>
      <c r="E75" s="8">
        <f t="shared" si="18"/>
        <v>0.1801337576411545</v>
      </c>
      <c r="F75" s="7">
        <v>3925236</v>
      </c>
      <c r="G75" s="8">
        <f t="shared" si="19"/>
        <v>0.13798286176614755</v>
      </c>
      <c r="H75" s="7">
        <v>3832193</v>
      </c>
      <c r="I75" s="8">
        <f t="shared" si="20"/>
        <v>0.13471214392719275</v>
      </c>
      <c r="J75" s="7">
        <v>2880571</v>
      </c>
      <c r="K75" s="8">
        <f t="shared" si="21"/>
        <v>0.10126000834104584</v>
      </c>
      <c r="L75" s="7">
        <v>2829403</v>
      </c>
      <c r="M75" s="8">
        <f t="shared" si="22"/>
        <v>9.9461312142689814E-2</v>
      </c>
      <c r="N75" s="7">
        <v>2142165</v>
      </c>
      <c r="O75" s="8">
        <f t="shared" si="23"/>
        <v>7.5303002692138632E-2</v>
      </c>
      <c r="P75" s="7">
        <v>1740868</v>
      </c>
      <c r="Q75" s="8">
        <f t="shared" si="24"/>
        <v>6.1196307329574519E-2</v>
      </c>
      <c r="R75" s="7">
        <v>1616927</v>
      </c>
      <c r="S75" s="8">
        <f t="shared" si="25"/>
        <v>5.6839439648202469E-2</v>
      </c>
      <c r="T75" s="7">
        <v>487312</v>
      </c>
      <c r="U75" s="8">
        <f t="shared" si="26"/>
        <v>1.7130359635187515E-2</v>
      </c>
      <c r="V75" s="3"/>
    </row>
    <row r="76" spans="1:22" ht="17.100000000000001" customHeight="1">
      <c r="A76" s="5">
        <v>45838</v>
      </c>
      <c r="B76" s="6" t="s">
        <v>86</v>
      </c>
      <c r="C76" s="7">
        <v>28518345</v>
      </c>
      <c r="D76" s="7">
        <v>5198217</v>
      </c>
      <c r="E76" s="8">
        <f t="shared" si="18"/>
        <v>0.1822762506029014</v>
      </c>
      <c r="F76" s="7">
        <v>3905936</v>
      </c>
      <c r="G76" s="8">
        <f t="shared" si="19"/>
        <v>0.13696222554289178</v>
      </c>
      <c r="H76" s="7">
        <v>3811025</v>
      </c>
      <c r="I76" s="8">
        <f t="shared" si="20"/>
        <v>0.13363415724159308</v>
      </c>
      <c r="J76" s="7">
        <v>2614034</v>
      </c>
      <c r="K76" s="8">
        <f t="shared" si="21"/>
        <v>9.1661490174131777E-2</v>
      </c>
      <c r="L76" s="7">
        <v>2910299</v>
      </c>
      <c r="M76" s="8">
        <f t="shared" si="22"/>
        <v>0.10205006636955967</v>
      </c>
      <c r="N76" s="7">
        <v>2170802</v>
      </c>
      <c r="O76" s="8">
        <f t="shared" si="23"/>
        <v>7.6119494311468638E-2</v>
      </c>
      <c r="P76" s="7">
        <v>1848931</v>
      </c>
      <c r="Q76" s="8">
        <f t="shared" si="24"/>
        <v>6.4833039925703967E-2</v>
      </c>
      <c r="R76" s="7">
        <v>1601740</v>
      </c>
      <c r="S76" s="8">
        <f t="shared" si="25"/>
        <v>5.6165250823636506E-2</v>
      </c>
      <c r="T76" s="7">
        <v>513235</v>
      </c>
      <c r="U76" s="8">
        <f t="shared" si="26"/>
        <v>1.7996661447219325E-2</v>
      </c>
      <c r="V76" s="3"/>
    </row>
    <row r="77" spans="1:22" ht="17.100000000000001" customHeight="1">
      <c r="A77" s="5">
        <v>45930</v>
      </c>
      <c r="B77" s="6" t="s">
        <v>87</v>
      </c>
      <c r="C77" s="7">
        <v>29571648</v>
      </c>
      <c r="D77" s="7">
        <v>5352001</v>
      </c>
      <c r="E77" s="8">
        <f t="shared" si="18"/>
        <v>0.18098419810759278</v>
      </c>
      <c r="F77" s="7">
        <v>3882372</v>
      </c>
      <c r="G77" s="8">
        <f t="shared" si="19"/>
        <v>0.13128696784162994</v>
      </c>
      <c r="H77" s="7">
        <v>3830924</v>
      </c>
      <c r="I77" s="8">
        <f t="shared" si="20"/>
        <v>0.12954719331164768</v>
      </c>
      <c r="J77" s="7">
        <v>3232354</v>
      </c>
      <c r="K77" s="8">
        <f t="shared" si="21"/>
        <v>0.10930584592377131</v>
      </c>
      <c r="L77" s="7">
        <v>2968534</v>
      </c>
      <c r="M77" s="8">
        <f t="shared" si="22"/>
        <v>0.10038446284765733</v>
      </c>
      <c r="N77" s="7">
        <v>2311391</v>
      </c>
      <c r="O77" s="8">
        <f t="shared" si="23"/>
        <v>7.8162400688659622E-2</v>
      </c>
      <c r="P77" s="7">
        <v>1940489</v>
      </c>
      <c r="Q77" s="8">
        <f t="shared" si="24"/>
        <v>6.5619914047401084E-2</v>
      </c>
      <c r="R77" s="7">
        <v>1713619</v>
      </c>
      <c r="S77" s="8">
        <f t="shared" si="25"/>
        <v>5.7948038607790811E-2</v>
      </c>
      <c r="T77" s="7">
        <v>492573</v>
      </c>
      <c r="U77" s="8">
        <f t="shared" si="26"/>
        <v>1.6656934371733358E-2</v>
      </c>
      <c r="V77" s="3"/>
    </row>
    <row r="78" spans="1:22" ht="17.100000000000001" customHeight="1">
      <c r="A78" s="5">
        <v>46022</v>
      </c>
      <c r="B78" s="6" t="s">
        <v>88</v>
      </c>
      <c r="C78" s="7">
        <v>30069641</v>
      </c>
      <c r="D78" s="7">
        <v>5383909</v>
      </c>
      <c r="E78" s="8">
        <f t="shared" si="18"/>
        <v>0.17904799728071247</v>
      </c>
      <c r="F78" s="7">
        <v>3886999</v>
      </c>
      <c r="G78" s="8">
        <f t="shared" si="19"/>
        <v>0.12926655825388803</v>
      </c>
      <c r="H78" s="7">
        <v>3854942</v>
      </c>
      <c r="I78" s="8">
        <f t="shared" si="20"/>
        <v>0.12820046637736712</v>
      </c>
      <c r="J78" s="7">
        <v>3517832</v>
      </c>
      <c r="K78" s="8">
        <f t="shared" si="21"/>
        <v>0.11698949116153398</v>
      </c>
      <c r="L78" s="7">
        <v>3006696</v>
      </c>
      <c r="M78" s="8">
        <f t="shared" si="22"/>
        <v>9.999108403056757E-2</v>
      </c>
      <c r="N78" s="7">
        <v>2391206</v>
      </c>
      <c r="O78" s="8">
        <f t="shared" si="23"/>
        <v>7.9522266328354241E-2</v>
      </c>
      <c r="P78" s="7">
        <v>1961741</v>
      </c>
      <c r="Q78" s="8">
        <f t="shared" si="24"/>
        <v>6.5239920888979022E-2</v>
      </c>
      <c r="R78" s="7">
        <v>1715756</v>
      </c>
      <c r="S78" s="8">
        <f t="shared" si="25"/>
        <v>5.7059410852294511E-2</v>
      </c>
      <c r="T78" s="7">
        <v>542458</v>
      </c>
      <c r="U78" s="8">
        <f t="shared" si="26"/>
        <v>1.8040055749252212E-2</v>
      </c>
      <c r="V78" s="3"/>
    </row>
    <row r="79" spans="1:22" ht="17.100000000000001" customHeight="1">
      <c r="A79" s="5">
        <v>46112</v>
      </c>
      <c r="B79" s="6" t="s">
        <v>89</v>
      </c>
      <c r="C79" s="7">
        <v>30641548</v>
      </c>
      <c r="D79" s="7">
        <v>5399274</v>
      </c>
      <c r="E79" s="8">
        <f t="shared" si="18"/>
        <v>0.17620761196529627</v>
      </c>
      <c r="F79" s="7">
        <v>3917950</v>
      </c>
      <c r="G79" s="8">
        <f t="shared" si="19"/>
        <v>0.12786397084115986</v>
      </c>
      <c r="H79" s="7">
        <v>4000420</v>
      </c>
      <c r="I79" s="8">
        <f t="shared" si="20"/>
        <v>0.13055541449798816</v>
      </c>
      <c r="J79" s="7">
        <v>3426437</v>
      </c>
      <c r="K79" s="8">
        <f t="shared" si="21"/>
        <v>0.11182323425696378</v>
      </c>
      <c r="L79" s="7">
        <v>3039040</v>
      </c>
      <c r="M79" s="8">
        <f t="shared" si="22"/>
        <v>9.9180367780374548E-2</v>
      </c>
      <c r="N79" s="7">
        <v>2475411</v>
      </c>
      <c r="O79" s="8">
        <f t="shared" si="23"/>
        <v>8.0786094749521142E-2</v>
      </c>
      <c r="P79" s="7">
        <v>2049575</v>
      </c>
      <c r="Q79" s="8">
        <f t="shared" si="24"/>
        <v>6.688875509814321E-2</v>
      </c>
      <c r="R79" s="7">
        <v>1800980</v>
      </c>
      <c r="S79" s="8">
        <f t="shared" si="25"/>
        <v>5.8775751146776266E-2</v>
      </c>
      <c r="T79" s="7">
        <v>620413</v>
      </c>
      <c r="U79" s="8">
        <f t="shared" si="26"/>
        <v>2.0247443112208299E-2</v>
      </c>
      <c r="V79" s="3"/>
    </row>
    <row r="80" spans="1:22" ht="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</sheetData>
  <phoneticPr fontId="19" type="noConversion"/>
  <pageMargins left="0.69930555555555596" right="0.69930555555555596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5D3C9-7EB8-4AD0-A906-A891337CE494}">
  <sheetPr codeName="工作表3"/>
  <dimension ref="A1:V80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G7" sqref="G7"/>
    </sheetView>
  </sheetViews>
  <sheetFormatPr defaultColWidth="9" defaultRowHeight="13.5"/>
  <cols>
    <col min="1" max="1" width="13" customWidth="1"/>
    <col min="2" max="2" width="10" customWidth="1"/>
    <col min="3" max="3" width="22" customWidth="1"/>
    <col min="4" max="7" width="16" customWidth="1"/>
    <col min="8" max="9" width="15" customWidth="1"/>
    <col min="10" max="11" width="17" customWidth="1"/>
    <col min="12" max="13" width="20" customWidth="1"/>
    <col min="14" max="15" width="27" customWidth="1"/>
    <col min="16" max="19" width="20" customWidth="1"/>
    <col min="20" max="21" width="18" customWidth="1"/>
  </cols>
  <sheetData>
    <row r="1" spans="1:22" ht="27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</row>
    <row r="2" spans="1:22" ht="21.9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</row>
    <row r="3" spans="1:22" ht="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s="17" customFormat="1" ht="50.1" customHeight="1">
      <c r="A5" s="14" t="s">
        <v>2</v>
      </c>
      <c r="B5" s="14" t="s">
        <v>152</v>
      </c>
      <c r="C5" s="14" t="s">
        <v>142</v>
      </c>
      <c r="D5" s="14" t="s">
        <v>143</v>
      </c>
      <c r="E5" s="15" t="s">
        <v>135</v>
      </c>
      <c r="F5" s="14" t="s">
        <v>156</v>
      </c>
      <c r="G5" s="14" t="s">
        <v>153</v>
      </c>
      <c r="H5" s="15" t="s">
        <v>144</v>
      </c>
      <c r="I5" s="15" t="s">
        <v>136</v>
      </c>
      <c r="J5" s="14" t="s">
        <v>145</v>
      </c>
      <c r="K5" s="15" t="s">
        <v>137</v>
      </c>
      <c r="L5" s="14" t="s">
        <v>146</v>
      </c>
      <c r="M5" s="15" t="s">
        <v>138</v>
      </c>
      <c r="N5" s="14" t="s">
        <v>147</v>
      </c>
      <c r="O5" s="15" t="s">
        <v>139</v>
      </c>
      <c r="P5" s="14" t="s">
        <v>155</v>
      </c>
      <c r="Q5" s="14" t="s">
        <v>158</v>
      </c>
      <c r="R5" s="14" t="s">
        <v>148</v>
      </c>
      <c r="S5" s="15" t="s">
        <v>140</v>
      </c>
      <c r="T5" s="15" t="s">
        <v>149</v>
      </c>
      <c r="U5" s="15" t="s">
        <v>141</v>
      </c>
      <c r="V5" s="16"/>
    </row>
    <row r="6" spans="1:22" s="29" customFormat="1" ht="48.75" customHeight="1">
      <c r="A6" s="18" t="s">
        <v>2</v>
      </c>
      <c r="B6" s="19" t="s">
        <v>151</v>
      </c>
      <c r="C6" s="27" t="s">
        <v>160</v>
      </c>
      <c r="D6" s="27" t="s">
        <v>159</v>
      </c>
      <c r="E6" s="23" t="s">
        <v>150</v>
      </c>
      <c r="F6" s="28" t="s">
        <v>153</v>
      </c>
      <c r="G6" s="23" t="s">
        <v>153</v>
      </c>
      <c r="H6" s="28" t="s">
        <v>12</v>
      </c>
      <c r="I6" s="23" t="s">
        <v>150</v>
      </c>
      <c r="J6" s="28" t="s">
        <v>8</v>
      </c>
      <c r="K6" s="23" t="s">
        <v>137</v>
      </c>
      <c r="L6" s="28" t="s">
        <v>11</v>
      </c>
      <c r="M6" s="23" t="s">
        <v>138</v>
      </c>
      <c r="N6" s="28" t="s">
        <v>9</v>
      </c>
      <c r="O6" s="23" t="s">
        <v>139</v>
      </c>
      <c r="P6" s="28" t="s">
        <v>154</v>
      </c>
      <c r="Q6" s="23" t="s">
        <v>157</v>
      </c>
      <c r="R6" s="28" t="s">
        <v>10</v>
      </c>
      <c r="S6" s="23" t="s">
        <v>140</v>
      </c>
      <c r="T6" s="28" t="s">
        <v>7</v>
      </c>
      <c r="U6" s="23" t="s">
        <v>141</v>
      </c>
      <c r="V6" s="19"/>
    </row>
    <row r="7" spans="1:22" ht="17.100000000000001" customHeight="1">
      <c r="A7" s="5">
        <v>39538</v>
      </c>
      <c r="B7" s="6" t="s">
        <v>17</v>
      </c>
      <c r="C7" s="7">
        <v>4691656</v>
      </c>
      <c r="D7" s="7">
        <v>669426</v>
      </c>
      <c r="E7" s="8">
        <v>0.14268437413143675</v>
      </c>
      <c r="F7" s="7">
        <v>1887107</v>
      </c>
      <c r="G7" s="8">
        <v>0.40222620754803801</v>
      </c>
      <c r="H7" s="7">
        <v>591234</v>
      </c>
      <c r="I7" s="8">
        <v>0.12601819059197861</v>
      </c>
      <c r="J7" s="7">
        <v>302500</v>
      </c>
      <c r="K7" s="8">
        <v>6.4476167903188122E-2</v>
      </c>
      <c r="L7" s="7">
        <v>-214488</v>
      </c>
      <c r="M7" s="8">
        <v>-4.5716906780889306E-2</v>
      </c>
      <c r="N7" s="7">
        <v>218723</v>
      </c>
      <c r="O7" s="8">
        <v>4.6619573131533941E-2</v>
      </c>
      <c r="P7" s="7">
        <v>120440</v>
      </c>
      <c r="Q7" s="8">
        <v>2.567110632152059E-2</v>
      </c>
      <c r="R7" s="7">
        <v>472857</v>
      </c>
      <c r="S7" s="8">
        <v>0.10078680107833993</v>
      </c>
      <c r="T7" s="7">
        <v>-20874</v>
      </c>
      <c r="U7" s="8">
        <v>-4.449175301855038E-3</v>
      </c>
      <c r="V7" s="3"/>
    </row>
    <row r="8" spans="1:22" ht="17.100000000000001" customHeight="1">
      <c r="A8" s="5">
        <v>39629</v>
      </c>
      <c r="B8" s="6" t="s">
        <v>18</v>
      </c>
      <c r="C8" s="7">
        <v>4656134</v>
      </c>
      <c r="D8" s="7">
        <v>670443</v>
      </c>
      <c r="E8" s="8">
        <f t="shared" ref="E8:E39" si="0">D8/$C8</f>
        <v>0.14399134560989868</v>
      </c>
      <c r="F8" s="7">
        <v>1917057</v>
      </c>
      <c r="G8" s="8">
        <f t="shared" ref="G8:G39" si="1">F8/$C8</f>
        <v>0.41172719685472969</v>
      </c>
      <c r="H8" s="7">
        <v>478841</v>
      </c>
      <c r="I8" s="8">
        <f t="shared" ref="I8:I39" si="2">H8/$C8</f>
        <v>0.10284089762021453</v>
      </c>
      <c r="J8" s="7">
        <v>289666</v>
      </c>
      <c r="K8" s="8">
        <f t="shared" ref="K8:K39" si="3">J8/$C8</f>
        <v>6.2211697515578375E-2</v>
      </c>
      <c r="L8" s="7">
        <v>-180487</v>
      </c>
      <c r="M8" s="8">
        <f t="shared" ref="M8:M39" si="4">L8/$C8</f>
        <v>-3.8763274424662174E-2</v>
      </c>
      <c r="N8" s="7">
        <v>202106</v>
      </c>
      <c r="O8" s="8">
        <f t="shared" ref="O8:O39" si="5">N8/$C8</f>
        <v>4.3406396809026547E-2</v>
      </c>
      <c r="P8" s="7">
        <v>101197</v>
      </c>
      <c r="Q8" s="8">
        <f t="shared" ref="Q8:Q39" si="6">P8/$C8</f>
        <v>2.1734125349485215E-2</v>
      </c>
      <c r="R8" s="7">
        <v>472553</v>
      </c>
      <c r="S8" s="8">
        <f t="shared" ref="S8:S39" si="7">R8/$C8</f>
        <v>0.10149042102310629</v>
      </c>
      <c r="T8" s="7">
        <v>-47335</v>
      </c>
      <c r="U8" s="8">
        <f t="shared" ref="U8:U39" si="8">T8/$C8</f>
        <v>-1.0166159307270797E-2</v>
      </c>
      <c r="V8" s="3"/>
    </row>
    <row r="9" spans="1:22" ht="17.100000000000001" customHeight="1">
      <c r="A9" s="5">
        <v>39721</v>
      </c>
      <c r="B9" s="6" t="s">
        <v>19</v>
      </c>
      <c r="C9" s="7">
        <v>5192997</v>
      </c>
      <c r="D9" s="7">
        <v>743896</v>
      </c>
      <c r="E9" s="8">
        <f t="shared" si="0"/>
        <v>0.14324984204689509</v>
      </c>
      <c r="F9" s="7">
        <v>2089983</v>
      </c>
      <c r="G9" s="8">
        <f t="shared" si="1"/>
        <v>0.40246181540255077</v>
      </c>
      <c r="H9" s="7">
        <v>476627</v>
      </c>
      <c r="I9" s="8">
        <f t="shared" si="2"/>
        <v>9.1782644973605804E-2</v>
      </c>
      <c r="J9" s="7">
        <v>470378</v>
      </c>
      <c r="K9" s="8">
        <f t="shared" si="3"/>
        <v>9.057929361407295E-2</v>
      </c>
      <c r="L9" s="7">
        <v>-70117</v>
      </c>
      <c r="M9" s="8">
        <f t="shared" si="4"/>
        <v>-1.3502222319789517E-2</v>
      </c>
      <c r="N9" s="7">
        <v>225306</v>
      </c>
      <c r="O9" s="8">
        <f t="shared" si="5"/>
        <v>4.3386506866843942E-2</v>
      </c>
      <c r="P9" s="7">
        <v>116749</v>
      </c>
      <c r="Q9" s="8">
        <f t="shared" si="6"/>
        <v>2.2482007981133052E-2</v>
      </c>
      <c r="R9" s="7">
        <v>479686</v>
      </c>
      <c r="S9" s="8">
        <f t="shared" si="7"/>
        <v>9.2371707513021858E-2</v>
      </c>
      <c r="T9" s="7">
        <v>-36489</v>
      </c>
      <c r="U9" s="8">
        <f t="shared" si="8"/>
        <v>-7.0265782938060623E-3</v>
      </c>
      <c r="V9" s="3"/>
    </row>
    <row r="10" spans="1:22" ht="17.100000000000001" customHeight="1">
      <c r="A10" s="5">
        <v>39813</v>
      </c>
      <c r="B10" s="6" t="s">
        <v>20</v>
      </c>
      <c r="C10" s="7">
        <v>5757055</v>
      </c>
      <c r="D10" s="7">
        <v>852458</v>
      </c>
      <c r="E10" s="8">
        <f t="shared" si="0"/>
        <v>0.14807188744939903</v>
      </c>
      <c r="F10" s="7">
        <v>2400516</v>
      </c>
      <c r="G10" s="8">
        <f t="shared" si="1"/>
        <v>0.41696944010435893</v>
      </c>
      <c r="H10" s="7">
        <v>475921</v>
      </c>
      <c r="I10" s="8">
        <f t="shared" si="2"/>
        <v>8.2667440210315871E-2</v>
      </c>
      <c r="J10" s="7">
        <v>590959</v>
      </c>
      <c r="K10" s="8">
        <f t="shared" si="3"/>
        <v>0.10264953174843736</v>
      </c>
      <c r="L10" s="7">
        <v>78316</v>
      </c>
      <c r="M10" s="8">
        <f t="shared" si="4"/>
        <v>1.3603483030820445E-2</v>
      </c>
      <c r="N10" s="7">
        <v>232885</v>
      </c>
      <c r="O10" s="8">
        <f t="shared" si="5"/>
        <v>4.0452106154969858E-2</v>
      </c>
      <c r="P10" s="7">
        <v>102278</v>
      </c>
      <c r="Q10" s="8">
        <f t="shared" si="6"/>
        <v>1.7765680543263874E-2</v>
      </c>
      <c r="R10" s="7">
        <v>503153</v>
      </c>
      <c r="S10" s="8">
        <f t="shared" si="7"/>
        <v>8.739763646517186E-2</v>
      </c>
      <c r="T10" s="7">
        <v>30708</v>
      </c>
      <c r="U10" s="8">
        <f t="shared" si="8"/>
        <v>5.3339771810413487E-3</v>
      </c>
      <c r="V10" s="3"/>
    </row>
    <row r="11" spans="1:22" ht="17.100000000000001" customHeight="1">
      <c r="A11" s="5">
        <v>39903</v>
      </c>
      <c r="B11" s="6" t="s">
        <v>21</v>
      </c>
      <c r="C11" s="7">
        <v>6227207</v>
      </c>
      <c r="D11" s="7">
        <v>881817</v>
      </c>
      <c r="E11" s="8">
        <f t="shared" si="0"/>
        <v>0.14160714426226717</v>
      </c>
      <c r="F11" s="7">
        <v>2536022</v>
      </c>
      <c r="G11" s="8">
        <f t="shared" si="1"/>
        <v>0.40724870716518657</v>
      </c>
      <c r="H11" s="7">
        <v>492323</v>
      </c>
      <c r="I11" s="8">
        <f t="shared" si="2"/>
        <v>7.9060002341338587E-2</v>
      </c>
      <c r="J11" s="7">
        <v>532664</v>
      </c>
      <c r="K11" s="8">
        <f t="shared" si="3"/>
        <v>8.553818750524915E-2</v>
      </c>
      <c r="L11" s="7">
        <v>256317</v>
      </c>
      <c r="M11" s="8">
        <f t="shared" si="4"/>
        <v>4.1160828602614302E-2</v>
      </c>
      <c r="N11" s="7">
        <v>268316</v>
      </c>
      <c r="O11" s="8">
        <f t="shared" si="5"/>
        <v>4.3087695655532249E-2</v>
      </c>
      <c r="P11" s="7">
        <v>125631</v>
      </c>
      <c r="Q11" s="8">
        <f t="shared" si="6"/>
        <v>2.0174534104936612E-2</v>
      </c>
      <c r="R11" s="7">
        <v>522119</v>
      </c>
      <c r="S11" s="8">
        <f t="shared" si="7"/>
        <v>8.3844811967869387E-2</v>
      </c>
      <c r="T11" s="7">
        <v>67869</v>
      </c>
      <c r="U11" s="8">
        <f t="shared" si="8"/>
        <v>1.0898786566754566E-2</v>
      </c>
      <c r="V11" s="3"/>
    </row>
    <row r="12" spans="1:22" ht="17.100000000000001" customHeight="1">
      <c r="A12" s="5">
        <v>39994</v>
      </c>
      <c r="B12" s="6" t="s">
        <v>22</v>
      </c>
      <c r="C12" s="7">
        <v>6571808</v>
      </c>
      <c r="D12" s="7">
        <v>827250</v>
      </c>
      <c r="E12" s="8">
        <f t="shared" si="0"/>
        <v>0.12587860144422966</v>
      </c>
      <c r="F12" s="7">
        <v>2634733</v>
      </c>
      <c r="G12" s="8">
        <f t="shared" si="1"/>
        <v>0.40091448198121432</v>
      </c>
      <c r="H12" s="7">
        <v>656466</v>
      </c>
      <c r="I12" s="8">
        <f t="shared" si="2"/>
        <v>9.9891232367105065E-2</v>
      </c>
      <c r="J12" s="7">
        <v>500464</v>
      </c>
      <c r="K12" s="8">
        <f t="shared" si="3"/>
        <v>7.6153168199679599E-2</v>
      </c>
      <c r="L12" s="7">
        <v>185497</v>
      </c>
      <c r="M12" s="8">
        <f t="shared" si="4"/>
        <v>2.8226174593049585E-2</v>
      </c>
      <c r="N12" s="7">
        <v>292868</v>
      </c>
      <c r="O12" s="8">
        <f t="shared" si="5"/>
        <v>4.4564296461491265E-2</v>
      </c>
      <c r="P12" s="7">
        <v>134267</v>
      </c>
      <c r="Q12" s="8">
        <f t="shared" si="6"/>
        <v>2.0430755128573445E-2</v>
      </c>
      <c r="R12" s="7">
        <v>527941</v>
      </c>
      <c r="S12" s="8">
        <f t="shared" si="7"/>
        <v>8.0334209398692111E-2</v>
      </c>
      <c r="T12" s="7">
        <v>71358</v>
      </c>
      <c r="U12" s="8">
        <f t="shared" si="8"/>
        <v>1.085819914397986E-2</v>
      </c>
      <c r="V12" s="3"/>
    </row>
    <row r="13" spans="1:22" ht="17.100000000000001" customHeight="1">
      <c r="A13" s="5">
        <v>40086</v>
      </c>
      <c r="B13" s="6" t="s">
        <v>23</v>
      </c>
      <c r="C13" s="7">
        <v>6968783</v>
      </c>
      <c r="D13" s="7">
        <v>807303</v>
      </c>
      <c r="E13" s="8">
        <f t="shared" si="0"/>
        <v>0.11584562182521682</v>
      </c>
      <c r="F13" s="7">
        <v>2778554</v>
      </c>
      <c r="G13" s="8">
        <f t="shared" si="1"/>
        <v>0.39871438097584616</v>
      </c>
      <c r="H13" s="7">
        <v>769160</v>
      </c>
      <c r="I13" s="8">
        <f t="shared" si="2"/>
        <v>0.11037221276656196</v>
      </c>
      <c r="J13" s="7">
        <v>435474</v>
      </c>
      <c r="K13" s="8">
        <f t="shared" si="3"/>
        <v>6.2489246687692818E-2</v>
      </c>
      <c r="L13" s="7">
        <v>356436</v>
      </c>
      <c r="M13" s="8">
        <f t="shared" si="4"/>
        <v>5.1147524610825161E-2</v>
      </c>
      <c r="N13" s="7">
        <v>327389</v>
      </c>
      <c r="O13" s="8">
        <f t="shared" si="5"/>
        <v>4.697936497663939E-2</v>
      </c>
      <c r="P13" s="7">
        <v>194473</v>
      </c>
      <c r="Q13" s="8">
        <f t="shared" si="6"/>
        <v>2.790630731362994E-2</v>
      </c>
      <c r="R13" s="7">
        <v>542165</v>
      </c>
      <c r="S13" s="8">
        <f t="shared" si="7"/>
        <v>7.7799093471557376E-2</v>
      </c>
      <c r="T13" s="7">
        <v>22428</v>
      </c>
      <c r="U13" s="8">
        <f t="shared" si="8"/>
        <v>3.218352472734479E-3</v>
      </c>
      <c r="V13" s="3"/>
    </row>
    <row r="14" spans="1:22" ht="17.100000000000001" customHeight="1">
      <c r="A14" s="5">
        <v>40178</v>
      </c>
      <c r="B14" s="6" t="s">
        <v>24</v>
      </c>
      <c r="C14" s="7">
        <v>7232689</v>
      </c>
      <c r="D14" s="7">
        <v>790985</v>
      </c>
      <c r="E14" s="8">
        <f t="shared" si="0"/>
        <v>0.10936250680763407</v>
      </c>
      <c r="F14" s="7">
        <v>2879612</v>
      </c>
      <c r="G14" s="8">
        <f t="shared" si="1"/>
        <v>0.39813850699235098</v>
      </c>
      <c r="H14" s="7">
        <v>776588</v>
      </c>
      <c r="I14" s="8">
        <f t="shared" si="2"/>
        <v>0.10737196082950615</v>
      </c>
      <c r="J14" s="7">
        <v>414572</v>
      </c>
      <c r="K14" s="8">
        <f t="shared" si="3"/>
        <v>5.7319207282381421E-2</v>
      </c>
      <c r="L14" s="7">
        <v>431973</v>
      </c>
      <c r="M14" s="8">
        <f t="shared" si="4"/>
        <v>5.9725089797169492E-2</v>
      </c>
      <c r="N14" s="7">
        <v>335096</v>
      </c>
      <c r="O14" s="8">
        <f t="shared" si="5"/>
        <v>4.6330763012207496E-2</v>
      </c>
      <c r="P14" s="7">
        <v>197136</v>
      </c>
      <c r="Q14" s="8">
        <f t="shared" si="6"/>
        <v>2.725625282657667E-2</v>
      </c>
      <c r="R14" s="7">
        <v>553723</v>
      </c>
      <c r="S14" s="8">
        <f t="shared" si="7"/>
        <v>7.6558386514337884E-2</v>
      </c>
      <c r="T14" s="7">
        <v>42183</v>
      </c>
      <c r="U14" s="8">
        <f t="shared" si="8"/>
        <v>5.8322706810703465E-3</v>
      </c>
      <c r="V14" s="3"/>
    </row>
    <row r="15" spans="1:22" ht="17.100000000000001" customHeight="1">
      <c r="A15" s="5">
        <v>40268</v>
      </c>
      <c r="B15" s="6" t="s">
        <v>25</v>
      </c>
      <c r="C15" s="7">
        <v>7714997</v>
      </c>
      <c r="D15" s="7">
        <v>877640</v>
      </c>
      <c r="E15" s="8">
        <f t="shared" si="0"/>
        <v>0.11375765927063873</v>
      </c>
      <c r="F15" s="7">
        <v>2984062</v>
      </c>
      <c r="G15" s="8">
        <f t="shared" si="1"/>
        <v>0.38678718864051403</v>
      </c>
      <c r="H15" s="7">
        <v>776705</v>
      </c>
      <c r="I15" s="8">
        <f t="shared" si="2"/>
        <v>0.10067469890137352</v>
      </c>
      <c r="J15" s="7">
        <v>379203</v>
      </c>
      <c r="K15" s="8">
        <f t="shared" si="3"/>
        <v>4.9151412502169478E-2</v>
      </c>
      <c r="L15" s="7">
        <v>523689</v>
      </c>
      <c r="M15" s="8">
        <f t="shared" si="4"/>
        <v>6.7879352383416358E-2</v>
      </c>
      <c r="N15" s="7">
        <v>390166</v>
      </c>
      <c r="O15" s="8">
        <f t="shared" si="5"/>
        <v>5.0572411110464462E-2</v>
      </c>
      <c r="P15" s="7">
        <v>263934</v>
      </c>
      <c r="Q15" s="8">
        <f t="shared" si="6"/>
        <v>3.4210512330724176E-2</v>
      </c>
      <c r="R15" s="7">
        <v>576896</v>
      </c>
      <c r="S15" s="8">
        <f t="shared" si="7"/>
        <v>7.4775920198024703E-2</v>
      </c>
      <c r="T15" s="7">
        <v>71534</v>
      </c>
      <c r="U15" s="8">
        <f t="shared" si="8"/>
        <v>9.27207100663811E-3</v>
      </c>
      <c r="V15" s="3"/>
    </row>
    <row r="16" spans="1:22" ht="17.100000000000001" customHeight="1">
      <c r="A16" s="5">
        <v>40359</v>
      </c>
      <c r="B16" s="6" t="s">
        <v>26</v>
      </c>
      <c r="C16" s="7">
        <v>8059428</v>
      </c>
      <c r="D16" s="7">
        <v>992290</v>
      </c>
      <c r="E16" s="8">
        <f t="shared" si="0"/>
        <v>0.12312164089064385</v>
      </c>
      <c r="F16" s="7">
        <v>3077445</v>
      </c>
      <c r="G16" s="8">
        <f t="shared" si="1"/>
        <v>0.3818440961318843</v>
      </c>
      <c r="H16" s="7">
        <v>776989</v>
      </c>
      <c r="I16" s="8">
        <f t="shared" si="2"/>
        <v>9.6407462167290278E-2</v>
      </c>
      <c r="J16" s="7">
        <v>356585</v>
      </c>
      <c r="K16" s="8">
        <f t="shared" si="3"/>
        <v>4.4244455065545592E-2</v>
      </c>
      <c r="L16" s="7">
        <v>778573</v>
      </c>
      <c r="M16" s="8">
        <f t="shared" si="4"/>
        <v>9.6604002169881034E-2</v>
      </c>
      <c r="N16" s="7">
        <v>453592</v>
      </c>
      <c r="O16" s="8">
        <f t="shared" si="5"/>
        <v>5.6280917206531285E-2</v>
      </c>
      <c r="P16" s="7">
        <v>261173</v>
      </c>
      <c r="Q16" s="8">
        <f t="shared" si="6"/>
        <v>3.2405897788279764E-2</v>
      </c>
      <c r="R16" s="7">
        <v>600436</v>
      </c>
      <c r="S16" s="8">
        <f t="shared" si="7"/>
        <v>7.4501068810342366E-2</v>
      </c>
      <c r="T16" s="7">
        <v>54541</v>
      </c>
      <c r="U16" s="8">
        <f t="shared" si="8"/>
        <v>6.7673537129433999E-3</v>
      </c>
      <c r="V16" s="3"/>
    </row>
    <row r="17" spans="1:22" ht="17.100000000000001" customHeight="1">
      <c r="A17" s="5">
        <v>40451</v>
      </c>
      <c r="B17" s="6" t="s">
        <v>27</v>
      </c>
      <c r="C17" s="7">
        <v>8457152</v>
      </c>
      <c r="D17" s="7">
        <v>1077090</v>
      </c>
      <c r="E17" s="8">
        <f t="shared" si="0"/>
        <v>0.12735847718002466</v>
      </c>
      <c r="F17" s="7">
        <v>3332090</v>
      </c>
      <c r="G17" s="8">
        <f t="shared" si="1"/>
        <v>0.39399670243599738</v>
      </c>
      <c r="H17" s="7">
        <v>811669</v>
      </c>
      <c r="I17" s="8">
        <f t="shared" si="2"/>
        <v>9.5974271244031087E-2</v>
      </c>
      <c r="J17" s="7">
        <v>314578</v>
      </c>
      <c r="K17" s="8">
        <f t="shared" si="3"/>
        <v>3.7196682760342964E-2</v>
      </c>
      <c r="L17" s="7">
        <v>777589</v>
      </c>
      <c r="M17" s="8">
        <f t="shared" si="4"/>
        <v>9.1944545870761216E-2</v>
      </c>
      <c r="N17" s="7">
        <v>473267</v>
      </c>
      <c r="O17" s="8">
        <f t="shared" si="5"/>
        <v>5.5960564502092427E-2</v>
      </c>
      <c r="P17" s="7">
        <v>306719</v>
      </c>
      <c r="Q17" s="8">
        <f t="shared" si="6"/>
        <v>3.6267410116313389E-2</v>
      </c>
      <c r="R17" s="7">
        <v>620657</v>
      </c>
      <c r="S17" s="8">
        <f t="shared" si="7"/>
        <v>7.3388417282792121E-2</v>
      </c>
      <c r="T17" s="7">
        <v>71618</v>
      </c>
      <c r="U17" s="8">
        <f t="shared" si="8"/>
        <v>8.4683354396373634E-3</v>
      </c>
      <c r="V17" s="3"/>
    </row>
    <row r="18" spans="1:22" ht="17.100000000000001" customHeight="1">
      <c r="A18" s="5">
        <v>40543</v>
      </c>
      <c r="B18" s="6" t="s">
        <v>28</v>
      </c>
      <c r="C18" s="7">
        <v>8822662</v>
      </c>
      <c r="D18" s="7">
        <v>1094066</v>
      </c>
      <c r="E18" s="8">
        <f t="shared" si="0"/>
        <v>0.12400633731633377</v>
      </c>
      <c r="F18" s="7">
        <v>3364758</v>
      </c>
      <c r="G18" s="8">
        <f t="shared" si="1"/>
        <v>0.38137673187525489</v>
      </c>
      <c r="H18" s="7">
        <v>1021493</v>
      </c>
      <c r="I18" s="8">
        <f t="shared" si="2"/>
        <v>0.11578058867040356</v>
      </c>
      <c r="J18" s="7">
        <v>380546</v>
      </c>
      <c r="K18" s="8">
        <f t="shared" si="3"/>
        <v>4.3132786907171553E-2</v>
      </c>
      <c r="L18" s="7">
        <v>653847</v>
      </c>
      <c r="M18" s="8">
        <f t="shared" si="4"/>
        <v>7.4109945501709115E-2</v>
      </c>
      <c r="N18" s="7">
        <v>475387</v>
      </c>
      <c r="O18" s="8">
        <f t="shared" si="5"/>
        <v>5.3882490341350488E-2</v>
      </c>
      <c r="P18" s="7">
        <v>299540</v>
      </c>
      <c r="Q18" s="8">
        <f t="shared" si="6"/>
        <v>3.3951204296390362E-2</v>
      </c>
      <c r="R18" s="7">
        <v>637649</v>
      </c>
      <c r="S18" s="8">
        <f t="shared" si="7"/>
        <v>7.2273991681875607E-2</v>
      </c>
      <c r="T18" s="7">
        <v>51931</v>
      </c>
      <c r="U18" s="8">
        <f t="shared" si="8"/>
        <v>5.8860919754151302E-3</v>
      </c>
      <c r="V18" s="3"/>
    </row>
    <row r="19" spans="1:22" ht="17.100000000000001" customHeight="1">
      <c r="A19" s="5">
        <v>40633</v>
      </c>
      <c r="B19" s="6" t="s">
        <v>29</v>
      </c>
      <c r="C19" s="7">
        <v>9090815</v>
      </c>
      <c r="D19" s="7">
        <v>1138460</v>
      </c>
      <c r="E19" s="8">
        <f t="shared" si="0"/>
        <v>0.12523189615012514</v>
      </c>
      <c r="F19" s="7">
        <v>3402420</v>
      </c>
      <c r="G19" s="8">
        <f t="shared" si="1"/>
        <v>0.37427007369526277</v>
      </c>
      <c r="H19" s="7">
        <v>1340446</v>
      </c>
      <c r="I19" s="8">
        <f t="shared" si="2"/>
        <v>0.14745058611356626</v>
      </c>
      <c r="J19" s="7">
        <v>369324</v>
      </c>
      <c r="K19" s="8">
        <f t="shared" si="3"/>
        <v>4.0626060479725966E-2</v>
      </c>
      <c r="L19" s="7">
        <v>487290</v>
      </c>
      <c r="M19" s="8">
        <f t="shared" si="4"/>
        <v>5.3602454785407032E-2</v>
      </c>
      <c r="N19" s="7">
        <v>459125</v>
      </c>
      <c r="O19" s="8">
        <f t="shared" si="5"/>
        <v>5.0504272719222643E-2</v>
      </c>
      <c r="P19" s="7">
        <v>304625</v>
      </c>
      <c r="Q19" s="8">
        <f t="shared" si="6"/>
        <v>3.3509096819152082E-2</v>
      </c>
      <c r="R19" s="7">
        <v>658008</v>
      </c>
      <c r="S19" s="8">
        <f t="shared" si="7"/>
        <v>7.2381629149861695E-2</v>
      </c>
      <c r="T19" s="7">
        <v>61912</v>
      </c>
      <c r="U19" s="8">
        <f t="shared" si="8"/>
        <v>6.8103904875415457E-3</v>
      </c>
      <c r="V19" s="3"/>
    </row>
    <row r="20" spans="1:22" ht="17.100000000000001" customHeight="1">
      <c r="A20" s="5">
        <v>40724</v>
      </c>
      <c r="B20" s="6" t="s">
        <v>30</v>
      </c>
      <c r="C20" s="7">
        <v>9295140</v>
      </c>
      <c r="D20" s="7">
        <v>1175983</v>
      </c>
      <c r="E20" s="8">
        <f t="shared" si="0"/>
        <v>0.12651589970672847</v>
      </c>
      <c r="F20" s="7">
        <v>3514579</v>
      </c>
      <c r="G20" s="8">
        <f t="shared" si="1"/>
        <v>0.37810931303885686</v>
      </c>
      <c r="H20" s="7">
        <v>1619538</v>
      </c>
      <c r="I20" s="8">
        <f t="shared" si="2"/>
        <v>0.17423492276609068</v>
      </c>
      <c r="J20" s="7">
        <v>363175</v>
      </c>
      <c r="K20" s="8">
        <f t="shared" si="3"/>
        <v>3.907149327498026E-2</v>
      </c>
      <c r="L20" s="7">
        <v>355466</v>
      </c>
      <c r="M20" s="8">
        <f t="shared" si="4"/>
        <v>3.8242135137286797E-2</v>
      </c>
      <c r="N20" s="7">
        <v>464015</v>
      </c>
      <c r="O20" s="8">
        <f t="shared" si="5"/>
        <v>4.9920173337894856E-2</v>
      </c>
      <c r="P20" s="7">
        <v>270324</v>
      </c>
      <c r="Q20" s="8">
        <f t="shared" si="6"/>
        <v>2.9082294618478045E-2</v>
      </c>
      <c r="R20" s="7">
        <v>685186</v>
      </c>
      <c r="S20" s="8">
        <f t="shared" si="7"/>
        <v>7.371443571586872E-2</v>
      </c>
      <c r="T20" s="7">
        <v>71088</v>
      </c>
      <c r="U20" s="8">
        <f t="shared" si="8"/>
        <v>7.647867595324008E-3</v>
      </c>
      <c r="V20" s="3"/>
    </row>
    <row r="21" spans="1:22" ht="17.100000000000001" customHeight="1">
      <c r="A21" s="5">
        <v>40816</v>
      </c>
      <c r="B21" s="6" t="s">
        <v>31</v>
      </c>
      <c r="C21" s="7">
        <v>9588341</v>
      </c>
      <c r="D21" s="7">
        <v>1335259</v>
      </c>
      <c r="E21" s="8">
        <f t="shared" si="0"/>
        <v>0.13925860584224112</v>
      </c>
      <c r="F21" s="7">
        <v>3639140</v>
      </c>
      <c r="G21" s="8">
        <f t="shared" si="1"/>
        <v>0.37953802435687256</v>
      </c>
      <c r="H21" s="7">
        <v>1664660</v>
      </c>
      <c r="I21" s="8">
        <f t="shared" si="2"/>
        <v>0.17361293262306796</v>
      </c>
      <c r="J21" s="7">
        <v>402652</v>
      </c>
      <c r="K21" s="8">
        <f t="shared" si="3"/>
        <v>4.1993917404481128E-2</v>
      </c>
      <c r="L21" s="7">
        <v>518307</v>
      </c>
      <c r="M21" s="8">
        <f t="shared" si="4"/>
        <v>5.4055962340096166E-2</v>
      </c>
      <c r="N21" s="7">
        <v>467701</v>
      </c>
      <c r="O21" s="8">
        <f t="shared" si="5"/>
        <v>4.8778094145796438E-2</v>
      </c>
      <c r="P21" s="7">
        <v>273351</v>
      </c>
      <c r="Q21" s="8">
        <f t="shared" si="6"/>
        <v>2.8508685704857598E-2</v>
      </c>
      <c r="R21" s="7">
        <v>701709</v>
      </c>
      <c r="S21" s="8">
        <f t="shared" si="7"/>
        <v>7.3183567417971468E-2</v>
      </c>
      <c r="T21" s="7">
        <v>79315</v>
      </c>
      <c r="U21" s="8">
        <f t="shared" si="8"/>
        <v>8.2720253691436294E-3</v>
      </c>
      <c r="V21" s="3"/>
    </row>
    <row r="22" spans="1:22" ht="17.100000000000001" customHeight="1">
      <c r="A22" s="5">
        <v>40908</v>
      </c>
      <c r="B22" s="6" t="s">
        <v>32</v>
      </c>
      <c r="C22" s="7">
        <v>9906085</v>
      </c>
      <c r="D22" s="7">
        <v>1383774</v>
      </c>
      <c r="E22" s="8">
        <f t="shared" si="0"/>
        <v>0.13968929198568356</v>
      </c>
      <c r="F22" s="7">
        <v>3620580</v>
      </c>
      <c r="G22" s="8">
        <f t="shared" si="1"/>
        <v>0.36549050406896366</v>
      </c>
      <c r="H22" s="7">
        <v>1663446</v>
      </c>
      <c r="I22" s="8">
        <f t="shared" si="2"/>
        <v>0.16792163604491583</v>
      </c>
      <c r="J22" s="7">
        <v>496874</v>
      </c>
      <c r="K22" s="8">
        <f t="shared" si="3"/>
        <v>5.015846320721052E-2</v>
      </c>
      <c r="L22" s="7">
        <v>540699</v>
      </c>
      <c r="M22" s="8">
        <f t="shared" si="4"/>
        <v>5.4582511658238346E-2</v>
      </c>
      <c r="N22" s="7">
        <v>537702</v>
      </c>
      <c r="O22" s="8">
        <f t="shared" si="5"/>
        <v>5.4279970341461842E-2</v>
      </c>
      <c r="P22" s="7">
        <v>252768</v>
      </c>
      <c r="Q22" s="8">
        <f t="shared" si="6"/>
        <v>2.5516437623945284E-2</v>
      </c>
      <c r="R22" s="7">
        <v>722743</v>
      </c>
      <c r="S22" s="8">
        <f t="shared" si="7"/>
        <v>7.2959499136137029E-2</v>
      </c>
      <c r="T22" s="7">
        <v>157679</v>
      </c>
      <c r="U22" s="8">
        <f t="shared" si="8"/>
        <v>1.5917388150818411E-2</v>
      </c>
      <c r="V22" s="3"/>
    </row>
    <row r="23" spans="1:22" ht="17.100000000000001" customHeight="1">
      <c r="A23" s="5">
        <v>40999</v>
      </c>
      <c r="B23" s="6" t="s">
        <v>33</v>
      </c>
      <c r="C23" s="7">
        <v>10306692</v>
      </c>
      <c r="D23" s="7">
        <v>1422509</v>
      </c>
      <c r="E23" s="8">
        <f t="shared" si="0"/>
        <v>0.13801799840336745</v>
      </c>
      <c r="F23" s="7">
        <v>3722551</v>
      </c>
      <c r="G23" s="8">
        <f t="shared" si="1"/>
        <v>0.36117805790645535</v>
      </c>
      <c r="H23" s="7">
        <v>1892042</v>
      </c>
      <c r="I23" s="8">
        <f t="shared" si="2"/>
        <v>0.1835741283430222</v>
      </c>
      <c r="J23" s="7">
        <v>544720</v>
      </c>
      <c r="K23" s="8">
        <f t="shared" si="3"/>
        <v>5.2851099072330869E-2</v>
      </c>
      <c r="L23" s="7">
        <v>498455</v>
      </c>
      <c r="M23" s="8">
        <f t="shared" si="4"/>
        <v>4.836226793232979E-2</v>
      </c>
      <c r="N23" s="7">
        <v>593925</v>
      </c>
      <c r="O23" s="8">
        <f t="shared" si="5"/>
        <v>5.7625181775103014E-2</v>
      </c>
      <c r="P23" s="7">
        <v>281701</v>
      </c>
      <c r="Q23" s="8">
        <f t="shared" si="6"/>
        <v>2.7331853906180568E-2</v>
      </c>
      <c r="R23" s="7">
        <v>767575</v>
      </c>
      <c r="S23" s="8">
        <f t="shared" si="7"/>
        <v>7.4473458603400586E-2</v>
      </c>
      <c r="T23" s="7">
        <v>158672</v>
      </c>
      <c r="U23" s="8">
        <f t="shared" si="8"/>
        <v>1.5395046247622418E-2</v>
      </c>
      <c r="V23" s="3"/>
    </row>
    <row r="24" spans="1:22" ht="17.100000000000001" customHeight="1">
      <c r="A24" s="5">
        <v>41090</v>
      </c>
      <c r="B24" s="6" t="s">
        <v>34</v>
      </c>
      <c r="C24" s="7">
        <v>10490548</v>
      </c>
      <c r="D24" s="7">
        <v>1452999</v>
      </c>
      <c r="E24" s="8">
        <f t="shared" si="0"/>
        <v>0.13850553850952305</v>
      </c>
      <c r="F24" s="7">
        <v>3857872</v>
      </c>
      <c r="G24" s="8">
        <f t="shared" si="1"/>
        <v>0.36774742368082203</v>
      </c>
      <c r="H24" s="7">
        <v>1964773</v>
      </c>
      <c r="I24" s="8">
        <f t="shared" si="2"/>
        <v>0.18728983462065091</v>
      </c>
      <c r="J24" s="7">
        <v>489640</v>
      </c>
      <c r="K24" s="8">
        <f t="shared" si="3"/>
        <v>4.6674396799862121E-2</v>
      </c>
      <c r="L24" s="7">
        <v>666429</v>
      </c>
      <c r="M24" s="8">
        <f t="shared" si="4"/>
        <v>6.3526614624898531E-2</v>
      </c>
      <c r="N24" s="7">
        <v>611397</v>
      </c>
      <c r="O24" s="8">
        <f t="shared" si="5"/>
        <v>5.8280749489921783E-2</v>
      </c>
      <c r="P24" s="7">
        <v>297212</v>
      </c>
      <c r="Q24" s="8">
        <f t="shared" si="6"/>
        <v>2.8331408425946863E-2</v>
      </c>
      <c r="R24" s="7">
        <v>790165</v>
      </c>
      <c r="S24" s="8">
        <f t="shared" si="7"/>
        <v>7.5321613322773984E-2</v>
      </c>
      <c r="T24" s="7">
        <v>171910</v>
      </c>
      <c r="U24" s="8">
        <f t="shared" si="8"/>
        <v>1.6387132492983209E-2</v>
      </c>
      <c r="V24" s="3"/>
    </row>
    <row r="25" spans="1:22" ht="17.100000000000001" customHeight="1">
      <c r="A25" s="5">
        <v>41182</v>
      </c>
      <c r="B25" s="6" t="s">
        <v>35</v>
      </c>
      <c r="C25" s="7">
        <v>10723156</v>
      </c>
      <c r="D25" s="7">
        <v>1514604</v>
      </c>
      <c r="E25" s="8">
        <f t="shared" si="0"/>
        <v>0.14124610329272463</v>
      </c>
      <c r="F25" s="7">
        <v>3958112</v>
      </c>
      <c r="G25" s="8">
        <f t="shared" si="1"/>
        <v>0.36911819617284314</v>
      </c>
      <c r="H25" s="7">
        <v>1967526</v>
      </c>
      <c r="I25" s="8">
        <f t="shared" si="2"/>
        <v>0.18348385493972111</v>
      </c>
      <c r="J25" s="7">
        <v>513720</v>
      </c>
      <c r="K25" s="8">
        <f t="shared" si="3"/>
        <v>4.790753766894746E-2</v>
      </c>
      <c r="L25" s="7">
        <v>584341</v>
      </c>
      <c r="M25" s="8">
        <f t="shared" si="4"/>
        <v>5.4493378628456025E-2</v>
      </c>
      <c r="N25" s="7">
        <v>678827</v>
      </c>
      <c r="O25" s="8">
        <f t="shared" si="5"/>
        <v>6.3304777063767415E-2</v>
      </c>
      <c r="P25" s="7">
        <v>330666</v>
      </c>
      <c r="Q25" s="8">
        <f t="shared" si="6"/>
        <v>3.0836630559137625E-2</v>
      </c>
      <c r="R25" s="7">
        <v>792110</v>
      </c>
      <c r="S25" s="8">
        <f t="shared" si="7"/>
        <v>7.3869110922194919E-2</v>
      </c>
      <c r="T25" s="7">
        <v>153986</v>
      </c>
      <c r="U25" s="8">
        <f t="shared" si="8"/>
        <v>1.4360138004147286E-2</v>
      </c>
      <c r="V25" s="3"/>
    </row>
    <row r="26" spans="1:22" ht="17.100000000000001" customHeight="1">
      <c r="A26" s="5">
        <v>41274</v>
      </c>
      <c r="B26" s="6" t="s">
        <v>36</v>
      </c>
      <c r="C26" s="7">
        <v>11027944</v>
      </c>
      <c r="D26" s="7">
        <v>1538647</v>
      </c>
      <c r="E26" s="8">
        <f t="shared" si="0"/>
        <v>0.13952256195715176</v>
      </c>
      <c r="F26" s="7">
        <v>4032835</v>
      </c>
      <c r="G26" s="8">
        <f t="shared" si="1"/>
        <v>0.36569237203235705</v>
      </c>
      <c r="H26" s="7">
        <v>1974315</v>
      </c>
      <c r="I26" s="8">
        <f t="shared" si="2"/>
        <v>0.17902838462001622</v>
      </c>
      <c r="J26" s="7">
        <v>510255</v>
      </c>
      <c r="K26" s="8">
        <f t="shared" si="3"/>
        <v>4.6269277392050591E-2</v>
      </c>
      <c r="L26" s="7">
        <v>677704</v>
      </c>
      <c r="M26" s="8">
        <f t="shared" si="4"/>
        <v>6.1453340713373224E-2</v>
      </c>
      <c r="N26" s="7">
        <v>629504</v>
      </c>
      <c r="O26" s="8">
        <f t="shared" si="5"/>
        <v>5.7082625736946072E-2</v>
      </c>
      <c r="P26" s="7">
        <v>342304</v>
      </c>
      <c r="Q26" s="8">
        <f t="shared" si="6"/>
        <v>3.1039693346284675E-2</v>
      </c>
      <c r="R26" s="7">
        <v>805281</v>
      </c>
      <c r="S26" s="8">
        <f t="shared" si="7"/>
        <v>7.3021861554610726E-2</v>
      </c>
      <c r="T26" s="7">
        <v>220902</v>
      </c>
      <c r="U26" s="8">
        <f t="shared" si="8"/>
        <v>2.0031113687193187E-2</v>
      </c>
      <c r="V26" s="3"/>
    </row>
    <row r="27" spans="1:22" ht="17.100000000000001" customHeight="1">
      <c r="A27" s="5">
        <v>41364</v>
      </c>
      <c r="B27" s="6" t="s">
        <v>37</v>
      </c>
      <c r="C27" s="7">
        <v>11373129</v>
      </c>
      <c r="D27" s="7">
        <v>1627547</v>
      </c>
      <c r="E27" s="8">
        <f t="shared" si="0"/>
        <v>0.14310459329178452</v>
      </c>
      <c r="F27" s="7">
        <v>4093764</v>
      </c>
      <c r="G27" s="8">
        <f t="shared" si="1"/>
        <v>0.35995054659100412</v>
      </c>
      <c r="H27" s="7">
        <v>2098312</v>
      </c>
      <c r="I27" s="8">
        <f t="shared" si="2"/>
        <v>0.18449733578156019</v>
      </c>
      <c r="J27" s="7">
        <v>531816</v>
      </c>
      <c r="K27" s="8">
        <f t="shared" si="3"/>
        <v>4.6760746317042565E-2</v>
      </c>
      <c r="L27" s="7">
        <v>683487</v>
      </c>
      <c r="M27" s="8">
        <f t="shared" si="4"/>
        <v>6.0096654139771034E-2</v>
      </c>
      <c r="N27" s="7">
        <v>651220</v>
      </c>
      <c r="O27" s="8">
        <f t="shared" si="5"/>
        <v>5.7259528138650324E-2</v>
      </c>
      <c r="P27" s="7">
        <v>331772</v>
      </c>
      <c r="Q27" s="8">
        <f t="shared" si="6"/>
        <v>2.9171567472768486E-2</v>
      </c>
      <c r="R27" s="7">
        <v>805068</v>
      </c>
      <c r="S27" s="8">
        <f t="shared" si="7"/>
        <v>7.0786852061556674E-2</v>
      </c>
      <c r="T27" s="7">
        <v>185084</v>
      </c>
      <c r="U27" s="8">
        <f t="shared" si="8"/>
        <v>1.6273797650584988E-2</v>
      </c>
      <c r="V27" s="3"/>
    </row>
    <row r="28" spans="1:22" ht="17.100000000000001" customHeight="1">
      <c r="A28" s="5">
        <v>41455</v>
      </c>
      <c r="B28" s="6" t="s">
        <v>38</v>
      </c>
      <c r="C28" s="7">
        <v>11368166</v>
      </c>
      <c r="D28" s="7">
        <v>1582801</v>
      </c>
      <c r="E28" s="8">
        <f t="shared" si="0"/>
        <v>0.13923098941377177</v>
      </c>
      <c r="F28" s="7">
        <v>4012216</v>
      </c>
      <c r="G28" s="8">
        <f t="shared" si="1"/>
        <v>0.35293432555435944</v>
      </c>
      <c r="H28" s="7">
        <v>2143888</v>
      </c>
      <c r="I28" s="8">
        <f t="shared" si="2"/>
        <v>0.18858697172437489</v>
      </c>
      <c r="J28" s="7">
        <v>498739</v>
      </c>
      <c r="K28" s="8">
        <f t="shared" si="3"/>
        <v>4.3871544451409311E-2</v>
      </c>
      <c r="L28" s="7">
        <v>602056</v>
      </c>
      <c r="M28" s="8">
        <f t="shared" si="4"/>
        <v>5.2959817792949185E-2</v>
      </c>
      <c r="N28" s="7">
        <v>605492</v>
      </c>
      <c r="O28" s="8">
        <f t="shared" si="5"/>
        <v>5.3262065314669052E-2</v>
      </c>
      <c r="P28" s="7">
        <v>283610</v>
      </c>
      <c r="Q28" s="8">
        <f t="shared" si="6"/>
        <v>2.4947735632994805E-2</v>
      </c>
      <c r="R28" s="7">
        <v>781881</v>
      </c>
      <c r="S28" s="8">
        <f t="shared" si="7"/>
        <v>6.8778112494134944E-2</v>
      </c>
      <c r="T28" s="7">
        <v>169160</v>
      </c>
      <c r="U28" s="8">
        <f t="shared" si="8"/>
        <v>1.4880148653705443E-2</v>
      </c>
      <c r="V28" s="3"/>
    </row>
    <row r="29" spans="1:22" ht="17.100000000000001" customHeight="1">
      <c r="A29" s="5">
        <v>41547</v>
      </c>
      <c r="B29" s="6" t="s">
        <v>39</v>
      </c>
      <c r="C29" s="7">
        <v>11563589</v>
      </c>
      <c r="D29" s="7">
        <v>1635713</v>
      </c>
      <c r="E29" s="8">
        <f t="shared" si="0"/>
        <v>0.14145374762108892</v>
      </c>
      <c r="F29" s="7">
        <v>4017107</v>
      </c>
      <c r="G29" s="8">
        <f t="shared" si="1"/>
        <v>0.34739275150647431</v>
      </c>
      <c r="H29" s="7">
        <v>2262042</v>
      </c>
      <c r="I29" s="8">
        <f t="shared" si="2"/>
        <v>0.19561764085527425</v>
      </c>
      <c r="J29" s="7">
        <v>526649</v>
      </c>
      <c r="K29" s="8">
        <f t="shared" si="3"/>
        <v>4.5543732140600986E-2</v>
      </c>
      <c r="L29" s="7">
        <v>530136</v>
      </c>
      <c r="M29" s="8">
        <f t="shared" si="4"/>
        <v>4.5845282117861506E-2</v>
      </c>
      <c r="N29" s="7">
        <v>564525</v>
      </c>
      <c r="O29" s="8">
        <f t="shared" si="5"/>
        <v>4.881918580814313E-2</v>
      </c>
      <c r="P29" s="7">
        <v>277728</v>
      </c>
      <c r="Q29" s="8">
        <f t="shared" si="6"/>
        <v>2.4017456863954609E-2</v>
      </c>
      <c r="R29" s="7">
        <v>769909</v>
      </c>
      <c r="S29" s="8">
        <f t="shared" si="7"/>
        <v>6.6580453525285271E-2</v>
      </c>
      <c r="T29" s="7">
        <v>216452</v>
      </c>
      <c r="U29" s="8">
        <f t="shared" si="8"/>
        <v>1.8718410002292542E-2</v>
      </c>
      <c r="V29" s="3"/>
    </row>
    <row r="30" spans="1:22" ht="17.100000000000001" customHeight="1">
      <c r="A30" s="5">
        <v>41639</v>
      </c>
      <c r="B30" s="6" t="s">
        <v>40</v>
      </c>
      <c r="C30" s="7">
        <v>11834187</v>
      </c>
      <c r="D30" s="7">
        <v>1736346</v>
      </c>
      <c r="E30" s="8">
        <f t="shared" si="0"/>
        <v>0.14672288007617254</v>
      </c>
      <c r="F30" s="7">
        <v>4056270</v>
      </c>
      <c r="G30" s="8">
        <f t="shared" si="1"/>
        <v>0.34275865338277989</v>
      </c>
      <c r="H30" s="7">
        <v>2341336</v>
      </c>
      <c r="I30" s="8">
        <f t="shared" si="2"/>
        <v>0.1978451075684371</v>
      </c>
      <c r="J30" s="7">
        <v>547316</v>
      </c>
      <c r="K30" s="8">
        <f t="shared" si="3"/>
        <v>4.6248719916289982E-2</v>
      </c>
      <c r="L30" s="7">
        <v>425403</v>
      </c>
      <c r="M30" s="8">
        <f t="shared" si="4"/>
        <v>3.5946956051987347E-2</v>
      </c>
      <c r="N30" s="7">
        <v>534936</v>
      </c>
      <c r="O30" s="8">
        <f t="shared" si="5"/>
        <v>4.5202598201295956E-2</v>
      </c>
      <c r="P30" s="7">
        <v>305146</v>
      </c>
      <c r="Q30" s="8">
        <f t="shared" si="6"/>
        <v>2.5785125754730763E-2</v>
      </c>
      <c r="R30" s="7">
        <v>767715</v>
      </c>
      <c r="S30" s="8">
        <f t="shared" si="7"/>
        <v>6.4872643976303573E-2</v>
      </c>
      <c r="T30" s="7">
        <v>181190</v>
      </c>
      <c r="U30" s="8">
        <f t="shared" si="8"/>
        <v>1.5310726457170231E-2</v>
      </c>
      <c r="V30" s="3"/>
    </row>
    <row r="31" spans="1:22" ht="17.100000000000001" customHeight="1">
      <c r="A31" s="5">
        <v>41729</v>
      </c>
      <c r="B31" s="6" t="s">
        <v>41</v>
      </c>
      <c r="C31" s="7">
        <v>12098504</v>
      </c>
      <c r="D31" s="7">
        <v>1894543</v>
      </c>
      <c r="E31" s="8">
        <f t="shared" si="0"/>
        <v>0.15659316226204495</v>
      </c>
      <c r="F31" s="7">
        <v>4053768</v>
      </c>
      <c r="G31" s="8">
        <f t="shared" si="1"/>
        <v>0.33506357480230614</v>
      </c>
      <c r="H31" s="7">
        <v>2494381</v>
      </c>
      <c r="I31" s="8">
        <f t="shared" si="2"/>
        <v>0.20617268052314566</v>
      </c>
      <c r="J31" s="7">
        <v>525350</v>
      </c>
      <c r="K31" s="8">
        <f t="shared" si="3"/>
        <v>4.342272399959532E-2</v>
      </c>
      <c r="L31" s="7">
        <v>323595</v>
      </c>
      <c r="M31" s="8">
        <f t="shared" si="4"/>
        <v>2.6746695293897494E-2</v>
      </c>
      <c r="N31" s="7">
        <v>643567</v>
      </c>
      <c r="O31" s="8">
        <f t="shared" si="5"/>
        <v>5.3193932076230251E-2</v>
      </c>
      <c r="P31" s="7">
        <v>352762</v>
      </c>
      <c r="Q31" s="8">
        <f t="shared" si="6"/>
        <v>2.9157489223461015E-2</v>
      </c>
      <c r="R31" s="7">
        <v>781987</v>
      </c>
      <c r="S31" s="8">
        <f t="shared" si="7"/>
        <v>6.4635016031734174E-2</v>
      </c>
      <c r="T31" s="7">
        <v>180058</v>
      </c>
      <c r="U31" s="8">
        <f t="shared" si="8"/>
        <v>1.4882666485046415E-2</v>
      </c>
      <c r="V31" s="3"/>
    </row>
    <row r="32" spans="1:22" ht="17.100000000000001" customHeight="1">
      <c r="A32" s="5">
        <v>41820</v>
      </c>
      <c r="B32" s="6" t="s">
        <v>42</v>
      </c>
      <c r="C32" s="7">
        <v>12047511</v>
      </c>
      <c r="D32" s="7">
        <v>1910474</v>
      </c>
      <c r="E32" s="8">
        <f t="shared" si="0"/>
        <v>0.15857831547113757</v>
      </c>
      <c r="F32" s="7">
        <v>4108219</v>
      </c>
      <c r="G32" s="8">
        <f t="shared" si="1"/>
        <v>0.34100147325036684</v>
      </c>
      <c r="H32" s="7">
        <v>2614159</v>
      </c>
      <c r="I32" s="8">
        <f t="shared" si="2"/>
        <v>0.21698747567028576</v>
      </c>
      <c r="J32" s="7">
        <v>427503</v>
      </c>
      <c r="K32" s="8">
        <f t="shared" si="3"/>
        <v>3.5484756975942999E-2</v>
      </c>
      <c r="L32" s="7">
        <v>240317</v>
      </c>
      <c r="M32" s="8">
        <f t="shared" si="4"/>
        <v>1.9947439765774025E-2</v>
      </c>
      <c r="N32" s="7">
        <v>660926</v>
      </c>
      <c r="O32" s="8">
        <f t="shared" si="5"/>
        <v>5.4859962360690101E-2</v>
      </c>
      <c r="P32" s="7">
        <v>387261</v>
      </c>
      <c r="Q32" s="8">
        <f t="shared" si="6"/>
        <v>3.2144481959800658E-2</v>
      </c>
      <c r="R32" s="7">
        <v>812199</v>
      </c>
      <c r="S32" s="8">
        <f t="shared" si="7"/>
        <v>6.7416331887972539E-2</v>
      </c>
      <c r="T32" s="7">
        <v>154273</v>
      </c>
      <c r="U32" s="8">
        <f t="shared" si="8"/>
        <v>1.2805383618242806E-2</v>
      </c>
      <c r="V32" s="3"/>
    </row>
    <row r="33" spans="1:22" ht="17.100000000000001" customHeight="1">
      <c r="A33" s="5">
        <v>41912</v>
      </c>
      <c r="B33" s="6" t="s">
        <v>43</v>
      </c>
      <c r="C33" s="7">
        <v>12255772</v>
      </c>
      <c r="D33" s="7">
        <v>1921113</v>
      </c>
      <c r="E33" s="8">
        <f t="shared" si="0"/>
        <v>0.15675169218226317</v>
      </c>
      <c r="F33" s="7">
        <v>4148038</v>
      </c>
      <c r="G33" s="8">
        <f t="shared" si="1"/>
        <v>0.33845587205767208</v>
      </c>
      <c r="H33" s="7">
        <v>2662378</v>
      </c>
      <c r="I33" s="8">
        <f t="shared" si="2"/>
        <v>0.21723462218455108</v>
      </c>
      <c r="J33" s="7">
        <v>446312</v>
      </c>
      <c r="K33" s="8">
        <f t="shared" si="3"/>
        <v>3.641647380515891E-2</v>
      </c>
      <c r="L33" s="7">
        <v>201676</v>
      </c>
      <c r="M33" s="8">
        <f t="shared" si="4"/>
        <v>1.6455593331860287E-2</v>
      </c>
      <c r="N33" s="7">
        <v>729389</v>
      </c>
      <c r="O33" s="8">
        <f t="shared" si="5"/>
        <v>5.9513917197545778E-2</v>
      </c>
      <c r="P33" s="7">
        <v>448211</v>
      </c>
      <c r="Q33" s="8">
        <f t="shared" si="6"/>
        <v>3.6571421204637293E-2</v>
      </c>
      <c r="R33" s="7">
        <v>825959</v>
      </c>
      <c r="S33" s="8">
        <f t="shared" si="7"/>
        <v>6.7393469787133772E-2</v>
      </c>
      <c r="T33" s="7">
        <v>120853</v>
      </c>
      <c r="U33" s="8">
        <f t="shared" si="8"/>
        <v>9.8609047230970026E-3</v>
      </c>
      <c r="V33" s="3"/>
    </row>
    <row r="34" spans="1:22" ht="17.100000000000001" customHeight="1">
      <c r="A34" s="5">
        <v>42004</v>
      </c>
      <c r="B34" s="6" t="s">
        <v>44</v>
      </c>
      <c r="C34" s="7">
        <v>12480854</v>
      </c>
      <c r="D34" s="7">
        <v>2035400</v>
      </c>
      <c r="E34" s="8">
        <f t="shared" si="0"/>
        <v>0.16308178911475127</v>
      </c>
      <c r="F34" s="7">
        <v>4122566</v>
      </c>
      <c r="G34" s="8">
        <f t="shared" si="1"/>
        <v>0.33031121107578054</v>
      </c>
      <c r="H34" s="7">
        <v>2736293</v>
      </c>
      <c r="I34" s="8">
        <f t="shared" si="2"/>
        <v>0.21923924436581022</v>
      </c>
      <c r="J34" s="7">
        <v>484687</v>
      </c>
      <c r="K34" s="8">
        <f t="shared" si="3"/>
        <v>3.8834441938027639E-2</v>
      </c>
      <c r="L34" s="7">
        <v>208221</v>
      </c>
      <c r="M34" s="8">
        <f t="shared" si="4"/>
        <v>1.6683233374895662E-2</v>
      </c>
      <c r="N34" s="7">
        <v>756783</v>
      </c>
      <c r="O34" s="8">
        <f t="shared" si="5"/>
        <v>6.0635514204396591E-2</v>
      </c>
      <c r="P34" s="7">
        <v>502805</v>
      </c>
      <c r="Q34" s="8">
        <f t="shared" si="6"/>
        <v>4.0286105421952698E-2</v>
      </c>
      <c r="R34" s="7">
        <v>844532</v>
      </c>
      <c r="S34" s="8">
        <f t="shared" si="7"/>
        <v>6.7666202969764735E-2</v>
      </c>
      <c r="T34" s="7">
        <v>118741</v>
      </c>
      <c r="U34" s="8">
        <f t="shared" si="8"/>
        <v>9.513852177102624E-3</v>
      </c>
      <c r="V34" s="3"/>
    </row>
    <row r="35" spans="1:22" ht="17.100000000000001" customHeight="1">
      <c r="A35" s="5">
        <v>42094</v>
      </c>
      <c r="B35" s="6" t="s">
        <v>45</v>
      </c>
      <c r="C35" s="7">
        <v>12606703</v>
      </c>
      <c r="D35" s="7">
        <v>2034161</v>
      </c>
      <c r="E35" s="8">
        <f t="shared" si="0"/>
        <v>0.16135551063588949</v>
      </c>
      <c r="F35" s="7">
        <v>4138470</v>
      </c>
      <c r="G35" s="8">
        <f t="shared" si="1"/>
        <v>0.3282753627177542</v>
      </c>
      <c r="H35" s="7">
        <v>2773131</v>
      </c>
      <c r="I35" s="8">
        <f t="shared" si="2"/>
        <v>0.21997273989876656</v>
      </c>
      <c r="J35" s="7">
        <v>508750</v>
      </c>
      <c r="K35" s="8">
        <f t="shared" si="3"/>
        <v>4.035551563323099E-2</v>
      </c>
      <c r="L35" s="7">
        <v>329732</v>
      </c>
      <c r="M35" s="8">
        <f t="shared" si="4"/>
        <v>2.6155292148946477E-2</v>
      </c>
      <c r="N35" s="7">
        <v>786586</v>
      </c>
      <c r="O35" s="8">
        <f t="shared" si="5"/>
        <v>6.2394267557504927E-2</v>
      </c>
      <c r="P35" s="7">
        <v>507710</v>
      </c>
      <c r="Q35" s="8">
        <f t="shared" si="6"/>
        <v>4.0273019837145367E-2</v>
      </c>
      <c r="R35" s="7">
        <v>820473</v>
      </c>
      <c r="S35" s="8">
        <f t="shared" si="7"/>
        <v>6.5082282020921728E-2</v>
      </c>
      <c r="T35" s="7">
        <v>133216</v>
      </c>
      <c r="U35" s="8">
        <f t="shared" si="8"/>
        <v>1.0567076895521374E-2</v>
      </c>
      <c r="V35" s="3"/>
    </row>
    <row r="36" spans="1:22" ht="17.100000000000001" customHeight="1">
      <c r="A36" s="5">
        <v>42185</v>
      </c>
      <c r="B36" s="6" t="s">
        <v>46</v>
      </c>
      <c r="C36" s="7">
        <v>12670654</v>
      </c>
      <c r="D36" s="7">
        <v>1984264</v>
      </c>
      <c r="E36" s="8">
        <f t="shared" si="0"/>
        <v>0.15660312403763846</v>
      </c>
      <c r="F36" s="7">
        <v>4178877</v>
      </c>
      <c r="G36" s="8">
        <f t="shared" si="1"/>
        <v>0.32980752216894249</v>
      </c>
      <c r="H36" s="7">
        <v>2682775</v>
      </c>
      <c r="I36" s="8">
        <f t="shared" si="2"/>
        <v>0.21173137550753102</v>
      </c>
      <c r="J36" s="7">
        <v>444548</v>
      </c>
      <c r="K36" s="8">
        <f t="shared" si="3"/>
        <v>3.5084850395251894E-2</v>
      </c>
      <c r="L36" s="7">
        <v>340446</v>
      </c>
      <c r="M36" s="8">
        <f t="shared" si="4"/>
        <v>2.6868857755882214E-2</v>
      </c>
      <c r="N36" s="7">
        <v>802549</v>
      </c>
      <c r="O36" s="8">
        <f t="shared" si="5"/>
        <v>6.3339193067698002E-2</v>
      </c>
      <c r="P36" s="7">
        <v>509485</v>
      </c>
      <c r="Q36" s="8">
        <f t="shared" si="6"/>
        <v>4.0209842364885034E-2</v>
      </c>
      <c r="R36" s="7">
        <v>816335</v>
      </c>
      <c r="S36" s="8">
        <f t="shared" si="7"/>
        <v>6.4427218989643306E-2</v>
      </c>
      <c r="T36" s="7">
        <v>125631</v>
      </c>
      <c r="U36" s="8">
        <f t="shared" si="8"/>
        <v>9.9151156680625952E-3</v>
      </c>
      <c r="V36" s="3"/>
    </row>
    <row r="37" spans="1:22" ht="17.100000000000001" customHeight="1">
      <c r="A37" s="5">
        <v>42277</v>
      </c>
      <c r="B37" s="6" t="s">
        <v>47</v>
      </c>
      <c r="C37" s="7">
        <v>12812842</v>
      </c>
      <c r="D37" s="7">
        <v>1958427</v>
      </c>
      <c r="E37" s="8">
        <f t="shared" si="0"/>
        <v>0.15284875908092835</v>
      </c>
      <c r="F37" s="7">
        <v>4147458</v>
      </c>
      <c r="G37" s="8">
        <f t="shared" si="1"/>
        <v>0.32369539872574721</v>
      </c>
      <c r="H37" s="7">
        <v>2720453</v>
      </c>
      <c r="I37" s="8">
        <f t="shared" si="2"/>
        <v>0.21232237157064765</v>
      </c>
      <c r="J37" s="7">
        <v>435774</v>
      </c>
      <c r="K37" s="8">
        <f t="shared" si="3"/>
        <v>3.4010721430889415E-2</v>
      </c>
      <c r="L37" s="7">
        <v>589924</v>
      </c>
      <c r="M37" s="8">
        <f t="shared" si="4"/>
        <v>4.6041619806128885E-2</v>
      </c>
      <c r="N37" s="7">
        <v>880381</v>
      </c>
      <c r="O37" s="8">
        <f t="shared" si="5"/>
        <v>6.8710829338252982E-2</v>
      </c>
      <c r="P37" s="7">
        <v>505872</v>
      </c>
      <c r="Q37" s="8">
        <f t="shared" si="6"/>
        <v>3.9481638812060585E-2</v>
      </c>
      <c r="R37" s="7">
        <v>804127</v>
      </c>
      <c r="S37" s="8">
        <f t="shared" si="7"/>
        <v>6.2759456489044352E-2</v>
      </c>
      <c r="T37" s="7">
        <v>116897</v>
      </c>
      <c r="U37" s="8">
        <f t="shared" si="8"/>
        <v>9.1234247639984944E-3</v>
      </c>
      <c r="V37" s="3"/>
    </row>
    <row r="38" spans="1:22" ht="17.100000000000001" customHeight="1">
      <c r="A38" s="5">
        <v>42369</v>
      </c>
      <c r="B38" s="6" t="s">
        <v>48</v>
      </c>
      <c r="C38" s="7">
        <v>13168996</v>
      </c>
      <c r="D38" s="7">
        <v>2052601</v>
      </c>
      <c r="E38" s="8">
        <f t="shared" si="0"/>
        <v>0.1558661723338666</v>
      </c>
      <c r="F38" s="7">
        <v>4093620</v>
      </c>
      <c r="G38" s="8">
        <f t="shared" si="1"/>
        <v>0.31085285468990953</v>
      </c>
      <c r="H38" s="7">
        <v>2675909</v>
      </c>
      <c r="I38" s="8">
        <f t="shared" si="2"/>
        <v>0.20319764695805209</v>
      </c>
      <c r="J38" s="7">
        <v>530292</v>
      </c>
      <c r="K38" s="8">
        <f t="shared" si="3"/>
        <v>4.0268217865659615E-2</v>
      </c>
      <c r="L38" s="7">
        <v>613334</v>
      </c>
      <c r="M38" s="8">
        <f t="shared" si="4"/>
        <v>4.657408962687816E-2</v>
      </c>
      <c r="N38" s="7">
        <v>912674</v>
      </c>
      <c r="O38" s="8">
        <f t="shared" si="5"/>
        <v>6.9304751858076344E-2</v>
      </c>
      <c r="P38" s="7">
        <v>537263</v>
      </c>
      <c r="Q38" s="8">
        <f t="shared" si="6"/>
        <v>4.0797567255696637E-2</v>
      </c>
      <c r="R38" s="7">
        <v>803010</v>
      </c>
      <c r="S38" s="8">
        <f t="shared" si="7"/>
        <v>6.0977313684353766E-2</v>
      </c>
      <c r="T38" s="7">
        <v>120897</v>
      </c>
      <c r="U38" s="8">
        <f t="shared" si="8"/>
        <v>9.1804265108744818E-3</v>
      </c>
      <c r="V38" s="3"/>
    </row>
    <row r="39" spans="1:22" ht="17.100000000000001" customHeight="1">
      <c r="A39" s="5">
        <v>42460</v>
      </c>
      <c r="B39" s="6" t="s">
        <v>49</v>
      </c>
      <c r="C39" s="7">
        <v>13407102</v>
      </c>
      <c r="D39" s="7">
        <v>2215264</v>
      </c>
      <c r="E39" s="8">
        <f t="shared" si="0"/>
        <v>0.16523063671776347</v>
      </c>
      <c r="F39" s="7">
        <v>4069170</v>
      </c>
      <c r="G39" s="8">
        <f t="shared" si="1"/>
        <v>0.30350854345704237</v>
      </c>
      <c r="H39" s="7">
        <v>2757311</v>
      </c>
      <c r="I39" s="8">
        <f t="shared" si="2"/>
        <v>0.20566047755883413</v>
      </c>
      <c r="J39" s="7">
        <v>606063</v>
      </c>
      <c r="K39" s="8">
        <f t="shared" si="3"/>
        <v>4.5204623639023556E-2</v>
      </c>
      <c r="L39" s="7">
        <v>761211</v>
      </c>
      <c r="M39" s="8">
        <f t="shared" si="4"/>
        <v>5.6776699394097248E-2</v>
      </c>
      <c r="N39" s="7">
        <v>942196</v>
      </c>
      <c r="O39" s="8">
        <f t="shared" si="5"/>
        <v>7.0275888107661152E-2</v>
      </c>
      <c r="P39" s="7">
        <v>547959</v>
      </c>
      <c r="Q39" s="8">
        <f t="shared" si="6"/>
        <v>4.0870801161951333E-2</v>
      </c>
      <c r="R39" s="7">
        <v>821522</v>
      </c>
      <c r="S39" s="8">
        <f t="shared" si="7"/>
        <v>6.1275136118155882E-2</v>
      </c>
      <c r="T39" s="7">
        <v>134869</v>
      </c>
      <c r="U39" s="8">
        <f t="shared" si="8"/>
        <v>1.0059519201092078E-2</v>
      </c>
      <c r="V39" s="3"/>
    </row>
    <row r="40" spans="1:22" ht="17.100000000000001" customHeight="1">
      <c r="A40" s="5">
        <v>42551</v>
      </c>
      <c r="B40" s="6" t="s">
        <v>50</v>
      </c>
      <c r="C40" s="7">
        <v>13391647</v>
      </c>
      <c r="D40" s="7">
        <v>2244316</v>
      </c>
      <c r="E40" s="8">
        <f t="shared" ref="E40:E71" si="9">D40/$C40</f>
        <v>0.1675907377188183</v>
      </c>
      <c r="F40" s="7">
        <v>4034737</v>
      </c>
      <c r="G40" s="8">
        <f t="shared" ref="G40:G71" si="10">F40/$C40</f>
        <v>0.30128758620952301</v>
      </c>
      <c r="H40" s="7">
        <v>2806334</v>
      </c>
      <c r="I40" s="8">
        <f t="shared" ref="I40:I71" si="11">H40/$C40</f>
        <v>0.2095585404842287</v>
      </c>
      <c r="J40" s="7">
        <v>555988</v>
      </c>
      <c r="K40" s="8">
        <f t="shared" ref="K40:K71" si="12">J40/$C40</f>
        <v>4.1517522079248352E-2</v>
      </c>
      <c r="L40" s="7">
        <v>818995</v>
      </c>
      <c r="M40" s="8">
        <f t="shared" ref="M40:M71" si="13">L40/$C40</f>
        <v>6.1157152663895639E-2</v>
      </c>
      <c r="N40" s="7">
        <v>1009409</v>
      </c>
      <c r="O40" s="8">
        <f t="shared" ref="O40:O71" si="14">N40/$C40</f>
        <v>7.5376016109146252E-2</v>
      </c>
      <c r="P40" s="7">
        <v>571832</v>
      </c>
      <c r="Q40" s="8">
        <f t="shared" ref="Q40:Q71" si="15">P40/$C40</f>
        <v>4.2700647649986594E-2</v>
      </c>
      <c r="R40" s="7">
        <v>859295</v>
      </c>
      <c r="S40" s="8">
        <f t="shared" ref="S40:S71" si="16">R40/$C40</f>
        <v>6.4166491246371707E-2</v>
      </c>
      <c r="T40" s="7">
        <v>140879</v>
      </c>
      <c r="U40" s="8">
        <f t="shared" ref="U40:U71" si="17">T40/$C40</f>
        <v>1.0519915884879582E-2</v>
      </c>
      <c r="V40" s="3"/>
    </row>
    <row r="41" spans="1:22" ht="17.100000000000001" customHeight="1">
      <c r="A41" s="5">
        <v>42643</v>
      </c>
      <c r="B41" s="6" t="s">
        <v>51</v>
      </c>
      <c r="C41" s="7">
        <v>13621965</v>
      </c>
      <c r="D41" s="7">
        <v>2256484</v>
      </c>
      <c r="E41" s="8">
        <f t="shared" si="9"/>
        <v>0.16565040359448877</v>
      </c>
      <c r="F41" s="7">
        <v>3899391</v>
      </c>
      <c r="G41" s="8">
        <f t="shared" si="10"/>
        <v>0.28625759939920564</v>
      </c>
      <c r="H41" s="7">
        <v>2780236</v>
      </c>
      <c r="I41" s="8">
        <f t="shared" si="11"/>
        <v>0.20409948197635217</v>
      </c>
      <c r="J41" s="7">
        <v>709170</v>
      </c>
      <c r="K41" s="8">
        <f t="shared" si="12"/>
        <v>5.2060770968065183E-2</v>
      </c>
      <c r="L41" s="7">
        <v>810056</v>
      </c>
      <c r="M41" s="8">
        <f t="shared" si="13"/>
        <v>5.9466897764015689E-2</v>
      </c>
      <c r="N41" s="7">
        <v>1039774</v>
      </c>
      <c r="O41" s="8">
        <f t="shared" si="14"/>
        <v>7.6330690909865065E-2</v>
      </c>
      <c r="P41" s="7">
        <v>619652</v>
      </c>
      <c r="Q41" s="8">
        <f t="shared" si="15"/>
        <v>4.5489178690445907E-2</v>
      </c>
      <c r="R41" s="7">
        <v>892661</v>
      </c>
      <c r="S41" s="8">
        <f t="shared" si="16"/>
        <v>6.5531000850464677E-2</v>
      </c>
      <c r="T41" s="7">
        <v>143078</v>
      </c>
      <c r="U41" s="8">
        <f t="shared" si="17"/>
        <v>1.050347728833542E-2</v>
      </c>
      <c r="V41" s="3"/>
    </row>
    <row r="42" spans="1:22" ht="17.100000000000001" customHeight="1">
      <c r="A42" s="5">
        <v>42735</v>
      </c>
      <c r="B42" s="6" t="s">
        <v>52</v>
      </c>
      <c r="C42" s="7">
        <v>13880222</v>
      </c>
      <c r="D42" s="7">
        <v>2189355</v>
      </c>
      <c r="E42" s="8">
        <f t="shared" si="9"/>
        <v>0.15773198728377688</v>
      </c>
      <c r="F42" s="7">
        <v>3813442</v>
      </c>
      <c r="G42" s="8">
        <f t="shared" si="10"/>
        <v>0.27473926569762358</v>
      </c>
      <c r="H42" s="7">
        <v>2640706</v>
      </c>
      <c r="I42" s="8">
        <f t="shared" si="11"/>
        <v>0.19024955076366934</v>
      </c>
      <c r="J42" s="7">
        <v>850977</v>
      </c>
      <c r="K42" s="8">
        <f t="shared" si="12"/>
        <v>6.1308601548303768E-2</v>
      </c>
      <c r="L42" s="7">
        <v>754023</v>
      </c>
      <c r="M42" s="8">
        <f t="shared" si="13"/>
        <v>5.4323554767351706E-2</v>
      </c>
      <c r="N42" s="7">
        <v>1000659</v>
      </c>
      <c r="O42" s="8">
        <f t="shared" si="14"/>
        <v>7.2092434832814634E-2</v>
      </c>
      <c r="P42" s="7">
        <v>654053</v>
      </c>
      <c r="Q42" s="8">
        <f t="shared" si="15"/>
        <v>4.7121220395466297E-2</v>
      </c>
      <c r="R42" s="7">
        <v>887762</v>
      </c>
      <c r="S42" s="8">
        <f t="shared" si="16"/>
        <v>6.3958775299127066E-2</v>
      </c>
      <c r="T42" s="7">
        <v>123967</v>
      </c>
      <c r="U42" s="8">
        <f t="shared" si="17"/>
        <v>8.931197209958169E-3</v>
      </c>
      <c r="V42" s="3"/>
    </row>
    <row r="43" spans="1:22" ht="17.100000000000001" customHeight="1">
      <c r="A43" s="5">
        <v>42825</v>
      </c>
      <c r="B43" s="6" t="s">
        <v>53</v>
      </c>
      <c r="C43" s="7">
        <v>13923005</v>
      </c>
      <c r="D43" s="7">
        <v>2195234</v>
      </c>
      <c r="E43" s="8">
        <f t="shared" si="9"/>
        <v>0.15766955481234116</v>
      </c>
      <c r="F43" s="7">
        <v>3880100</v>
      </c>
      <c r="G43" s="8">
        <f t="shared" si="10"/>
        <v>0.27868265507338397</v>
      </c>
      <c r="H43" s="7">
        <v>2643568</v>
      </c>
      <c r="I43" s="8">
        <f t="shared" si="11"/>
        <v>0.18987050568465644</v>
      </c>
      <c r="J43" s="7">
        <v>786773</v>
      </c>
      <c r="K43" s="8">
        <f t="shared" si="12"/>
        <v>5.6508849921407055E-2</v>
      </c>
      <c r="L43" s="7">
        <v>723671</v>
      </c>
      <c r="M43" s="8">
        <f t="shared" si="13"/>
        <v>5.197663866385166E-2</v>
      </c>
      <c r="N43" s="7">
        <v>1030714</v>
      </c>
      <c r="O43" s="8">
        <f t="shared" si="14"/>
        <v>7.4029564738359283E-2</v>
      </c>
      <c r="P43" s="7">
        <v>645694</v>
      </c>
      <c r="Q43" s="8">
        <f t="shared" si="15"/>
        <v>4.6376051721593148E-2</v>
      </c>
      <c r="R43" s="7">
        <v>928941</v>
      </c>
      <c r="S43" s="8">
        <f t="shared" si="16"/>
        <v>6.6719863994877546E-2</v>
      </c>
      <c r="T43" s="7">
        <v>143078</v>
      </c>
      <c r="U43" s="8">
        <f t="shared" si="17"/>
        <v>1.0276373527122917E-2</v>
      </c>
      <c r="V43" s="3"/>
    </row>
    <row r="44" spans="1:22" ht="17.100000000000001" customHeight="1">
      <c r="A44" s="5">
        <v>42916</v>
      </c>
      <c r="B44" s="6" t="s">
        <v>54</v>
      </c>
      <c r="C44" s="7">
        <v>13965794</v>
      </c>
      <c r="D44" s="7">
        <v>2157509</v>
      </c>
      <c r="E44" s="8">
        <f t="shared" si="9"/>
        <v>0.15448523728761859</v>
      </c>
      <c r="F44" s="7">
        <v>3994397</v>
      </c>
      <c r="G44" s="8">
        <f t="shared" si="10"/>
        <v>0.28601288261877555</v>
      </c>
      <c r="H44" s="7">
        <v>2657025</v>
      </c>
      <c r="I44" s="8">
        <f t="shared" si="11"/>
        <v>0.19025234082645068</v>
      </c>
      <c r="J44" s="7">
        <v>662297</v>
      </c>
      <c r="K44" s="8">
        <f t="shared" si="12"/>
        <v>4.7422796011454847E-2</v>
      </c>
      <c r="L44" s="7">
        <v>766163</v>
      </c>
      <c r="M44" s="8">
        <f t="shared" si="13"/>
        <v>5.485996714544121E-2</v>
      </c>
      <c r="N44" s="7">
        <v>1091457</v>
      </c>
      <c r="O44" s="8">
        <f t="shared" si="14"/>
        <v>7.8152162347518511E-2</v>
      </c>
      <c r="P44" s="7">
        <v>602098</v>
      </c>
      <c r="Q44" s="8">
        <f t="shared" si="15"/>
        <v>4.3112335754057381E-2</v>
      </c>
      <c r="R44" s="7">
        <v>974985</v>
      </c>
      <c r="S44" s="8">
        <f t="shared" si="16"/>
        <v>6.9812357249433868E-2</v>
      </c>
      <c r="T44" s="7">
        <v>164612</v>
      </c>
      <c r="U44" s="8">
        <f t="shared" si="17"/>
        <v>1.1786798516432363E-2</v>
      </c>
      <c r="V44" s="3"/>
    </row>
    <row r="45" spans="1:22" ht="17.100000000000001" customHeight="1">
      <c r="A45" s="5">
        <v>43008</v>
      </c>
      <c r="B45" s="6" t="s">
        <v>55</v>
      </c>
      <c r="C45" s="7">
        <v>14156063</v>
      </c>
      <c r="D45" s="7">
        <v>2231522</v>
      </c>
      <c r="E45" s="8">
        <f t="shared" si="9"/>
        <v>0.157637190509819</v>
      </c>
      <c r="F45" s="7">
        <v>4070417</v>
      </c>
      <c r="G45" s="8">
        <f t="shared" si="10"/>
        <v>0.28753877402212746</v>
      </c>
      <c r="H45" s="7">
        <v>2651193</v>
      </c>
      <c r="I45" s="8">
        <f t="shared" si="11"/>
        <v>0.18728321567938769</v>
      </c>
      <c r="J45" s="7">
        <v>695020</v>
      </c>
      <c r="K45" s="8">
        <f t="shared" si="12"/>
        <v>4.9096984097909142E-2</v>
      </c>
      <c r="L45" s="7">
        <v>689147</v>
      </c>
      <c r="M45" s="8">
        <f t="shared" si="13"/>
        <v>4.8682108860351923E-2</v>
      </c>
      <c r="N45" s="7">
        <v>1161568</v>
      </c>
      <c r="O45" s="8">
        <f t="shared" si="14"/>
        <v>8.2054452569192443E-2</v>
      </c>
      <c r="P45" s="7">
        <v>596419</v>
      </c>
      <c r="Q45" s="8">
        <f t="shared" si="15"/>
        <v>4.2131700035525417E-2</v>
      </c>
      <c r="R45" s="7">
        <v>1001617</v>
      </c>
      <c r="S45" s="8">
        <f t="shared" si="16"/>
        <v>7.0755336423693513E-2</v>
      </c>
      <c r="T45" s="7">
        <v>149038</v>
      </c>
      <c r="U45" s="8">
        <f t="shared" si="17"/>
        <v>1.0528209714805592E-2</v>
      </c>
      <c r="V45" s="3"/>
    </row>
    <row r="46" spans="1:22" ht="17.100000000000001" customHeight="1">
      <c r="A46" s="5">
        <v>43100</v>
      </c>
      <c r="B46" s="6" t="s">
        <v>56</v>
      </c>
      <c r="C46" s="7">
        <v>14434589</v>
      </c>
      <c r="D46" s="7">
        <v>2187325</v>
      </c>
      <c r="E46" s="8">
        <f t="shared" si="9"/>
        <v>0.15153358367183159</v>
      </c>
      <c r="F46" s="7">
        <v>4023954</v>
      </c>
      <c r="G46" s="8">
        <f t="shared" si="10"/>
        <v>0.27877163665692178</v>
      </c>
      <c r="H46" s="7">
        <v>2633008</v>
      </c>
      <c r="I46" s="8">
        <f t="shared" si="11"/>
        <v>0.18240962731948931</v>
      </c>
      <c r="J46" s="7">
        <v>756197</v>
      </c>
      <c r="K46" s="8">
        <f t="shared" si="12"/>
        <v>5.2387844226115476E-2</v>
      </c>
      <c r="L46" s="7">
        <v>703622</v>
      </c>
      <c r="M46" s="8">
        <f t="shared" si="13"/>
        <v>4.8745551397410762E-2</v>
      </c>
      <c r="N46" s="7">
        <v>1214137</v>
      </c>
      <c r="O46" s="8">
        <f t="shared" si="14"/>
        <v>8.4113028781075794E-2</v>
      </c>
      <c r="P46" s="7">
        <v>616024</v>
      </c>
      <c r="Q46" s="8">
        <f t="shared" si="15"/>
        <v>4.2676933856585733E-2</v>
      </c>
      <c r="R46" s="7">
        <v>1048662</v>
      </c>
      <c r="S46" s="8">
        <f t="shared" si="16"/>
        <v>7.2649245503283819E-2</v>
      </c>
      <c r="T46" s="7">
        <v>136275</v>
      </c>
      <c r="U46" s="8">
        <f t="shared" si="17"/>
        <v>9.4408645788252102E-3</v>
      </c>
      <c r="V46" s="3"/>
    </row>
    <row r="47" spans="1:22" ht="17.100000000000001" customHeight="1">
      <c r="A47" s="5">
        <v>43190</v>
      </c>
      <c r="B47" s="6" t="s">
        <v>57</v>
      </c>
      <c r="C47" s="7">
        <v>14894690</v>
      </c>
      <c r="D47" s="7">
        <v>2171744</v>
      </c>
      <c r="E47" s="8">
        <f t="shared" si="9"/>
        <v>0.14580659281932018</v>
      </c>
      <c r="F47" s="7">
        <v>4051690</v>
      </c>
      <c r="G47" s="8">
        <f t="shared" si="10"/>
        <v>0.27202244558295607</v>
      </c>
      <c r="H47" s="7">
        <v>2555722</v>
      </c>
      <c r="I47" s="8">
        <f t="shared" si="11"/>
        <v>0.17158611558884407</v>
      </c>
      <c r="J47" s="7">
        <v>951188</v>
      </c>
      <c r="K47" s="8">
        <f t="shared" si="12"/>
        <v>6.3860879279797028E-2</v>
      </c>
      <c r="L47" s="7">
        <v>861772</v>
      </c>
      <c r="M47" s="8">
        <f t="shared" si="13"/>
        <v>5.7857666054144129E-2</v>
      </c>
      <c r="N47" s="7">
        <v>1225729</v>
      </c>
      <c r="O47" s="8">
        <f t="shared" si="14"/>
        <v>8.229301851868015E-2</v>
      </c>
      <c r="P47" s="7">
        <v>612797</v>
      </c>
      <c r="Q47" s="8">
        <f t="shared" si="15"/>
        <v>4.1141977442967929E-2</v>
      </c>
      <c r="R47" s="7">
        <v>1048146</v>
      </c>
      <c r="S47" s="8">
        <f t="shared" si="16"/>
        <v>7.0370447454764076E-2</v>
      </c>
      <c r="T47" s="7">
        <v>122712</v>
      </c>
      <c r="U47" s="8">
        <f t="shared" si="17"/>
        <v>8.2386407504956467E-3</v>
      </c>
      <c r="V47" s="3"/>
    </row>
    <row r="48" spans="1:22" ht="17.100000000000001" customHeight="1">
      <c r="A48" s="5">
        <v>43281</v>
      </c>
      <c r="B48" s="6" t="s">
        <v>58</v>
      </c>
      <c r="C48" s="7">
        <v>14933718</v>
      </c>
      <c r="D48" s="7">
        <v>2236381</v>
      </c>
      <c r="E48" s="8">
        <f t="shared" si="9"/>
        <v>0.14975379875259462</v>
      </c>
      <c r="F48" s="7">
        <v>3988634</v>
      </c>
      <c r="G48" s="8">
        <f t="shared" si="10"/>
        <v>0.26708914685545826</v>
      </c>
      <c r="H48" s="7">
        <v>2495040</v>
      </c>
      <c r="I48" s="8">
        <f t="shared" si="11"/>
        <v>0.1670742677744417</v>
      </c>
      <c r="J48" s="7">
        <v>788105</v>
      </c>
      <c r="K48" s="8">
        <f t="shared" si="12"/>
        <v>5.2773529003293088E-2</v>
      </c>
      <c r="L48" s="7">
        <v>949208</v>
      </c>
      <c r="M48" s="8">
        <f t="shared" si="13"/>
        <v>6.3561398440763375E-2</v>
      </c>
      <c r="N48" s="7">
        <v>1260046</v>
      </c>
      <c r="O48" s="8">
        <f t="shared" si="14"/>
        <v>8.4375906924183244E-2</v>
      </c>
      <c r="P48" s="7">
        <v>631960</v>
      </c>
      <c r="Q48" s="8">
        <f t="shared" si="15"/>
        <v>4.2317659942420233E-2</v>
      </c>
      <c r="R48" s="7">
        <v>1052435</v>
      </c>
      <c r="S48" s="8">
        <f t="shared" si="16"/>
        <v>7.0473742707609713E-2</v>
      </c>
      <c r="T48" s="7">
        <v>164694</v>
      </c>
      <c r="U48" s="8">
        <f t="shared" si="17"/>
        <v>1.1028331993412492E-2</v>
      </c>
      <c r="V48" s="3"/>
    </row>
    <row r="49" spans="1:22" ht="17.100000000000001" customHeight="1">
      <c r="A49" s="5">
        <v>43373</v>
      </c>
      <c r="B49" s="6" t="s">
        <v>59</v>
      </c>
      <c r="C49" s="7">
        <v>15227623</v>
      </c>
      <c r="D49" s="7">
        <v>2215788</v>
      </c>
      <c r="E49" s="8">
        <f t="shared" si="9"/>
        <v>0.14551108863149553</v>
      </c>
      <c r="F49" s="7">
        <v>4010108</v>
      </c>
      <c r="G49" s="8">
        <f t="shared" si="10"/>
        <v>0.26334431841397704</v>
      </c>
      <c r="H49" s="7">
        <v>2395142</v>
      </c>
      <c r="I49" s="8">
        <f t="shared" si="11"/>
        <v>0.1572892893395115</v>
      </c>
      <c r="J49" s="7">
        <v>826306</v>
      </c>
      <c r="K49" s="8">
        <f t="shared" si="12"/>
        <v>5.42636234164715E-2</v>
      </c>
      <c r="L49" s="7">
        <v>1122040</v>
      </c>
      <c r="M49" s="8">
        <f t="shared" si="13"/>
        <v>7.3684513991448305E-2</v>
      </c>
      <c r="N49" s="7">
        <v>1281398</v>
      </c>
      <c r="O49" s="8">
        <f t="shared" si="14"/>
        <v>8.4149574756349044E-2</v>
      </c>
      <c r="P49" s="7">
        <v>649330</v>
      </c>
      <c r="Q49" s="8">
        <f t="shared" si="15"/>
        <v>4.2641586280406339E-2</v>
      </c>
      <c r="R49" s="7">
        <v>1049700</v>
      </c>
      <c r="S49" s="8">
        <f t="shared" si="16"/>
        <v>6.893393670174261E-2</v>
      </c>
      <c r="T49" s="7">
        <v>138529</v>
      </c>
      <c r="U49" s="8">
        <f t="shared" si="17"/>
        <v>9.0972176025109104E-3</v>
      </c>
      <c r="V49" s="3"/>
    </row>
    <row r="50" spans="1:22" ht="17.100000000000001" customHeight="1">
      <c r="A50" s="5">
        <v>43465</v>
      </c>
      <c r="B50" s="6" t="s">
        <v>60</v>
      </c>
      <c r="C50" s="7">
        <v>15566216</v>
      </c>
      <c r="D50" s="7">
        <v>2313356</v>
      </c>
      <c r="E50" s="8">
        <f t="shared" si="9"/>
        <v>0.148613895631411</v>
      </c>
      <c r="F50" s="7">
        <v>3956774</v>
      </c>
      <c r="G50" s="8">
        <f t="shared" si="10"/>
        <v>0.25418984292650187</v>
      </c>
      <c r="H50" s="7">
        <v>2337994</v>
      </c>
      <c r="I50" s="8">
        <f t="shared" si="11"/>
        <v>0.15019668235363046</v>
      </c>
      <c r="J50" s="7">
        <v>945064</v>
      </c>
      <c r="K50" s="8">
        <f t="shared" si="12"/>
        <v>6.0712507137251598E-2</v>
      </c>
      <c r="L50" s="7">
        <v>1259326</v>
      </c>
      <c r="M50" s="8">
        <f t="shared" si="13"/>
        <v>8.090122866083832E-2</v>
      </c>
      <c r="N50" s="7">
        <v>1325968</v>
      </c>
      <c r="O50" s="8">
        <f t="shared" si="14"/>
        <v>8.5182423268442373E-2</v>
      </c>
      <c r="P50" s="7">
        <v>737043</v>
      </c>
      <c r="Q50" s="8">
        <f t="shared" si="15"/>
        <v>4.7348886845717676E-2</v>
      </c>
      <c r="R50" s="7">
        <v>1128292</v>
      </c>
      <c r="S50" s="8">
        <f t="shared" si="16"/>
        <v>7.2483383244842547E-2</v>
      </c>
      <c r="T50" s="7">
        <v>255063</v>
      </c>
      <c r="U50" s="8">
        <f t="shared" si="17"/>
        <v>1.6385677803777102E-2</v>
      </c>
      <c r="V50" s="3"/>
    </row>
    <row r="51" spans="1:22" ht="17.100000000000001" customHeight="1">
      <c r="A51" s="5">
        <v>43555</v>
      </c>
      <c r="B51" s="6" t="s">
        <v>61</v>
      </c>
      <c r="C51" s="7">
        <v>15888708</v>
      </c>
      <c r="D51" s="7">
        <v>2393146</v>
      </c>
      <c r="E51" s="8">
        <f t="shared" si="9"/>
        <v>0.15061929516232533</v>
      </c>
      <c r="F51" s="7">
        <v>4080853</v>
      </c>
      <c r="G51" s="8">
        <f t="shared" si="10"/>
        <v>0.25683982612053791</v>
      </c>
      <c r="H51" s="7">
        <v>2330158</v>
      </c>
      <c r="I51" s="8">
        <f t="shared" si="11"/>
        <v>0.14665497030973193</v>
      </c>
      <c r="J51" s="7">
        <v>1010338</v>
      </c>
      <c r="K51" s="8">
        <f t="shared" si="12"/>
        <v>6.3588430223527295E-2</v>
      </c>
      <c r="L51" s="7">
        <v>1428322</v>
      </c>
      <c r="M51" s="8">
        <f t="shared" si="13"/>
        <v>8.9895415033116599E-2</v>
      </c>
      <c r="N51" s="7">
        <v>1369164</v>
      </c>
      <c r="O51" s="8">
        <f t="shared" si="14"/>
        <v>8.6172141875852967E-2</v>
      </c>
      <c r="P51" s="7">
        <v>736739</v>
      </c>
      <c r="Q51" s="8">
        <f t="shared" si="15"/>
        <v>4.6368716701194329E-2</v>
      </c>
      <c r="R51" s="7">
        <v>1138247</v>
      </c>
      <c r="S51" s="8">
        <f t="shared" si="16"/>
        <v>7.1638738656409323E-2</v>
      </c>
      <c r="T51" s="7">
        <v>252870</v>
      </c>
      <c r="U51" s="8">
        <f t="shared" si="17"/>
        <v>1.5915076291917504E-2</v>
      </c>
      <c r="V51" s="3"/>
    </row>
    <row r="52" spans="1:22" ht="17.100000000000001" customHeight="1">
      <c r="A52" s="5">
        <v>43646</v>
      </c>
      <c r="B52" s="6" t="s">
        <v>62</v>
      </c>
      <c r="C52" s="7">
        <v>15884286</v>
      </c>
      <c r="D52" s="7">
        <v>2479799</v>
      </c>
      <c r="E52" s="8">
        <f t="shared" si="9"/>
        <v>0.15611649148095169</v>
      </c>
      <c r="F52" s="7">
        <v>4146061</v>
      </c>
      <c r="G52" s="8">
        <f t="shared" si="10"/>
        <v>0.26101651657493452</v>
      </c>
      <c r="H52" s="7">
        <v>2315006</v>
      </c>
      <c r="I52" s="8">
        <f t="shared" si="11"/>
        <v>0.1457418986286195</v>
      </c>
      <c r="J52" s="7">
        <v>829281</v>
      </c>
      <c r="K52" s="8">
        <f t="shared" si="12"/>
        <v>5.2207634639668411E-2</v>
      </c>
      <c r="L52" s="7">
        <v>1571577</v>
      </c>
      <c r="M52" s="8">
        <f t="shared" si="13"/>
        <v>9.8939102456352152E-2</v>
      </c>
      <c r="N52" s="7">
        <v>1419085</v>
      </c>
      <c r="O52" s="8">
        <f t="shared" si="14"/>
        <v>8.9338922756742101E-2</v>
      </c>
      <c r="P52" s="7">
        <v>770159</v>
      </c>
      <c r="Q52" s="8">
        <f t="shared" si="15"/>
        <v>4.8485591357395608E-2</v>
      </c>
      <c r="R52" s="7">
        <v>1191501</v>
      </c>
      <c r="S52" s="8">
        <f t="shared" si="16"/>
        <v>7.5011303624223341E-2</v>
      </c>
      <c r="T52" s="7">
        <v>280077</v>
      </c>
      <c r="U52" s="8">
        <f t="shared" si="17"/>
        <v>1.7632331727091794E-2</v>
      </c>
      <c r="V52" s="3"/>
    </row>
    <row r="53" spans="1:22" ht="17.100000000000001" customHeight="1">
      <c r="A53" s="5">
        <v>43738</v>
      </c>
      <c r="B53" s="6" t="s">
        <v>63</v>
      </c>
      <c r="C53" s="7">
        <v>16303690</v>
      </c>
      <c r="D53" s="7">
        <v>2809381</v>
      </c>
      <c r="E53" s="8">
        <f t="shared" si="9"/>
        <v>0.17231565369557444</v>
      </c>
      <c r="F53" s="7">
        <v>4150909</v>
      </c>
      <c r="G53" s="8">
        <f t="shared" si="10"/>
        <v>0.25459935756874669</v>
      </c>
      <c r="H53" s="7">
        <v>2366457</v>
      </c>
      <c r="I53" s="8">
        <f t="shared" si="11"/>
        <v>0.14514855226025519</v>
      </c>
      <c r="J53" s="7">
        <v>1048004</v>
      </c>
      <c r="K53" s="8">
        <f t="shared" si="12"/>
        <v>6.428017215734598E-2</v>
      </c>
      <c r="L53" s="7">
        <v>1636111</v>
      </c>
      <c r="M53" s="8">
        <f t="shared" si="13"/>
        <v>0.100352190209701</v>
      </c>
      <c r="N53" s="7">
        <v>1494667</v>
      </c>
      <c r="O53" s="8">
        <f t="shared" si="14"/>
        <v>9.1676608178884664E-2</v>
      </c>
      <c r="P53" s="7">
        <v>855814</v>
      </c>
      <c r="Q53" s="8">
        <f t="shared" si="15"/>
        <v>5.2492043212303476E-2</v>
      </c>
      <c r="R53" s="7">
        <v>1172186</v>
      </c>
      <c r="S53" s="8">
        <f t="shared" si="16"/>
        <v>7.1896975469970301E-2</v>
      </c>
      <c r="T53" s="7">
        <v>242590</v>
      </c>
      <c r="U53" s="8">
        <f t="shared" si="17"/>
        <v>1.4879453669690727E-2</v>
      </c>
      <c r="V53" s="3"/>
    </row>
    <row r="54" spans="1:22" ht="17.100000000000001" customHeight="1">
      <c r="A54" s="5">
        <v>43830</v>
      </c>
      <c r="B54" s="6" t="s">
        <v>64</v>
      </c>
      <c r="C54" s="7">
        <v>16628907</v>
      </c>
      <c r="D54" s="7">
        <v>2840916</v>
      </c>
      <c r="E54" s="8">
        <f t="shared" si="9"/>
        <v>0.17084201625518744</v>
      </c>
      <c r="F54" s="7">
        <v>4076906</v>
      </c>
      <c r="G54" s="8">
        <f t="shared" si="10"/>
        <v>0.2451698118222683</v>
      </c>
      <c r="H54" s="7">
        <v>2540730</v>
      </c>
      <c r="I54" s="8">
        <f t="shared" si="11"/>
        <v>0.15278995787275737</v>
      </c>
      <c r="J54" s="7">
        <v>1122598</v>
      </c>
      <c r="K54" s="8">
        <f t="shared" si="12"/>
        <v>6.7508826647475983E-2</v>
      </c>
      <c r="L54" s="7">
        <v>1498818</v>
      </c>
      <c r="M54" s="8">
        <f t="shared" si="13"/>
        <v>9.0133284165940672E-2</v>
      </c>
      <c r="N54" s="7">
        <v>1517831</v>
      </c>
      <c r="O54" s="8">
        <f t="shared" si="14"/>
        <v>9.1276654563044943E-2</v>
      </c>
      <c r="P54" s="7">
        <v>879267</v>
      </c>
      <c r="Q54" s="8">
        <f t="shared" si="15"/>
        <v>5.2875814387560172E-2</v>
      </c>
      <c r="R54" s="7">
        <v>1171466</v>
      </c>
      <c r="S54" s="8">
        <f t="shared" si="16"/>
        <v>7.0447564593391493E-2</v>
      </c>
      <c r="T54" s="7">
        <v>227675</v>
      </c>
      <c r="U54" s="8">
        <f t="shared" si="17"/>
        <v>1.3691519232141956E-2</v>
      </c>
      <c r="V54" s="3"/>
    </row>
    <row r="55" spans="1:22" ht="17.100000000000001" customHeight="1">
      <c r="A55" s="5">
        <v>43921</v>
      </c>
      <c r="B55" s="6" t="s">
        <v>65</v>
      </c>
      <c r="C55" s="7">
        <v>17115829</v>
      </c>
      <c r="D55" s="7">
        <v>2942041</v>
      </c>
      <c r="E55" s="8">
        <f t="shared" si="9"/>
        <v>0.17189006737564391</v>
      </c>
      <c r="F55" s="7">
        <v>4117857</v>
      </c>
      <c r="G55" s="8">
        <f t="shared" si="10"/>
        <v>0.24058764550639061</v>
      </c>
      <c r="H55" s="7">
        <v>3757408</v>
      </c>
      <c r="I55" s="8">
        <f t="shared" si="11"/>
        <v>0.21952825072042961</v>
      </c>
      <c r="J55" s="7">
        <v>1358143</v>
      </c>
      <c r="K55" s="8">
        <f t="shared" si="12"/>
        <v>7.9350115030945911E-2</v>
      </c>
      <c r="L55" s="7">
        <v>1391978</v>
      </c>
      <c r="M55" s="8">
        <f t="shared" si="13"/>
        <v>8.1326940109065118E-2</v>
      </c>
      <c r="N55" s="7">
        <v>1401905</v>
      </c>
      <c r="O55" s="8">
        <f t="shared" si="14"/>
        <v>8.1906929544575374E-2</v>
      </c>
      <c r="P55" s="7">
        <v>894181</v>
      </c>
      <c r="Q55" s="8">
        <f t="shared" si="15"/>
        <v>5.2242926708370364E-2</v>
      </c>
      <c r="R55" s="7">
        <v>1233415</v>
      </c>
      <c r="S55" s="8">
        <f t="shared" si="16"/>
        <v>7.206282558677117E-2</v>
      </c>
      <c r="T55" s="7">
        <v>241108</v>
      </c>
      <c r="U55" s="8">
        <f t="shared" si="17"/>
        <v>1.4086843237333115E-2</v>
      </c>
      <c r="V55" s="3"/>
    </row>
    <row r="56" spans="1:22" ht="17.100000000000001" customHeight="1">
      <c r="A56" s="5">
        <v>44012</v>
      </c>
      <c r="B56" s="6" t="s">
        <v>66</v>
      </c>
      <c r="C56" s="7">
        <v>19867035</v>
      </c>
      <c r="D56" s="7">
        <v>3052228</v>
      </c>
      <c r="E56" s="8">
        <f t="shared" si="9"/>
        <v>0.15363278919073731</v>
      </c>
      <c r="F56" s="7">
        <v>4147116</v>
      </c>
      <c r="G56" s="8">
        <f t="shared" si="10"/>
        <v>0.208743579502427</v>
      </c>
      <c r="H56" s="7">
        <v>4807860</v>
      </c>
      <c r="I56" s="8">
        <f t="shared" si="11"/>
        <v>0.24200188905893608</v>
      </c>
      <c r="J56" s="7">
        <v>2564674</v>
      </c>
      <c r="K56" s="8">
        <f t="shared" si="12"/>
        <v>0.12909193545992143</v>
      </c>
      <c r="L56" s="7">
        <v>1221306</v>
      </c>
      <c r="M56" s="8">
        <f t="shared" si="13"/>
        <v>6.14739944838271E-2</v>
      </c>
      <c r="N56" s="7">
        <v>1395812</v>
      </c>
      <c r="O56" s="8">
        <f t="shared" si="14"/>
        <v>7.0257690692144048E-2</v>
      </c>
      <c r="P56" s="7">
        <v>1103483</v>
      </c>
      <c r="Q56" s="8">
        <f t="shared" si="15"/>
        <v>5.554341651887159E-2</v>
      </c>
      <c r="R56" s="7">
        <v>1194677</v>
      </c>
      <c r="S56" s="8">
        <f t="shared" si="16"/>
        <v>6.0133633428440629E-2</v>
      </c>
      <c r="T56" s="7">
        <v>305105</v>
      </c>
      <c r="U56" s="8">
        <f t="shared" si="17"/>
        <v>1.5357349498805434E-2</v>
      </c>
      <c r="V56" s="3"/>
    </row>
    <row r="57" spans="1:22" ht="17.100000000000001" customHeight="1">
      <c r="A57" s="5">
        <v>44104</v>
      </c>
      <c r="B57" s="6" t="s">
        <v>67</v>
      </c>
      <c r="C57" s="7">
        <v>20340181</v>
      </c>
      <c r="D57" s="7">
        <v>3054360</v>
      </c>
      <c r="E57" s="8">
        <f t="shared" si="9"/>
        <v>0.15016385547404912</v>
      </c>
      <c r="F57" s="7">
        <v>4198868</v>
      </c>
      <c r="G57" s="8">
        <f t="shared" si="10"/>
        <v>0.2064321846496843</v>
      </c>
      <c r="H57" s="7">
        <v>5055969</v>
      </c>
      <c r="I57" s="8">
        <f t="shared" si="11"/>
        <v>0.24857050190457991</v>
      </c>
      <c r="J57" s="7">
        <v>2493606</v>
      </c>
      <c r="K57" s="8">
        <f t="shared" si="12"/>
        <v>0.1225950742522891</v>
      </c>
      <c r="L57" s="7">
        <v>1198982</v>
      </c>
      <c r="M57" s="8">
        <f t="shared" si="13"/>
        <v>5.8946476434993379E-2</v>
      </c>
      <c r="N57" s="7">
        <v>1501073</v>
      </c>
      <c r="O57" s="8">
        <f t="shared" si="14"/>
        <v>7.3798409168531975E-2</v>
      </c>
      <c r="P57" s="7">
        <v>1186801</v>
      </c>
      <c r="Q57" s="8">
        <f t="shared" si="15"/>
        <v>5.8347612540911017E-2</v>
      </c>
      <c r="R57" s="7">
        <v>1230451</v>
      </c>
      <c r="S57" s="8">
        <f t="shared" si="16"/>
        <v>6.0493611143381663E-2</v>
      </c>
      <c r="T57" s="7">
        <v>227271</v>
      </c>
      <c r="U57" s="8">
        <f t="shared" si="17"/>
        <v>1.1173499390197166E-2</v>
      </c>
      <c r="V57" s="3"/>
    </row>
    <row r="58" spans="1:22" ht="17.100000000000001" customHeight="1">
      <c r="A58" s="5">
        <v>44196</v>
      </c>
      <c r="B58" s="6" t="s">
        <v>68</v>
      </c>
      <c r="C58" s="7">
        <v>20946158</v>
      </c>
      <c r="D58" s="7">
        <v>3105028</v>
      </c>
      <c r="E58" s="8">
        <f t="shared" si="9"/>
        <v>0.14823854570370376</v>
      </c>
      <c r="F58" s="7">
        <v>4186538</v>
      </c>
      <c r="G58" s="8">
        <f t="shared" si="10"/>
        <v>0.19987140362447375</v>
      </c>
      <c r="H58" s="7">
        <v>5254556</v>
      </c>
      <c r="I58" s="8">
        <f t="shared" si="11"/>
        <v>0.25086013387276079</v>
      </c>
      <c r="J58" s="7">
        <v>2465928</v>
      </c>
      <c r="K58" s="8">
        <f t="shared" si="12"/>
        <v>0.11772698363107927</v>
      </c>
      <c r="L58" s="7">
        <v>1280455</v>
      </c>
      <c r="M58" s="8">
        <f t="shared" si="13"/>
        <v>6.1130781119859784E-2</v>
      </c>
      <c r="N58" s="7">
        <v>1589250</v>
      </c>
      <c r="O58" s="8">
        <f t="shared" si="14"/>
        <v>7.5873102838238879E-2</v>
      </c>
      <c r="P58" s="7">
        <v>1203161</v>
      </c>
      <c r="Q58" s="8">
        <f t="shared" si="15"/>
        <v>5.7440653316947192E-2</v>
      </c>
      <c r="R58" s="7">
        <v>1244613</v>
      </c>
      <c r="S58" s="8">
        <f t="shared" si="16"/>
        <v>5.9419631991699862E-2</v>
      </c>
      <c r="T58" s="7">
        <v>211955</v>
      </c>
      <c r="U58" s="8">
        <f t="shared" si="17"/>
        <v>1.011903949163374E-2</v>
      </c>
      <c r="V58" s="3"/>
    </row>
    <row r="59" spans="1:22" ht="17.100000000000001" customHeight="1">
      <c r="A59" s="5">
        <v>44286</v>
      </c>
      <c r="B59" s="6" t="s">
        <v>69</v>
      </c>
      <c r="C59" s="7">
        <v>21347365</v>
      </c>
      <c r="D59" s="7">
        <v>3093843</v>
      </c>
      <c r="E59" s="8">
        <f t="shared" si="9"/>
        <v>0.14492856612514005</v>
      </c>
      <c r="F59" s="7">
        <v>4202077</v>
      </c>
      <c r="G59" s="8">
        <f t="shared" si="10"/>
        <v>0.19684288904040381</v>
      </c>
      <c r="H59" s="7">
        <v>5273242</v>
      </c>
      <c r="I59" s="8">
        <f t="shared" si="11"/>
        <v>0.24702074471486293</v>
      </c>
      <c r="J59" s="7">
        <v>2583204</v>
      </c>
      <c r="K59" s="8">
        <f t="shared" si="12"/>
        <v>0.12100809631540005</v>
      </c>
      <c r="L59" s="7">
        <v>783238</v>
      </c>
      <c r="M59" s="8">
        <f t="shared" si="13"/>
        <v>3.6690148877859166E-2</v>
      </c>
      <c r="N59" s="7">
        <v>1642733</v>
      </c>
      <c r="O59" s="8">
        <f t="shared" si="14"/>
        <v>7.6952495073747976E-2</v>
      </c>
      <c r="P59" s="7">
        <v>1257510</v>
      </c>
      <c r="Q59" s="8">
        <f t="shared" si="15"/>
        <v>5.8907036067449077E-2</v>
      </c>
      <c r="R59" s="7">
        <v>1221142</v>
      </c>
      <c r="S59" s="8">
        <f t="shared" si="16"/>
        <v>5.7203406603110032E-2</v>
      </c>
      <c r="T59" s="7">
        <v>130587</v>
      </c>
      <c r="U59" s="8">
        <f t="shared" si="17"/>
        <v>6.1172421045876156E-3</v>
      </c>
      <c r="V59" s="3"/>
    </row>
    <row r="60" spans="1:22" ht="17.100000000000001" customHeight="1">
      <c r="A60" s="5">
        <v>44377</v>
      </c>
      <c r="B60" s="6" t="s">
        <v>70</v>
      </c>
      <c r="C60" s="7">
        <v>21699043</v>
      </c>
      <c r="D60" s="7">
        <v>3303006</v>
      </c>
      <c r="E60" s="8">
        <f t="shared" si="9"/>
        <v>0.152218971131584</v>
      </c>
      <c r="F60" s="7">
        <v>4215874</v>
      </c>
      <c r="G60" s="8">
        <f t="shared" si="10"/>
        <v>0.19428847622450446</v>
      </c>
      <c r="H60" s="7">
        <v>5596511</v>
      </c>
      <c r="I60" s="8">
        <f t="shared" si="11"/>
        <v>0.2579151071316832</v>
      </c>
      <c r="J60" s="7">
        <v>2288119</v>
      </c>
      <c r="K60" s="8">
        <f t="shared" si="12"/>
        <v>0.10544792228855439</v>
      </c>
      <c r="L60" s="7">
        <v>489215</v>
      </c>
      <c r="M60" s="8">
        <f t="shared" si="13"/>
        <v>2.2545464332228846E-2</v>
      </c>
      <c r="N60" s="7">
        <v>1783610</v>
      </c>
      <c r="O60" s="8">
        <f t="shared" si="14"/>
        <v>8.2197634245897391E-2</v>
      </c>
      <c r="P60" s="7">
        <v>1346708</v>
      </c>
      <c r="Q60" s="8">
        <f t="shared" si="15"/>
        <v>6.2063013562395353E-2</v>
      </c>
      <c r="R60" s="7">
        <v>1319417</v>
      </c>
      <c r="S60" s="8">
        <f t="shared" si="16"/>
        <v>6.0805308326270423E-2</v>
      </c>
      <c r="T60" s="7">
        <v>157157</v>
      </c>
      <c r="U60" s="8">
        <f t="shared" si="17"/>
        <v>7.242577472195433E-3</v>
      </c>
      <c r="V60" s="3"/>
    </row>
    <row r="61" spans="1:22" ht="17.100000000000001" customHeight="1">
      <c r="A61" s="5">
        <v>44469</v>
      </c>
      <c r="B61" s="6" t="s">
        <v>71</v>
      </c>
      <c r="C61" s="7">
        <v>21846135</v>
      </c>
      <c r="D61" s="7">
        <v>3362965</v>
      </c>
      <c r="E61" s="8">
        <f t="shared" si="9"/>
        <v>0.15393867153160043</v>
      </c>
      <c r="F61" s="7">
        <v>4207931</v>
      </c>
      <c r="G61" s="8">
        <f t="shared" si="10"/>
        <v>0.19261672602499252</v>
      </c>
      <c r="H61" s="7">
        <v>5831294</v>
      </c>
      <c r="I61" s="8">
        <f t="shared" si="11"/>
        <v>0.26692565984784034</v>
      </c>
      <c r="J61" s="7">
        <v>1694672</v>
      </c>
      <c r="K61" s="8">
        <f t="shared" si="12"/>
        <v>7.7573081004946642E-2</v>
      </c>
      <c r="L61" s="7">
        <v>648657</v>
      </c>
      <c r="M61" s="8">
        <f t="shared" si="13"/>
        <v>2.9692071389286936E-2</v>
      </c>
      <c r="N61" s="7">
        <v>1849013</v>
      </c>
      <c r="O61" s="8">
        <f t="shared" si="14"/>
        <v>8.4637992029253692E-2</v>
      </c>
      <c r="P61" s="7">
        <v>1456273</v>
      </c>
      <c r="Q61" s="8">
        <f t="shared" si="15"/>
        <v>6.6660441309183527E-2</v>
      </c>
      <c r="R61" s="7">
        <v>1330223</v>
      </c>
      <c r="S61" s="8">
        <f t="shared" si="16"/>
        <v>6.0890541965432331E-2</v>
      </c>
      <c r="T61" s="7">
        <v>141750</v>
      </c>
      <c r="U61" s="8">
        <f t="shared" si="17"/>
        <v>6.4885619355551909E-3</v>
      </c>
      <c r="V61" s="3"/>
    </row>
    <row r="62" spans="1:22" ht="17.100000000000001" customHeight="1">
      <c r="A62" s="5">
        <v>44561</v>
      </c>
      <c r="B62" s="6" t="s">
        <v>72</v>
      </c>
      <c r="C62" s="7">
        <v>22557536</v>
      </c>
      <c r="D62" s="7">
        <v>3622718</v>
      </c>
      <c r="E62" s="8">
        <f t="shared" si="9"/>
        <v>0.16059901223254172</v>
      </c>
      <c r="F62" s="7">
        <v>4117652</v>
      </c>
      <c r="G62" s="8">
        <f t="shared" si="10"/>
        <v>0.18253997245089179</v>
      </c>
      <c r="H62" s="7">
        <v>6052055</v>
      </c>
      <c r="I62" s="8">
        <f t="shared" si="11"/>
        <v>0.26829415234004284</v>
      </c>
      <c r="J62" s="7">
        <v>1814671</v>
      </c>
      <c r="K62" s="8">
        <f t="shared" si="12"/>
        <v>8.0446330663065321E-2</v>
      </c>
      <c r="L62" s="7">
        <v>400490</v>
      </c>
      <c r="M62" s="8">
        <f t="shared" si="13"/>
        <v>1.7754155418393213E-2</v>
      </c>
      <c r="N62" s="7">
        <v>1929058</v>
      </c>
      <c r="O62" s="8">
        <f t="shared" si="14"/>
        <v>8.5517230250679865E-2</v>
      </c>
      <c r="P62" s="7">
        <v>1641194</v>
      </c>
      <c r="Q62" s="8">
        <f t="shared" si="15"/>
        <v>7.2755907382792168E-2</v>
      </c>
      <c r="R62" s="7">
        <v>1366488</v>
      </c>
      <c r="S62" s="8">
        <f t="shared" si="16"/>
        <v>6.0577892904615113E-2</v>
      </c>
      <c r="T62" s="7">
        <v>199700</v>
      </c>
      <c r="U62" s="8">
        <f t="shared" si="17"/>
        <v>8.8529172689783137E-3</v>
      </c>
      <c r="V62" s="3"/>
    </row>
    <row r="63" spans="1:22" ht="17.100000000000001" customHeight="1">
      <c r="A63" s="5">
        <v>44651</v>
      </c>
      <c r="B63" s="6" t="s">
        <v>73</v>
      </c>
      <c r="C63" s="7">
        <v>23246108</v>
      </c>
      <c r="D63" s="7">
        <v>3579098</v>
      </c>
      <c r="E63" s="8">
        <f t="shared" si="9"/>
        <v>0.1539654724137047</v>
      </c>
      <c r="F63" s="7">
        <v>4025302</v>
      </c>
      <c r="G63" s="8">
        <f t="shared" si="10"/>
        <v>0.17316025547158259</v>
      </c>
      <c r="H63" s="7">
        <v>5851446</v>
      </c>
      <c r="I63" s="8">
        <f t="shared" si="11"/>
        <v>0.25171723369778715</v>
      </c>
      <c r="J63" s="7">
        <v>1759444</v>
      </c>
      <c r="K63" s="8">
        <f t="shared" si="12"/>
        <v>7.568768070766943E-2</v>
      </c>
      <c r="L63" s="7">
        <v>585744</v>
      </c>
      <c r="M63" s="8">
        <f t="shared" si="13"/>
        <v>2.5197508331287113E-2</v>
      </c>
      <c r="N63" s="7">
        <v>1867299</v>
      </c>
      <c r="O63" s="8">
        <f t="shared" si="14"/>
        <v>8.0327382114889948E-2</v>
      </c>
      <c r="P63" s="7">
        <v>1653695</v>
      </c>
      <c r="Q63" s="8">
        <f t="shared" si="15"/>
        <v>7.1138575111154095E-2</v>
      </c>
      <c r="R63" s="7">
        <v>1254759</v>
      </c>
      <c r="S63" s="8">
        <f t="shared" si="16"/>
        <v>5.3977164693547838E-2</v>
      </c>
      <c r="T63" s="7">
        <v>227898</v>
      </c>
      <c r="U63" s="8">
        <f t="shared" si="17"/>
        <v>9.803705635369156E-3</v>
      </c>
      <c r="V63" s="3"/>
    </row>
    <row r="64" spans="1:22" ht="17.100000000000001" customHeight="1">
      <c r="A64" s="5">
        <v>44742</v>
      </c>
      <c r="B64" s="6" t="s">
        <v>74</v>
      </c>
      <c r="C64" s="7">
        <v>23253368</v>
      </c>
      <c r="D64" s="7">
        <v>3561669</v>
      </c>
      <c r="E64" s="8">
        <f t="shared" si="9"/>
        <v>0.15316787658458766</v>
      </c>
      <c r="F64" s="7">
        <v>3855274</v>
      </c>
      <c r="G64" s="8">
        <f t="shared" si="10"/>
        <v>0.1657942195728378</v>
      </c>
      <c r="H64" s="7">
        <v>5563801</v>
      </c>
      <c r="I64" s="8">
        <f t="shared" si="11"/>
        <v>0.23926860831514815</v>
      </c>
      <c r="J64" s="7">
        <v>1458999</v>
      </c>
      <c r="K64" s="8">
        <f t="shared" si="12"/>
        <v>6.2743556116258078E-2</v>
      </c>
      <c r="L64" s="7">
        <v>682999</v>
      </c>
      <c r="M64" s="8">
        <f t="shared" si="13"/>
        <v>2.9372046234334741E-2</v>
      </c>
      <c r="N64" s="7">
        <v>1793757</v>
      </c>
      <c r="O64" s="8">
        <f t="shared" si="14"/>
        <v>7.7139664241326247E-2</v>
      </c>
      <c r="P64" s="7">
        <v>1686642</v>
      </c>
      <c r="Q64" s="8">
        <f t="shared" si="15"/>
        <v>7.2533234755498638E-2</v>
      </c>
      <c r="R64" s="7">
        <v>1207382</v>
      </c>
      <c r="S64" s="8">
        <f t="shared" si="16"/>
        <v>5.1922887041567486E-2</v>
      </c>
      <c r="T64" s="7">
        <v>216847</v>
      </c>
      <c r="U64" s="8">
        <f t="shared" si="17"/>
        <v>9.3254018084606063E-3</v>
      </c>
      <c r="V64" s="3"/>
    </row>
    <row r="65" spans="1:22" ht="17.100000000000001" customHeight="1">
      <c r="A65" s="5">
        <v>44834</v>
      </c>
      <c r="B65" s="6" t="s">
        <v>75</v>
      </c>
      <c r="C65" s="7">
        <v>23616710</v>
      </c>
      <c r="D65" s="7">
        <v>3537809</v>
      </c>
      <c r="E65" s="8">
        <f t="shared" si="9"/>
        <v>0.14980109422523288</v>
      </c>
      <c r="F65" s="7">
        <v>3713699</v>
      </c>
      <c r="G65" s="8">
        <f t="shared" si="10"/>
        <v>0.15724878698175995</v>
      </c>
      <c r="H65" s="7">
        <v>5186546</v>
      </c>
      <c r="I65" s="8">
        <f t="shared" si="11"/>
        <v>0.21961340085049949</v>
      </c>
      <c r="J65" s="7">
        <v>1256135</v>
      </c>
      <c r="K65" s="8">
        <f t="shared" si="12"/>
        <v>5.318839923088356E-2</v>
      </c>
      <c r="L65" s="7">
        <v>1108280</v>
      </c>
      <c r="M65" s="8">
        <f t="shared" si="13"/>
        <v>4.6927789687894718E-2</v>
      </c>
      <c r="N65" s="7">
        <v>1729584</v>
      </c>
      <c r="O65" s="8">
        <f t="shared" si="14"/>
        <v>7.3235603096282256E-2</v>
      </c>
      <c r="P65" s="7">
        <v>1605712</v>
      </c>
      <c r="Q65" s="8">
        <f t="shared" si="15"/>
        <v>6.7990503334291699E-2</v>
      </c>
      <c r="R65" s="7">
        <v>1150243</v>
      </c>
      <c r="S65" s="8">
        <f t="shared" si="16"/>
        <v>4.8704624818613602E-2</v>
      </c>
      <c r="T65" s="7">
        <v>226282</v>
      </c>
      <c r="U65" s="8">
        <f t="shared" si="17"/>
        <v>9.5814361949653447E-3</v>
      </c>
      <c r="V65" s="3"/>
    </row>
    <row r="66" spans="1:22" ht="17.100000000000001" customHeight="1">
      <c r="A66" s="5">
        <v>44926</v>
      </c>
      <c r="B66" s="6" t="s">
        <v>76</v>
      </c>
      <c r="C66" s="7">
        <v>23844978</v>
      </c>
      <c r="D66" s="7">
        <v>3527235</v>
      </c>
      <c r="E66" s="8">
        <f t="shared" si="9"/>
        <v>0.14792360051663708</v>
      </c>
      <c r="F66" s="7">
        <v>3667449</v>
      </c>
      <c r="G66" s="8">
        <f t="shared" si="10"/>
        <v>0.1538038324044585</v>
      </c>
      <c r="H66" s="7">
        <v>5056405</v>
      </c>
      <c r="I66" s="8">
        <f t="shared" si="11"/>
        <v>0.21205324659976621</v>
      </c>
      <c r="J66" s="7">
        <v>1064015</v>
      </c>
      <c r="K66" s="8">
        <f t="shared" si="12"/>
        <v>4.4622184176475232E-2</v>
      </c>
      <c r="L66" s="7">
        <v>1658923</v>
      </c>
      <c r="M66" s="8">
        <f t="shared" si="13"/>
        <v>6.9571169241590403E-2</v>
      </c>
      <c r="N66" s="7">
        <v>1745162</v>
      </c>
      <c r="O66" s="8">
        <f t="shared" si="14"/>
        <v>7.3187821771108372E-2</v>
      </c>
      <c r="P66" s="7">
        <v>1579707</v>
      </c>
      <c r="Q66" s="8">
        <f t="shared" si="15"/>
        <v>6.6249044138350643E-2</v>
      </c>
      <c r="R66" s="7">
        <v>1160203</v>
      </c>
      <c r="S66" s="8">
        <f t="shared" si="16"/>
        <v>4.865607340883267E-2</v>
      </c>
      <c r="T66" s="7">
        <v>215874</v>
      </c>
      <c r="U66" s="8">
        <f t="shared" si="17"/>
        <v>9.0532270568670688E-3</v>
      </c>
      <c r="V66" s="3"/>
    </row>
    <row r="67" spans="1:22" ht="17.100000000000001" customHeight="1">
      <c r="A67" s="5">
        <v>45016</v>
      </c>
      <c r="B67" s="6" t="s">
        <v>77</v>
      </c>
      <c r="C67" s="7">
        <v>24282042</v>
      </c>
      <c r="D67" s="7">
        <v>3698735</v>
      </c>
      <c r="E67" s="8">
        <f t="shared" si="9"/>
        <v>0.15232388610480124</v>
      </c>
      <c r="F67" s="7">
        <v>3769907</v>
      </c>
      <c r="G67" s="8">
        <f t="shared" si="10"/>
        <v>0.1552549410795023</v>
      </c>
      <c r="H67" s="7">
        <v>4960204</v>
      </c>
      <c r="I67" s="8">
        <f t="shared" si="11"/>
        <v>0.20427458283780253</v>
      </c>
      <c r="J67" s="7">
        <v>1040799</v>
      </c>
      <c r="K67" s="8">
        <f t="shared" si="12"/>
        <v>4.2862910788145414E-2</v>
      </c>
      <c r="L67" s="7">
        <v>2104754</v>
      </c>
      <c r="M67" s="8">
        <f t="shared" si="13"/>
        <v>8.6679448128785877E-2</v>
      </c>
      <c r="N67" s="7">
        <v>1823382</v>
      </c>
      <c r="O67" s="8">
        <f t="shared" si="14"/>
        <v>7.5091790056206975E-2</v>
      </c>
      <c r="P67" s="7">
        <v>1492490</v>
      </c>
      <c r="Q67" s="8">
        <f t="shared" si="15"/>
        <v>6.1464764783785479E-2</v>
      </c>
      <c r="R67" s="7">
        <v>1228892</v>
      </c>
      <c r="S67" s="8">
        <f t="shared" si="16"/>
        <v>5.0609087983621806E-2</v>
      </c>
      <c r="T67" s="7">
        <v>327564</v>
      </c>
      <c r="U67" s="8">
        <f t="shared" si="17"/>
        <v>1.3489969253821404E-2</v>
      </c>
      <c r="V67" s="3"/>
    </row>
    <row r="68" spans="1:22" ht="17.100000000000001" customHeight="1">
      <c r="A68" s="5">
        <v>45107</v>
      </c>
      <c r="B68" s="6" t="s">
        <v>78</v>
      </c>
      <c r="C68" s="7">
        <v>24772373</v>
      </c>
      <c r="D68" s="7">
        <v>3794008</v>
      </c>
      <c r="E68" s="8">
        <f t="shared" si="9"/>
        <v>0.15315480676800725</v>
      </c>
      <c r="F68" s="7">
        <v>3769207</v>
      </c>
      <c r="G68" s="8">
        <f t="shared" si="10"/>
        <v>0.15215365116615998</v>
      </c>
      <c r="H68" s="7">
        <v>4702866</v>
      </c>
      <c r="I68" s="8">
        <f t="shared" si="11"/>
        <v>0.18984317731692479</v>
      </c>
      <c r="J68" s="7">
        <v>1243962</v>
      </c>
      <c r="K68" s="8">
        <f t="shared" si="12"/>
        <v>5.0215697947063855E-2</v>
      </c>
      <c r="L68" s="7">
        <v>2255619</v>
      </c>
      <c r="M68" s="8">
        <f t="shared" si="13"/>
        <v>9.1053812244793822E-2</v>
      </c>
      <c r="N68" s="7">
        <v>1808464</v>
      </c>
      <c r="O68" s="8">
        <f t="shared" si="14"/>
        <v>7.3003260527362474E-2</v>
      </c>
      <c r="P68" s="7">
        <v>1433859</v>
      </c>
      <c r="Q68" s="8">
        <f t="shared" si="15"/>
        <v>5.7881374545749008E-2</v>
      </c>
      <c r="R68" s="7">
        <v>1230707</v>
      </c>
      <c r="S68" s="8">
        <f t="shared" si="16"/>
        <v>4.9680626074861699E-2</v>
      </c>
      <c r="T68" s="7">
        <v>301323</v>
      </c>
      <c r="U68" s="8">
        <f t="shared" si="17"/>
        <v>1.2163671199363905E-2</v>
      </c>
      <c r="V68" s="3"/>
    </row>
    <row r="69" spans="1:22" ht="17.100000000000001" customHeight="1">
      <c r="A69" s="5">
        <v>45199</v>
      </c>
      <c r="B69" s="6" t="s">
        <v>79</v>
      </c>
      <c r="C69" s="7">
        <v>25630167</v>
      </c>
      <c r="D69" s="7">
        <v>3818116</v>
      </c>
      <c r="E69" s="8">
        <f t="shared" si="9"/>
        <v>0.14896961069352377</v>
      </c>
      <c r="F69" s="7">
        <v>3690999</v>
      </c>
      <c r="G69" s="8">
        <f t="shared" si="10"/>
        <v>0.14400994734056941</v>
      </c>
      <c r="H69" s="7">
        <v>4367410</v>
      </c>
      <c r="I69" s="8">
        <f t="shared" si="11"/>
        <v>0.17040115267294201</v>
      </c>
      <c r="J69" s="7">
        <v>1767115</v>
      </c>
      <c r="K69" s="8">
        <f t="shared" si="12"/>
        <v>6.8946683023953764E-2</v>
      </c>
      <c r="L69" s="7">
        <v>2359873</v>
      </c>
      <c r="M69" s="8">
        <f t="shared" si="13"/>
        <v>9.2074039158621168E-2</v>
      </c>
      <c r="N69" s="7">
        <v>1788824</v>
      </c>
      <c r="O69" s="8">
        <f t="shared" si="14"/>
        <v>6.9793692721549574E-2</v>
      </c>
      <c r="P69" s="7">
        <v>1428059</v>
      </c>
      <c r="Q69" s="8">
        <f t="shared" si="15"/>
        <v>5.5717896804964244E-2</v>
      </c>
      <c r="R69" s="7">
        <v>1261997</v>
      </c>
      <c r="S69" s="8">
        <f t="shared" si="16"/>
        <v>4.9238734964153763E-2</v>
      </c>
      <c r="T69" s="7">
        <v>312371</v>
      </c>
      <c r="U69" s="8">
        <f t="shared" si="17"/>
        <v>1.2187630302994124E-2</v>
      </c>
      <c r="V69" s="3"/>
    </row>
    <row r="70" spans="1:22" ht="17.100000000000001" customHeight="1">
      <c r="A70" s="5">
        <v>45291</v>
      </c>
      <c r="B70" s="6" t="s">
        <v>80</v>
      </c>
      <c r="C70" s="7">
        <v>26226569</v>
      </c>
      <c r="D70" s="7">
        <v>4143569</v>
      </c>
      <c r="E70" s="8">
        <f t="shared" si="9"/>
        <v>0.15799127213323252</v>
      </c>
      <c r="F70" s="7">
        <v>3796439</v>
      </c>
      <c r="G70" s="8">
        <f t="shared" si="10"/>
        <v>0.14475545771923121</v>
      </c>
      <c r="H70" s="7">
        <v>4403083</v>
      </c>
      <c r="I70" s="8">
        <f t="shared" si="11"/>
        <v>0.16788635219498213</v>
      </c>
      <c r="J70" s="7">
        <v>2269494</v>
      </c>
      <c r="K70" s="8">
        <f t="shared" si="12"/>
        <v>8.6534155497045767E-2</v>
      </c>
      <c r="L70" s="7">
        <v>2518608</v>
      </c>
      <c r="M70" s="8">
        <f t="shared" si="13"/>
        <v>9.603269112326511E-2</v>
      </c>
      <c r="N70" s="7">
        <v>1877643</v>
      </c>
      <c r="O70" s="8">
        <f t="shared" si="14"/>
        <v>7.1593161880991754E-2</v>
      </c>
      <c r="P70" s="7">
        <v>1513982</v>
      </c>
      <c r="Q70" s="8">
        <f t="shared" si="15"/>
        <v>5.772703246086059E-2</v>
      </c>
      <c r="R70" s="7">
        <v>1353004</v>
      </c>
      <c r="S70" s="8">
        <f t="shared" si="16"/>
        <v>5.1589058408669466E-2</v>
      </c>
      <c r="T70" s="7">
        <v>328712</v>
      </c>
      <c r="U70" s="8">
        <f t="shared" si="17"/>
        <v>1.2533549470386309E-2</v>
      </c>
      <c r="V70" s="3"/>
    </row>
    <row r="71" spans="1:22" ht="17.100000000000001" customHeight="1">
      <c r="A71" s="5">
        <v>45382</v>
      </c>
      <c r="B71" s="6" t="s">
        <v>81</v>
      </c>
      <c r="C71" s="7">
        <v>26808608</v>
      </c>
      <c r="D71" s="7">
        <v>4290998</v>
      </c>
      <c r="E71" s="8">
        <f t="shared" ref="E71:E79" si="18">D71/$C71</f>
        <v>0.16006045520901346</v>
      </c>
      <c r="F71" s="7">
        <v>3816873</v>
      </c>
      <c r="G71" s="8">
        <f t="shared" ref="G71:G79" si="19">F71/$C71</f>
        <v>0.14237490435907751</v>
      </c>
      <c r="H71" s="7">
        <v>4176260</v>
      </c>
      <c r="I71" s="8">
        <f t="shared" ref="I71:I79" si="20">H71/$C71</f>
        <v>0.15578056122869191</v>
      </c>
      <c r="J71" s="7">
        <v>2563670</v>
      </c>
      <c r="K71" s="8">
        <f t="shared" ref="K71:K79" si="21">J71/$C71</f>
        <v>9.5628613018624464E-2</v>
      </c>
      <c r="L71" s="7">
        <v>2449703</v>
      </c>
      <c r="M71" s="8">
        <f t="shared" ref="M71:M79" si="22">L71/$C71</f>
        <v>9.1377478457665542E-2</v>
      </c>
      <c r="N71" s="7">
        <v>1894682</v>
      </c>
      <c r="O71" s="8">
        <f t="shared" ref="O71:O79" si="23">N71/$C71</f>
        <v>7.0674389360312923E-2</v>
      </c>
      <c r="P71" s="7">
        <v>1614483</v>
      </c>
      <c r="Q71" s="8">
        <f t="shared" ref="Q71:Q79" si="24">P71/$C71</f>
        <v>6.0222559858385781E-2</v>
      </c>
      <c r="R71" s="7">
        <v>1400685</v>
      </c>
      <c r="S71" s="8">
        <f t="shared" ref="S71:S79" si="25">R71/$C71</f>
        <v>5.2247584059567732E-2</v>
      </c>
      <c r="T71" s="7">
        <v>390499</v>
      </c>
      <c r="U71" s="8">
        <f t="shared" ref="U71:U79" si="26">T71/$C71</f>
        <v>1.4566179639017438E-2</v>
      </c>
      <c r="V71" s="3"/>
    </row>
    <row r="72" spans="1:22" ht="17.100000000000001" customHeight="1">
      <c r="A72" s="5">
        <v>45473</v>
      </c>
      <c r="B72" s="6" t="s">
        <v>82</v>
      </c>
      <c r="C72" s="7">
        <v>26903135</v>
      </c>
      <c r="D72" s="7">
        <v>4418485</v>
      </c>
      <c r="E72" s="8">
        <f t="shared" si="18"/>
        <v>0.16423680734605836</v>
      </c>
      <c r="F72" s="7">
        <v>3831011</v>
      </c>
      <c r="G72" s="8">
        <f t="shared" si="19"/>
        <v>0.14240017009170122</v>
      </c>
      <c r="H72" s="7">
        <v>3993177</v>
      </c>
      <c r="I72" s="8">
        <f t="shared" si="20"/>
        <v>0.14842794343484506</v>
      </c>
      <c r="J72" s="7">
        <v>2449906</v>
      </c>
      <c r="K72" s="8">
        <f t="shared" si="21"/>
        <v>9.1063959646338608E-2</v>
      </c>
      <c r="L72" s="7">
        <v>2536828</v>
      </c>
      <c r="M72" s="8">
        <f t="shared" si="22"/>
        <v>9.4294884220742309E-2</v>
      </c>
      <c r="N72" s="7">
        <v>1931007</v>
      </c>
      <c r="O72" s="8">
        <f t="shared" si="23"/>
        <v>7.1776281834812189E-2</v>
      </c>
      <c r="P72" s="7">
        <v>1603631</v>
      </c>
      <c r="Q72" s="8">
        <f t="shared" si="24"/>
        <v>5.960758848364698E-2</v>
      </c>
      <c r="R72" s="7">
        <v>1522941</v>
      </c>
      <c r="S72" s="8">
        <f t="shared" si="25"/>
        <v>5.6608309775050381E-2</v>
      </c>
      <c r="T72" s="7">
        <v>358565</v>
      </c>
      <c r="U72" s="8">
        <f t="shared" si="26"/>
        <v>1.3328000621488909E-2</v>
      </c>
      <c r="V72" s="3"/>
    </row>
    <row r="73" spans="1:22" ht="17.100000000000001" customHeight="1">
      <c r="A73" s="5">
        <v>45565</v>
      </c>
      <c r="B73" s="6" t="s">
        <v>83</v>
      </c>
      <c r="C73" s="7">
        <v>27586426</v>
      </c>
      <c r="D73" s="7">
        <v>4801071</v>
      </c>
      <c r="E73" s="8">
        <f t="shared" si="18"/>
        <v>0.17403744145762123</v>
      </c>
      <c r="F73" s="7">
        <v>3914130</v>
      </c>
      <c r="G73" s="8">
        <f t="shared" si="19"/>
        <v>0.14188608556976537</v>
      </c>
      <c r="H73" s="7">
        <v>4048034</v>
      </c>
      <c r="I73" s="8">
        <f t="shared" si="20"/>
        <v>0.14674006701701772</v>
      </c>
      <c r="J73" s="7">
        <v>2659841</v>
      </c>
      <c r="K73" s="8">
        <f t="shared" si="21"/>
        <v>9.6418470446298477E-2</v>
      </c>
      <c r="L73" s="7">
        <v>2738577</v>
      </c>
      <c r="M73" s="8">
        <f t="shared" si="22"/>
        <v>9.9272627777153885E-2</v>
      </c>
      <c r="N73" s="7">
        <v>2066858</v>
      </c>
      <c r="O73" s="8">
        <f t="shared" si="23"/>
        <v>7.4923007424013532E-2</v>
      </c>
      <c r="P73" s="7">
        <v>1669355</v>
      </c>
      <c r="Q73" s="8">
        <f t="shared" si="24"/>
        <v>6.0513638120429231E-2</v>
      </c>
      <c r="R73" s="7">
        <v>1665956</v>
      </c>
      <c r="S73" s="8">
        <f t="shared" si="25"/>
        <v>6.0390425349046664E-2</v>
      </c>
      <c r="T73" s="7">
        <v>391555</v>
      </c>
      <c r="U73" s="8">
        <f t="shared" si="26"/>
        <v>1.4193756016092842E-2</v>
      </c>
      <c r="V73" s="3"/>
    </row>
    <row r="74" spans="1:22" ht="17.100000000000001" customHeight="1">
      <c r="A74" s="5">
        <v>45657</v>
      </c>
      <c r="B74" s="6" t="s">
        <v>84</v>
      </c>
      <c r="C74" s="7">
        <v>28139470</v>
      </c>
      <c r="D74" s="7">
        <v>4775695</v>
      </c>
      <c r="E74" s="8">
        <f t="shared" si="18"/>
        <v>0.16971517231845518</v>
      </c>
      <c r="F74" s="7">
        <v>3782665</v>
      </c>
      <c r="G74" s="8">
        <f t="shared" si="19"/>
        <v>0.13442559508050436</v>
      </c>
      <c r="H74" s="7">
        <v>3819872</v>
      </c>
      <c r="I74" s="8">
        <f t="shared" si="20"/>
        <v>0.13574783036069976</v>
      </c>
      <c r="J74" s="7">
        <v>2994851</v>
      </c>
      <c r="K74" s="8">
        <f t="shared" si="21"/>
        <v>0.10642883465822206</v>
      </c>
      <c r="L74" s="7">
        <v>2631556</v>
      </c>
      <c r="M74" s="8">
        <f t="shared" si="22"/>
        <v>9.3518321418278316E-2</v>
      </c>
      <c r="N74" s="7">
        <v>2058523</v>
      </c>
      <c r="O74" s="8">
        <f t="shared" si="23"/>
        <v>7.3154291818573691E-2</v>
      </c>
      <c r="P74" s="7">
        <v>1722729</v>
      </c>
      <c r="Q74" s="8">
        <f t="shared" si="24"/>
        <v>6.1221089096560807E-2</v>
      </c>
      <c r="R74" s="7">
        <v>1564077</v>
      </c>
      <c r="S74" s="8">
        <f t="shared" si="25"/>
        <v>5.5583029815415852E-2</v>
      </c>
      <c r="T74" s="7">
        <v>454199</v>
      </c>
      <c r="U74" s="8">
        <f t="shared" si="26"/>
        <v>1.6140993416009611E-2</v>
      </c>
      <c r="V74" s="3"/>
    </row>
    <row r="75" spans="1:22" ht="17.100000000000001" customHeight="1">
      <c r="A75" s="5">
        <v>45747</v>
      </c>
      <c r="B75" s="6" t="s">
        <v>85</v>
      </c>
      <c r="C75" s="7">
        <v>28447272</v>
      </c>
      <c r="D75" s="7">
        <v>5124314</v>
      </c>
      <c r="E75" s="8">
        <f t="shared" si="18"/>
        <v>0.1801337576411545</v>
      </c>
      <c r="F75" s="7">
        <v>3925236</v>
      </c>
      <c r="G75" s="8">
        <f t="shared" si="19"/>
        <v>0.13798286176614755</v>
      </c>
      <c r="H75" s="7">
        <v>3832193</v>
      </c>
      <c r="I75" s="8">
        <f t="shared" si="20"/>
        <v>0.13471214392719275</v>
      </c>
      <c r="J75" s="7">
        <v>2880571</v>
      </c>
      <c r="K75" s="8">
        <f t="shared" si="21"/>
        <v>0.10126000834104584</v>
      </c>
      <c r="L75" s="7">
        <v>2829403</v>
      </c>
      <c r="M75" s="8">
        <f t="shared" si="22"/>
        <v>9.9461312142689814E-2</v>
      </c>
      <c r="N75" s="7">
        <v>2142165</v>
      </c>
      <c r="O75" s="8">
        <f t="shared" si="23"/>
        <v>7.5303002692138632E-2</v>
      </c>
      <c r="P75" s="7">
        <v>1740868</v>
      </c>
      <c r="Q75" s="8">
        <f t="shared" si="24"/>
        <v>6.1196307329574519E-2</v>
      </c>
      <c r="R75" s="7">
        <v>1616927</v>
      </c>
      <c r="S75" s="8">
        <f t="shared" si="25"/>
        <v>5.6839439648202469E-2</v>
      </c>
      <c r="T75" s="7">
        <v>487312</v>
      </c>
      <c r="U75" s="8">
        <f t="shared" si="26"/>
        <v>1.7130359635187515E-2</v>
      </c>
      <c r="V75" s="3"/>
    </row>
    <row r="76" spans="1:22" ht="17.100000000000001" customHeight="1">
      <c r="A76" s="5">
        <v>45838</v>
      </c>
      <c r="B76" s="6" t="s">
        <v>86</v>
      </c>
      <c r="C76" s="7">
        <v>28518345</v>
      </c>
      <c r="D76" s="7">
        <v>5198217</v>
      </c>
      <c r="E76" s="8">
        <f t="shared" si="18"/>
        <v>0.1822762506029014</v>
      </c>
      <c r="F76" s="7">
        <v>3905936</v>
      </c>
      <c r="G76" s="8">
        <f t="shared" si="19"/>
        <v>0.13696222554289178</v>
      </c>
      <c r="H76" s="7">
        <v>3811025</v>
      </c>
      <c r="I76" s="8">
        <f t="shared" si="20"/>
        <v>0.13363415724159308</v>
      </c>
      <c r="J76" s="7">
        <v>2614034</v>
      </c>
      <c r="K76" s="8">
        <f t="shared" si="21"/>
        <v>9.1661490174131777E-2</v>
      </c>
      <c r="L76" s="7">
        <v>2910299</v>
      </c>
      <c r="M76" s="8">
        <f t="shared" si="22"/>
        <v>0.10205006636955967</v>
      </c>
      <c r="N76" s="7">
        <v>2170802</v>
      </c>
      <c r="O76" s="8">
        <f t="shared" si="23"/>
        <v>7.6119494311468638E-2</v>
      </c>
      <c r="P76" s="7">
        <v>1848931</v>
      </c>
      <c r="Q76" s="8">
        <f t="shared" si="24"/>
        <v>6.4833039925703967E-2</v>
      </c>
      <c r="R76" s="7">
        <v>1601740</v>
      </c>
      <c r="S76" s="8">
        <f t="shared" si="25"/>
        <v>5.6165250823636506E-2</v>
      </c>
      <c r="T76" s="7">
        <v>513235</v>
      </c>
      <c r="U76" s="8">
        <f t="shared" si="26"/>
        <v>1.7996661447219325E-2</v>
      </c>
      <c r="V76" s="3"/>
    </row>
    <row r="77" spans="1:22" ht="17.100000000000001" customHeight="1">
      <c r="A77" s="5">
        <v>45930</v>
      </c>
      <c r="B77" s="6" t="s">
        <v>87</v>
      </c>
      <c r="C77" s="7">
        <v>29571648</v>
      </c>
      <c r="D77" s="7">
        <v>5352001</v>
      </c>
      <c r="E77" s="8">
        <f t="shared" si="18"/>
        <v>0.18098419810759278</v>
      </c>
      <c r="F77" s="7">
        <v>3882372</v>
      </c>
      <c r="G77" s="8">
        <f t="shared" si="19"/>
        <v>0.13128696784162994</v>
      </c>
      <c r="H77" s="7">
        <v>3830924</v>
      </c>
      <c r="I77" s="8">
        <f t="shared" si="20"/>
        <v>0.12954719331164768</v>
      </c>
      <c r="J77" s="7">
        <v>3232354</v>
      </c>
      <c r="K77" s="8">
        <f t="shared" si="21"/>
        <v>0.10930584592377131</v>
      </c>
      <c r="L77" s="7">
        <v>2968534</v>
      </c>
      <c r="M77" s="8">
        <f t="shared" si="22"/>
        <v>0.10038446284765733</v>
      </c>
      <c r="N77" s="7">
        <v>2311391</v>
      </c>
      <c r="O77" s="8">
        <f t="shared" si="23"/>
        <v>7.8162400688659622E-2</v>
      </c>
      <c r="P77" s="7">
        <v>1940489</v>
      </c>
      <c r="Q77" s="8">
        <f t="shared" si="24"/>
        <v>6.5619914047401084E-2</v>
      </c>
      <c r="R77" s="7">
        <v>1713619</v>
      </c>
      <c r="S77" s="8">
        <f t="shared" si="25"/>
        <v>5.7948038607790811E-2</v>
      </c>
      <c r="T77" s="7">
        <v>492573</v>
      </c>
      <c r="U77" s="8">
        <f t="shared" si="26"/>
        <v>1.6656934371733358E-2</v>
      </c>
      <c r="V77" s="3"/>
    </row>
    <row r="78" spans="1:22" ht="17.100000000000001" customHeight="1">
      <c r="A78" s="5">
        <v>46022</v>
      </c>
      <c r="B78" s="6" t="s">
        <v>88</v>
      </c>
      <c r="C78" s="7">
        <v>30069641</v>
      </c>
      <c r="D78" s="7">
        <v>5383909</v>
      </c>
      <c r="E78" s="8">
        <f t="shared" si="18"/>
        <v>0.17904799728071247</v>
      </c>
      <c r="F78" s="7">
        <v>3886999</v>
      </c>
      <c r="G78" s="8">
        <f t="shared" si="19"/>
        <v>0.12926655825388803</v>
      </c>
      <c r="H78" s="7">
        <v>3854942</v>
      </c>
      <c r="I78" s="8">
        <f t="shared" si="20"/>
        <v>0.12820046637736712</v>
      </c>
      <c r="J78" s="7">
        <v>3517832</v>
      </c>
      <c r="K78" s="8">
        <f t="shared" si="21"/>
        <v>0.11698949116153398</v>
      </c>
      <c r="L78" s="7">
        <v>3006696</v>
      </c>
      <c r="M78" s="8">
        <f t="shared" si="22"/>
        <v>9.999108403056757E-2</v>
      </c>
      <c r="N78" s="7">
        <v>2391206</v>
      </c>
      <c r="O78" s="8">
        <f t="shared" si="23"/>
        <v>7.9522266328354241E-2</v>
      </c>
      <c r="P78" s="7">
        <v>1961741</v>
      </c>
      <c r="Q78" s="8">
        <f t="shared" si="24"/>
        <v>6.5239920888979022E-2</v>
      </c>
      <c r="R78" s="7">
        <v>1715756</v>
      </c>
      <c r="S78" s="8">
        <f t="shared" si="25"/>
        <v>5.7059410852294511E-2</v>
      </c>
      <c r="T78" s="7">
        <v>542458</v>
      </c>
      <c r="U78" s="8">
        <f t="shared" si="26"/>
        <v>1.8040055749252212E-2</v>
      </c>
      <c r="V78" s="3"/>
    </row>
    <row r="79" spans="1:22" ht="17.100000000000001" customHeight="1">
      <c r="A79" s="5">
        <v>46112</v>
      </c>
      <c r="B79" s="6" t="s">
        <v>89</v>
      </c>
      <c r="C79" s="7">
        <v>30641548</v>
      </c>
      <c r="D79" s="7">
        <v>5399274</v>
      </c>
      <c r="E79" s="8">
        <f t="shared" si="18"/>
        <v>0.17620761196529627</v>
      </c>
      <c r="F79" s="7">
        <v>3917950</v>
      </c>
      <c r="G79" s="8">
        <f t="shared" si="19"/>
        <v>0.12786397084115986</v>
      </c>
      <c r="H79" s="7">
        <v>4000420</v>
      </c>
      <c r="I79" s="8">
        <f t="shared" si="20"/>
        <v>0.13055541449798816</v>
      </c>
      <c r="J79" s="7">
        <v>3426437</v>
      </c>
      <c r="K79" s="8">
        <f t="shared" si="21"/>
        <v>0.11182323425696378</v>
      </c>
      <c r="L79" s="7">
        <v>3039040</v>
      </c>
      <c r="M79" s="8">
        <f t="shared" si="22"/>
        <v>9.9180367780374548E-2</v>
      </c>
      <c r="N79" s="7">
        <v>2475411</v>
      </c>
      <c r="O79" s="8">
        <f t="shared" si="23"/>
        <v>8.0786094749521142E-2</v>
      </c>
      <c r="P79" s="7">
        <v>2049575</v>
      </c>
      <c r="Q79" s="8">
        <f t="shared" si="24"/>
        <v>6.688875509814321E-2</v>
      </c>
      <c r="R79" s="7">
        <v>1800980</v>
      </c>
      <c r="S79" s="8">
        <f t="shared" si="25"/>
        <v>5.8775751146776266E-2</v>
      </c>
      <c r="T79" s="7">
        <v>620413</v>
      </c>
      <c r="U79" s="8">
        <f t="shared" si="26"/>
        <v>2.0247443112208299E-2</v>
      </c>
      <c r="V79" s="3"/>
    </row>
    <row r="80" spans="1:22" ht="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</sheetData>
  <phoneticPr fontId="19" type="noConversion"/>
  <pageMargins left="0.69930555555555596" right="0.69930555555555596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4EB0E-5180-40F0-803C-3625CA1F65D1}">
  <dimension ref="A4:X84"/>
  <sheetViews>
    <sheetView tabSelected="1" workbookViewId="0">
      <pane xSplit="2" ySplit="4" topLeftCell="Q53" activePane="bottomRight" state="frozen"/>
      <selection pane="topRight" activeCell="C1" sqref="C1"/>
      <selection pane="bottomLeft" activeCell="A5" sqref="A5"/>
      <selection pane="bottomRight" activeCell="V82" sqref="V82"/>
    </sheetView>
  </sheetViews>
  <sheetFormatPr defaultRowHeight="13.5"/>
  <cols>
    <col min="1" max="1" width="8.5" bestFit="1" customWidth="1"/>
    <col min="2" max="2" width="7.5" bestFit="1" customWidth="1"/>
    <col min="3" max="3" width="10.5" bestFit="1" customWidth="1"/>
    <col min="4" max="4" width="12.375" bestFit="1" customWidth="1"/>
    <col min="5" max="5" width="16.375" bestFit="1" customWidth="1"/>
    <col min="6" max="6" width="39.25" bestFit="1" customWidth="1"/>
    <col min="7" max="7" width="24.75" bestFit="1" customWidth="1"/>
    <col min="8" max="8" width="24.75" customWidth="1"/>
    <col min="9" max="9" width="10.25" bestFit="1" customWidth="1"/>
    <col min="10" max="10" width="6.125" bestFit="1" customWidth="1"/>
    <col min="11" max="11" width="15.25" bestFit="1" customWidth="1"/>
    <col min="12" max="12" width="12.375" bestFit="1" customWidth="1"/>
    <col min="13" max="13" width="25.25" bestFit="1" customWidth="1"/>
    <col min="14" max="14" width="6.125" bestFit="1" customWidth="1"/>
    <col min="15" max="15" width="29.875" bestFit="1" customWidth="1"/>
    <col min="16" max="16" width="6.125" bestFit="1" customWidth="1"/>
    <col min="17" max="17" width="41" bestFit="1" customWidth="1"/>
    <col min="18" max="18" width="5.375" bestFit="1" customWidth="1"/>
    <col min="19" max="19" width="22" bestFit="1" customWidth="1"/>
    <col min="20" max="20" width="22" customWidth="1"/>
    <col min="21" max="21" width="27.625" bestFit="1" customWidth="1"/>
    <col min="22" max="22" width="6.125" bestFit="1" customWidth="1"/>
    <col min="23" max="23" width="35.125" bestFit="1" customWidth="1"/>
    <col min="24" max="24" width="5.875" bestFit="1" customWidth="1"/>
  </cols>
  <sheetData>
    <row r="4" spans="1:24" ht="62.25" customHeight="1">
      <c r="A4" s="30" t="s">
        <v>2</v>
      </c>
      <c r="B4" s="31" t="s">
        <v>151</v>
      </c>
      <c r="C4" s="34" t="s">
        <v>153</v>
      </c>
      <c r="D4" s="33" t="s">
        <v>153</v>
      </c>
      <c r="E4" s="31" t="s">
        <v>162</v>
      </c>
      <c r="F4" s="33" t="s">
        <v>158</v>
      </c>
      <c r="G4" s="32" t="s">
        <v>160</v>
      </c>
      <c r="H4" s="32"/>
      <c r="I4" s="32" t="s">
        <v>159</v>
      </c>
      <c r="J4" s="33" t="s">
        <v>150</v>
      </c>
      <c r="K4" s="34" t="s">
        <v>12</v>
      </c>
      <c r="L4" s="33" t="s">
        <v>150</v>
      </c>
      <c r="M4" s="34" t="s">
        <v>8</v>
      </c>
      <c r="N4" s="33" t="s">
        <v>150</v>
      </c>
      <c r="O4" s="34" t="s">
        <v>11</v>
      </c>
      <c r="P4" s="33" t="s">
        <v>138</v>
      </c>
      <c r="Q4" s="34" t="s">
        <v>9</v>
      </c>
      <c r="R4" s="33" t="s">
        <v>139</v>
      </c>
      <c r="S4" s="34" t="s">
        <v>154</v>
      </c>
      <c r="T4" s="34" t="s">
        <v>163</v>
      </c>
      <c r="U4" s="34" t="s">
        <v>10</v>
      </c>
      <c r="V4" s="33" t="s">
        <v>140</v>
      </c>
      <c r="W4" s="32" t="s">
        <v>161</v>
      </c>
      <c r="X4" s="35" t="s">
        <v>141</v>
      </c>
    </row>
    <row r="5" spans="1:24" ht="14.25">
      <c r="A5" s="36">
        <v>39538</v>
      </c>
      <c r="B5" s="37" t="s">
        <v>17</v>
      </c>
      <c r="C5" s="38">
        <v>1887107</v>
      </c>
      <c r="D5" s="39">
        <v>0.40222620754803801</v>
      </c>
      <c r="E5" s="46">
        <v>3.4500000000000003E-2</v>
      </c>
      <c r="F5" s="39">
        <v>2.567110632152059E-2</v>
      </c>
      <c r="G5" s="38">
        <v>4691656</v>
      </c>
      <c r="H5" s="38"/>
      <c r="I5" s="38">
        <v>669426</v>
      </c>
      <c r="J5" s="39">
        <v>0.14268437413143675</v>
      </c>
      <c r="K5" s="38">
        <v>591234</v>
      </c>
      <c r="L5" s="39">
        <v>0.12601819059197861</v>
      </c>
      <c r="M5" s="38">
        <v>302500</v>
      </c>
      <c r="N5" s="39">
        <v>6.4476167903188122E-2</v>
      </c>
      <c r="O5" s="38">
        <v>-214488</v>
      </c>
      <c r="P5" s="39">
        <v>-4.5716906780889306E-2</v>
      </c>
      <c r="Q5" s="38">
        <v>218723</v>
      </c>
      <c r="R5" s="39">
        <v>4.6619573131533941E-2</v>
      </c>
      <c r="S5" s="38">
        <v>120440</v>
      </c>
      <c r="T5" s="38">
        <f>S5*0.6+W5</f>
        <v>51390</v>
      </c>
      <c r="U5" s="38">
        <v>472857</v>
      </c>
      <c r="V5" s="39">
        <v>0.10078680107833993</v>
      </c>
      <c r="W5" s="38">
        <v>-20874</v>
      </c>
      <c r="X5" s="40">
        <v>-4.449175301855038E-3</v>
      </c>
    </row>
    <row r="6" spans="1:24" ht="14.25">
      <c r="A6" s="41">
        <v>39629</v>
      </c>
      <c r="B6" s="42" t="s">
        <v>18</v>
      </c>
      <c r="C6" s="43">
        <v>1917057</v>
      </c>
      <c r="D6" s="44">
        <f t="shared" ref="D6:D37" si="0">C6/$G6</f>
        <v>0.41172719685472969</v>
      </c>
      <c r="E6" s="47">
        <v>3.9900000000000005E-2</v>
      </c>
      <c r="F6" s="44">
        <f t="shared" ref="F6:F37" si="1">S6/$G6</f>
        <v>2.1734125349485215E-2</v>
      </c>
      <c r="G6" s="43">
        <v>4656134</v>
      </c>
      <c r="H6" s="43"/>
      <c r="I6" s="43">
        <v>670443</v>
      </c>
      <c r="J6" s="44">
        <f t="shared" ref="J6:J37" si="2">I6/$G6</f>
        <v>0.14399134560989868</v>
      </c>
      <c r="K6" s="43">
        <v>478841</v>
      </c>
      <c r="L6" s="44">
        <f t="shared" ref="L6:L37" si="3">K6/$G6</f>
        <v>0.10284089762021453</v>
      </c>
      <c r="M6" s="43">
        <v>289666</v>
      </c>
      <c r="N6" s="44">
        <f t="shared" ref="N6:N37" si="4">M6/$G6</f>
        <v>6.2211697515578375E-2</v>
      </c>
      <c r="O6" s="43">
        <v>-180487</v>
      </c>
      <c r="P6" s="44">
        <f t="shared" ref="P6:P37" si="5">O6/$G6</f>
        <v>-3.8763274424662174E-2</v>
      </c>
      <c r="Q6" s="43">
        <v>202106</v>
      </c>
      <c r="R6" s="44">
        <f t="shared" ref="R6:R37" si="6">Q6/$G6</f>
        <v>4.3406396809026547E-2</v>
      </c>
      <c r="S6" s="43">
        <v>101197</v>
      </c>
      <c r="T6" s="38">
        <f t="shared" ref="T6:T69" si="7">S6*0.6+W6</f>
        <v>13383.199999999997</v>
      </c>
      <c r="U6" s="43">
        <v>472553</v>
      </c>
      <c r="V6" s="44">
        <f t="shared" ref="V6:V37" si="8">U6/$G6</f>
        <v>0.10149042102310629</v>
      </c>
      <c r="W6" s="43">
        <v>-47335</v>
      </c>
      <c r="X6" s="45">
        <f t="shared" ref="X6:X37" si="9">W6/$G6</f>
        <v>-1.0166159307270797E-2</v>
      </c>
    </row>
    <row r="7" spans="1:24" ht="14.25">
      <c r="A7" s="36">
        <v>39721</v>
      </c>
      <c r="B7" s="37" t="s">
        <v>19</v>
      </c>
      <c r="C7" s="38">
        <v>2089983</v>
      </c>
      <c r="D7" s="39">
        <f t="shared" si="0"/>
        <v>0.40246181540255077</v>
      </c>
      <c r="E7" s="46">
        <v>3.85E-2</v>
      </c>
      <c r="F7" s="39">
        <f t="shared" si="1"/>
        <v>2.2482007981133052E-2</v>
      </c>
      <c r="G7" s="38">
        <v>5192997</v>
      </c>
      <c r="H7" s="38"/>
      <c r="I7" s="38">
        <v>743896</v>
      </c>
      <c r="J7" s="39">
        <f t="shared" si="2"/>
        <v>0.14324984204689509</v>
      </c>
      <c r="K7" s="38">
        <v>476627</v>
      </c>
      <c r="L7" s="39">
        <f t="shared" si="3"/>
        <v>9.1782644973605804E-2</v>
      </c>
      <c r="M7" s="38">
        <v>470378</v>
      </c>
      <c r="N7" s="39">
        <f t="shared" si="4"/>
        <v>9.057929361407295E-2</v>
      </c>
      <c r="O7" s="38">
        <v>-70117</v>
      </c>
      <c r="P7" s="39">
        <f t="shared" si="5"/>
        <v>-1.3502222319789517E-2</v>
      </c>
      <c r="Q7" s="38">
        <v>225306</v>
      </c>
      <c r="R7" s="39">
        <f t="shared" si="6"/>
        <v>4.3386506866843942E-2</v>
      </c>
      <c r="S7" s="38">
        <v>116749</v>
      </c>
      <c r="T7" s="38">
        <f t="shared" si="7"/>
        <v>33560.399999999994</v>
      </c>
      <c r="U7" s="38">
        <v>479686</v>
      </c>
      <c r="V7" s="39">
        <f t="shared" si="8"/>
        <v>9.2371707513021858E-2</v>
      </c>
      <c r="W7" s="38">
        <v>-36489</v>
      </c>
      <c r="X7" s="40">
        <f t="shared" si="9"/>
        <v>-7.0265782938060623E-3</v>
      </c>
    </row>
    <row r="8" spans="1:24" ht="14.25">
      <c r="A8" s="41">
        <v>39813</v>
      </c>
      <c r="B8" s="42" t="s">
        <v>20</v>
      </c>
      <c r="C8" s="43">
        <v>2400516</v>
      </c>
      <c r="D8" s="44">
        <f t="shared" si="0"/>
        <v>0.41696944010435893</v>
      </c>
      <c r="E8" s="47">
        <v>2.2499999999999999E-2</v>
      </c>
      <c r="F8" s="44">
        <f t="shared" si="1"/>
        <v>1.7765680543263874E-2</v>
      </c>
      <c r="G8" s="43">
        <v>5757055</v>
      </c>
      <c r="H8" s="43"/>
      <c r="I8" s="43">
        <v>852458</v>
      </c>
      <c r="J8" s="44">
        <f t="shared" si="2"/>
        <v>0.14807188744939903</v>
      </c>
      <c r="K8" s="43">
        <v>475921</v>
      </c>
      <c r="L8" s="44">
        <f t="shared" si="3"/>
        <v>8.2667440210315871E-2</v>
      </c>
      <c r="M8" s="43">
        <v>590959</v>
      </c>
      <c r="N8" s="44">
        <f t="shared" si="4"/>
        <v>0.10264953174843736</v>
      </c>
      <c r="O8" s="43">
        <v>78316</v>
      </c>
      <c r="P8" s="44">
        <f t="shared" si="5"/>
        <v>1.3603483030820445E-2</v>
      </c>
      <c r="Q8" s="43">
        <v>232885</v>
      </c>
      <c r="R8" s="44">
        <f t="shared" si="6"/>
        <v>4.0452106154969858E-2</v>
      </c>
      <c r="S8" s="43">
        <v>102278</v>
      </c>
      <c r="T8" s="38">
        <f t="shared" si="7"/>
        <v>92074.799999999988</v>
      </c>
      <c r="U8" s="43">
        <v>503153</v>
      </c>
      <c r="V8" s="44">
        <f t="shared" si="8"/>
        <v>8.739763646517186E-2</v>
      </c>
      <c r="W8" s="43">
        <v>30708</v>
      </c>
      <c r="X8" s="45">
        <f t="shared" si="9"/>
        <v>5.3339771810413487E-3</v>
      </c>
    </row>
    <row r="9" spans="1:24" ht="14.25">
      <c r="A9" s="36">
        <v>39903</v>
      </c>
      <c r="B9" s="37" t="s">
        <v>21</v>
      </c>
      <c r="C9" s="38">
        <v>2536022</v>
      </c>
      <c r="D9" s="39">
        <f t="shared" si="0"/>
        <v>0.40724870716518657</v>
      </c>
      <c r="E9" s="46">
        <v>2.7099999999999999E-2</v>
      </c>
      <c r="F9" s="39">
        <f t="shared" si="1"/>
        <v>2.0174534104936612E-2</v>
      </c>
      <c r="G9" s="38">
        <v>6227207</v>
      </c>
      <c r="H9" s="38"/>
      <c r="I9" s="38">
        <v>881817</v>
      </c>
      <c r="J9" s="39">
        <f t="shared" si="2"/>
        <v>0.14160714426226717</v>
      </c>
      <c r="K9" s="38">
        <v>492323</v>
      </c>
      <c r="L9" s="39">
        <f t="shared" si="3"/>
        <v>7.9060002341338587E-2</v>
      </c>
      <c r="M9" s="38">
        <v>532664</v>
      </c>
      <c r="N9" s="39">
        <f t="shared" si="4"/>
        <v>8.553818750524915E-2</v>
      </c>
      <c r="O9" s="38">
        <v>256317</v>
      </c>
      <c r="P9" s="39">
        <f t="shared" si="5"/>
        <v>4.1160828602614302E-2</v>
      </c>
      <c r="Q9" s="38">
        <v>268316</v>
      </c>
      <c r="R9" s="39">
        <f t="shared" si="6"/>
        <v>4.3087695655532249E-2</v>
      </c>
      <c r="S9" s="38">
        <v>125631</v>
      </c>
      <c r="T9" s="38">
        <f t="shared" si="7"/>
        <v>143247.59999999998</v>
      </c>
      <c r="U9" s="38">
        <v>522119</v>
      </c>
      <c r="V9" s="39">
        <f t="shared" si="8"/>
        <v>8.3844811967869387E-2</v>
      </c>
      <c r="W9" s="38">
        <v>67869</v>
      </c>
      <c r="X9" s="40">
        <f t="shared" si="9"/>
        <v>1.0898786566754566E-2</v>
      </c>
    </row>
    <row r="10" spans="1:24" ht="14.25">
      <c r="A10" s="41">
        <v>39994</v>
      </c>
      <c r="B10" s="42" t="s">
        <v>22</v>
      </c>
      <c r="C10" s="43">
        <v>2634733</v>
      </c>
      <c r="D10" s="44">
        <f t="shared" si="0"/>
        <v>0.40091448198121432</v>
      </c>
      <c r="E10" s="47">
        <v>3.5299999999999998E-2</v>
      </c>
      <c r="F10" s="44">
        <f t="shared" si="1"/>
        <v>2.0430755128573445E-2</v>
      </c>
      <c r="G10" s="43">
        <v>6571808</v>
      </c>
      <c r="H10" s="43"/>
      <c r="I10" s="43">
        <v>827250</v>
      </c>
      <c r="J10" s="44">
        <f t="shared" si="2"/>
        <v>0.12587860144422966</v>
      </c>
      <c r="K10" s="43">
        <v>656466</v>
      </c>
      <c r="L10" s="44">
        <f t="shared" si="3"/>
        <v>9.9891232367105065E-2</v>
      </c>
      <c r="M10" s="43">
        <v>500464</v>
      </c>
      <c r="N10" s="44">
        <f t="shared" si="4"/>
        <v>7.6153168199679599E-2</v>
      </c>
      <c r="O10" s="43">
        <v>185497</v>
      </c>
      <c r="P10" s="44">
        <f t="shared" si="5"/>
        <v>2.8226174593049585E-2</v>
      </c>
      <c r="Q10" s="43">
        <v>292868</v>
      </c>
      <c r="R10" s="44">
        <f t="shared" si="6"/>
        <v>4.4564296461491265E-2</v>
      </c>
      <c r="S10" s="43">
        <v>134267</v>
      </c>
      <c r="T10" s="38">
        <f t="shared" si="7"/>
        <v>151918.20000000001</v>
      </c>
      <c r="U10" s="43">
        <v>527941</v>
      </c>
      <c r="V10" s="44">
        <f t="shared" si="8"/>
        <v>8.0334209398692111E-2</v>
      </c>
      <c r="W10" s="43">
        <v>71358</v>
      </c>
      <c r="X10" s="45">
        <f t="shared" si="9"/>
        <v>1.085819914397986E-2</v>
      </c>
    </row>
    <row r="11" spans="1:24" ht="14.25">
      <c r="A11" s="36">
        <v>40086</v>
      </c>
      <c r="B11" s="37" t="s">
        <v>23</v>
      </c>
      <c r="C11" s="38">
        <v>2778554</v>
      </c>
      <c r="D11" s="39">
        <f t="shared" si="0"/>
        <v>0.39871438097584616</v>
      </c>
      <c r="E11" s="46">
        <v>3.3099999999999997E-2</v>
      </c>
      <c r="F11" s="39">
        <f t="shared" si="1"/>
        <v>2.790630731362994E-2</v>
      </c>
      <c r="G11" s="38">
        <v>6968783</v>
      </c>
      <c r="H11" s="38"/>
      <c r="I11" s="38">
        <v>807303</v>
      </c>
      <c r="J11" s="39">
        <f t="shared" si="2"/>
        <v>0.11584562182521682</v>
      </c>
      <c r="K11" s="38">
        <v>769160</v>
      </c>
      <c r="L11" s="39">
        <f t="shared" si="3"/>
        <v>0.11037221276656196</v>
      </c>
      <c r="M11" s="38">
        <v>435474</v>
      </c>
      <c r="N11" s="39">
        <f t="shared" si="4"/>
        <v>6.2489246687692818E-2</v>
      </c>
      <c r="O11" s="38">
        <v>356436</v>
      </c>
      <c r="P11" s="39">
        <f t="shared" si="5"/>
        <v>5.1147524610825161E-2</v>
      </c>
      <c r="Q11" s="38">
        <v>327389</v>
      </c>
      <c r="R11" s="39">
        <f t="shared" si="6"/>
        <v>4.697936497663939E-2</v>
      </c>
      <c r="S11" s="38">
        <v>194473</v>
      </c>
      <c r="T11" s="38">
        <f t="shared" si="7"/>
        <v>139111.79999999999</v>
      </c>
      <c r="U11" s="38">
        <v>542165</v>
      </c>
      <c r="V11" s="39">
        <f t="shared" si="8"/>
        <v>7.7799093471557376E-2</v>
      </c>
      <c r="W11" s="38">
        <v>22428</v>
      </c>
      <c r="X11" s="40">
        <f t="shared" si="9"/>
        <v>3.218352472734479E-3</v>
      </c>
    </row>
    <row r="12" spans="1:24" ht="14.25">
      <c r="A12" s="41">
        <v>40178</v>
      </c>
      <c r="B12" s="42" t="s">
        <v>24</v>
      </c>
      <c r="C12" s="43">
        <v>2879612</v>
      </c>
      <c r="D12" s="44">
        <f t="shared" si="0"/>
        <v>0.39813850699235098</v>
      </c>
      <c r="E12" s="47">
        <v>3.85E-2</v>
      </c>
      <c r="F12" s="44">
        <f t="shared" si="1"/>
        <v>2.725625282657667E-2</v>
      </c>
      <c r="G12" s="43">
        <v>7232689</v>
      </c>
      <c r="H12" s="43"/>
      <c r="I12" s="43">
        <v>790985</v>
      </c>
      <c r="J12" s="44">
        <f t="shared" si="2"/>
        <v>0.10936250680763407</v>
      </c>
      <c r="K12" s="43">
        <v>776588</v>
      </c>
      <c r="L12" s="44">
        <f t="shared" si="3"/>
        <v>0.10737196082950615</v>
      </c>
      <c r="M12" s="43">
        <v>414572</v>
      </c>
      <c r="N12" s="44">
        <f t="shared" si="4"/>
        <v>5.7319207282381421E-2</v>
      </c>
      <c r="O12" s="43">
        <v>431973</v>
      </c>
      <c r="P12" s="44">
        <f t="shared" si="5"/>
        <v>5.9725089797169492E-2</v>
      </c>
      <c r="Q12" s="43">
        <v>335096</v>
      </c>
      <c r="R12" s="44">
        <f t="shared" si="6"/>
        <v>4.6330763012207496E-2</v>
      </c>
      <c r="S12" s="43">
        <v>197136</v>
      </c>
      <c r="T12" s="38">
        <f t="shared" si="7"/>
        <v>160464.59999999998</v>
      </c>
      <c r="U12" s="43">
        <v>553723</v>
      </c>
      <c r="V12" s="44">
        <f t="shared" si="8"/>
        <v>7.6558386514337884E-2</v>
      </c>
      <c r="W12" s="43">
        <v>42183</v>
      </c>
      <c r="X12" s="45">
        <f t="shared" si="9"/>
        <v>5.8322706810703465E-3</v>
      </c>
    </row>
    <row r="13" spans="1:24" ht="14.25">
      <c r="A13" s="36">
        <v>40268</v>
      </c>
      <c r="B13" s="37" t="s">
        <v>25</v>
      </c>
      <c r="C13" s="38">
        <v>2984062</v>
      </c>
      <c r="D13" s="39">
        <f t="shared" si="0"/>
        <v>0.38678718864051403</v>
      </c>
      <c r="E13" s="46">
        <v>3.8399999999999997E-2</v>
      </c>
      <c r="F13" s="39">
        <f t="shared" si="1"/>
        <v>3.4210512330724176E-2</v>
      </c>
      <c r="G13" s="38">
        <v>7714997</v>
      </c>
      <c r="H13" s="38"/>
      <c r="I13" s="38">
        <v>877640</v>
      </c>
      <c r="J13" s="39">
        <f t="shared" si="2"/>
        <v>0.11375765927063873</v>
      </c>
      <c r="K13" s="38">
        <v>776705</v>
      </c>
      <c r="L13" s="39">
        <f t="shared" si="3"/>
        <v>0.10067469890137352</v>
      </c>
      <c r="M13" s="38">
        <v>379203</v>
      </c>
      <c r="N13" s="39">
        <f t="shared" si="4"/>
        <v>4.9151412502169478E-2</v>
      </c>
      <c r="O13" s="38">
        <v>523689</v>
      </c>
      <c r="P13" s="39">
        <f t="shared" si="5"/>
        <v>6.7879352383416358E-2</v>
      </c>
      <c r="Q13" s="38">
        <v>390166</v>
      </c>
      <c r="R13" s="39">
        <f t="shared" si="6"/>
        <v>5.0572411110464462E-2</v>
      </c>
      <c r="S13" s="38">
        <v>263934</v>
      </c>
      <c r="T13" s="38">
        <f t="shared" si="7"/>
        <v>229894.39999999999</v>
      </c>
      <c r="U13" s="38">
        <v>576896</v>
      </c>
      <c r="V13" s="39">
        <f t="shared" si="8"/>
        <v>7.4775920198024703E-2</v>
      </c>
      <c r="W13" s="38">
        <v>71534</v>
      </c>
      <c r="X13" s="40">
        <f t="shared" si="9"/>
        <v>9.27207100663811E-3</v>
      </c>
    </row>
    <row r="14" spans="1:24" ht="14.25">
      <c r="A14" s="41">
        <v>40359</v>
      </c>
      <c r="B14" s="42" t="s">
        <v>26</v>
      </c>
      <c r="C14" s="43">
        <v>3077445</v>
      </c>
      <c r="D14" s="44">
        <f t="shared" si="0"/>
        <v>0.3818440961318843</v>
      </c>
      <c r="E14" s="47">
        <v>2.9700000000000001E-2</v>
      </c>
      <c r="F14" s="44">
        <f t="shared" si="1"/>
        <v>3.2405897788279764E-2</v>
      </c>
      <c r="G14" s="43">
        <v>8059428</v>
      </c>
      <c r="H14" s="43"/>
      <c r="I14" s="43">
        <v>992290</v>
      </c>
      <c r="J14" s="44">
        <f t="shared" si="2"/>
        <v>0.12312164089064385</v>
      </c>
      <c r="K14" s="43">
        <v>776989</v>
      </c>
      <c r="L14" s="44">
        <f t="shared" si="3"/>
        <v>9.6407462167290278E-2</v>
      </c>
      <c r="M14" s="43">
        <v>356585</v>
      </c>
      <c r="N14" s="44">
        <f t="shared" si="4"/>
        <v>4.4244455065545592E-2</v>
      </c>
      <c r="O14" s="43">
        <v>778573</v>
      </c>
      <c r="P14" s="44">
        <f t="shared" si="5"/>
        <v>9.6604002169881034E-2</v>
      </c>
      <c r="Q14" s="43">
        <v>453592</v>
      </c>
      <c r="R14" s="44">
        <f t="shared" si="6"/>
        <v>5.6280917206531285E-2</v>
      </c>
      <c r="S14" s="43">
        <v>261173</v>
      </c>
      <c r="T14" s="38">
        <f t="shared" si="7"/>
        <v>211244.79999999999</v>
      </c>
      <c r="U14" s="43">
        <v>600436</v>
      </c>
      <c r="V14" s="44">
        <f t="shared" si="8"/>
        <v>7.4501068810342366E-2</v>
      </c>
      <c r="W14" s="43">
        <v>54541</v>
      </c>
      <c r="X14" s="45">
        <f t="shared" si="9"/>
        <v>6.7673537129433999E-3</v>
      </c>
    </row>
    <row r="15" spans="1:24" ht="14.25">
      <c r="A15" s="36">
        <v>40451</v>
      </c>
      <c r="B15" s="37" t="s">
        <v>27</v>
      </c>
      <c r="C15" s="38">
        <v>3332090</v>
      </c>
      <c r="D15" s="39">
        <f t="shared" si="0"/>
        <v>0.39399670243599738</v>
      </c>
      <c r="E15" s="46">
        <v>2.53E-2</v>
      </c>
      <c r="F15" s="39">
        <f t="shared" si="1"/>
        <v>3.6267410116313389E-2</v>
      </c>
      <c r="G15" s="38">
        <v>8457152</v>
      </c>
      <c r="H15" s="38"/>
      <c r="I15" s="38">
        <v>1077090</v>
      </c>
      <c r="J15" s="39">
        <f t="shared" si="2"/>
        <v>0.12735847718002466</v>
      </c>
      <c r="K15" s="38">
        <v>811669</v>
      </c>
      <c r="L15" s="39">
        <f t="shared" si="3"/>
        <v>9.5974271244031087E-2</v>
      </c>
      <c r="M15" s="38">
        <v>314578</v>
      </c>
      <c r="N15" s="39">
        <f t="shared" si="4"/>
        <v>3.7196682760342964E-2</v>
      </c>
      <c r="O15" s="38">
        <v>777589</v>
      </c>
      <c r="P15" s="39">
        <f t="shared" si="5"/>
        <v>9.1944545870761216E-2</v>
      </c>
      <c r="Q15" s="38">
        <v>473267</v>
      </c>
      <c r="R15" s="39">
        <f t="shared" si="6"/>
        <v>5.5960564502092427E-2</v>
      </c>
      <c r="S15" s="38">
        <v>306719</v>
      </c>
      <c r="T15" s="38">
        <f t="shared" si="7"/>
        <v>255649.4</v>
      </c>
      <c r="U15" s="38">
        <v>620657</v>
      </c>
      <c r="V15" s="39">
        <f t="shared" si="8"/>
        <v>7.3388417282792121E-2</v>
      </c>
      <c r="W15" s="38">
        <v>71618</v>
      </c>
      <c r="X15" s="40">
        <f t="shared" si="9"/>
        <v>8.4683354396373634E-3</v>
      </c>
    </row>
    <row r="16" spans="1:24" ht="14.25">
      <c r="A16" s="41">
        <v>40543</v>
      </c>
      <c r="B16" s="42" t="s">
        <v>28</v>
      </c>
      <c r="C16" s="43">
        <v>3364758</v>
      </c>
      <c r="D16" s="44">
        <f t="shared" si="0"/>
        <v>0.38137673187525489</v>
      </c>
      <c r="E16" s="47">
        <v>3.3000000000000002E-2</v>
      </c>
      <c r="F16" s="44">
        <f t="shared" si="1"/>
        <v>3.3951204296390362E-2</v>
      </c>
      <c r="G16" s="43">
        <v>8822662</v>
      </c>
      <c r="H16" s="43"/>
      <c r="I16" s="43">
        <v>1094066</v>
      </c>
      <c r="J16" s="44">
        <f t="shared" si="2"/>
        <v>0.12400633731633377</v>
      </c>
      <c r="K16" s="43">
        <v>1021493</v>
      </c>
      <c r="L16" s="44">
        <f t="shared" si="3"/>
        <v>0.11578058867040356</v>
      </c>
      <c r="M16" s="43">
        <v>380546</v>
      </c>
      <c r="N16" s="44">
        <f t="shared" si="4"/>
        <v>4.3132786907171553E-2</v>
      </c>
      <c r="O16" s="43">
        <v>653847</v>
      </c>
      <c r="P16" s="44">
        <f t="shared" si="5"/>
        <v>7.4109945501709115E-2</v>
      </c>
      <c r="Q16" s="43">
        <v>475387</v>
      </c>
      <c r="R16" s="44">
        <f t="shared" si="6"/>
        <v>5.3882490341350488E-2</v>
      </c>
      <c r="S16" s="43">
        <v>299540</v>
      </c>
      <c r="T16" s="38">
        <f t="shared" si="7"/>
        <v>231655</v>
      </c>
      <c r="U16" s="43">
        <v>637649</v>
      </c>
      <c r="V16" s="44">
        <f t="shared" si="8"/>
        <v>7.2273991681875607E-2</v>
      </c>
      <c r="W16" s="43">
        <v>51931</v>
      </c>
      <c r="X16" s="45">
        <f t="shared" si="9"/>
        <v>5.8860919754151302E-3</v>
      </c>
    </row>
    <row r="17" spans="1:24" ht="14.25">
      <c r="A17" s="36">
        <v>40633</v>
      </c>
      <c r="B17" s="37" t="s">
        <v>29</v>
      </c>
      <c r="C17" s="38">
        <v>3402420</v>
      </c>
      <c r="D17" s="39">
        <f t="shared" si="0"/>
        <v>0.37427007369526277</v>
      </c>
      <c r="E17" s="46">
        <v>3.4700000000000002E-2</v>
      </c>
      <c r="F17" s="39">
        <f t="shared" si="1"/>
        <v>3.3509096819152082E-2</v>
      </c>
      <c r="G17" s="38">
        <v>9090815</v>
      </c>
      <c r="H17" s="38"/>
      <c r="I17" s="38">
        <v>1138460</v>
      </c>
      <c r="J17" s="39">
        <f t="shared" si="2"/>
        <v>0.12523189615012514</v>
      </c>
      <c r="K17" s="38">
        <v>1340446</v>
      </c>
      <c r="L17" s="39">
        <f t="shared" si="3"/>
        <v>0.14745058611356626</v>
      </c>
      <c r="M17" s="38">
        <v>369324</v>
      </c>
      <c r="N17" s="39">
        <f t="shared" si="4"/>
        <v>4.0626060479725966E-2</v>
      </c>
      <c r="O17" s="38">
        <v>487290</v>
      </c>
      <c r="P17" s="39">
        <f t="shared" si="5"/>
        <v>5.3602454785407032E-2</v>
      </c>
      <c r="Q17" s="38">
        <v>459125</v>
      </c>
      <c r="R17" s="39">
        <f t="shared" si="6"/>
        <v>5.0504272719222643E-2</v>
      </c>
      <c r="S17" s="38">
        <v>304625</v>
      </c>
      <c r="T17" s="38">
        <f t="shared" si="7"/>
        <v>244687</v>
      </c>
      <c r="U17" s="38">
        <v>658008</v>
      </c>
      <c r="V17" s="39">
        <f t="shared" si="8"/>
        <v>7.2381629149861695E-2</v>
      </c>
      <c r="W17" s="38">
        <v>61912</v>
      </c>
      <c r="X17" s="40">
        <f t="shared" si="9"/>
        <v>6.8103904875415457E-3</v>
      </c>
    </row>
    <row r="18" spans="1:24" ht="14.25">
      <c r="A18" s="41">
        <v>40724</v>
      </c>
      <c r="B18" s="42" t="s">
        <v>30</v>
      </c>
      <c r="C18" s="43">
        <v>3514579</v>
      </c>
      <c r="D18" s="44">
        <f t="shared" si="0"/>
        <v>0.37810931303885686</v>
      </c>
      <c r="E18" s="47">
        <v>3.1800000000000002E-2</v>
      </c>
      <c r="F18" s="44">
        <f t="shared" si="1"/>
        <v>2.9082294618478045E-2</v>
      </c>
      <c r="G18" s="43">
        <v>9295140</v>
      </c>
      <c r="H18" s="43"/>
      <c r="I18" s="43">
        <v>1175983</v>
      </c>
      <c r="J18" s="44">
        <f t="shared" si="2"/>
        <v>0.12651589970672847</v>
      </c>
      <c r="K18" s="43">
        <v>1619538</v>
      </c>
      <c r="L18" s="44">
        <f t="shared" si="3"/>
        <v>0.17423492276609068</v>
      </c>
      <c r="M18" s="43">
        <v>363175</v>
      </c>
      <c r="N18" s="44">
        <f t="shared" si="4"/>
        <v>3.907149327498026E-2</v>
      </c>
      <c r="O18" s="43">
        <v>355466</v>
      </c>
      <c r="P18" s="44">
        <f t="shared" si="5"/>
        <v>3.8242135137286797E-2</v>
      </c>
      <c r="Q18" s="43">
        <v>464015</v>
      </c>
      <c r="R18" s="44">
        <f t="shared" si="6"/>
        <v>4.9920173337894856E-2</v>
      </c>
      <c r="S18" s="43">
        <v>270324</v>
      </c>
      <c r="T18" s="38">
        <f t="shared" si="7"/>
        <v>233282.4</v>
      </c>
      <c r="U18" s="43">
        <v>685186</v>
      </c>
      <c r="V18" s="44">
        <f t="shared" si="8"/>
        <v>7.371443571586872E-2</v>
      </c>
      <c r="W18" s="43">
        <v>71088</v>
      </c>
      <c r="X18" s="45">
        <f t="shared" si="9"/>
        <v>7.647867595324008E-3</v>
      </c>
    </row>
    <row r="19" spans="1:24" ht="14.25">
      <c r="A19" s="36">
        <v>40816</v>
      </c>
      <c r="B19" s="37" t="s">
        <v>31</v>
      </c>
      <c r="C19" s="38">
        <v>3639140</v>
      </c>
      <c r="D19" s="39">
        <f t="shared" si="0"/>
        <v>0.37953802435687256</v>
      </c>
      <c r="E19" s="46">
        <v>1.9199999999999998E-2</v>
      </c>
      <c r="F19" s="39">
        <f t="shared" si="1"/>
        <v>2.8508685704857598E-2</v>
      </c>
      <c r="G19" s="38">
        <v>9588341</v>
      </c>
      <c r="H19" s="38"/>
      <c r="I19" s="38">
        <v>1335259</v>
      </c>
      <c r="J19" s="39">
        <f t="shared" si="2"/>
        <v>0.13925860584224112</v>
      </c>
      <c r="K19" s="38">
        <v>1664660</v>
      </c>
      <c r="L19" s="39">
        <f t="shared" si="3"/>
        <v>0.17361293262306796</v>
      </c>
      <c r="M19" s="38">
        <v>402652</v>
      </c>
      <c r="N19" s="39">
        <f t="shared" si="4"/>
        <v>4.1993917404481128E-2</v>
      </c>
      <c r="O19" s="38">
        <v>518307</v>
      </c>
      <c r="P19" s="39">
        <f t="shared" si="5"/>
        <v>5.4055962340096166E-2</v>
      </c>
      <c r="Q19" s="38">
        <v>467701</v>
      </c>
      <c r="R19" s="39">
        <f t="shared" si="6"/>
        <v>4.8778094145796438E-2</v>
      </c>
      <c r="S19" s="38">
        <v>273351</v>
      </c>
      <c r="T19" s="38">
        <f t="shared" si="7"/>
        <v>243325.6</v>
      </c>
      <c r="U19" s="38">
        <v>701709</v>
      </c>
      <c r="V19" s="39">
        <f t="shared" si="8"/>
        <v>7.3183567417971468E-2</v>
      </c>
      <c r="W19" s="38">
        <v>79315</v>
      </c>
      <c r="X19" s="40">
        <f t="shared" si="9"/>
        <v>8.2720253691436294E-3</v>
      </c>
    </row>
    <row r="20" spans="1:24" ht="14.25">
      <c r="A20" s="41">
        <v>40908</v>
      </c>
      <c r="B20" s="42" t="s">
        <v>32</v>
      </c>
      <c r="C20" s="43">
        <v>3620580</v>
      </c>
      <c r="D20" s="44">
        <f t="shared" si="0"/>
        <v>0.36549050406896366</v>
      </c>
      <c r="E20" s="47">
        <v>1.89E-2</v>
      </c>
      <c r="F20" s="44">
        <f t="shared" si="1"/>
        <v>2.5516437623945284E-2</v>
      </c>
      <c r="G20" s="43">
        <v>9906085</v>
      </c>
      <c r="H20" s="43"/>
      <c r="I20" s="43">
        <v>1383774</v>
      </c>
      <c r="J20" s="44">
        <f t="shared" si="2"/>
        <v>0.13968929198568356</v>
      </c>
      <c r="K20" s="43">
        <v>1663446</v>
      </c>
      <c r="L20" s="44">
        <f t="shared" si="3"/>
        <v>0.16792163604491583</v>
      </c>
      <c r="M20" s="43">
        <v>496874</v>
      </c>
      <c r="N20" s="44">
        <f t="shared" si="4"/>
        <v>5.015846320721052E-2</v>
      </c>
      <c r="O20" s="43">
        <v>540699</v>
      </c>
      <c r="P20" s="44">
        <f t="shared" si="5"/>
        <v>5.4582511658238346E-2</v>
      </c>
      <c r="Q20" s="43">
        <v>537702</v>
      </c>
      <c r="R20" s="44">
        <f t="shared" si="6"/>
        <v>5.4279970341461842E-2</v>
      </c>
      <c r="S20" s="43">
        <v>252768</v>
      </c>
      <c r="T20" s="38">
        <f t="shared" si="7"/>
        <v>309339.8</v>
      </c>
      <c r="U20" s="43">
        <v>722743</v>
      </c>
      <c r="V20" s="44">
        <f t="shared" si="8"/>
        <v>7.2959499136137029E-2</v>
      </c>
      <c r="W20" s="43">
        <v>157679</v>
      </c>
      <c r="X20" s="45">
        <f t="shared" si="9"/>
        <v>1.5917388150818411E-2</v>
      </c>
    </row>
    <row r="21" spans="1:24" ht="14.25">
      <c r="A21" s="36">
        <v>40999</v>
      </c>
      <c r="B21" s="37" t="s">
        <v>33</v>
      </c>
      <c r="C21" s="38">
        <v>3722551</v>
      </c>
      <c r="D21" s="39">
        <f t="shared" si="0"/>
        <v>0.36117805790645535</v>
      </c>
      <c r="E21" s="46">
        <v>2.23E-2</v>
      </c>
      <c r="F21" s="39">
        <f t="shared" si="1"/>
        <v>2.7331853906180568E-2</v>
      </c>
      <c r="G21" s="38">
        <v>10306692</v>
      </c>
      <c r="H21" s="38"/>
      <c r="I21" s="38">
        <v>1422509</v>
      </c>
      <c r="J21" s="39">
        <f t="shared" si="2"/>
        <v>0.13801799840336745</v>
      </c>
      <c r="K21" s="38">
        <v>1892042</v>
      </c>
      <c r="L21" s="39">
        <f t="shared" si="3"/>
        <v>0.1835741283430222</v>
      </c>
      <c r="M21" s="38">
        <v>544720</v>
      </c>
      <c r="N21" s="39">
        <f t="shared" si="4"/>
        <v>5.2851099072330869E-2</v>
      </c>
      <c r="O21" s="38">
        <v>498455</v>
      </c>
      <c r="P21" s="39">
        <f t="shared" si="5"/>
        <v>4.836226793232979E-2</v>
      </c>
      <c r="Q21" s="38">
        <v>593925</v>
      </c>
      <c r="R21" s="39">
        <f t="shared" si="6"/>
        <v>5.7625181775103014E-2</v>
      </c>
      <c r="S21" s="38">
        <v>281701</v>
      </c>
      <c r="T21" s="38">
        <f t="shared" si="7"/>
        <v>327692.59999999998</v>
      </c>
      <c r="U21" s="38">
        <v>767575</v>
      </c>
      <c r="V21" s="39">
        <f t="shared" si="8"/>
        <v>7.4473458603400586E-2</v>
      </c>
      <c r="W21" s="38">
        <v>158672</v>
      </c>
      <c r="X21" s="40">
        <f t="shared" si="9"/>
        <v>1.5395046247622418E-2</v>
      </c>
    </row>
    <row r="22" spans="1:24" ht="14.25">
      <c r="A22" s="41">
        <v>41090</v>
      </c>
      <c r="B22" s="42" t="s">
        <v>34</v>
      </c>
      <c r="C22" s="43">
        <v>3857872</v>
      </c>
      <c r="D22" s="44">
        <f t="shared" si="0"/>
        <v>0.36774742368082203</v>
      </c>
      <c r="E22" s="47">
        <v>1.67E-2</v>
      </c>
      <c r="F22" s="44">
        <f t="shared" si="1"/>
        <v>2.8331408425946863E-2</v>
      </c>
      <c r="G22" s="43">
        <v>10490548</v>
      </c>
      <c r="H22" s="43"/>
      <c r="I22" s="43">
        <v>1452999</v>
      </c>
      <c r="J22" s="44">
        <f t="shared" si="2"/>
        <v>0.13850553850952305</v>
      </c>
      <c r="K22" s="43">
        <v>1964773</v>
      </c>
      <c r="L22" s="44">
        <f t="shared" si="3"/>
        <v>0.18728983462065091</v>
      </c>
      <c r="M22" s="43">
        <v>489640</v>
      </c>
      <c r="N22" s="44">
        <f t="shared" si="4"/>
        <v>4.6674396799862121E-2</v>
      </c>
      <c r="O22" s="43">
        <v>666429</v>
      </c>
      <c r="P22" s="44">
        <f t="shared" si="5"/>
        <v>6.3526614624898531E-2</v>
      </c>
      <c r="Q22" s="43">
        <v>611397</v>
      </c>
      <c r="R22" s="44">
        <f t="shared" si="6"/>
        <v>5.8280749489921783E-2</v>
      </c>
      <c r="S22" s="43">
        <v>297212</v>
      </c>
      <c r="T22" s="38">
        <f t="shared" si="7"/>
        <v>350237.19999999995</v>
      </c>
      <c r="U22" s="43">
        <v>790165</v>
      </c>
      <c r="V22" s="44">
        <f t="shared" si="8"/>
        <v>7.5321613322773984E-2</v>
      </c>
      <c r="W22" s="43">
        <v>171910</v>
      </c>
      <c r="X22" s="45">
        <f t="shared" si="9"/>
        <v>1.6387132492983209E-2</v>
      </c>
    </row>
    <row r="23" spans="1:24" ht="14.25">
      <c r="A23" s="36">
        <v>41182</v>
      </c>
      <c r="B23" s="37" t="s">
        <v>35</v>
      </c>
      <c r="C23" s="38">
        <v>3958112</v>
      </c>
      <c r="D23" s="39">
        <f t="shared" si="0"/>
        <v>0.36911819617284314</v>
      </c>
      <c r="E23" s="46">
        <v>1.6500000000000001E-2</v>
      </c>
      <c r="F23" s="39">
        <f t="shared" si="1"/>
        <v>3.0836630559137625E-2</v>
      </c>
      <c r="G23" s="38">
        <v>10723156</v>
      </c>
      <c r="H23" s="38"/>
      <c r="I23" s="38">
        <v>1514604</v>
      </c>
      <c r="J23" s="39">
        <f t="shared" si="2"/>
        <v>0.14124610329272463</v>
      </c>
      <c r="K23" s="38">
        <v>1967526</v>
      </c>
      <c r="L23" s="39">
        <f t="shared" si="3"/>
        <v>0.18348385493972111</v>
      </c>
      <c r="M23" s="38">
        <v>513720</v>
      </c>
      <c r="N23" s="39">
        <f t="shared" si="4"/>
        <v>4.790753766894746E-2</v>
      </c>
      <c r="O23" s="38">
        <v>584341</v>
      </c>
      <c r="P23" s="39">
        <f t="shared" si="5"/>
        <v>5.4493378628456025E-2</v>
      </c>
      <c r="Q23" s="38">
        <v>678827</v>
      </c>
      <c r="R23" s="39">
        <f t="shared" si="6"/>
        <v>6.3304777063767415E-2</v>
      </c>
      <c r="S23" s="38">
        <v>330666</v>
      </c>
      <c r="T23" s="38">
        <f t="shared" si="7"/>
        <v>352385.6</v>
      </c>
      <c r="U23" s="38">
        <v>792110</v>
      </c>
      <c r="V23" s="39">
        <f t="shared" si="8"/>
        <v>7.3869110922194919E-2</v>
      </c>
      <c r="W23" s="38">
        <v>153986</v>
      </c>
      <c r="X23" s="40">
        <f t="shared" si="9"/>
        <v>1.4360138004147286E-2</v>
      </c>
    </row>
    <row r="24" spans="1:24" ht="14.25">
      <c r="A24" s="41">
        <v>41274</v>
      </c>
      <c r="B24" s="42" t="s">
        <v>36</v>
      </c>
      <c r="C24" s="43">
        <v>4032835</v>
      </c>
      <c r="D24" s="44">
        <f t="shared" si="0"/>
        <v>0.36569237203235705</v>
      </c>
      <c r="E24" s="47">
        <v>1.78E-2</v>
      </c>
      <c r="F24" s="44">
        <f t="shared" si="1"/>
        <v>3.1039693346284675E-2</v>
      </c>
      <c r="G24" s="43">
        <v>11027944</v>
      </c>
      <c r="H24" s="43"/>
      <c r="I24" s="43">
        <v>1538647</v>
      </c>
      <c r="J24" s="44">
        <f t="shared" si="2"/>
        <v>0.13952256195715176</v>
      </c>
      <c r="K24" s="43">
        <v>1974315</v>
      </c>
      <c r="L24" s="44">
        <f t="shared" si="3"/>
        <v>0.17902838462001622</v>
      </c>
      <c r="M24" s="43">
        <v>510255</v>
      </c>
      <c r="N24" s="44">
        <f t="shared" si="4"/>
        <v>4.6269277392050591E-2</v>
      </c>
      <c r="O24" s="43">
        <v>677704</v>
      </c>
      <c r="P24" s="44">
        <f t="shared" si="5"/>
        <v>6.1453340713373224E-2</v>
      </c>
      <c r="Q24" s="43">
        <v>629504</v>
      </c>
      <c r="R24" s="44">
        <f t="shared" si="6"/>
        <v>5.7082625736946072E-2</v>
      </c>
      <c r="S24" s="43">
        <v>342304</v>
      </c>
      <c r="T24" s="38">
        <f t="shared" si="7"/>
        <v>426284.4</v>
      </c>
      <c r="U24" s="43">
        <v>805281</v>
      </c>
      <c r="V24" s="44">
        <f t="shared" si="8"/>
        <v>7.3021861554610726E-2</v>
      </c>
      <c r="W24" s="43">
        <v>220902</v>
      </c>
      <c r="X24" s="45">
        <f t="shared" si="9"/>
        <v>2.0031113687193187E-2</v>
      </c>
    </row>
    <row r="25" spans="1:24" ht="14.25">
      <c r="A25" s="36">
        <v>41364</v>
      </c>
      <c r="B25" s="37" t="s">
        <v>37</v>
      </c>
      <c r="C25" s="38">
        <v>4093764</v>
      </c>
      <c r="D25" s="39">
        <f t="shared" si="0"/>
        <v>0.35995054659100412</v>
      </c>
      <c r="E25" s="46">
        <v>1.8700000000000001E-2</v>
      </c>
      <c r="F25" s="39">
        <f t="shared" si="1"/>
        <v>2.9171567472768486E-2</v>
      </c>
      <c r="G25" s="38">
        <v>11373129</v>
      </c>
      <c r="H25" s="38"/>
      <c r="I25" s="38">
        <v>1627547</v>
      </c>
      <c r="J25" s="39">
        <f t="shared" si="2"/>
        <v>0.14310459329178452</v>
      </c>
      <c r="K25" s="38">
        <v>2098312</v>
      </c>
      <c r="L25" s="39">
        <f t="shared" si="3"/>
        <v>0.18449733578156019</v>
      </c>
      <c r="M25" s="38">
        <v>531816</v>
      </c>
      <c r="N25" s="39">
        <f t="shared" si="4"/>
        <v>4.6760746317042565E-2</v>
      </c>
      <c r="O25" s="38">
        <v>683487</v>
      </c>
      <c r="P25" s="39">
        <f t="shared" si="5"/>
        <v>6.0096654139771034E-2</v>
      </c>
      <c r="Q25" s="38">
        <v>651220</v>
      </c>
      <c r="R25" s="39">
        <f t="shared" si="6"/>
        <v>5.7259528138650324E-2</v>
      </c>
      <c r="S25" s="38">
        <v>331772</v>
      </c>
      <c r="T25" s="38">
        <f t="shared" si="7"/>
        <v>384147.19999999995</v>
      </c>
      <c r="U25" s="38">
        <v>805068</v>
      </c>
      <c r="V25" s="39">
        <f t="shared" si="8"/>
        <v>7.0786852061556674E-2</v>
      </c>
      <c r="W25" s="38">
        <v>185084</v>
      </c>
      <c r="X25" s="40">
        <f t="shared" si="9"/>
        <v>1.6273797650584988E-2</v>
      </c>
    </row>
    <row r="26" spans="1:24" ht="14.25">
      <c r="A26" s="41">
        <v>41455</v>
      </c>
      <c r="B26" s="42" t="s">
        <v>38</v>
      </c>
      <c r="C26" s="43">
        <v>4012216</v>
      </c>
      <c r="D26" s="44">
        <f t="shared" si="0"/>
        <v>0.35293432555435944</v>
      </c>
      <c r="E26" s="47">
        <v>2.52E-2</v>
      </c>
      <c r="F26" s="44">
        <f t="shared" si="1"/>
        <v>2.4947735632994805E-2</v>
      </c>
      <c r="G26" s="43">
        <v>11368166</v>
      </c>
      <c r="H26" s="43"/>
      <c r="I26" s="43">
        <v>1582801</v>
      </c>
      <c r="J26" s="44">
        <f t="shared" si="2"/>
        <v>0.13923098941377177</v>
      </c>
      <c r="K26" s="43">
        <v>2143888</v>
      </c>
      <c r="L26" s="44">
        <f t="shared" si="3"/>
        <v>0.18858697172437489</v>
      </c>
      <c r="M26" s="43">
        <v>498739</v>
      </c>
      <c r="N26" s="44">
        <f t="shared" si="4"/>
        <v>4.3871544451409311E-2</v>
      </c>
      <c r="O26" s="43">
        <v>602056</v>
      </c>
      <c r="P26" s="44">
        <f t="shared" si="5"/>
        <v>5.2959817792949185E-2</v>
      </c>
      <c r="Q26" s="43">
        <v>605492</v>
      </c>
      <c r="R26" s="44">
        <f t="shared" si="6"/>
        <v>5.3262065314669052E-2</v>
      </c>
      <c r="S26" s="43">
        <v>283610</v>
      </c>
      <c r="T26" s="38">
        <f t="shared" si="7"/>
        <v>339326</v>
      </c>
      <c r="U26" s="43">
        <v>781881</v>
      </c>
      <c r="V26" s="44">
        <f t="shared" si="8"/>
        <v>6.8778112494134944E-2</v>
      </c>
      <c r="W26" s="43">
        <v>169160</v>
      </c>
      <c r="X26" s="45">
        <f t="shared" si="9"/>
        <v>1.4880148653705443E-2</v>
      </c>
    </row>
    <row r="27" spans="1:24" ht="14.25">
      <c r="A27" s="36">
        <v>41547</v>
      </c>
      <c r="B27" s="37" t="s">
        <v>39</v>
      </c>
      <c r="C27" s="38">
        <v>4017107</v>
      </c>
      <c r="D27" s="39">
        <f t="shared" si="0"/>
        <v>0.34739275150647431</v>
      </c>
      <c r="E27" s="46">
        <v>2.64E-2</v>
      </c>
      <c r="F27" s="39">
        <f t="shared" si="1"/>
        <v>2.4017456863954609E-2</v>
      </c>
      <c r="G27" s="38">
        <v>11563589</v>
      </c>
      <c r="H27" s="38"/>
      <c r="I27" s="38">
        <v>1635713</v>
      </c>
      <c r="J27" s="39">
        <f t="shared" si="2"/>
        <v>0.14145374762108892</v>
      </c>
      <c r="K27" s="38">
        <v>2262042</v>
      </c>
      <c r="L27" s="39">
        <f t="shared" si="3"/>
        <v>0.19561764085527425</v>
      </c>
      <c r="M27" s="38">
        <v>526649</v>
      </c>
      <c r="N27" s="39">
        <f t="shared" si="4"/>
        <v>4.5543732140600986E-2</v>
      </c>
      <c r="O27" s="38">
        <v>530136</v>
      </c>
      <c r="P27" s="39">
        <f t="shared" si="5"/>
        <v>4.5845282117861506E-2</v>
      </c>
      <c r="Q27" s="38">
        <v>564525</v>
      </c>
      <c r="R27" s="39">
        <f t="shared" si="6"/>
        <v>4.881918580814313E-2</v>
      </c>
      <c r="S27" s="38">
        <v>277728</v>
      </c>
      <c r="T27" s="38">
        <f t="shared" si="7"/>
        <v>383088.8</v>
      </c>
      <c r="U27" s="38">
        <v>769909</v>
      </c>
      <c r="V27" s="39">
        <f t="shared" si="8"/>
        <v>6.6580453525285271E-2</v>
      </c>
      <c r="W27" s="38">
        <v>216452</v>
      </c>
      <c r="X27" s="40">
        <f t="shared" si="9"/>
        <v>1.8718410002292542E-2</v>
      </c>
    </row>
    <row r="28" spans="1:24" ht="14.25">
      <c r="A28" s="41">
        <v>41639</v>
      </c>
      <c r="B28" s="42" t="s">
        <v>40</v>
      </c>
      <c r="C28" s="43">
        <v>4056270</v>
      </c>
      <c r="D28" s="44">
        <f t="shared" si="0"/>
        <v>0.34275865338277989</v>
      </c>
      <c r="E28" s="47">
        <v>3.04E-2</v>
      </c>
      <c r="F28" s="44">
        <f t="shared" si="1"/>
        <v>2.5785125754730763E-2</v>
      </c>
      <c r="G28" s="43">
        <v>11834187</v>
      </c>
      <c r="H28" s="43"/>
      <c r="I28" s="43">
        <v>1736346</v>
      </c>
      <c r="J28" s="44">
        <f t="shared" si="2"/>
        <v>0.14672288007617254</v>
      </c>
      <c r="K28" s="43">
        <v>2341336</v>
      </c>
      <c r="L28" s="44">
        <f t="shared" si="3"/>
        <v>0.1978451075684371</v>
      </c>
      <c r="M28" s="43">
        <v>547316</v>
      </c>
      <c r="N28" s="44">
        <f t="shared" si="4"/>
        <v>4.6248719916289982E-2</v>
      </c>
      <c r="O28" s="43">
        <v>425403</v>
      </c>
      <c r="P28" s="44">
        <f t="shared" si="5"/>
        <v>3.5946956051987347E-2</v>
      </c>
      <c r="Q28" s="43">
        <v>534936</v>
      </c>
      <c r="R28" s="44">
        <f t="shared" si="6"/>
        <v>4.5202598201295956E-2</v>
      </c>
      <c r="S28" s="43">
        <v>305146</v>
      </c>
      <c r="T28" s="38">
        <f t="shared" si="7"/>
        <v>364277.6</v>
      </c>
      <c r="U28" s="43">
        <v>767715</v>
      </c>
      <c r="V28" s="44">
        <f t="shared" si="8"/>
        <v>6.4872643976303573E-2</v>
      </c>
      <c r="W28" s="43">
        <v>181190</v>
      </c>
      <c r="X28" s="45">
        <f t="shared" si="9"/>
        <v>1.5310726457170231E-2</v>
      </c>
    </row>
    <row r="29" spans="1:24" ht="14.25">
      <c r="A29" s="36">
        <v>41729</v>
      </c>
      <c r="B29" s="37" t="s">
        <v>41</v>
      </c>
      <c r="C29" s="38">
        <v>4053768</v>
      </c>
      <c r="D29" s="39">
        <f t="shared" si="0"/>
        <v>0.33506357480230614</v>
      </c>
      <c r="E29" s="46">
        <v>2.7300000000000001E-2</v>
      </c>
      <c r="F29" s="39">
        <f t="shared" si="1"/>
        <v>2.9157489223461015E-2</v>
      </c>
      <c r="G29" s="38">
        <v>12098504</v>
      </c>
      <c r="H29" s="38"/>
      <c r="I29" s="38">
        <v>1894543</v>
      </c>
      <c r="J29" s="39">
        <f t="shared" si="2"/>
        <v>0.15659316226204495</v>
      </c>
      <c r="K29" s="38">
        <v>2494381</v>
      </c>
      <c r="L29" s="39">
        <f t="shared" si="3"/>
        <v>0.20617268052314566</v>
      </c>
      <c r="M29" s="38">
        <v>525350</v>
      </c>
      <c r="N29" s="39">
        <f t="shared" si="4"/>
        <v>4.342272399959532E-2</v>
      </c>
      <c r="O29" s="38">
        <v>323595</v>
      </c>
      <c r="P29" s="39">
        <f t="shared" si="5"/>
        <v>2.6746695293897494E-2</v>
      </c>
      <c r="Q29" s="38">
        <v>643567</v>
      </c>
      <c r="R29" s="39">
        <f t="shared" si="6"/>
        <v>5.3193932076230251E-2</v>
      </c>
      <c r="S29" s="38">
        <v>352762</v>
      </c>
      <c r="T29" s="38">
        <f t="shared" si="7"/>
        <v>391715.19999999995</v>
      </c>
      <c r="U29" s="38">
        <v>781987</v>
      </c>
      <c r="V29" s="39">
        <f t="shared" si="8"/>
        <v>6.4635016031734174E-2</v>
      </c>
      <c r="W29" s="38">
        <v>180058</v>
      </c>
      <c r="X29" s="40">
        <f t="shared" si="9"/>
        <v>1.4882666485046415E-2</v>
      </c>
    </row>
    <row r="30" spans="1:24" ht="14.25">
      <c r="A30" s="41">
        <v>41820</v>
      </c>
      <c r="B30" s="42" t="s">
        <v>42</v>
      </c>
      <c r="C30" s="43">
        <v>4108219</v>
      </c>
      <c r="D30" s="44">
        <f t="shared" si="0"/>
        <v>0.34100147325036684</v>
      </c>
      <c r="E30" s="47">
        <v>2.53E-2</v>
      </c>
      <c r="F30" s="44">
        <f t="shared" si="1"/>
        <v>3.2144481959800658E-2</v>
      </c>
      <c r="G30" s="43">
        <v>12047511</v>
      </c>
      <c r="H30" s="43"/>
      <c r="I30" s="43">
        <v>1910474</v>
      </c>
      <c r="J30" s="44">
        <f t="shared" si="2"/>
        <v>0.15857831547113757</v>
      </c>
      <c r="K30" s="43">
        <v>2614159</v>
      </c>
      <c r="L30" s="44">
        <f t="shared" si="3"/>
        <v>0.21698747567028576</v>
      </c>
      <c r="M30" s="43">
        <v>427503</v>
      </c>
      <c r="N30" s="44">
        <f t="shared" si="4"/>
        <v>3.5484756975942999E-2</v>
      </c>
      <c r="O30" s="43">
        <v>240317</v>
      </c>
      <c r="P30" s="44">
        <f t="shared" si="5"/>
        <v>1.9947439765774025E-2</v>
      </c>
      <c r="Q30" s="43">
        <v>660926</v>
      </c>
      <c r="R30" s="44">
        <f t="shared" si="6"/>
        <v>5.4859962360690101E-2</v>
      </c>
      <c r="S30" s="43">
        <v>387261</v>
      </c>
      <c r="T30" s="38">
        <f t="shared" si="7"/>
        <v>386629.6</v>
      </c>
      <c r="U30" s="43">
        <v>812199</v>
      </c>
      <c r="V30" s="44">
        <f t="shared" si="8"/>
        <v>6.7416331887972539E-2</v>
      </c>
      <c r="W30" s="43">
        <v>154273</v>
      </c>
      <c r="X30" s="45">
        <f t="shared" si="9"/>
        <v>1.2805383618242806E-2</v>
      </c>
    </row>
    <row r="31" spans="1:24" ht="14.25">
      <c r="A31" s="36">
        <v>41912</v>
      </c>
      <c r="B31" s="37" t="s">
        <v>43</v>
      </c>
      <c r="C31" s="38">
        <v>4148038</v>
      </c>
      <c r="D31" s="39">
        <f t="shared" si="0"/>
        <v>0.33845587205767208</v>
      </c>
      <c r="E31" s="46">
        <v>2.52E-2</v>
      </c>
      <c r="F31" s="39">
        <f t="shared" si="1"/>
        <v>3.6571421204637293E-2</v>
      </c>
      <c r="G31" s="38">
        <v>12255772</v>
      </c>
      <c r="H31" s="38"/>
      <c r="I31" s="38">
        <v>1921113</v>
      </c>
      <c r="J31" s="39">
        <f t="shared" si="2"/>
        <v>0.15675169218226317</v>
      </c>
      <c r="K31" s="38">
        <v>2662378</v>
      </c>
      <c r="L31" s="39">
        <f t="shared" si="3"/>
        <v>0.21723462218455108</v>
      </c>
      <c r="M31" s="38">
        <v>446312</v>
      </c>
      <c r="N31" s="39">
        <f t="shared" si="4"/>
        <v>3.641647380515891E-2</v>
      </c>
      <c r="O31" s="38">
        <v>201676</v>
      </c>
      <c r="P31" s="39">
        <f t="shared" si="5"/>
        <v>1.6455593331860287E-2</v>
      </c>
      <c r="Q31" s="38">
        <v>729389</v>
      </c>
      <c r="R31" s="39">
        <f t="shared" si="6"/>
        <v>5.9513917197545778E-2</v>
      </c>
      <c r="S31" s="38">
        <v>448211</v>
      </c>
      <c r="T31" s="38">
        <f t="shared" si="7"/>
        <v>389779.6</v>
      </c>
      <c r="U31" s="38">
        <v>825959</v>
      </c>
      <c r="V31" s="39">
        <f t="shared" si="8"/>
        <v>6.7393469787133772E-2</v>
      </c>
      <c r="W31" s="38">
        <v>120853</v>
      </c>
      <c r="X31" s="40">
        <f t="shared" si="9"/>
        <v>9.8609047230970026E-3</v>
      </c>
    </row>
    <row r="32" spans="1:24" ht="14.25">
      <c r="A32" s="41">
        <v>42004</v>
      </c>
      <c r="B32" s="42" t="s">
        <v>44</v>
      </c>
      <c r="C32" s="43">
        <v>4122566</v>
      </c>
      <c r="D32" s="44">
        <f t="shared" si="0"/>
        <v>0.33031121107578054</v>
      </c>
      <c r="E32" s="47">
        <v>2.1700000000000001E-2</v>
      </c>
      <c r="F32" s="44">
        <f t="shared" si="1"/>
        <v>4.0286105421952698E-2</v>
      </c>
      <c r="G32" s="43">
        <v>12480854</v>
      </c>
      <c r="H32" s="43"/>
      <c r="I32" s="43">
        <v>2035400</v>
      </c>
      <c r="J32" s="44">
        <f t="shared" si="2"/>
        <v>0.16308178911475127</v>
      </c>
      <c r="K32" s="43">
        <v>2736293</v>
      </c>
      <c r="L32" s="44">
        <f t="shared" si="3"/>
        <v>0.21923924436581022</v>
      </c>
      <c r="M32" s="43">
        <v>484687</v>
      </c>
      <c r="N32" s="44">
        <f t="shared" si="4"/>
        <v>3.8834441938027639E-2</v>
      </c>
      <c r="O32" s="43">
        <v>208221</v>
      </c>
      <c r="P32" s="44">
        <f t="shared" si="5"/>
        <v>1.6683233374895662E-2</v>
      </c>
      <c r="Q32" s="43">
        <v>756783</v>
      </c>
      <c r="R32" s="44">
        <f t="shared" si="6"/>
        <v>6.0635514204396591E-2</v>
      </c>
      <c r="S32" s="43">
        <v>502805</v>
      </c>
      <c r="T32" s="38">
        <f t="shared" si="7"/>
        <v>420424</v>
      </c>
      <c r="U32" s="43">
        <v>844532</v>
      </c>
      <c r="V32" s="44">
        <f t="shared" si="8"/>
        <v>6.7666202969764735E-2</v>
      </c>
      <c r="W32" s="43">
        <v>118741</v>
      </c>
      <c r="X32" s="45">
        <f t="shared" si="9"/>
        <v>9.513852177102624E-3</v>
      </c>
    </row>
    <row r="33" spans="1:24" ht="14.25">
      <c r="A33" s="36">
        <v>42094</v>
      </c>
      <c r="B33" s="37" t="s">
        <v>45</v>
      </c>
      <c r="C33" s="38">
        <v>4138470</v>
      </c>
      <c r="D33" s="39">
        <f t="shared" si="0"/>
        <v>0.3282753627177542</v>
      </c>
      <c r="E33" s="46">
        <v>1.9400000000000001E-2</v>
      </c>
      <c r="F33" s="39">
        <f t="shared" si="1"/>
        <v>4.0273019837145367E-2</v>
      </c>
      <c r="G33" s="38">
        <v>12606703</v>
      </c>
      <c r="H33" s="38"/>
      <c r="I33" s="38">
        <v>2034161</v>
      </c>
      <c r="J33" s="39">
        <f t="shared" si="2"/>
        <v>0.16135551063588949</v>
      </c>
      <c r="K33" s="38">
        <v>2773131</v>
      </c>
      <c r="L33" s="39">
        <f t="shared" si="3"/>
        <v>0.21997273989876656</v>
      </c>
      <c r="M33" s="38">
        <v>508750</v>
      </c>
      <c r="N33" s="39">
        <f t="shared" si="4"/>
        <v>4.035551563323099E-2</v>
      </c>
      <c r="O33" s="38">
        <v>329732</v>
      </c>
      <c r="P33" s="39">
        <f t="shared" si="5"/>
        <v>2.6155292148946477E-2</v>
      </c>
      <c r="Q33" s="38">
        <v>786586</v>
      </c>
      <c r="R33" s="39">
        <f t="shared" si="6"/>
        <v>6.2394267557504927E-2</v>
      </c>
      <c r="S33" s="38">
        <v>507710</v>
      </c>
      <c r="T33" s="38">
        <f t="shared" si="7"/>
        <v>437842</v>
      </c>
      <c r="U33" s="38">
        <v>820473</v>
      </c>
      <c r="V33" s="39">
        <f t="shared" si="8"/>
        <v>6.5082282020921728E-2</v>
      </c>
      <c r="W33" s="38">
        <v>133216</v>
      </c>
      <c r="X33" s="40">
        <f t="shared" si="9"/>
        <v>1.0567076895521374E-2</v>
      </c>
    </row>
    <row r="34" spans="1:24" ht="14.25">
      <c r="A34" s="41">
        <v>42185</v>
      </c>
      <c r="B34" s="42" t="s">
        <v>46</v>
      </c>
      <c r="C34" s="43">
        <v>4178877</v>
      </c>
      <c r="D34" s="44">
        <f t="shared" si="0"/>
        <v>0.32980752216894249</v>
      </c>
      <c r="E34" s="47">
        <v>2.35E-2</v>
      </c>
      <c r="F34" s="44">
        <f t="shared" si="1"/>
        <v>4.0209842364885034E-2</v>
      </c>
      <c r="G34" s="43">
        <v>12670654</v>
      </c>
      <c r="H34" s="43"/>
      <c r="I34" s="43">
        <v>1984264</v>
      </c>
      <c r="J34" s="44">
        <f t="shared" si="2"/>
        <v>0.15660312403763846</v>
      </c>
      <c r="K34" s="43">
        <v>2682775</v>
      </c>
      <c r="L34" s="44">
        <f t="shared" si="3"/>
        <v>0.21173137550753102</v>
      </c>
      <c r="M34" s="43">
        <v>444548</v>
      </c>
      <c r="N34" s="44">
        <f t="shared" si="4"/>
        <v>3.5084850395251894E-2</v>
      </c>
      <c r="O34" s="43">
        <v>340446</v>
      </c>
      <c r="P34" s="44">
        <f t="shared" si="5"/>
        <v>2.6868857755882214E-2</v>
      </c>
      <c r="Q34" s="43">
        <v>802549</v>
      </c>
      <c r="R34" s="44">
        <f t="shared" si="6"/>
        <v>6.3339193067698002E-2</v>
      </c>
      <c r="S34" s="43">
        <v>509485</v>
      </c>
      <c r="T34" s="38">
        <f t="shared" si="7"/>
        <v>431322</v>
      </c>
      <c r="U34" s="43">
        <v>816335</v>
      </c>
      <c r="V34" s="44">
        <f t="shared" si="8"/>
        <v>6.4427218989643306E-2</v>
      </c>
      <c r="W34" s="43">
        <v>125631</v>
      </c>
      <c r="X34" s="45">
        <f t="shared" si="9"/>
        <v>9.9151156680625952E-3</v>
      </c>
    </row>
    <row r="35" spans="1:24" ht="14.25">
      <c r="A35" s="36">
        <v>42277</v>
      </c>
      <c r="B35" s="37" t="s">
        <v>47</v>
      </c>
      <c r="C35" s="38">
        <v>4147458</v>
      </c>
      <c r="D35" s="39">
        <f t="shared" si="0"/>
        <v>0.32369539872574721</v>
      </c>
      <c r="E35" s="46">
        <v>2.06E-2</v>
      </c>
      <c r="F35" s="39">
        <f t="shared" si="1"/>
        <v>3.9481638812060585E-2</v>
      </c>
      <c r="G35" s="38">
        <v>12812842</v>
      </c>
      <c r="H35" s="38"/>
      <c r="I35" s="38">
        <v>1958427</v>
      </c>
      <c r="J35" s="39">
        <f t="shared" si="2"/>
        <v>0.15284875908092835</v>
      </c>
      <c r="K35" s="38">
        <v>2720453</v>
      </c>
      <c r="L35" s="39">
        <f t="shared" si="3"/>
        <v>0.21232237157064765</v>
      </c>
      <c r="M35" s="38">
        <v>435774</v>
      </c>
      <c r="N35" s="39">
        <f t="shared" si="4"/>
        <v>3.4010721430889415E-2</v>
      </c>
      <c r="O35" s="38">
        <v>589924</v>
      </c>
      <c r="P35" s="39">
        <f t="shared" si="5"/>
        <v>4.6041619806128885E-2</v>
      </c>
      <c r="Q35" s="38">
        <v>880381</v>
      </c>
      <c r="R35" s="39">
        <f t="shared" si="6"/>
        <v>6.8710829338252982E-2</v>
      </c>
      <c r="S35" s="38">
        <v>505872</v>
      </c>
      <c r="T35" s="38">
        <f t="shared" si="7"/>
        <v>420420.2</v>
      </c>
      <c r="U35" s="38">
        <v>804127</v>
      </c>
      <c r="V35" s="39">
        <f t="shared" si="8"/>
        <v>6.2759456489044352E-2</v>
      </c>
      <c r="W35" s="38">
        <v>116897</v>
      </c>
      <c r="X35" s="40">
        <f t="shared" si="9"/>
        <v>9.1234247639984944E-3</v>
      </c>
    </row>
    <row r="36" spans="1:24" ht="14.25">
      <c r="A36" s="41">
        <v>42369</v>
      </c>
      <c r="B36" s="42" t="s">
        <v>48</v>
      </c>
      <c r="C36" s="43">
        <v>4093620</v>
      </c>
      <c r="D36" s="44">
        <f t="shared" si="0"/>
        <v>0.31085285468990953</v>
      </c>
      <c r="E36" s="47">
        <v>2.2700000000000001E-2</v>
      </c>
      <c r="F36" s="44">
        <f t="shared" si="1"/>
        <v>4.0797567255696637E-2</v>
      </c>
      <c r="G36" s="43">
        <v>13168996</v>
      </c>
      <c r="H36" s="43"/>
      <c r="I36" s="43">
        <v>2052601</v>
      </c>
      <c r="J36" s="44">
        <f t="shared" si="2"/>
        <v>0.1558661723338666</v>
      </c>
      <c r="K36" s="43">
        <v>2675909</v>
      </c>
      <c r="L36" s="44">
        <f t="shared" si="3"/>
        <v>0.20319764695805209</v>
      </c>
      <c r="M36" s="43">
        <v>530292</v>
      </c>
      <c r="N36" s="44">
        <f t="shared" si="4"/>
        <v>4.0268217865659615E-2</v>
      </c>
      <c r="O36" s="43">
        <v>613334</v>
      </c>
      <c r="P36" s="44">
        <f t="shared" si="5"/>
        <v>4.657408962687816E-2</v>
      </c>
      <c r="Q36" s="43">
        <v>912674</v>
      </c>
      <c r="R36" s="44">
        <f t="shared" si="6"/>
        <v>6.9304751858076344E-2</v>
      </c>
      <c r="S36" s="43">
        <v>537263</v>
      </c>
      <c r="T36" s="38">
        <f t="shared" si="7"/>
        <v>443254.8</v>
      </c>
      <c r="U36" s="43">
        <v>803010</v>
      </c>
      <c r="V36" s="44">
        <f t="shared" si="8"/>
        <v>6.0977313684353766E-2</v>
      </c>
      <c r="W36" s="43">
        <v>120897</v>
      </c>
      <c r="X36" s="45">
        <f t="shared" si="9"/>
        <v>9.1804265108744818E-3</v>
      </c>
    </row>
    <row r="37" spans="1:24" ht="14.25">
      <c r="A37" s="36">
        <v>42460</v>
      </c>
      <c r="B37" s="37" t="s">
        <v>49</v>
      </c>
      <c r="C37" s="38">
        <v>4069170</v>
      </c>
      <c r="D37" s="39">
        <f t="shared" si="0"/>
        <v>0.30350854345704237</v>
      </c>
      <c r="E37" s="46">
        <v>1.78E-2</v>
      </c>
      <c r="F37" s="39">
        <f t="shared" si="1"/>
        <v>4.0870801161951333E-2</v>
      </c>
      <c r="G37" s="38">
        <v>13407102</v>
      </c>
      <c r="H37" s="38"/>
      <c r="I37" s="38">
        <v>2215264</v>
      </c>
      <c r="J37" s="39">
        <f t="shared" si="2"/>
        <v>0.16523063671776347</v>
      </c>
      <c r="K37" s="38">
        <v>2757311</v>
      </c>
      <c r="L37" s="39">
        <f t="shared" si="3"/>
        <v>0.20566047755883413</v>
      </c>
      <c r="M37" s="38">
        <v>606063</v>
      </c>
      <c r="N37" s="39">
        <f t="shared" si="4"/>
        <v>4.5204623639023556E-2</v>
      </c>
      <c r="O37" s="38">
        <v>761211</v>
      </c>
      <c r="P37" s="39">
        <f t="shared" si="5"/>
        <v>5.6776699394097248E-2</v>
      </c>
      <c r="Q37" s="38">
        <v>942196</v>
      </c>
      <c r="R37" s="39">
        <f t="shared" si="6"/>
        <v>7.0275888107661152E-2</v>
      </c>
      <c r="S37" s="38">
        <v>547959</v>
      </c>
      <c r="T37" s="38">
        <f t="shared" si="7"/>
        <v>463644.39999999997</v>
      </c>
      <c r="U37" s="38">
        <v>821522</v>
      </c>
      <c r="V37" s="39">
        <f t="shared" si="8"/>
        <v>6.1275136118155882E-2</v>
      </c>
      <c r="W37" s="38">
        <v>134869</v>
      </c>
      <c r="X37" s="40">
        <f t="shared" si="9"/>
        <v>1.0059519201092078E-2</v>
      </c>
    </row>
    <row r="38" spans="1:24" ht="14.25">
      <c r="A38" s="41">
        <v>42551</v>
      </c>
      <c r="B38" s="42" t="s">
        <v>50</v>
      </c>
      <c r="C38" s="43">
        <v>4034737</v>
      </c>
      <c r="D38" s="44">
        <f t="shared" ref="D38:D69" si="10">C38/$G38</f>
        <v>0.30128758620952301</v>
      </c>
      <c r="E38" s="47">
        <v>1.49E-2</v>
      </c>
      <c r="F38" s="44">
        <f t="shared" ref="F38:F69" si="11">S38/$G38</f>
        <v>4.2700647649986594E-2</v>
      </c>
      <c r="G38" s="43">
        <v>13391647</v>
      </c>
      <c r="H38" s="43"/>
      <c r="I38" s="43">
        <v>2244316</v>
      </c>
      <c r="J38" s="44">
        <f t="shared" ref="J38:J69" si="12">I38/$G38</f>
        <v>0.1675907377188183</v>
      </c>
      <c r="K38" s="43">
        <v>2806334</v>
      </c>
      <c r="L38" s="44">
        <f t="shared" ref="L38:L69" si="13">K38/$G38</f>
        <v>0.2095585404842287</v>
      </c>
      <c r="M38" s="43">
        <v>555988</v>
      </c>
      <c r="N38" s="44">
        <f t="shared" ref="N38:N69" si="14">M38/$G38</f>
        <v>4.1517522079248352E-2</v>
      </c>
      <c r="O38" s="43">
        <v>818995</v>
      </c>
      <c r="P38" s="44">
        <f t="shared" ref="P38:P69" si="15">O38/$G38</f>
        <v>6.1157152663895639E-2</v>
      </c>
      <c r="Q38" s="43">
        <v>1009409</v>
      </c>
      <c r="R38" s="44">
        <f t="shared" ref="R38:R69" si="16">Q38/$G38</f>
        <v>7.5376016109146252E-2</v>
      </c>
      <c r="S38" s="43">
        <v>571832</v>
      </c>
      <c r="T38" s="38">
        <f t="shared" si="7"/>
        <v>483978.2</v>
      </c>
      <c r="U38" s="43">
        <v>859295</v>
      </c>
      <c r="V38" s="44">
        <f t="shared" ref="V38:V69" si="17">U38/$G38</f>
        <v>6.4166491246371707E-2</v>
      </c>
      <c r="W38" s="43">
        <v>140879</v>
      </c>
      <c r="X38" s="45">
        <f t="shared" ref="X38:X69" si="18">W38/$G38</f>
        <v>1.0519915884879582E-2</v>
      </c>
    </row>
    <row r="39" spans="1:24" ht="14.25">
      <c r="A39" s="36">
        <v>42643</v>
      </c>
      <c r="B39" s="37" t="s">
        <v>51</v>
      </c>
      <c r="C39" s="38">
        <v>3899391</v>
      </c>
      <c r="D39" s="39">
        <f t="shared" si="10"/>
        <v>0.28625759939920564</v>
      </c>
      <c r="E39" s="46">
        <v>1.6E-2</v>
      </c>
      <c r="F39" s="39">
        <f t="shared" si="11"/>
        <v>4.5489178690445907E-2</v>
      </c>
      <c r="G39" s="38">
        <v>13621965</v>
      </c>
      <c r="H39" s="38"/>
      <c r="I39" s="38">
        <v>2256484</v>
      </c>
      <c r="J39" s="39">
        <f t="shared" si="12"/>
        <v>0.16565040359448877</v>
      </c>
      <c r="K39" s="38">
        <v>2780236</v>
      </c>
      <c r="L39" s="39">
        <f t="shared" si="13"/>
        <v>0.20409948197635217</v>
      </c>
      <c r="M39" s="38">
        <v>709170</v>
      </c>
      <c r="N39" s="39">
        <f t="shared" si="14"/>
        <v>5.2060770968065183E-2</v>
      </c>
      <c r="O39" s="38">
        <v>810056</v>
      </c>
      <c r="P39" s="39">
        <f t="shared" si="15"/>
        <v>5.9466897764015689E-2</v>
      </c>
      <c r="Q39" s="38">
        <v>1039774</v>
      </c>
      <c r="R39" s="39">
        <f t="shared" si="16"/>
        <v>7.6330690909865065E-2</v>
      </c>
      <c r="S39" s="38">
        <v>619652</v>
      </c>
      <c r="T39" s="38">
        <f t="shared" si="7"/>
        <v>514869.2</v>
      </c>
      <c r="U39" s="38">
        <v>892661</v>
      </c>
      <c r="V39" s="39">
        <f t="shared" si="17"/>
        <v>6.5531000850464677E-2</v>
      </c>
      <c r="W39" s="38">
        <v>143078</v>
      </c>
      <c r="X39" s="40">
        <f t="shared" si="18"/>
        <v>1.050347728833542E-2</v>
      </c>
    </row>
    <row r="40" spans="1:24" ht="14.25">
      <c r="A40" s="41">
        <v>42735</v>
      </c>
      <c r="B40" s="42" t="s">
        <v>52</v>
      </c>
      <c r="C40" s="43">
        <v>3813442</v>
      </c>
      <c r="D40" s="44">
        <f t="shared" si="10"/>
        <v>0.27473926569762358</v>
      </c>
      <c r="E40" s="47">
        <v>2.4500000000000001E-2</v>
      </c>
      <c r="F40" s="44">
        <f t="shared" si="11"/>
        <v>4.7121220395466297E-2</v>
      </c>
      <c r="G40" s="43">
        <v>13880222</v>
      </c>
      <c r="H40" s="43"/>
      <c r="I40" s="43">
        <v>2189355</v>
      </c>
      <c r="J40" s="44">
        <f t="shared" si="12"/>
        <v>0.15773198728377688</v>
      </c>
      <c r="K40" s="43">
        <v>2640706</v>
      </c>
      <c r="L40" s="44">
        <f t="shared" si="13"/>
        <v>0.19024955076366934</v>
      </c>
      <c r="M40" s="43">
        <v>850977</v>
      </c>
      <c r="N40" s="44">
        <f t="shared" si="14"/>
        <v>6.1308601548303768E-2</v>
      </c>
      <c r="O40" s="43">
        <v>754023</v>
      </c>
      <c r="P40" s="44">
        <f t="shared" si="15"/>
        <v>5.4323554767351706E-2</v>
      </c>
      <c r="Q40" s="43">
        <v>1000659</v>
      </c>
      <c r="R40" s="44">
        <f t="shared" si="16"/>
        <v>7.2092434832814634E-2</v>
      </c>
      <c r="S40" s="43">
        <v>654053</v>
      </c>
      <c r="T40" s="38">
        <f t="shared" si="7"/>
        <v>516398.8</v>
      </c>
      <c r="U40" s="43">
        <v>887762</v>
      </c>
      <c r="V40" s="44">
        <f t="shared" si="17"/>
        <v>6.3958775299127066E-2</v>
      </c>
      <c r="W40" s="43">
        <v>123967</v>
      </c>
      <c r="X40" s="45">
        <f t="shared" si="18"/>
        <v>8.931197209958169E-3</v>
      </c>
    </row>
    <row r="41" spans="1:24" ht="14.25">
      <c r="A41" s="36">
        <v>42825</v>
      </c>
      <c r="B41" s="37" t="s">
        <v>53</v>
      </c>
      <c r="C41" s="38">
        <v>3880100</v>
      </c>
      <c r="D41" s="39">
        <f t="shared" si="10"/>
        <v>0.27868265507338397</v>
      </c>
      <c r="E41" s="46">
        <v>2.4E-2</v>
      </c>
      <c r="F41" s="39">
        <f t="shared" si="11"/>
        <v>4.6376051721593148E-2</v>
      </c>
      <c r="G41" s="38">
        <v>13923005</v>
      </c>
      <c r="H41" s="38"/>
      <c r="I41" s="38">
        <v>2195234</v>
      </c>
      <c r="J41" s="39">
        <f t="shared" si="12"/>
        <v>0.15766955481234116</v>
      </c>
      <c r="K41" s="38">
        <v>2643568</v>
      </c>
      <c r="L41" s="39">
        <f t="shared" si="13"/>
        <v>0.18987050568465644</v>
      </c>
      <c r="M41" s="38">
        <v>786773</v>
      </c>
      <c r="N41" s="39">
        <f t="shared" si="14"/>
        <v>5.6508849921407055E-2</v>
      </c>
      <c r="O41" s="38">
        <v>723671</v>
      </c>
      <c r="P41" s="39">
        <f t="shared" si="15"/>
        <v>5.197663866385166E-2</v>
      </c>
      <c r="Q41" s="38">
        <v>1030714</v>
      </c>
      <c r="R41" s="39">
        <f t="shared" si="16"/>
        <v>7.4029564738359283E-2</v>
      </c>
      <c r="S41" s="38">
        <v>645694</v>
      </c>
      <c r="T41" s="38">
        <f t="shared" si="7"/>
        <v>530494.39999999991</v>
      </c>
      <c r="U41" s="38">
        <v>928941</v>
      </c>
      <c r="V41" s="39">
        <f t="shared" si="17"/>
        <v>6.6719863994877546E-2</v>
      </c>
      <c r="W41" s="38">
        <v>143078</v>
      </c>
      <c r="X41" s="40">
        <f t="shared" si="18"/>
        <v>1.0276373527122917E-2</v>
      </c>
    </row>
    <row r="42" spans="1:24" ht="14.25">
      <c r="A42" s="41">
        <v>42916</v>
      </c>
      <c r="B42" s="42" t="s">
        <v>54</v>
      </c>
      <c r="C42" s="43">
        <v>3994397</v>
      </c>
      <c r="D42" s="44">
        <f t="shared" si="10"/>
        <v>0.28601288261877555</v>
      </c>
      <c r="E42" s="47">
        <v>2.3099999999999999E-2</v>
      </c>
      <c r="F42" s="44">
        <f t="shared" si="11"/>
        <v>4.3112335754057381E-2</v>
      </c>
      <c r="G42" s="43">
        <v>13965794</v>
      </c>
      <c r="H42" s="43"/>
      <c r="I42" s="43">
        <v>2157509</v>
      </c>
      <c r="J42" s="44">
        <f t="shared" si="12"/>
        <v>0.15448523728761859</v>
      </c>
      <c r="K42" s="43">
        <v>2657025</v>
      </c>
      <c r="L42" s="44">
        <f t="shared" si="13"/>
        <v>0.19025234082645068</v>
      </c>
      <c r="M42" s="43">
        <v>662297</v>
      </c>
      <c r="N42" s="44">
        <f t="shared" si="14"/>
        <v>4.7422796011454847E-2</v>
      </c>
      <c r="O42" s="43">
        <v>766163</v>
      </c>
      <c r="P42" s="44">
        <f t="shared" si="15"/>
        <v>5.485996714544121E-2</v>
      </c>
      <c r="Q42" s="43">
        <v>1091457</v>
      </c>
      <c r="R42" s="44">
        <f t="shared" si="16"/>
        <v>7.8152162347518511E-2</v>
      </c>
      <c r="S42" s="43">
        <v>602098</v>
      </c>
      <c r="T42" s="38">
        <f t="shared" si="7"/>
        <v>525870.80000000005</v>
      </c>
      <c r="U42" s="43">
        <v>974985</v>
      </c>
      <c r="V42" s="44">
        <f t="shared" si="17"/>
        <v>6.9812357249433868E-2</v>
      </c>
      <c r="W42" s="43">
        <v>164612</v>
      </c>
      <c r="X42" s="45">
        <f t="shared" si="18"/>
        <v>1.1786798516432363E-2</v>
      </c>
    </row>
    <row r="43" spans="1:24" ht="14.25">
      <c r="A43" s="36">
        <v>43008</v>
      </c>
      <c r="B43" s="37" t="s">
        <v>55</v>
      </c>
      <c r="C43" s="38">
        <v>4070417</v>
      </c>
      <c r="D43" s="39">
        <f t="shared" si="10"/>
        <v>0.28753877402212746</v>
      </c>
      <c r="E43" s="46">
        <v>2.3300000000000001E-2</v>
      </c>
      <c r="F43" s="39">
        <f t="shared" si="11"/>
        <v>4.2131700035525417E-2</v>
      </c>
      <c r="G43" s="38">
        <v>14156063</v>
      </c>
      <c r="H43" s="38"/>
      <c r="I43" s="38">
        <v>2231522</v>
      </c>
      <c r="J43" s="39">
        <f t="shared" si="12"/>
        <v>0.157637190509819</v>
      </c>
      <c r="K43" s="38">
        <v>2651193</v>
      </c>
      <c r="L43" s="39">
        <f t="shared" si="13"/>
        <v>0.18728321567938769</v>
      </c>
      <c r="M43" s="38">
        <v>695020</v>
      </c>
      <c r="N43" s="39">
        <f t="shared" si="14"/>
        <v>4.9096984097909142E-2</v>
      </c>
      <c r="O43" s="38">
        <v>689147</v>
      </c>
      <c r="P43" s="39">
        <f t="shared" si="15"/>
        <v>4.8682108860351923E-2</v>
      </c>
      <c r="Q43" s="38">
        <v>1161568</v>
      </c>
      <c r="R43" s="39">
        <f t="shared" si="16"/>
        <v>8.2054452569192443E-2</v>
      </c>
      <c r="S43" s="38">
        <v>596419</v>
      </c>
      <c r="T43" s="38">
        <f t="shared" si="7"/>
        <v>506889.39999999997</v>
      </c>
      <c r="U43" s="38">
        <v>1001617</v>
      </c>
      <c r="V43" s="39">
        <f t="shared" si="17"/>
        <v>7.0755336423693513E-2</v>
      </c>
      <c r="W43" s="38">
        <v>149038</v>
      </c>
      <c r="X43" s="40">
        <f t="shared" si="18"/>
        <v>1.0528209714805592E-2</v>
      </c>
    </row>
    <row r="44" spans="1:24" ht="14.25">
      <c r="A44" s="41">
        <v>43100</v>
      </c>
      <c r="B44" s="42" t="s">
        <v>56</v>
      </c>
      <c r="C44" s="43">
        <v>4023954</v>
      </c>
      <c r="D44" s="44">
        <f t="shared" si="10"/>
        <v>0.27877163665692178</v>
      </c>
      <c r="E44" s="47">
        <v>2.4E-2</v>
      </c>
      <c r="F44" s="44">
        <f t="shared" si="11"/>
        <v>4.2676933856585733E-2</v>
      </c>
      <c r="G44" s="43">
        <v>14434589</v>
      </c>
      <c r="H44" s="43"/>
      <c r="I44" s="43">
        <v>2187325</v>
      </c>
      <c r="J44" s="44">
        <f t="shared" si="12"/>
        <v>0.15153358367183159</v>
      </c>
      <c r="K44" s="43">
        <v>2633008</v>
      </c>
      <c r="L44" s="44">
        <f t="shared" si="13"/>
        <v>0.18240962731948931</v>
      </c>
      <c r="M44" s="43">
        <v>756197</v>
      </c>
      <c r="N44" s="44">
        <f t="shared" si="14"/>
        <v>5.2387844226115476E-2</v>
      </c>
      <c r="O44" s="43">
        <v>703622</v>
      </c>
      <c r="P44" s="44">
        <f t="shared" si="15"/>
        <v>4.8745551397410762E-2</v>
      </c>
      <c r="Q44" s="43">
        <v>1214137</v>
      </c>
      <c r="R44" s="44">
        <f t="shared" si="16"/>
        <v>8.4113028781075794E-2</v>
      </c>
      <c r="S44" s="43">
        <v>616024</v>
      </c>
      <c r="T44" s="38">
        <f t="shared" si="7"/>
        <v>505889.39999999997</v>
      </c>
      <c r="U44" s="43">
        <v>1048662</v>
      </c>
      <c r="V44" s="44">
        <f t="shared" si="17"/>
        <v>7.2649245503283819E-2</v>
      </c>
      <c r="W44" s="43">
        <v>136275</v>
      </c>
      <c r="X44" s="45">
        <f t="shared" si="18"/>
        <v>9.4408645788252102E-3</v>
      </c>
    </row>
    <row r="45" spans="1:24" ht="14.25">
      <c r="A45" s="36">
        <v>43190</v>
      </c>
      <c r="B45" s="37" t="s">
        <v>57</v>
      </c>
      <c r="C45" s="38">
        <v>4051690</v>
      </c>
      <c r="D45" s="39">
        <f t="shared" si="10"/>
        <v>0.27202244558295607</v>
      </c>
      <c r="E45" s="46">
        <v>2.7400000000000001E-2</v>
      </c>
      <c r="F45" s="39">
        <f t="shared" si="11"/>
        <v>4.1141977442967929E-2</v>
      </c>
      <c r="G45" s="38">
        <v>14894690</v>
      </c>
      <c r="H45" s="38"/>
      <c r="I45" s="38">
        <v>2171744</v>
      </c>
      <c r="J45" s="39">
        <f t="shared" si="12"/>
        <v>0.14580659281932018</v>
      </c>
      <c r="K45" s="38">
        <v>2555722</v>
      </c>
      <c r="L45" s="39">
        <f t="shared" si="13"/>
        <v>0.17158611558884407</v>
      </c>
      <c r="M45" s="38">
        <v>951188</v>
      </c>
      <c r="N45" s="39">
        <f t="shared" si="14"/>
        <v>6.3860879279797028E-2</v>
      </c>
      <c r="O45" s="38">
        <v>861772</v>
      </c>
      <c r="P45" s="39">
        <f t="shared" si="15"/>
        <v>5.7857666054144129E-2</v>
      </c>
      <c r="Q45" s="38">
        <v>1225729</v>
      </c>
      <c r="R45" s="39">
        <f t="shared" si="16"/>
        <v>8.229301851868015E-2</v>
      </c>
      <c r="S45" s="38">
        <v>612797</v>
      </c>
      <c r="T45" s="38">
        <f t="shared" si="7"/>
        <v>490390.2</v>
      </c>
      <c r="U45" s="38">
        <v>1048146</v>
      </c>
      <c r="V45" s="39">
        <f t="shared" si="17"/>
        <v>7.0370447454764076E-2</v>
      </c>
      <c r="W45" s="38">
        <v>122712</v>
      </c>
      <c r="X45" s="40">
        <f t="shared" si="18"/>
        <v>8.2386407504956467E-3</v>
      </c>
    </row>
    <row r="46" spans="1:24" ht="14.25">
      <c r="A46" s="41">
        <v>43281</v>
      </c>
      <c r="B46" s="42" t="s">
        <v>58</v>
      </c>
      <c r="C46" s="43">
        <v>3988634</v>
      </c>
      <c r="D46" s="44">
        <f t="shared" si="10"/>
        <v>0.26708914685545826</v>
      </c>
      <c r="E46" s="47">
        <v>2.8500000000000001E-2</v>
      </c>
      <c r="F46" s="44">
        <f t="shared" si="11"/>
        <v>4.2317659942420233E-2</v>
      </c>
      <c r="G46" s="43">
        <v>14933718</v>
      </c>
      <c r="H46" s="43"/>
      <c r="I46" s="43">
        <v>2236381</v>
      </c>
      <c r="J46" s="44">
        <f t="shared" si="12"/>
        <v>0.14975379875259462</v>
      </c>
      <c r="K46" s="43">
        <v>2495040</v>
      </c>
      <c r="L46" s="44">
        <f t="shared" si="13"/>
        <v>0.1670742677744417</v>
      </c>
      <c r="M46" s="43">
        <v>788105</v>
      </c>
      <c r="N46" s="44">
        <f t="shared" si="14"/>
        <v>5.2773529003293088E-2</v>
      </c>
      <c r="O46" s="43">
        <v>949208</v>
      </c>
      <c r="P46" s="44">
        <f t="shared" si="15"/>
        <v>6.3561398440763375E-2</v>
      </c>
      <c r="Q46" s="43">
        <v>1260046</v>
      </c>
      <c r="R46" s="44">
        <f t="shared" si="16"/>
        <v>8.4375906924183244E-2</v>
      </c>
      <c r="S46" s="43">
        <v>631960</v>
      </c>
      <c r="T46" s="38">
        <f t="shared" si="7"/>
        <v>543870</v>
      </c>
      <c r="U46" s="43">
        <v>1052435</v>
      </c>
      <c r="V46" s="44">
        <f t="shared" si="17"/>
        <v>7.0473742707609713E-2</v>
      </c>
      <c r="W46" s="43">
        <v>164694</v>
      </c>
      <c r="X46" s="45">
        <f t="shared" si="18"/>
        <v>1.1028331993412492E-2</v>
      </c>
    </row>
    <row r="47" spans="1:24" ht="14.25">
      <c r="A47" s="36">
        <v>43373</v>
      </c>
      <c r="B47" s="37" t="s">
        <v>59</v>
      </c>
      <c r="C47" s="38">
        <v>4010108</v>
      </c>
      <c r="D47" s="39">
        <f t="shared" si="10"/>
        <v>0.26334431841397704</v>
      </c>
      <c r="E47" s="46">
        <v>3.0499999999999999E-2</v>
      </c>
      <c r="F47" s="39">
        <f t="shared" si="11"/>
        <v>4.2641586280406339E-2</v>
      </c>
      <c r="G47" s="38">
        <v>15227623</v>
      </c>
      <c r="H47" s="38"/>
      <c r="I47" s="38">
        <v>2215788</v>
      </c>
      <c r="J47" s="39">
        <f t="shared" si="12"/>
        <v>0.14551108863149553</v>
      </c>
      <c r="K47" s="38">
        <v>2395142</v>
      </c>
      <c r="L47" s="39">
        <f t="shared" si="13"/>
        <v>0.1572892893395115</v>
      </c>
      <c r="M47" s="38">
        <v>826306</v>
      </c>
      <c r="N47" s="39">
        <f t="shared" si="14"/>
        <v>5.42636234164715E-2</v>
      </c>
      <c r="O47" s="38">
        <v>1122040</v>
      </c>
      <c r="P47" s="39">
        <f t="shared" si="15"/>
        <v>7.3684513991448305E-2</v>
      </c>
      <c r="Q47" s="38">
        <v>1281398</v>
      </c>
      <c r="R47" s="39">
        <f t="shared" si="16"/>
        <v>8.4149574756349044E-2</v>
      </c>
      <c r="S47" s="38">
        <v>649330</v>
      </c>
      <c r="T47" s="38">
        <f t="shared" si="7"/>
        <v>528127</v>
      </c>
      <c r="U47" s="38">
        <v>1049700</v>
      </c>
      <c r="V47" s="39">
        <f t="shared" si="17"/>
        <v>6.893393670174261E-2</v>
      </c>
      <c r="W47" s="38">
        <v>138529</v>
      </c>
      <c r="X47" s="40">
        <f t="shared" si="18"/>
        <v>9.0972176025109104E-3</v>
      </c>
    </row>
    <row r="48" spans="1:24" ht="14.25">
      <c r="A48" s="41">
        <v>43465</v>
      </c>
      <c r="B48" s="42" t="s">
        <v>60</v>
      </c>
      <c r="C48" s="43">
        <v>3956774</v>
      </c>
      <c r="D48" s="44">
        <f t="shared" si="10"/>
        <v>0.25418984292650187</v>
      </c>
      <c r="E48" s="47">
        <v>2.69E-2</v>
      </c>
      <c r="F48" s="44">
        <f t="shared" si="11"/>
        <v>4.7348886845717676E-2</v>
      </c>
      <c r="G48" s="43">
        <v>15566216</v>
      </c>
      <c r="H48" s="43"/>
      <c r="I48" s="43">
        <v>2313356</v>
      </c>
      <c r="J48" s="44">
        <f t="shared" si="12"/>
        <v>0.148613895631411</v>
      </c>
      <c r="K48" s="43">
        <v>2337994</v>
      </c>
      <c r="L48" s="44">
        <f t="shared" si="13"/>
        <v>0.15019668235363046</v>
      </c>
      <c r="M48" s="43">
        <v>945064</v>
      </c>
      <c r="N48" s="44">
        <f t="shared" si="14"/>
        <v>6.0712507137251598E-2</v>
      </c>
      <c r="O48" s="43">
        <v>1259326</v>
      </c>
      <c r="P48" s="44">
        <f t="shared" si="15"/>
        <v>8.090122866083832E-2</v>
      </c>
      <c r="Q48" s="43">
        <v>1325968</v>
      </c>
      <c r="R48" s="44">
        <f t="shared" si="16"/>
        <v>8.5182423268442373E-2</v>
      </c>
      <c r="S48" s="43">
        <v>737043</v>
      </c>
      <c r="T48" s="38">
        <f t="shared" si="7"/>
        <v>697288.8</v>
      </c>
      <c r="U48" s="43">
        <v>1128292</v>
      </c>
      <c r="V48" s="44">
        <f t="shared" si="17"/>
        <v>7.2483383244842547E-2</v>
      </c>
      <c r="W48" s="43">
        <v>255063</v>
      </c>
      <c r="X48" s="45">
        <f t="shared" si="18"/>
        <v>1.6385677803777102E-2</v>
      </c>
    </row>
    <row r="49" spans="1:24" ht="14.25">
      <c r="A49" s="36">
        <v>43555</v>
      </c>
      <c r="B49" s="37" t="s">
        <v>61</v>
      </c>
      <c r="C49" s="38">
        <v>4080853</v>
      </c>
      <c r="D49" s="39">
        <f t="shared" si="10"/>
        <v>0.25683982612053791</v>
      </c>
      <c r="E49" s="46">
        <v>2.41E-2</v>
      </c>
      <c r="F49" s="39">
        <f t="shared" si="11"/>
        <v>4.6368716701194329E-2</v>
      </c>
      <c r="G49" s="38">
        <v>15888708</v>
      </c>
      <c r="H49" s="38"/>
      <c r="I49" s="38">
        <v>2393146</v>
      </c>
      <c r="J49" s="39">
        <f t="shared" si="12"/>
        <v>0.15061929516232533</v>
      </c>
      <c r="K49" s="38">
        <v>2330158</v>
      </c>
      <c r="L49" s="39">
        <f t="shared" si="13"/>
        <v>0.14665497030973193</v>
      </c>
      <c r="M49" s="38">
        <v>1010338</v>
      </c>
      <c r="N49" s="39">
        <f t="shared" si="14"/>
        <v>6.3588430223527295E-2</v>
      </c>
      <c r="O49" s="38">
        <v>1428322</v>
      </c>
      <c r="P49" s="39">
        <f t="shared" si="15"/>
        <v>8.9895415033116599E-2</v>
      </c>
      <c r="Q49" s="38">
        <v>1369164</v>
      </c>
      <c r="R49" s="39">
        <f t="shared" si="16"/>
        <v>8.6172141875852967E-2</v>
      </c>
      <c r="S49" s="38">
        <v>736739</v>
      </c>
      <c r="T49" s="38">
        <f t="shared" si="7"/>
        <v>694913.39999999991</v>
      </c>
      <c r="U49" s="38">
        <v>1138247</v>
      </c>
      <c r="V49" s="39">
        <f t="shared" si="17"/>
        <v>7.1638738656409323E-2</v>
      </c>
      <c r="W49" s="38">
        <v>252870</v>
      </c>
      <c r="X49" s="40">
        <f t="shared" si="18"/>
        <v>1.5915076291917504E-2</v>
      </c>
    </row>
    <row r="50" spans="1:24" ht="14.25">
      <c r="A50" s="41">
        <v>43646</v>
      </c>
      <c r="B50" s="42" t="s">
        <v>62</v>
      </c>
      <c r="C50" s="43">
        <v>4146061</v>
      </c>
      <c r="D50" s="44">
        <f t="shared" si="10"/>
        <v>0.26101651657493452</v>
      </c>
      <c r="E50" s="47">
        <v>0.02</v>
      </c>
      <c r="F50" s="44">
        <f t="shared" si="11"/>
        <v>4.8485591357395608E-2</v>
      </c>
      <c r="G50" s="43">
        <v>15884286</v>
      </c>
      <c r="H50" s="43"/>
      <c r="I50" s="43">
        <v>2479799</v>
      </c>
      <c r="J50" s="44">
        <f t="shared" si="12"/>
        <v>0.15611649148095169</v>
      </c>
      <c r="K50" s="43">
        <v>2315006</v>
      </c>
      <c r="L50" s="44">
        <f t="shared" si="13"/>
        <v>0.1457418986286195</v>
      </c>
      <c r="M50" s="43">
        <v>829281</v>
      </c>
      <c r="N50" s="44">
        <f t="shared" si="14"/>
        <v>5.2207634639668411E-2</v>
      </c>
      <c r="O50" s="43">
        <v>1571577</v>
      </c>
      <c r="P50" s="44">
        <f t="shared" si="15"/>
        <v>9.8939102456352152E-2</v>
      </c>
      <c r="Q50" s="43">
        <v>1419085</v>
      </c>
      <c r="R50" s="44">
        <f t="shared" si="16"/>
        <v>8.9338922756742101E-2</v>
      </c>
      <c r="S50" s="43">
        <v>770159</v>
      </c>
      <c r="T50" s="38">
        <f t="shared" si="7"/>
        <v>742172.39999999991</v>
      </c>
      <c r="U50" s="43">
        <v>1191501</v>
      </c>
      <c r="V50" s="44">
        <f t="shared" si="17"/>
        <v>7.5011303624223341E-2</v>
      </c>
      <c r="W50" s="43">
        <v>280077</v>
      </c>
      <c r="X50" s="45">
        <f t="shared" si="18"/>
        <v>1.7632331727091794E-2</v>
      </c>
    </row>
    <row r="51" spans="1:24" ht="14.25">
      <c r="A51" s="36">
        <v>43738</v>
      </c>
      <c r="B51" s="37" t="s">
        <v>63</v>
      </c>
      <c r="C51" s="38">
        <v>4150909</v>
      </c>
      <c r="D51" s="39">
        <f t="shared" si="10"/>
        <v>0.25459935756874669</v>
      </c>
      <c r="E51" s="46">
        <v>1.6799999999999999E-2</v>
      </c>
      <c r="F51" s="39">
        <f t="shared" si="11"/>
        <v>5.2492043212303476E-2</v>
      </c>
      <c r="G51" s="38">
        <v>16303690</v>
      </c>
      <c r="H51" s="38"/>
      <c r="I51" s="38">
        <v>2809381</v>
      </c>
      <c r="J51" s="39">
        <f t="shared" si="12"/>
        <v>0.17231565369557444</v>
      </c>
      <c r="K51" s="38">
        <v>2366457</v>
      </c>
      <c r="L51" s="39">
        <f t="shared" si="13"/>
        <v>0.14514855226025519</v>
      </c>
      <c r="M51" s="38">
        <v>1048004</v>
      </c>
      <c r="N51" s="39">
        <f t="shared" si="14"/>
        <v>6.428017215734598E-2</v>
      </c>
      <c r="O51" s="38">
        <v>1636111</v>
      </c>
      <c r="P51" s="39">
        <f t="shared" si="15"/>
        <v>0.100352190209701</v>
      </c>
      <c r="Q51" s="38">
        <v>1494667</v>
      </c>
      <c r="R51" s="39">
        <f t="shared" si="16"/>
        <v>9.1676608178884664E-2</v>
      </c>
      <c r="S51" s="38">
        <v>855814</v>
      </c>
      <c r="T51" s="38">
        <f t="shared" si="7"/>
        <v>756078.39999999991</v>
      </c>
      <c r="U51" s="38">
        <v>1172186</v>
      </c>
      <c r="V51" s="39">
        <f t="shared" si="17"/>
        <v>7.1896975469970301E-2</v>
      </c>
      <c r="W51" s="38">
        <v>242590</v>
      </c>
      <c r="X51" s="40">
        <f t="shared" si="18"/>
        <v>1.4879453669690727E-2</v>
      </c>
    </row>
    <row r="52" spans="1:24" ht="14.25">
      <c r="A52" s="41">
        <v>43830</v>
      </c>
      <c r="B52" s="42" t="s">
        <v>64</v>
      </c>
      <c r="C52" s="43">
        <v>4076906</v>
      </c>
      <c r="D52" s="44">
        <f t="shared" si="10"/>
        <v>0.2451698118222683</v>
      </c>
      <c r="E52" s="47">
        <v>1.9199999999999998E-2</v>
      </c>
      <c r="F52" s="44">
        <f t="shared" si="11"/>
        <v>5.2875814387560172E-2</v>
      </c>
      <c r="G52" s="43">
        <v>16628907</v>
      </c>
      <c r="H52" s="43"/>
      <c r="I52" s="43">
        <v>2840916</v>
      </c>
      <c r="J52" s="44">
        <f t="shared" si="12"/>
        <v>0.17084201625518744</v>
      </c>
      <c r="K52" s="43">
        <v>2540730</v>
      </c>
      <c r="L52" s="44">
        <f t="shared" si="13"/>
        <v>0.15278995787275737</v>
      </c>
      <c r="M52" s="43">
        <v>1122598</v>
      </c>
      <c r="N52" s="44">
        <f t="shared" si="14"/>
        <v>6.7508826647475983E-2</v>
      </c>
      <c r="O52" s="43">
        <v>1498818</v>
      </c>
      <c r="P52" s="44">
        <f t="shared" si="15"/>
        <v>9.0133284165940672E-2</v>
      </c>
      <c r="Q52" s="43">
        <v>1517831</v>
      </c>
      <c r="R52" s="44">
        <f t="shared" si="16"/>
        <v>9.1276654563044943E-2</v>
      </c>
      <c r="S52" s="43">
        <v>879267</v>
      </c>
      <c r="T52" s="38">
        <f t="shared" si="7"/>
        <v>755235.2</v>
      </c>
      <c r="U52" s="43">
        <v>1171466</v>
      </c>
      <c r="V52" s="44">
        <f t="shared" si="17"/>
        <v>7.0447564593391493E-2</v>
      </c>
      <c r="W52" s="43">
        <v>227675</v>
      </c>
      <c r="X52" s="45">
        <f t="shared" si="18"/>
        <v>1.3691519232141956E-2</v>
      </c>
    </row>
    <row r="53" spans="1:24" ht="14.25">
      <c r="A53" s="36">
        <v>43921</v>
      </c>
      <c r="B53" s="37" t="s">
        <v>65</v>
      </c>
      <c r="C53" s="38">
        <v>4117857</v>
      </c>
      <c r="D53" s="39">
        <f t="shared" si="10"/>
        <v>0.24058764550639061</v>
      </c>
      <c r="E53" s="46">
        <v>6.9999999999999993E-3</v>
      </c>
      <c r="F53" s="39">
        <f t="shared" si="11"/>
        <v>5.2242926708370364E-2</v>
      </c>
      <c r="G53" s="38">
        <v>17115829</v>
      </c>
      <c r="H53" s="38"/>
      <c r="I53" s="38">
        <v>2942041</v>
      </c>
      <c r="J53" s="39">
        <f t="shared" si="12"/>
        <v>0.17189006737564391</v>
      </c>
      <c r="K53" s="38">
        <v>3757408</v>
      </c>
      <c r="L53" s="39">
        <f t="shared" si="13"/>
        <v>0.21952825072042961</v>
      </c>
      <c r="M53" s="38">
        <v>1358143</v>
      </c>
      <c r="N53" s="39">
        <f t="shared" si="14"/>
        <v>7.9350115030945911E-2</v>
      </c>
      <c r="O53" s="38">
        <v>1391978</v>
      </c>
      <c r="P53" s="39">
        <f t="shared" si="15"/>
        <v>8.1326940109065118E-2</v>
      </c>
      <c r="Q53" s="38">
        <v>1401905</v>
      </c>
      <c r="R53" s="39">
        <f t="shared" si="16"/>
        <v>8.1906929544575374E-2</v>
      </c>
      <c r="S53" s="38">
        <v>894181</v>
      </c>
      <c r="T53" s="38">
        <f t="shared" si="7"/>
        <v>777616.6</v>
      </c>
      <c r="U53" s="38">
        <v>1233415</v>
      </c>
      <c r="V53" s="39">
        <f t="shared" si="17"/>
        <v>7.206282558677117E-2</v>
      </c>
      <c r="W53" s="38">
        <v>241108</v>
      </c>
      <c r="X53" s="40">
        <f t="shared" si="18"/>
        <v>1.4086843237333115E-2</v>
      </c>
    </row>
    <row r="54" spans="1:24" ht="14.25">
      <c r="A54" s="41">
        <v>44012</v>
      </c>
      <c r="B54" s="42" t="s">
        <v>66</v>
      </c>
      <c r="C54" s="43">
        <v>4147116</v>
      </c>
      <c r="D54" s="44">
        <f t="shared" si="10"/>
        <v>0.208743579502427</v>
      </c>
      <c r="E54" s="47">
        <v>6.6E-3</v>
      </c>
      <c r="F54" s="44">
        <f t="shared" si="11"/>
        <v>5.554341651887159E-2</v>
      </c>
      <c r="G54" s="43">
        <v>19867035</v>
      </c>
      <c r="H54" s="43"/>
      <c r="I54" s="43">
        <v>3052228</v>
      </c>
      <c r="J54" s="44">
        <f t="shared" si="12"/>
        <v>0.15363278919073731</v>
      </c>
      <c r="K54" s="43">
        <v>4807860</v>
      </c>
      <c r="L54" s="44">
        <f t="shared" si="13"/>
        <v>0.24200188905893608</v>
      </c>
      <c r="M54" s="43">
        <v>2564674</v>
      </c>
      <c r="N54" s="44">
        <f t="shared" si="14"/>
        <v>0.12909193545992143</v>
      </c>
      <c r="O54" s="43">
        <v>1221306</v>
      </c>
      <c r="P54" s="44">
        <f t="shared" si="15"/>
        <v>6.14739944838271E-2</v>
      </c>
      <c r="Q54" s="43">
        <v>1395812</v>
      </c>
      <c r="R54" s="44">
        <f t="shared" si="16"/>
        <v>7.0257690692144048E-2</v>
      </c>
      <c r="S54" s="43">
        <v>1103483</v>
      </c>
      <c r="T54" s="38">
        <f t="shared" si="7"/>
        <v>967194.79999999993</v>
      </c>
      <c r="U54" s="43">
        <v>1194677</v>
      </c>
      <c r="V54" s="44">
        <f t="shared" si="17"/>
        <v>6.0133633428440629E-2</v>
      </c>
      <c r="W54" s="43">
        <v>305105</v>
      </c>
      <c r="X54" s="45">
        <f t="shared" si="18"/>
        <v>1.5357349498805434E-2</v>
      </c>
    </row>
    <row r="55" spans="1:24" ht="14.25">
      <c r="A55" s="36">
        <v>44104</v>
      </c>
      <c r="B55" s="37" t="s">
        <v>67</v>
      </c>
      <c r="C55" s="38">
        <v>4198868</v>
      </c>
      <c r="D55" s="39">
        <f t="shared" si="10"/>
        <v>0.2064321846496843</v>
      </c>
      <c r="E55" s="46">
        <v>6.8999999999999999E-3</v>
      </c>
      <c r="F55" s="39">
        <f t="shared" si="11"/>
        <v>5.8347612540911017E-2</v>
      </c>
      <c r="G55" s="38">
        <v>20340181</v>
      </c>
      <c r="H55" s="38"/>
      <c r="I55" s="38">
        <v>3054360</v>
      </c>
      <c r="J55" s="39">
        <f t="shared" si="12"/>
        <v>0.15016385547404912</v>
      </c>
      <c r="K55" s="38">
        <v>5055969</v>
      </c>
      <c r="L55" s="39">
        <f t="shared" si="13"/>
        <v>0.24857050190457991</v>
      </c>
      <c r="M55" s="38">
        <v>2493606</v>
      </c>
      <c r="N55" s="39">
        <f t="shared" si="14"/>
        <v>0.1225950742522891</v>
      </c>
      <c r="O55" s="38">
        <v>1198982</v>
      </c>
      <c r="P55" s="39">
        <f t="shared" si="15"/>
        <v>5.8946476434993379E-2</v>
      </c>
      <c r="Q55" s="38">
        <v>1501073</v>
      </c>
      <c r="R55" s="39">
        <f t="shared" si="16"/>
        <v>7.3798409168531975E-2</v>
      </c>
      <c r="S55" s="38">
        <v>1186801</v>
      </c>
      <c r="T55" s="38">
        <f t="shared" si="7"/>
        <v>939351.6</v>
      </c>
      <c r="U55" s="38">
        <v>1230451</v>
      </c>
      <c r="V55" s="39">
        <f t="shared" si="17"/>
        <v>6.0493611143381663E-2</v>
      </c>
      <c r="W55" s="38">
        <v>227271</v>
      </c>
      <c r="X55" s="40">
        <f t="shared" si="18"/>
        <v>1.1173499390197166E-2</v>
      </c>
    </row>
    <row r="56" spans="1:24" ht="14.25">
      <c r="A56" s="41">
        <v>44196</v>
      </c>
      <c r="B56" s="42" t="s">
        <v>68</v>
      </c>
      <c r="C56" s="43">
        <v>4186538</v>
      </c>
      <c r="D56" s="44">
        <f t="shared" si="10"/>
        <v>0.19987140362447375</v>
      </c>
      <c r="E56" s="47">
        <v>9.300000000000001E-3</v>
      </c>
      <c r="F56" s="44">
        <f t="shared" si="11"/>
        <v>5.7440653316947192E-2</v>
      </c>
      <c r="G56" s="43">
        <v>20946158</v>
      </c>
      <c r="H56" s="43"/>
      <c r="I56" s="43">
        <v>3105028</v>
      </c>
      <c r="J56" s="44">
        <f t="shared" si="12"/>
        <v>0.14823854570370376</v>
      </c>
      <c r="K56" s="43">
        <v>5254556</v>
      </c>
      <c r="L56" s="44">
        <f t="shared" si="13"/>
        <v>0.25086013387276079</v>
      </c>
      <c r="M56" s="43">
        <v>2465928</v>
      </c>
      <c r="N56" s="44">
        <f t="shared" si="14"/>
        <v>0.11772698363107927</v>
      </c>
      <c r="O56" s="43">
        <v>1280455</v>
      </c>
      <c r="P56" s="44">
        <f t="shared" si="15"/>
        <v>6.1130781119859784E-2</v>
      </c>
      <c r="Q56" s="43">
        <v>1589250</v>
      </c>
      <c r="R56" s="44">
        <f t="shared" si="16"/>
        <v>7.5873102838238879E-2</v>
      </c>
      <c r="S56" s="43">
        <v>1203161</v>
      </c>
      <c r="T56" s="38">
        <f t="shared" si="7"/>
        <v>933851.6</v>
      </c>
      <c r="U56" s="43">
        <v>1244613</v>
      </c>
      <c r="V56" s="44">
        <f t="shared" si="17"/>
        <v>5.9419631991699862E-2</v>
      </c>
      <c r="W56" s="43">
        <v>211955</v>
      </c>
      <c r="X56" s="45">
        <f t="shared" si="18"/>
        <v>1.011903949163374E-2</v>
      </c>
    </row>
    <row r="57" spans="1:24" ht="14.25">
      <c r="A57" s="36">
        <v>44286</v>
      </c>
      <c r="B57" s="37" t="s">
        <v>69</v>
      </c>
      <c r="C57" s="38">
        <v>4202077</v>
      </c>
      <c r="D57" s="39">
        <f t="shared" si="10"/>
        <v>0.19684288904040381</v>
      </c>
      <c r="E57" s="46">
        <v>1.7399999999999999E-2</v>
      </c>
      <c r="F57" s="39">
        <f t="shared" si="11"/>
        <v>5.8907036067449077E-2</v>
      </c>
      <c r="G57" s="38">
        <v>21347365</v>
      </c>
      <c r="H57" s="38"/>
      <c r="I57" s="38">
        <v>3093843</v>
      </c>
      <c r="J57" s="39">
        <f t="shared" si="12"/>
        <v>0.14492856612514005</v>
      </c>
      <c r="K57" s="38">
        <v>5273242</v>
      </c>
      <c r="L57" s="39">
        <f t="shared" si="13"/>
        <v>0.24702074471486293</v>
      </c>
      <c r="M57" s="38">
        <v>2583204</v>
      </c>
      <c r="N57" s="39">
        <f t="shared" si="14"/>
        <v>0.12100809631540005</v>
      </c>
      <c r="O57" s="38">
        <v>783238</v>
      </c>
      <c r="P57" s="39">
        <f t="shared" si="15"/>
        <v>3.6690148877859166E-2</v>
      </c>
      <c r="Q57" s="38">
        <v>1642733</v>
      </c>
      <c r="R57" s="39">
        <f t="shared" si="16"/>
        <v>7.6952495073747976E-2</v>
      </c>
      <c r="S57" s="38">
        <v>1257510</v>
      </c>
      <c r="T57" s="38">
        <f t="shared" si="7"/>
        <v>885093</v>
      </c>
      <c r="U57" s="38">
        <v>1221142</v>
      </c>
      <c r="V57" s="39">
        <f t="shared" si="17"/>
        <v>5.7203406603110032E-2</v>
      </c>
      <c r="W57" s="38">
        <v>130587</v>
      </c>
      <c r="X57" s="40">
        <f t="shared" si="18"/>
        <v>6.1172421045876156E-3</v>
      </c>
    </row>
    <row r="58" spans="1:24" ht="14.25">
      <c r="A58" s="41">
        <v>44377</v>
      </c>
      <c r="B58" s="42" t="s">
        <v>70</v>
      </c>
      <c r="C58" s="43">
        <v>4215874</v>
      </c>
      <c r="D58" s="44">
        <f t="shared" si="10"/>
        <v>0.19428847622450446</v>
      </c>
      <c r="E58" s="47">
        <v>1.4499999999999999E-2</v>
      </c>
      <c r="F58" s="44">
        <f t="shared" si="11"/>
        <v>6.2063013562395353E-2</v>
      </c>
      <c r="G58" s="43">
        <v>21699043</v>
      </c>
      <c r="H58" s="43"/>
      <c r="I58" s="43">
        <v>3303006</v>
      </c>
      <c r="J58" s="44">
        <f t="shared" si="12"/>
        <v>0.152218971131584</v>
      </c>
      <c r="K58" s="43">
        <v>5596511</v>
      </c>
      <c r="L58" s="44">
        <f t="shared" si="13"/>
        <v>0.2579151071316832</v>
      </c>
      <c r="M58" s="43">
        <v>2288119</v>
      </c>
      <c r="N58" s="44">
        <f t="shared" si="14"/>
        <v>0.10544792228855439</v>
      </c>
      <c r="O58" s="43">
        <v>489215</v>
      </c>
      <c r="P58" s="44">
        <f t="shared" si="15"/>
        <v>2.2545464332228846E-2</v>
      </c>
      <c r="Q58" s="43">
        <v>1783610</v>
      </c>
      <c r="R58" s="44">
        <f t="shared" si="16"/>
        <v>8.2197634245897391E-2</v>
      </c>
      <c r="S58" s="43">
        <v>1346708</v>
      </c>
      <c r="T58" s="38">
        <f t="shared" si="7"/>
        <v>965181.79999999993</v>
      </c>
      <c r="U58" s="43">
        <v>1319417</v>
      </c>
      <c r="V58" s="44">
        <f t="shared" si="17"/>
        <v>6.0805308326270423E-2</v>
      </c>
      <c r="W58" s="43">
        <v>157157</v>
      </c>
      <c r="X58" s="45">
        <f t="shared" si="18"/>
        <v>7.242577472195433E-3</v>
      </c>
    </row>
    <row r="59" spans="1:24" ht="14.25">
      <c r="A59" s="36">
        <v>44469</v>
      </c>
      <c r="B59" s="37" t="s">
        <v>71</v>
      </c>
      <c r="C59" s="38">
        <v>4207931</v>
      </c>
      <c r="D59" s="39">
        <f t="shared" si="10"/>
        <v>0.19261672602499252</v>
      </c>
      <c r="E59" s="46">
        <v>1.52E-2</v>
      </c>
      <c r="F59" s="39">
        <f t="shared" si="11"/>
        <v>6.6660441309183527E-2</v>
      </c>
      <c r="G59" s="38">
        <v>21846135</v>
      </c>
      <c r="H59" s="38"/>
      <c r="I59" s="38">
        <v>3362965</v>
      </c>
      <c r="J59" s="39">
        <f t="shared" si="12"/>
        <v>0.15393867153160043</v>
      </c>
      <c r="K59" s="38">
        <v>5831294</v>
      </c>
      <c r="L59" s="39">
        <f t="shared" si="13"/>
        <v>0.26692565984784034</v>
      </c>
      <c r="M59" s="38">
        <v>1694672</v>
      </c>
      <c r="N59" s="39">
        <f t="shared" si="14"/>
        <v>7.7573081004946642E-2</v>
      </c>
      <c r="O59" s="38">
        <v>648657</v>
      </c>
      <c r="P59" s="39">
        <f t="shared" si="15"/>
        <v>2.9692071389286936E-2</v>
      </c>
      <c r="Q59" s="38">
        <v>1849013</v>
      </c>
      <c r="R59" s="39">
        <f t="shared" si="16"/>
        <v>8.4637992029253692E-2</v>
      </c>
      <c r="S59" s="38">
        <v>1456273</v>
      </c>
      <c r="T59" s="38">
        <f t="shared" si="7"/>
        <v>1015513.7999999999</v>
      </c>
      <c r="U59" s="38">
        <v>1330223</v>
      </c>
      <c r="V59" s="39">
        <f t="shared" si="17"/>
        <v>6.0890541965432331E-2</v>
      </c>
      <c r="W59" s="38">
        <v>141750</v>
      </c>
      <c r="X59" s="40">
        <f t="shared" si="18"/>
        <v>6.4885619355551909E-3</v>
      </c>
    </row>
    <row r="60" spans="1:24" ht="14.25">
      <c r="A60" s="41">
        <v>44561</v>
      </c>
      <c r="B60" s="42" t="s">
        <v>72</v>
      </c>
      <c r="C60" s="43">
        <v>4117652</v>
      </c>
      <c r="D60" s="44">
        <f t="shared" si="10"/>
        <v>0.18253997245089179</v>
      </c>
      <c r="E60" s="47">
        <v>1.52E-2</v>
      </c>
      <c r="F60" s="44">
        <f t="shared" si="11"/>
        <v>7.2755907382792168E-2</v>
      </c>
      <c r="G60" s="43">
        <v>22557536</v>
      </c>
      <c r="H60" s="43"/>
      <c r="I60" s="43">
        <v>3622718</v>
      </c>
      <c r="J60" s="44">
        <f t="shared" si="12"/>
        <v>0.16059901223254172</v>
      </c>
      <c r="K60" s="43">
        <v>6052055</v>
      </c>
      <c r="L60" s="44">
        <f t="shared" si="13"/>
        <v>0.26829415234004284</v>
      </c>
      <c r="M60" s="43">
        <v>1814671</v>
      </c>
      <c r="N60" s="44">
        <f t="shared" si="14"/>
        <v>8.0446330663065321E-2</v>
      </c>
      <c r="O60" s="43">
        <v>400490</v>
      </c>
      <c r="P60" s="44">
        <f t="shared" si="15"/>
        <v>1.7754155418393213E-2</v>
      </c>
      <c r="Q60" s="43">
        <v>1929058</v>
      </c>
      <c r="R60" s="44">
        <f t="shared" si="16"/>
        <v>8.5517230250679865E-2</v>
      </c>
      <c r="S60" s="43">
        <v>1641194</v>
      </c>
      <c r="T60" s="38">
        <f t="shared" si="7"/>
        <v>1184416.3999999999</v>
      </c>
      <c r="U60" s="43">
        <v>1366488</v>
      </c>
      <c r="V60" s="44">
        <f t="shared" si="17"/>
        <v>6.0577892904615113E-2</v>
      </c>
      <c r="W60" s="43">
        <v>199700</v>
      </c>
      <c r="X60" s="45">
        <f t="shared" si="18"/>
        <v>8.8529172689783137E-3</v>
      </c>
    </row>
    <row r="61" spans="1:24" ht="14.25">
      <c r="A61" s="36">
        <v>44651</v>
      </c>
      <c r="B61" s="37" t="s">
        <v>73</v>
      </c>
      <c r="C61" s="38">
        <v>4025302</v>
      </c>
      <c r="D61" s="39">
        <f t="shared" si="10"/>
        <v>0.17316025547158259</v>
      </c>
      <c r="E61" s="46">
        <v>2.3199999999999998E-2</v>
      </c>
      <c r="F61" s="39">
        <f t="shared" si="11"/>
        <v>7.1138575111154095E-2</v>
      </c>
      <c r="G61" s="38">
        <v>23246108</v>
      </c>
      <c r="H61" s="39">
        <f>(G61-G57)/G57</f>
        <v>8.8945075891099443E-2</v>
      </c>
      <c r="I61" s="38">
        <v>3579098</v>
      </c>
      <c r="J61" s="39">
        <f t="shared" si="12"/>
        <v>0.1539654724137047</v>
      </c>
      <c r="K61" s="38">
        <v>5851446</v>
      </c>
      <c r="L61" s="39">
        <f t="shared" si="13"/>
        <v>0.25171723369778715</v>
      </c>
      <c r="M61" s="38">
        <v>1759444</v>
      </c>
      <c r="N61" s="39">
        <f t="shared" si="14"/>
        <v>7.568768070766943E-2</v>
      </c>
      <c r="O61" s="38">
        <v>585744</v>
      </c>
      <c r="P61" s="39">
        <f t="shared" si="15"/>
        <v>2.5197508331287113E-2</v>
      </c>
      <c r="Q61" s="38">
        <v>1867299</v>
      </c>
      <c r="R61" s="39">
        <f t="shared" si="16"/>
        <v>8.0327382114889948E-2</v>
      </c>
      <c r="S61" s="38">
        <v>1653695</v>
      </c>
      <c r="T61" s="38">
        <f t="shared" si="7"/>
        <v>1220115</v>
      </c>
      <c r="U61" s="38">
        <v>1254759</v>
      </c>
      <c r="V61" s="39">
        <f t="shared" si="17"/>
        <v>5.3977164693547838E-2</v>
      </c>
      <c r="W61" s="38">
        <v>227898</v>
      </c>
      <c r="X61" s="40">
        <f t="shared" si="18"/>
        <v>9.803705635369156E-3</v>
      </c>
    </row>
    <row r="62" spans="1:24" ht="14.25">
      <c r="A62" s="41">
        <v>44742</v>
      </c>
      <c r="B62" s="42" t="s">
        <v>74</v>
      </c>
      <c r="C62" s="43">
        <v>3855274</v>
      </c>
      <c r="D62" s="44">
        <f t="shared" si="10"/>
        <v>0.1657942195728378</v>
      </c>
      <c r="E62" s="47">
        <v>2.98E-2</v>
      </c>
      <c r="F62" s="44">
        <f t="shared" si="11"/>
        <v>7.2533234755498638E-2</v>
      </c>
      <c r="G62" s="43">
        <v>23253368</v>
      </c>
      <c r="H62" s="43"/>
      <c r="I62" s="43">
        <v>3561669</v>
      </c>
      <c r="J62" s="44">
        <f t="shared" si="12"/>
        <v>0.15316787658458766</v>
      </c>
      <c r="K62" s="43">
        <v>5563801</v>
      </c>
      <c r="L62" s="44">
        <f t="shared" si="13"/>
        <v>0.23926860831514815</v>
      </c>
      <c r="M62" s="43">
        <v>1458999</v>
      </c>
      <c r="N62" s="44">
        <f t="shared" si="14"/>
        <v>6.2743556116258078E-2</v>
      </c>
      <c r="O62" s="43">
        <v>682999</v>
      </c>
      <c r="P62" s="44">
        <f t="shared" si="15"/>
        <v>2.9372046234334741E-2</v>
      </c>
      <c r="Q62" s="43">
        <v>1793757</v>
      </c>
      <c r="R62" s="44">
        <f t="shared" si="16"/>
        <v>7.7139664241326247E-2</v>
      </c>
      <c r="S62" s="43">
        <v>1686642</v>
      </c>
      <c r="T62" s="38">
        <f t="shared" si="7"/>
        <v>1228832.2</v>
      </c>
      <c r="U62" s="43">
        <v>1207382</v>
      </c>
      <c r="V62" s="44">
        <f t="shared" si="17"/>
        <v>5.1922887041567486E-2</v>
      </c>
      <c r="W62" s="43">
        <v>216847</v>
      </c>
      <c r="X62" s="45">
        <f t="shared" si="18"/>
        <v>9.3254018084606063E-3</v>
      </c>
    </row>
    <row r="63" spans="1:24" ht="14.25">
      <c r="A63" s="36">
        <v>44834</v>
      </c>
      <c r="B63" s="37" t="s">
        <v>75</v>
      </c>
      <c r="C63" s="38">
        <v>3713699</v>
      </c>
      <c r="D63" s="39">
        <f t="shared" si="10"/>
        <v>0.15724878698175995</v>
      </c>
      <c r="E63" s="46">
        <v>3.8300000000000001E-2</v>
      </c>
      <c r="F63" s="39">
        <f t="shared" si="11"/>
        <v>6.7990503334291699E-2</v>
      </c>
      <c r="G63" s="38">
        <v>23616710</v>
      </c>
      <c r="H63" s="38"/>
      <c r="I63" s="38">
        <v>3537809</v>
      </c>
      <c r="J63" s="39">
        <f t="shared" si="12"/>
        <v>0.14980109422523288</v>
      </c>
      <c r="K63" s="38">
        <v>5186546</v>
      </c>
      <c r="L63" s="39">
        <f t="shared" si="13"/>
        <v>0.21961340085049949</v>
      </c>
      <c r="M63" s="38">
        <v>1256135</v>
      </c>
      <c r="N63" s="39">
        <f t="shared" si="14"/>
        <v>5.318839923088356E-2</v>
      </c>
      <c r="O63" s="38">
        <v>1108280</v>
      </c>
      <c r="P63" s="39">
        <f t="shared" si="15"/>
        <v>4.6927789687894718E-2</v>
      </c>
      <c r="Q63" s="38">
        <v>1729584</v>
      </c>
      <c r="R63" s="39">
        <f t="shared" si="16"/>
        <v>7.3235603096282256E-2</v>
      </c>
      <c r="S63" s="38">
        <v>1605712</v>
      </c>
      <c r="T63" s="38">
        <f t="shared" si="7"/>
        <v>1189709.2</v>
      </c>
      <c r="U63" s="38">
        <v>1150243</v>
      </c>
      <c r="V63" s="39">
        <f t="shared" si="17"/>
        <v>4.8704624818613602E-2</v>
      </c>
      <c r="W63" s="38">
        <v>226282</v>
      </c>
      <c r="X63" s="40">
        <f t="shared" si="18"/>
        <v>9.5814361949653447E-3</v>
      </c>
    </row>
    <row r="64" spans="1:24" ht="14.25">
      <c r="A64" s="41">
        <v>44926</v>
      </c>
      <c r="B64" s="42" t="s">
        <v>76</v>
      </c>
      <c r="C64" s="43">
        <v>3667449</v>
      </c>
      <c r="D64" s="44">
        <f t="shared" si="10"/>
        <v>0.1538038324044585</v>
      </c>
      <c r="E64" s="47">
        <v>3.8800000000000001E-2</v>
      </c>
      <c r="F64" s="44">
        <f t="shared" si="11"/>
        <v>6.6249044138350643E-2</v>
      </c>
      <c r="G64" s="43">
        <v>23844978</v>
      </c>
      <c r="H64" s="43"/>
      <c r="I64" s="43">
        <v>3527235</v>
      </c>
      <c r="J64" s="44">
        <f t="shared" si="12"/>
        <v>0.14792360051663708</v>
      </c>
      <c r="K64" s="43">
        <v>5056405</v>
      </c>
      <c r="L64" s="44">
        <f t="shared" si="13"/>
        <v>0.21205324659976621</v>
      </c>
      <c r="M64" s="43">
        <v>1064015</v>
      </c>
      <c r="N64" s="44">
        <f t="shared" si="14"/>
        <v>4.4622184176475232E-2</v>
      </c>
      <c r="O64" s="43">
        <v>1658923</v>
      </c>
      <c r="P64" s="44">
        <f t="shared" si="15"/>
        <v>6.9571169241590403E-2</v>
      </c>
      <c r="Q64" s="43">
        <v>1745162</v>
      </c>
      <c r="R64" s="44">
        <f t="shared" si="16"/>
        <v>7.3187821771108372E-2</v>
      </c>
      <c r="S64" s="43">
        <v>1579707</v>
      </c>
      <c r="T64" s="38">
        <f t="shared" si="7"/>
        <v>1163698.2</v>
      </c>
      <c r="U64" s="43">
        <v>1160203</v>
      </c>
      <c r="V64" s="44">
        <f t="shared" si="17"/>
        <v>4.865607340883267E-2</v>
      </c>
      <c r="W64" s="43">
        <v>215874</v>
      </c>
      <c r="X64" s="45">
        <f t="shared" si="18"/>
        <v>9.0532270568670688E-3</v>
      </c>
    </row>
    <row r="65" spans="1:24" ht="14.25">
      <c r="A65" s="36">
        <v>45016</v>
      </c>
      <c r="B65" s="37" t="s">
        <v>77</v>
      </c>
      <c r="C65" s="38">
        <v>3769907</v>
      </c>
      <c r="D65" s="39">
        <f t="shared" si="10"/>
        <v>0.1552549410795023</v>
      </c>
      <c r="E65" s="46">
        <v>3.4799999999999998E-2</v>
      </c>
      <c r="F65" s="39">
        <f t="shared" si="11"/>
        <v>6.1464764783785479E-2</v>
      </c>
      <c r="G65" s="38">
        <v>24282042</v>
      </c>
      <c r="H65" s="39">
        <f>(G65-G61)/G61</f>
        <v>4.4563760953016306E-2</v>
      </c>
      <c r="I65" s="38">
        <v>3698735</v>
      </c>
      <c r="J65" s="39">
        <f t="shared" si="12"/>
        <v>0.15232388610480124</v>
      </c>
      <c r="K65" s="38">
        <v>4960204</v>
      </c>
      <c r="L65" s="39">
        <f t="shared" si="13"/>
        <v>0.20427458283780253</v>
      </c>
      <c r="M65" s="38">
        <v>1040799</v>
      </c>
      <c r="N65" s="39">
        <f t="shared" si="14"/>
        <v>4.2862910788145414E-2</v>
      </c>
      <c r="O65" s="38">
        <v>2104754</v>
      </c>
      <c r="P65" s="39">
        <f t="shared" si="15"/>
        <v>8.6679448128785877E-2</v>
      </c>
      <c r="Q65" s="38">
        <v>1823382</v>
      </c>
      <c r="R65" s="39">
        <f t="shared" si="16"/>
        <v>7.5091790056206975E-2</v>
      </c>
      <c r="S65" s="38">
        <v>1492490</v>
      </c>
      <c r="T65" s="38">
        <f t="shared" si="7"/>
        <v>1223058</v>
      </c>
      <c r="U65" s="38">
        <v>1228892</v>
      </c>
      <c r="V65" s="39">
        <f t="shared" si="17"/>
        <v>5.0609087983621806E-2</v>
      </c>
      <c r="W65" s="38">
        <v>327564</v>
      </c>
      <c r="X65" s="40">
        <f t="shared" si="18"/>
        <v>1.3489969253821404E-2</v>
      </c>
    </row>
    <row r="66" spans="1:24" ht="14.25">
      <c r="A66" s="41">
        <v>45107</v>
      </c>
      <c r="B66" s="42" t="s">
        <v>78</v>
      </c>
      <c r="C66" s="43">
        <v>3769207</v>
      </c>
      <c r="D66" s="44">
        <f t="shared" si="10"/>
        <v>0.15215365116615998</v>
      </c>
      <c r="E66" s="47">
        <v>3.8100000000000002E-2</v>
      </c>
      <c r="F66" s="44">
        <f t="shared" si="11"/>
        <v>5.7881374545749008E-2</v>
      </c>
      <c r="G66" s="43">
        <v>24772373</v>
      </c>
      <c r="H66" s="43"/>
      <c r="I66" s="43">
        <v>3794008</v>
      </c>
      <c r="J66" s="44">
        <f t="shared" si="12"/>
        <v>0.15315480676800725</v>
      </c>
      <c r="K66" s="43">
        <v>4702866</v>
      </c>
      <c r="L66" s="44">
        <f t="shared" si="13"/>
        <v>0.18984317731692479</v>
      </c>
      <c r="M66" s="43">
        <v>1243962</v>
      </c>
      <c r="N66" s="44">
        <f t="shared" si="14"/>
        <v>5.0215697947063855E-2</v>
      </c>
      <c r="O66" s="43">
        <v>2255619</v>
      </c>
      <c r="P66" s="44">
        <f t="shared" si="15"/>
        <v>9.1053812244793822E-2</v>
      </c>
      <c r="Q66" s="43">
        <v>1808464</v>
      </c>
      <c r="R66" s="44">
        <f t="shared" si="16"/>
        <v>7.3003260527362474E-2</v>
      </c>
      <c r="S66" s="43">
        <v>1433859</v>
      </c>
      <c r="T66" s="38">
        <f t="shared" si="7"/>
        <v>1161638.3999999999</v>
      </c>
      <c r="U66" s="43">
        <v>1230707</v>
      </c>
      <c r="V66" s="44">
        <f t="shared" si="17"/>
        <v>4.9680626074861699E-2</v>
      </c>
      <c r="W66" s="43">
        <v>301323</v>
      </c>
      <c r="X66" s="45">
        <f t="shared" si="18"/>
        <v>1.2163671199363905E-2</v>
      </c>
    </row>
    <row r="67" spans="1:24" ht="14.25">
      <c r="A67" s="36">
        <v>45199</v>
      </c>
      <c r="B67" s="37" t="s">
        <v>79</v>
      </c>
      <c r="C67" s="38">
        <v>3690999</v>
      </c>
      <c r="D67" s="39">
        <f t="shared" si="10"/>
        <v>0.14400994734056941</v>
      </c>
      <c r="E67" s="46">
        <v>4.5899999999999996E-2</v>
      </c>
      <c r="F67" s="39">
        <f t="shared" si="11"/>
        <v>5.5717896804964244E-2</v>
      </c>
      <c r="G67" s="38">
        <v>25630167</v>
      </c>
      <c r="H67" s="38"/>
      <c r="I67" s="38">
        <v>3818116</v>
      </c>
      <c r="J67" s="39">
        <f t="shared" si="12"/>
        <v>0.14896961069352377</v>
      </c>
      <c r="K67" s="38">
        <v>4367410</v>
      </c>
      <c r="L67" s="39">
        <f t="shared" si="13"/>
        <v>0.17040115267294201</v>
      </c>
      <c r="M67" s="38">
        <v>1767115</v>
      </c>
      <c r="N67" s="39">
        <f t="shared" si="14"/>
        <v>6.8946683023953764E-2</v>
      </c>
      <c r="O67" s="38">
        <v>2359873</v>
      </c>
      <c r="P67" s="39">
        <f t="shared" si="15"/>
        <v>9.2074039158621168E-2</v>
      </c>
      <c r="Q67" s="38">
        <v>1788824</v>
      </c>
      <c r="R67" s="39">
        <f t="shared" si="16"/>
        <v>6.9793692721549574E-2</v>
      </c>
      <c r="S67" s="38">
        <v>1428059</v>
      </c>
      <c r="T67" s="38">
        <f t="shared" si="7"/>
        <v>1169206.3999999999</v>
      </c>
      <c r="U67" s="38">
        <v>1261997</v>
      </c>
      <c r="V67" s="39">
        <f t="shared" si="17"/>
        <v>4.9238734964153763E-2</v>
      </c>
      <c r="W67" s="38">
        <v>312371</v>
      </c>
      <c r="X67" s="40">
        <f t="shared" si="18"/>
        <v>1.2187630302994124E-2</v>
      </c>
    </row>
    <row r="68" spans="1:24" ht="14.25">
      <c r="A68" s="41">
        <v>45291</v>
      </c>
      <c r="B68" s="42" t="s">
        <v>80</v>
      </c>
      <c r="C68" s="43">
        <v>3796439</v>
      </c>
      <c r="D68" s="44">
        <f t="shared" si="10"/>
        <v>0.14475545771923121</v>
      </c>
      <c r="E68" s="47">
        <v>3.8800000000000001E-2</v>
      </c>
      <c r="F68" s="44">
        <f t="shared" si="11"/>
        <v>5.772703246086059E-2</v>
      </c>
      <c r="G68" s="43">
        <v>26226569</v>
      </c>
      <c r="H68" s="43"/>
      <c r="I68" s="43">
        <v>4143569</v>
      </c>
      <c r="J68" s="44">
        <f t="shared" si="12"/>
        <v>0.15799127213323252</v>
      </c>
      <c r="K68" s="43">
        <v>4403083</v>
      </c>
      <c r="L68" s="44">
        <f t="shared" si="13"/>
        <v>0.16788635219498213</v>
      </c>
      <c r="M68" s="43">
        <v>2269494</v>
      </c>
      <c r="N68" s="44">
        <f t="shared" si="14"/>
        <v>8.6534155497045767E-2</v>
      </c>
      <c r="O68" s="43">
        <v>2518608</v>
      </c>
      <c r="P68" s="44">
        <f t="shared" si="15"/>
        <v>9.603269112326511E-2</v>
      </c>
      <c r="Q68" s="43">
        <v>1877643</v>
      </c>
      <c r="R68" s="44">
        <f t="shared" si="16"/>
        <v>7.1593161880991754E-2</v>
      </c>
      <c r="S68" s="43">
        <v>1513982</v>
      </c>
      <c r="T68" s="38">
        <f t="shared" si="7"/>
        <v>1237101.2</v>
      </c>
      <c r="U68" s="43">
        <v>1353004</v>
      </c>
      <c r="V68" s="44">
        <f t="shared" si="17"/>
        <v>5.1589058408669466E-2</v>
      </c>
      <c r="W68" s="43">
        <v>328712</v>
      </c>
      <c r="X68" s="45">
        <f t="shared" si="18"/>
        <v>1.2533549470386309E-2</v>
      </c>
    </row>
    <row r="69" spans="1:24" ht="14.25">
      <c r="A69" s="36">
        <v>45382</v>
      </c>
      <c r="B69" s="37" t="s">
        <v>81</v>
      </c>
      <c r="C69" s="38">
        <v>3816873</v>
      </c>
      <c r="D69" s="39">
        <f t="shared" si="10"/>
        <v>0.14237490435907751</v>
      </c>
      <c r="E69" s="46">
        <v>4.2000000000000003E-2</v>
      </c>
      <c r="F69" s="39">
        <f t="shared" si="11"/>
        <v>6.0222559858385781E-2</v>
      </c>
      <c r="G69" s="38">
        <v>26808608</v>
      </c>
      <c r="H69" s="39">
        <f>(G69-G65)/G65</f>
        <v>0.10405080429397165</v>
      </c>
      <c r="I69" s="38">
        <v>4290998</v>
      </c>
      <c r="J69" s="39">
        <f t="shared" ref="J69:J77" si="19">I69/$G69</f>
        <v>0.16006045520901346</v>
      </c>
      <c r="K69" s="38">
        <v>4176260</v>
      </c>
      <c r="L69" s="39">
        <f t="shared" ref="L69:L77" si="20">K69/$G69</f>
        <v>0.15578056122869191</v>
      </c>
      <c r="M69" s="38">
        <v>2563670</v>
      </c>
      <c r="N69" s="39">
        <f t="shared" ref="N69:N77" si="21">M69/$G69</f>
        <v>9.5628613018624464E-2</v>
      </c>
      <c r="O69" s="38">
        <v>2449703</v>
      </c>
      <c r="P69" s="39">
        <f t="shared" ref="P69:P77" si="22">O69/$G69</f>
        <v>9.1377478457665542E-2</v>
      </c>
      <c r="Q69" s="38">
        <v>1894682</v>
      </c>
      <c r="R69" s="39">
        <f t="shared" ref="R69:R77" si="23">Q69/$G69</f>
        <v>7.0674389360312923E-2</v>
      </c>
      <c r="S69" s="38">
        <v>1614483</v>
      </c>
      <c r="T69" s="38">
        <f t="shared" si="7"/>
        <v>1359188.7999999998</v>
      </c>
      <c r="U69" s="38">
        <v>1400685</v>
      </c>
      <c r="V69" s="39">
        <f t="shared" ref="V69:V77" si="24">U69/$G69</f>
        <v>5.2247584059567732E-2</v>
      </c>
      <c r="W69" s="38">
        <v>390499</v>
      </c>
      <c r="X69" s="40">
        <f t="shared" ref="X69:X77" si="25">W69/$G69</f>
        <v>1.4566179639017438E-2</v>
      </c>
    </row>
    <row r="70" spans="1:24" ht="14.25">
      <c r="A70" s="41">
        <v>45473</v>
      </c>
      <c r="B70" s="42" t="s">
        <v>82</v>
      </c>
      <c r="C70" s="43">
        <v>3831011</v>
      </c>
      <c r="D70" s="44">
        <f t="shared" ref="D70:D101" si="26">C70/$G70</f>
        <v>0.14240017009170122</v>
      </c>
      <c r="E70" s="47">
        <v>4.36E-2</v>
      </c>
      <c r="F70" s="44">
        <f t="shared" ref="F70:F77" si="27">S70/$G70</f>
        <v>5.960758848364698E-2</v>
      </c>
      <c r="G70" s="43">
        <v>26903135</v>
      </c>
      <c r="H70" s="43"/>
      <c r="I70" s="43">
        <v>4418485</v>
      </c>
      <c r="J70" s="44">
        <f t="shared" si="19"/>
        <v>0.16423680734605836</v>
      </c>
      <c r="K70" s="43">
        <v>3993177</v>
      </c>
      <c r="L70" s="44">
        <f t="shared" si="20"/>
        <v>0.14842794343484506</v>
      </c>
      <c r="M70" s="43">
        <v>2449906</v>
      </c>
      <c r="N70" s="44">
        <f t="shared" si="21"/>
        <v>9.1063959646338608E-2</v>
      </c>
      <c r="O70" s="43">
        <v>2536828</v>
      </c>
      <c r="P70" s="44">
        <f t="shared" si="22"/>
        <v>9.4294884220742309E-2</v>
      </c>
      <c r="Q70" s="43">
        <v>1931007</v>
      </c>
      <c r="R70" s="44">
        <f t="shared" si="23"/>
        <v>7.1776281834812189E-2</v>
      </c>
      <c r="S70" s="43">
        <v>1603631</v>
      </c>
      <c r="T70" s="38">
        <f t="shared" ref="T70:T80" si="28">S70*0.6+W70</f>
        <v>1320743.6000000001</v>
      </c>
      <c r="U70" s="43">
        <v>1522941</v>
      </c>
      <c r="V70" s="44">
        <f t="shared" si="24"/>
        <v>5.6608309775050381E-2</v>
      </c>
      <c r="W70" s="43">
        <v>358565</v>
      </c>
      <c r="X70" s="45">
        <f t="shared" si="25"/>
        <v>1.3328000621488909E-2</v>
      </c>
    </row>
    <row r="71" spans="1:24" ht="14.25">
      <c r="A71" s="36">
        <v>45565</v>
      </c>
      <c r="B71" s="37" t="s">
        <v>83</v>
      </c>
      <c r="C71" s="38">
        <v>3914130</v>
      </c>
      <c r="D71" s="39">
        <f t="shared" si="26"/>
        <v>0.14188608556976537</v>
      </c>
      <c r="E71" s="46">
        <v>3.8100000000000002E-2</v>
      </c>
      <c r="F71" s="39">
        <f t="shared" si="27"/>
        <v>6.0513638120429231E-2</v>
      </c>
      <c r="G71" s="38">
        <v>27586426</v>
      </c>
      <c r="H71" s="38"/>
      <c r="I71" s="38">
        <v>4801071</v>
      </c>
      <c r="J71" s="39">
        <f t="shared" si="19"/>
        <v>0.17403744145762123</v>
      </c>
      <c r="K71" s="38">
        <v>4048034</v>
      </c>
      <c r="L71" s="39">
        <f t="shared" si="20"/>
        <v>0.14674006701701772</v>
      </c>
      <c r="M71" s="38">
        <v>2659841</v>
      </c>
      <c r="N71" s="39">
        <f t="shared" si="21"/>
        <v>9.6418470446298477E-2</v>
      </c>
      <c r="O71" s="38">
        <v>2738577</v>
      </c>
      <c r="P71" s="39">
        <f t="shared" si="22"/>
        <v>9.9272627777153885E-2</v>
      </c>
      <c r="Q71" s="38">
        <v>2066858</v>
      </c>
      <c r="R71" s="39">
        <f t="shared" si="23"/>
        <v>7.4923007424013532E-2</v>
      </c>
      <c r="S71" s="38">
        <v>1669355</v>
      </c>
      <c r="T71" s="38">
        <f t="shared" si="28"/>
        <v>1393168</v>
      </c>
      <c r="U71" s="38">
        <v>1665956</v>
      </c>
      <c r="V71" s="39">
        <f t="shared" si="24"/>
        <v>6.0390425349046664E-2</v>
      </c>
      <c r="W71" s="38">
        <v>391555</v>
      </c>
      <c r="X71" s="40">
        <f t="shared" si="25"/>
        <v>1.4193756016092842E-2</v>
      </c>
    </row>
    <row r="72" spans="1:24" ht="14.25">
      <c r="A72" s="41">
        <v>45657</v>
      </c>
      <c r="B72" s="42" t="s">
        <v>84</v>
      </c>
      <c r="C72" s="43">
        <v>3782665</v>
      </c>
      <c r="D72" s="44">
        <f t="shared" si="26"/>
        <v>0.13442559508050436</v>
      </c>
      <c r="E72" s="47">
        <v>4.58E-2</v>
      </c>
      <c r="F72" s="44">
        <f t="shared" si="27"/>
        <v>6.1221089096560807E-2</v>
      </c>
      <c r="G72" s="43">
        <v>28139470</v>
      </c>
      <c r="H72" s="43"/>
      <c r="I72" s="43">
        <v>4775695</v>
      </c>
      <c r="J72" s="44">
        <f t="shared" si="19"/>
        <v>0.16971517231845518</v>
      </c>
      <c r="K72" s="43">
        <v>3819872</v>
      </c>
      <c r="L72" s="44">
        <f t="shared" si="20"/>
        <v>0.13574783036069976</v>
      </c>
      <c r="M72" s="43">
        <v>2994851</v>
      </c>
      <c r="N72" s="44">
        <f t="shared" si="21"/>
        <v>0.10642883465822206</v>
      </c>
      <c r="O72" s="43">
        <v>2631556</v>
      </c>
      <c r="P72" s="44">
        <f t="shared" si="22"/>
        <v>9.3518321418278316E-2</v>
      </c>
      <c r="Q72" s="43">
        <v>2058523</v>
      </c>
      <c r="R72" s="44">
        <f t="shared" si="23"/>
        <v>7.3154291818573691E-2</v>
      </c>
      <c r="S72" s="43">
        <v>1722729</v>
      </c>
      <c r="T72" s="38">
        <f t="shared" si="28"/>
        <v>1487836.4</v>
      </c>
      <c r="U72" s="43">
        <v>1564077</v>
      </c>
      <c r="V72" s="44">
        <f t="shared" si="24"/>
        <v>5.5583029815415852E-2</v>
      </c>
      <c r="W72" s="43">
        <v>454199</v>
      </c>
      <c r="X72" s="45">
        <f t="shared" si="25"/>
        <v>1.6140993416009611E-2</v>
      </c>
    </row>
    <row r="73" spans="1:24" ht="14.25">
      <c r="A73" s="36">
        <v>45747</v>
      </c>
      <c r="B73" s="37" t="s">
        <v>85</v>
      </c>
      <c r="C73" s="38">
        <v>3925236</v>
      </c>
      <c r="D73" s="39">
        <f t="shared" si="26"/>
        <v>0.13798286176614755</v>
      </c>
      <c r="E73" s="46">
        <v>4.2300000000000004E-2</v>
      </c>
      <c r="F73" s="39">
        <f t="shared" si="27"/>
        <v>6.1196307329574519E-2</v>
      </c>
      <c r="G73" s="38">
        <v>28447272</v>
      </c>
      <c r="H73" s="39">
        <f>(G73-G69)/G69</f>
        <v>6.1124546265139912E-2</v>
      </c>
      <c r="I73" s="38">
        <v>5124314</v>
      </c>
      <c r="J73" s="39">
        <f t="shared" si="19"/>
        <v>0.1801337576411545</v>
      </c>
      <c r="K73" s="38">
        <v>3832193</v>
      </c>
      <c r="L73" s="39">
        <f t="shared" si="20"/>
        <v>0.13471214392719275</v>
      </c>
      <c r="M73" s="38">
        <v>2880571</v>
      </c>
      <c r="N73" s="39">
        <f t="shared" si="21"/>
        <v>0.10126000834104584</v>
      </c>
      <c r="O73" s="38">
        <v>2829403</v>
      </c>
      <c r="P73" s="39">
        <f t="shared" si="22"/>
        <v>9.9461312142689814E-2</v>
      </c>
      <c r="Q73" s="38">
        <v>2142165</v>
      </c>
      <c r="R73" s="39">
        <f t="shared" si="23"/>
        <v>7.5303002692138632E-2</v>
      </c>
      <c r="S73" s="38">
        <v>1740868</v>
      </c>
      <c r="T73" s="38">
        <f t="shared" si="28"/>
        <v>1531832.7999999998</v>
      </c>
      <c r="U73" s="38">
        <v>1616927</v>
      </c>
      <c r="V73" s="39">
        <f t="shared" si="24"/>
        <v>5.6839439648202469E-2</v>
      </c>
      <c r="W73" s="38">
        <v>487312</v>
      </c>
      <c r="X73" s="40">
        <f t="shared" si="25"/>
        <v>1.7130359635187515E-2</v>
      </c>
    </row>
    <row r="74" spans="1:24" ht="14.25">
      <c r="A74" s="41">
        <v>45838</v>
      </c>
      <c r="B74" s="42" t="s">
        <v>86</v>
      </c>
      <c r="C74" s="43">
        <v>3905936</v>
      </c>
      <c r="D74" s="44">
        <f t="shared" si="26"/>
        <v>0.13696222554289178</v>
      </c>
      <c r="E74" s="47">
        <v>4.24E-2</v>
      </c>
      <c r="F74" s="44">
        <f t="shared" si="27"/>
        <v>6.4833039925703967E-2</v>
      </c>
      <c r="G74" s="43">
        <v>28518345</v>
      </c>
      <c r="H74" s="43"/>
      <c r="I74" s="43">
        <v>5198217</v>
      </c>
      <c r="J74" s="44">
        <f t="shared" si="19"/>
        <v>0.1822762506029014</v>
      </c>
      <c r="K74" s="43">
        <v>3811025</v>
      </c>
      <c r="L74" s="44">
        <f t="shared" si="20"/>
        <v>0.13363415724159308</v>
      </c>
      <c r="M74" s="43">
        <v>2614034</v>
      </c>
      <c r="N74" s="44">
        <f t="shared" si="21"/>
        <v>9.1661490174131777E-2</v>
      </c>
      <c r="O74" s="43">
        <v>2910299</v>
      </c>
      <c r="P74" s="44">
        <f t="shared" si="22"/>
        <v>0.10205006636955967</v>
      </c>
      <c r="Q74" s="43">
        <v>2170802</v>
      </c>
      <c r="R74" s="44">
        <f t="shared" si="23"/>
        <v>7.6119494311468638E-2</v>
      </c>
      <c r="S74" s="43">
        <v>1848931</v>
      </c>
      <c r="T74" s="38">
        <f t="shared" si="28"/>
        <v>1622593.5999999999</v>
      </c>
      <c r="U74" s="43">
        <v>1601740</v>
      </c>
      <c r="V74" s="44">
        <f t="shared" si="24"/>
        <v>5.6165250823636506E-2</v>
      </c>
      <c r="W74" s="43">
        <v>513235</v>
      </c>
      <c r="X74" s="45">
        <f t="shared" si="25"/>
        <v>1.7996661447219325E-2</v>
      </c>
    </row>
    <row r="75" spans="1:24" ht="14.25">
      <c r="A75" s="36">
        <v>45930</v>
      </c>
      <c r="B75" s="37" t="s">
        <v>87</v>
      </c>
      <c r="C75" s="38">
        <v>3882372</v>
      </c>
      <c r="D75" s="39">
        <f t="shared" si="26"/>
        <v>0.13128696784162994</v>
      </c>
      <c r="E75" s="46">
        <v>4.1599999999999998E-2</v>
      </c>
      <c r="F75" s="39">
        <f t="shared" si="27"/>
        <v>6.5619914047401084E-2</v>
      </c>
      <c r="G75" s="38">
        <v>29571648</v>
      </c>
      <c r="H75" s="38"/>
      <c r="I75" s="38">
        <v>5352001</v>
      </c>
      <c r="J75" s="39">
        <f t="shared" si="19"/>
        <v>0.18098419810759278</v>
      </c>
      <c r="K75" s="38">
        <v>3830924</v>
      </c>
      <c r="L75" s="39">
        <f t="shared" si="20"/>
        <v>0.12954719331164768</v>
      </c>
      <c r="M75" s="38">
        <v>3232354</v>
      </c>
      <c r="N75" s="39">
        <f t="shared" si="21"/>
        <v>0.10930584592377131</v>
      </c>
      <c r="O75" s="38">
        <v>2968534</v>
      </c>
      <c r="P75" s="39">
        <f t="shared" si="22"/>
        <v>0.10038446284765733</v>
      </c>
      <c r="Q75" s="38">
        <v>2311391</v>
      </c>
      <c r="R75" s="39">
        <f t="shared" si="23"/>
        <v>7.8162400688659622E-2</v>
      </c>
      <c r="S75" s="38">
        <v>1940489</v>
      </c>
      <c r="T75" s="38">
        <f t="shared" si="28"/>
        <v>1656866.4</v>
      </c>
      <c r="U75" s="38">
        <v>1713619</v>
      </c>
      <c r="V75" s="39">
        <f t="shared" si="24"/>
        <v>5.7948038607790811E-2</v>
      </c>
      <c r="W75" s="38">
        <v>492573</v>
      </c>
      <c r="X75" s="40">
        <f t="shared" si="25"/>
        <v>1.6656934371733358E-2</v>
      </c>
    </row>
    <row r="76" spans="1:24" ht="14.25">
      <c r="A76" s="41">
        <v>46022</v>
      </c>
      <c r="B76" s="42" t="s">
        <v>88</v>
      </c>
      <c r="C76" s="43">
        <v>3886999</v>
      </c>
      <c r="D76" s="44">
        <f t="shared" si="26"/>
        <v>0.12926655825388803</v>
      </c>
      <c r="E76" s="47">
        <v>4.1799999999999997E-2</v>
      </c>
      <c r="F76" s="44">
        <f t="shared" si="27"/>
        <v>6.5239920888979022E-2</v>
      </c>
      <c r="G76" s="43">
        <v>30069641</v>
      </c>
      <c r="H76" s="43"/>
      <c r="I76" s="43">
        <v>5383909</v>
      </c>
      <c r="J76" s="44">
        <f t="shared" si="19"/>
        <v>0.17904799728071247</v>
      </c>
      <c r="K76" s="43">
        <v>3854942</v>
      </c>
      <c r="L76" s="44">
        <f t="shared" si="20"/>
        <v>0.12820046637736712</v>
      </c>
      <c r="M76" s="43">
        <v>3517832</v>
      </c>
      <c r="N76" s="44">
        <f t="shared" si="21"/>
        <v>0.11698949116153398</v>
      </c>
      <c r="O76" s="43">
        <v>3006696</v>
      </c>
      <c r="P76" s="44">
        <f t="shared" si="22"/>
        <v>9.999108403056757E-2</v>
      </c>
      <c r="Q76" s="43">
        <v>2391206</v>
      </c>
      <c r="R76" s="44">
        <f t="shared" si="23"/>
        <v>7.9522266328354241E-2</v>
      </c>
      <c r="S76" s="43">
        <v>1961741</v>
      </c>
      <c r="T76" s="38">
        <f t="shared" si="28"/>
        <v>1719502.5999999999</v>
      </c>
      <c r="U76" s="43">
        <v>1715756</v>
      </c>
      <c r="V76" s="44">
        <f t="shared" si="24"/>
        <v>5.7059410852294511E-2</v>
      </c>
      <c r="W76" s="43">
        <v>542458</v>
      </c>
      <c r="X76" s="45">
        <f t="shared" si="25"/>
        <v>1.8040055749252212E-2</v>
      </c>
    </row>
    <row r="77" spans="1:24" ht="14.25">
      <c r="A77" s="36">
        <v>46112</v>
      </c>
      <c r="B77" s="37" t="s">
        <v>89</v>
      </c>
      <c r="C77" s="38">
        <v>3917950</v>
      </c>
      <c r="D77" s="39">
        <f t="shared" si="26"/>
        <v>0.12786397084115986</v>
      </c>
      <c r="E77" s="46">
        <v>4.2999999999999997E-2</v>
      </c>
      <c r="F77" s="39">
        <f t="shared" si="27"/>
        <v>6.688875509814321E-2</v>
      </c>
      <c r="G77" s="38">
        <v>30641548</v>
      </c>
      <c r="H77" s="39">
        <f>(G77-G73)/G73</f>
        <v>7.7134847939022061E-2</v>
      </c>
      <c r="I77" s="38">
        <v>5399274</v>
      </c>
      <c r="J77" s="39">
        <f t="shared" si="19"/>
        <v>0.17620761196529627</v>
      </c>
      <c r="K77" s="38">
        <v>4000420</v>
      </c>
      <c r="L77" s="39">
        <f t="shared" si="20"/>
        <v>0.13055541449798816</v>
      </c>
      <c r="M77" s="38">
        <v>3426437</v>
      </c>
      <c r="N77" s="39">
        <f t="shared" si="21"/>
        <v>0.11182323425696378</v>
      </c>
      <c r="O77" s="38">
        <v>3039040</v>
      </c>
      <c r="P77" s="39">
        <f t="shared" si="22"/>
        <v>9.9180367780374548E-2</v>
      </c>
      <c r="Q77" s="38">
        <v>2475411</v>
      </c>
      <c r="R77" s="39">
        <f t="shared" si="23"/>
        <v>8.0786094749521142E-2</v>
      </c>
      <c r="S77" s="38">
        <v>2049575</v>
      </c>
      <c r="T77" s="38">
        <f t="shared" si="28"/>
        <v>1850158</v>
      </c>
      <c r="U77" s="38">
        <v>1800980</v>
      </c>
      <c r="V77" s="39">
        <f t="shared" si="24"/>
        <v>5.8775751146776266E-2</v>
      </c>
      <c r="W77" s="38">
        <v>620413</v>
      </c>
      <c r="X77" s="40">
        <f t="shared" si="25"/>
        <v>2.0247443112208299E-2</v>
      </c>
    </row>
    <row r="78" spans="1:24" ht="14.25">
      <c r="B78" s="51">
        <v>-1.3299999999999999E-2</v>
      </c>
      <c r="C78" s="50">
        <f>C77*(1+B78)</f>
        <v>3865841.2650000001</v>
      </c>
      <c r="D78" s="52"/>
      <c r="G78">
        <f>G77*0.115</f>
        <v>3523778.02</v>
      </c>
      <c r="H78">
        <f>(G77/G57)^(1/5)-1</f>
        <v>7.4962428339576226E-2</v>
      </c>
      <c r="S78" s="48">
        <f>S77+W77</f>
        <v>2669988</v>
      </c>
      <c r="T78" s="49">
        <f>T77*0.1</f>
        <v>185015.80000000002</v>
      </c>
    </row>
    <row r="79" spans="1:24">
      <c r="C79" s="48">
        <f>C78-C77</f>
        <v>-52108.73499999987</v>
      </c>
      <c r="G79">
        <f>G77*1.075</f>
        <v>32939664.099999998</v>
      </c>
      <c r="S79" s="49">
        <f>S78*0.1</f>
        <v>266998.8</v>
      </c>
      <c r="T79" s="49">
        <f>T77*0.15</f>
        <v>277523.7</v>
      </c>
    </row>
    <row r="80" spans="1:24" ht="14.25">
      <c r="C80" s="48">
        <f>G80-C77</f>
        <v>-129888.62850000011</v>
      </c>
      <c r="G80">
        <f>G79*0.115</f>
        <v>3788061.3714999999</v>
      </c>
      <c r="T80" s="38"/>
    </row>
    <row r="82" spans="20:23">
      <c r="T82" s="58">
        <v>0.02</v>
      </c>
      <c r="U82">
        <v>2</v>
      </c>
      <c r="V82" s="60">
        <f>$T$82/U82</f>
        <v>0.01</v>
      </c>
      <c r="W82" s="59">
        <f>10%*100*V82</f>
        <v>0.1</v>
      </c>
    </row>
    <row r="83" spans="20:23">
      <c r="U83">
        <v>3</v>
      </c>
      <c r="V83" s="60">
        <f t="shared" ref="V83:V84" si="29">$T$82/U83</f>
        <v>6.6666666666666671E-3</v>
      </c>
      <c r="W83" s="59">
        <f>10%*100*V83</f>
        <v>6.6666666666666666E-2</v>
      </c>
    </row>
    <row r="84" spans="20:23">
      <c r="U84">
        <v>5</v>
      </c>
      <c r="V84" s="60">
        <f t="shared" si="29"/>
        <v>4.0000000000000001E-3</v>
      </c>
      <c r="W84" s="59">
        <f>10%*100*V84</f>
        <v>0.04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圖表</vt:lpstr>
      </vt:variant>
      <vt:variant>
        <vt:i4>2</vt:i4>
      </vt:variant>
    </vt:vector>
  </HeadingPairs>
  <TitlesOfParts>
    <vt:vector size="6" baseType="lpstr">
      <vt:lpstr>Treasury_Holders</vt:lpstr>
      <vt:lpstr>Treasury_Holders (2)</vt:lpstr>
      <vt:lpstr>Treasury_Holders (3)</vt:lpstr>
      <vt:lpstr>工作表4</vt:lpstr>
      <vt:lpstr>Chart3</vt:lpstr>
      <vt:lpstr>Chart3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王信閎</dc:creator>
  <cp:lastModifiedBy>王信閎</cp:lastModifiedBy>
  <dcterms:created xsi:type="dcterms:W3CDTF">2026-06-24T20:11:00Z</dcterms:created>
  <dcterms:modified xsi:type="dcterms:W3CDTF">2026-06-25T10:02:21Z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