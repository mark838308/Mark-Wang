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externalLinks/externalLink10.xml" ContentType="application/vnd.openxmlformats-officedocument.spreadsheetml.externalLink+xml"/>
  <Override PartName="/xl/externalLinks/externalLink11.xml" ContentType="application/vnd.openxmlformats-officedocument.spreadsheetml.externalLink+xml"/>
  <Override PartName="/xl/externalLinks/externalLink12.xml" ContentType="application/vnd.openxmlformats-officedocument.spreadsheetml.externalLink+xml"/>
  <Override PartName="/xl/externalLinks/externalLink1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1080131\Desktop\"/>
    </mc:Choice>
  </mc:AlternateContent>
  <bookViews>
    <workbookView xWindow="0" yWindow="0" windowWidth="25200" windowHeight="11280" tabRatio="683" activeTab="8"/>
  </bookViews>
  <sheets>
    <sheet name="0807" sheetId="828" r:id="rId1"/>
    <sheet name="0808" sheetId="829" r:id="rId2"/>
    <sheet name="0809" sheetId="830" r:id="rId3"/>
    <sheet name="0810" sheetId="831" r:id="rId4"/>
    <sheet name="0811" sheetId="832" r:id="rId5"/>
    <sheet name="0816" sheetId="833" r:id="rId6"/>
    <sheet name="0817" sheetId="834" r:id="rId7"/>
    <sheet name="0818" sheetId="835" r:id="rId8"/>
    <sheet name="總冷券表(短)" sheetId="86" r:id="rId9"/>
    <sheet name="OTC報價" sheetId="708" r:id="rId10"/>
    <sheet name="總冷券表(長)" sheetId="117" r:id="rId11"/>
    <sheet name="短券到期天數" sheetId="734" r:id="rId12"/>
  </sheets>
  <externalReferences>
    <externalReference r:id="rId13"/>
    <externalReference r:id="rId14"/>
    <externalReference r:id="rId15"/>
    <externalReference r:id="rId16"/>
    <externalReference r:id="rId17"/>
    <externalReference r:id="rId18"/>
    <externalReference r:id="rId19"/>
    <externalReference r:id="rId20"/>
    <externalReference r:id="rId21"/>
    <externalReference r:id="rId22"/>
    <externalReference r:id="rId23"/>
    <externalReference r:id="rId24"/>
    <externalReference r:id="rId25"/>
  </externalReferences>
  <definedNames>
    <definedName name="_xlnm._FilterDatabase" localSheetId="0" hidden="1">'0807'!$A$4:$E$133</definedName>
    <definedName name="_xlnm._FilterDatabase" localSheetId="1" hidden="1">'0808'!$A$4:$O$137</definedName>
    <definedName name="_xlnm._FilterDatabase" localSheetId="2" hidden="1">'0809'!$A$4:$O$137</definedName>
    <definedName name="_xlnm._FilterDatabase" localSheetId="3" hidden="1">'0810'!$A$4:$E$133</definedName>
    <definedName name="_xlnm._FilterDatabase" localSheetId="4" hidden="1">'0811'!$A$4:$E$133</definedName>
    <definedName name="_xlnm._FilterDatabase" localSheetId="5" hidden="1">'0816'!$A$4:$E$133</definedName>
    <definedName name="_xlnm._FilterDatabase" localSheetId="6" hidden="1">'0817'!$A$4:$E$133</definedName>
    <definedName name="_xlnm._FilterDatabase" localSheetId="7" hidden="1">'0818'!$A$4:$O$137</definedName>
    <definedName name="_xlnm._FilterDatabase" localSheetId="11" hidden="1">短券到期天數!$A$4:$I$71</definedName>
    <definedName name="ACCRI" localSheetId="0">'[1]公債價格計算 (2)'!$A$1</definedName>
    <definedName name="ACCRI" localSheetId="1">'[1]公債價格計算 (2)'!$A$1</definedName>
    <definedName name="ACCRI" localSheetId="2">'[1]公債價格計算 (2)'!$A$1</definedName>
    <definedName name="ACCRI" localSheetId="3">'[1]公債價格計算 (2)'!$A$1</definedName>
    <definedName name="ACCRI" localSheetId="4">'[1]公債價格計算 (2)'!$A$1</definedName>
    <definedName name="ACCRI" localSheetId="5">'[1]公債價格計算 (2)'!$A$1</definedName>
    <definedName name="ACCRI" localSheetId="6">'[1]公債價格計算 (2)'!$A$1</definedName>
    <definedName name="ACCRI" localSheetId="7">'[1]公債價格計算 (2)'!$A$1</definedName>
    <definedName name="ACCRI" localSheetId="9">'[2]公債價格計算 (2)'!$A$1</definedName>
    <definedName name="ACCRI" localSheetId="11">'[1]公債價格計算 (2)'!$A$1</definedName>
    <definedName name="ACCRI">'[3]公債價格計算 (2)'!$A$1</definedName>
    <definedName name="Coupon938" localSheetId="0">'[4]950801'!$AO$129</definedName>
    <definedName name="Coupon938" localSheetId="1">'[4]950801'!$AO$129</definedName>
    <definedName name="Coupon938" localSheetId="2">'[4]950801'!$AO$129</definedName>
    <definedName name="Coupon938" localSheetId="3">'[4]950801'!$AO$129</definedName>
    <definedName name="Coupon938" localSheetId="4">'[4]950801'!$AO$129</definedName>
    <definedName name="Coupon938" localSheetId="5">'[4]950801'!$AO$129</definedName>
    <definedName name="Coupon938" localSheetId="6">'[4]950801'!$AO$129</definedName>
    <definedName name="Coupon938" localSheetId="7">'[4]950801'!$AO$129</definedName>
    <definedName name="Coupon938" localSheetId="9">'[5]950801'!$AO$129</definedName>
    <definedName name="Coupon938" localSheetId="11">'[4]950801'!$AO$129</definedName>
    <definedName name="Coupon938">'[6]950801'!$AO$129</definedName>
    <definedName name="Issue938" localSheetId="0">'[4]950801'!$AO$127</definedName>
    <definedName name="Issue938" localSheetId="1">'[4]950801'!$AO$127</definedName>
    <definedName name="Issue938" localSheetId="2">'[4]950801'!$AO$127</definedName>
    <definedName name="Issue938" localSheetId="3">'[4]950801'!$AO$127</definedName>
    <definedName name="Issue938" localSheetId="4">'[4]950801'!$AO$127</definedName>
    <definedName name="Issue938" localSheetId="5">'[4]950801'!$AO$127</definedName>
    <definedName name="Issue938" localSheetId="6">'[4]950801'!$AO$127</definedName>
    <definedName name="Issue938" localSheetId="7">'[4]950801'!$AO$127</definedName>
    <definedName name="Issue938" localSheetId="9">'[5]950801'!$AO$127</definedName>
    <definedName name="Issue938" localSheetId="11">'[4]950801'!$AO$127</definedName>
    <definedName name="Issue938">'[6]950801'!$AO$127</definedName>
    <definedName name="Maturity938" localSheetId="0">'[4]950801'!$AO$128</definedName>
    <definedName name="Maturity938" localSheetId="1">'[4]950801'!$AO$128</definedName>
    <definedName name="Maturity938" localSheetId="2">'[4]950801'!$AO$128</definedName>
    <definedName name="Maturity938" localSheetId="3">'[4]950801'!$AO$128</definedName>
    <definedName name="Maturity938" localSheetId="4">'[4]950801'!$AO$128</definedName>
    <definedName name="Maturity938" localSheetId="5">'[4]950801'!$AO$128</definedName>
    <definedName name="Maturity938" localSheetId="6">'[4]950801'!$AO$128</definedName>
    <definedName name="Maturity938" localSheetId="7">'[4]950801'!$AO$128</definedName>
    <definedName name="Maturity938" localSheetId="9">'[5]950801'!$AO$128</definedName>
    <definedName name="Maturity938" localSheetId="11">'[4]950801'!$AO$128</definedName>
    <definedName name="Maturity938">'[6]950801'!$AO$128</definedName>
    <definedName name="Today">[7]Main!$C$2</definedName>
  </definedNames>
  <calcPr calcId="152511"/>
</workbook>
</file>

<file path=xl/calcChain.xml><?xml version="1.0" encoding="utf-8"?>
<calcChain xmlns="http://schemas.openxmlformats.org/spreadsheetml/2006/main">
  <c r="D138" i="86" l="1"/>
  <c r="B138" i="86"/>
  <c r="D137" i="86"/>
  <c r="B137" i="86"/>
  <c r="D136" i="86"/>
  <c r="B136" i="86"/>
  <c r="D135" i="86"/>
  <c r="B135" i="86"/>
  <c r="D134" i="86"/>
  <c r="B134" i="86"/>
  <c r="D133" i="86"/>
  <c r="B133" i="86"/>
  <c r="D132" i="86"/>
  <c r="B132" i="86"/>
  <c r="D131" i="86"/>
  <c r="B131" i="86"/>
  <c r="D130" i="86"/>
  <c r="B130" i="86"/>
  <c r="D129" i="86"/>
  <c r="B129" i="86"/>
  <c r="D128" i="86"/>
  <c r="B128" i="86"/>
  <c r="D127" i="86"/>
  <c r="B127" i="86"/>
  <c r="D126" i="86"/>
  <c r="B126" i="86"/>
  <c r="D125" i="86"/>
  <c r="B125" i="86"/>
  <c r="D124" i="86"/>
  <c r="B124" i="86"/>
  <c r="D123" i="86"/>
  <c r="B123" i="86"/>
  <c r="D122" i="86"/>
  <c r="B122" i="86"/>
  <c r="D121" i="86"/>
  <c r="B121" i="86"/>
  <c r="D120" i="86"/>
  <c r="B120" i="86"/>
  <c r="D119" i="86"/>
  <c r="B119" i="86"/>
  <c r="D118" i="86"/>
  <c r="B118" i="86"/>
  <c r="D117" i="86"/>
  <c r="B117" i="86"/>
  <c r="D116" i="86"/>
  <c r="B116" i="86"/>
  <c r="D115" i="86"/>
  <c r="B115" i="86"/>
  <c r="D114" i="86"/>
  <c r="B114" i="86"/>
  <c r="D113" i="86"/>
  <c r="B113" i="86"/>
  <c r="D112" i="86"/>
  <c r="B112" i="86"/>
  <c r="D111" i="86"/>
  <c r="B111" i="86"/>
  <c r="D110" i="86"/>
  <c r="B110" i="86"/>
  <c r="D109" i="86"/>
  <c r="B109" i="86"/>
  <c r="D108" i="86"/>
  <c r="B108" i="86"/>
  <c r="D107" i="86"/>
  <c r="B107" i="86"/>
  <c r="D106" i="86"/>
  <c r="B106" i="86"/>
  <c r="D105" i="86"/>
  <c r="B105" i="86"/>
  <c r="D104" i="86"/>
  <c r="B104" i="86"/>
  <c r="D103" i="86"/>
  <c r="B103" i="86"/>
  <c r="D102" i="86"/>
  <c r="B102" i="86"/>
  <c r="D101" i="86"/>
  <c r="B101" i="86"/>
  <c r="D100" i="86"/>
  <c r="B100" i="86"/>
  <c r="D99" i="86"/>
  <c r="B99" i="86"/>
  <c r="D98" i="86"/>
  <c r="B98" i="86"/>
  <c r="D97" i="86"/>
  <c r="B97" i="86"/>
  <c r="D96" i="86"/>
  <c r="B96" i="86"/>
  <c r="D95" i="86"/>
  <c r="B95" i="86"/>
  <c r="D94" i="86"/>
  <c r="B94" i="86"/>
  <c r="D93" i="86"/>
  <c r="B93" i="86"/>
  <c r="D92" i="86"/>
  <c r="B92" i="86"/>
  <c r="D91" i="86"/>
  <c r="B91" i="86"/>
  <c r="D90" i="86"/>
  <c r="B90" i="86"/>
  <c r="D89" i="86"/>
  <c r="B89" i="86"/>
  <c r="D88" i="86"/>
  <c r="B88" i="86"/>
  <c r="D87" i="86"/>
  <c r="B87" i="86"/>
  <c r="D86" i="86"/>
  <c r="B86" i="86"/>
  <c r="D85" i="86"/>
  <c r="B85" i="86"/>
  <c r="D84" i="86"/>
  <c r="B84" i="86"/>
  <c r="D83" i="86"/>
  <c r="B83" i="86"/>
  <c r="D82" i="86"/>
  <c r="B82" i="86"/>
  <c r="D81" i="86"/>
  <c r="B81" i="86"/>
  <c r="D80" i="86"/>
  <c r="B80" i="86"/>
  <c r="D79" i="86"/>
  <c r="B79" i="86"/>
  <c r="D78" i="86"/>
  <c r="B78" i="86"/>
  <c r="D77" i="86"/>
  <c r="B77" i="86"/>
  <c r="D76" i="86"/>
  <c r="B76" i="86"/>
  <c r="D75" i="86"/>
  <c r="B75" i="86"/>
  <c r="D74" i="86"/>
  <c r="B74" i="86"/>
  <c r="D73" i="86"/>
  <c r="B73" i="86"/>
  <c r="D72" i="86"/>
  <c r="B72" i="86"/>
  <c r="D71" i="86"/>
  <c r="B71" i="86"/>
  <c r="D70" i="86"/>
  <c r="B70" i="86"/>
  <c r="D69" i="86"/>
  <c r="B69" i="86"/>
  <c r="D68" i="86"/>
  <c r="B68" i="86"/>
  <c r="D67" i="86"/>
  <c r="B67" i="86"/>
  <c r="D66" i="86"/>
  <c r="B66" i="86"/>
  <c r="D65" i="86"/>
  <c r="B65" i="86"/>
  <c r="D64" i="86"/>
  <c r="B64" i="86"/>
  <c r="D63" i="86"/>
  <c r="B63" i="86"/>
  <c r="D62" i="86"/>
  <c r="B62" i="86"/>
  <c r="D61" i="86"/>
  <c r="B61" i="86"/>
  <c r="D60" i="86"/>
  <c r="B60" i="86"/>
  <c r="D59" i="86"/>
  <c r="B59" i="86"/>
  <c r="D58" i="86"/>
  <c r="B58" i="86"/>
  <c r="D57" i="86"/>
  <c r="B57" i="86"/>
  <c r="D56" i="86"/>
  <c r="B56" i="86"/>
  <c r="D55" i="86"/>
  <c r="B55" i="86"/>
  <c r="D54" i="86"/>
  <c r="B54" i="86"/>
  <c r="D53" i="86"/>
  <c r="B53" i="86"/>
  <c r="D52" i="86"/>
  <c r="B52" i="86"/>
  <c r="D51" i="86"/>
  <c r="B51" i="86"/>
  <c r="D50" i="86"/>
  <c r="B50" i="86"/>
  <c r="D49" i="86"/>
  <c r="B49" i="86"/>
  <c r="D48" i="86"/>
  <c r="B48" i="86"/>
  <c r="D47" i="86"/>
  <c r="B47" i="86"/>
  <c r="D46" i="86"/>
  <c r="B46" i="86"/>
  <c r="D45" i="86"/>
  <c r="B45" i="86"/>
  <c r="D44" i="86"/>
  <c r="B44" i="86"/>
  <c r="D43" i="86"/>
  <c r="B43" i="86"/>
  <c r="D42" i="86"/>
  <c r="B42" i="86"/>
  <c r="D41" i="86"/>
  <c r="B41" i="86"/>
  <c r="D40" i="86"/>
  <c r="B40" i="86"/>
  <c r="D39" i="86"/>
  <c r="B39" i="86"/>
  <c r="D38" i="86"/>
  <c r="B38" i="86"/>
  <c r="D37" i="86"/>
  <c r="B37" i="86"/>
  <c r="D36" i="86"/>
  <c r="B36" i="86"/>
  <c r="D35" i="86"/>
  <c r="B35" i="86"/>
  <c r="D34" i="86"/>
  <c r="B34" i="86"/>
  <c r="D33" i="86"/>
  <c r="B33" i="86"/>
  <c r="D32" i="86"/>
  <c r="B32" i="86"/>
  <c r="D31" i="86"/>
  <c r="B31" i="86"/>
  <c r="D30" i="86"/>
  <c r="B30" i="86"/>
  <c r="D29" i="86"/>
  <c r="B29" i="86"/>
  <c r="D28" i="86"/>
  <c r="B28" i="86"/>
  <c r="D27" i="86"/>
  <c r="B27" i="86"/>
  <c r="D26" i="86"/>
  <c r="B26" i="86"/>
  <c r="D25" i="86"/>
  <c r="B25" i="86"/>
  <c r="D24" i="86"/>
  <c r="B24" i="86"/>
  <c r="D23" i="86"/>
  <c r="B23" i="86"/>
  <c r="D22" i="86"/>
  <c r="B22" i="86"/>
  <c r="D21" i="86"/>
  <c r="B21" i="86"/>
  <c r="D20" i="86"/>
  <c r="B20" i="86"/>
  <c r="D19" i="86"/>
  <c r="B19" i="86"/>
  <c r="D18" i="86"/>
  <c r="B18" i="86"/>
  <c r="D17" i="86"/>
  <c r="B17" i="86"/>
  <c r="D16" i="86"/>
  <c r="B16" i="86"/>
  <c r="D15" i="86"/>
  <c r="B15" i="86"/>
  <c r="D14" i="86"/>
  <c r="B14" i="86"/>
  <c r="D13" i="86"/>
  <c r="B13" i="86"/>
  <c r="D12" i="86"/>
  <c r="B12" i="86"/>
  <c r="D11" i="86"/>
  <c r="B11" i="86"/>
  <c r="D10" i="86"/>
  <c r="B10" i="86"/>
  <c r="D9" i="86"/>
  <c r="B9" i="86"/>
  <c r="D8" i="86"/>
  <c r="B8" i="86"/>
  <c r="D7" i="86"/>
  <c r="B7" i="86"/>
  <c r="D6" i="86"/>
  <c r="B6" i="86"/>
  <c r="D5" i="86"/>
  <c r="B5" i="86"/>
  <c r="E6" i="86"/>
  <c r="E7" i="86"/>
  <c r="E8" i="86"/>
  <c r="E9" i="86"/>
  <c r="E10" i="86"/>
  <c r="E11" i="86"/>
  <c r="E12" i="86"/>
  <c r="E13" i="86"/>
  <c r="E14" i="86"/>
  <c r="E15" i="86"/>
  <c r="E16" i="86"/>
  <c r="E17" i="86"/>
  <c r="E18" i="86"/>
  <c r="E19" i="86"/>
  <c r="E20" i="86"/>
  <c r="E21" i="86"/>
  <c r="E22" i="86"/>
  <c r="E23" i="86"/>
  <c r="E24" i="86"/>
  <c r="E25" i="86"/>
  <c r="E26" i="86"/>
  <c r="E27" i="86"/>
  <c r="E28" i="86"/>
  <c r="E29" i="86"/>
  <c r="E30" i="86"/>
  <c r="E31" i="86"/>
  <c r="E32" i="86"/>
  <c r="E33" i="86"/>
  <c r="E34" i="86"/>
  <c r="E35" i="86"/>
  <c r="E36" i="86"/>
  <c r="E37" i="86"/>
  <c r="E38" i="86"/>
  <c r="E39" i="86"/>
  <c r="E40" i="86"/>
  <c r="E41" i="86"/>
  <c r="E42" i="86"/>
  <c r="E43" i="86"/>
  <c r="E44" i="86"/>
  <c r="E45" i="86"/>
  <c r="E46" i="86"/>
  <c r="E47" i="86"/>
  <c r="E48" i="86"/>
  <c r="E49" i="86"/>
  <c r="E50" i="86"/>
  <c r="E51" i="86"/>
  <c r="E52" i="86"/>
  <c r="E53" i="86"/>
  <c r="E54" i="86"/>
  <c r="E55" i="86"/>
  <c r="E56" i="86"/>
  <c r="E57" i="86"/>
  <c r="E58" i="86"/>
  <c r="E59" i="86"/>
  <c r="E60" i="86"/>
  <c r="E61" i="86"/>
  <c r="E62" i="86"/>
  <c r="E63" i="86"/>
  <c r="E64" i="86"/>
  <c r="E65" i="86"/>
  <c r="E66" i="86"/>
  <c r="E67" i="86"/>
  <c r="E68" i="86"/>
  <c r="E69" i="86"/>
  <c r="E70" i="86"/>
  <c r="E71" i="86"/>
  <c r="E72" i="86"/>
  <c r="E73" i="86"/>
  <c r="E74" i="86"/>
  <c r="E75" i="86"/>
  <c r="E76" i="86"/>
  <c r="E77" i="86"/>
  <c r="E78" i="86"/>
  <c r="E79" i="86"/>
  <c r="E80" i="86"/>
  <c r="E81" i="86"/>
  <c r="E82" i="86"/>
  <c r="E83" i="86"/>
  <c r="E84" i="86"/>
  <c r="E85" i="86"/>
  <c r="E86" i="86"/>
  <c r="E87" i="86"/>
  <c r="E88" i="86"/>
  <c r="E89" i="86"/>
  <c r="E90" i="86"/>
  <c r="E91" i="86"/>
  <c r="E92" i="86"/>
  <c r="E93" i="86"/>
  <c r="E94" i="86"/>
  <c r="E95" i="86"/>
  <c r="E96" i="86"/>
  <c r="E97" i="86"/>
  <c r="E98" i="86"/>
  <c r="E99" i="86"/>
  <c r="E100" i="86"/>
  <c r="E101" i="86"/>
  <c r="E102" i="86"/>
  <c r="E103" i="86"/>
  <c r="E104" i="86"/>
  <c r="E105" i="86"/>
  <c r="E106" i="86"/>
  <c r="E107" i="86"/>
  <c r="E108" i="86"/>
  <c r="E109" i="86"/>
  <c r="E110" i="86"/>
  <c r="E111" i="86"/>
  <c r="E112" i="86"/>
  <c r="E113" i="86"/>
  <c r="E114" i="86"/>
  <c r="E115" i="86"/>
  <c r="E116" i="86"/>
  <c r="E117" i="86"/>
  <c r="E118" i="86"/>
  <c r="E119" i="86"/>
  <c r="E120" i="86"/>
  <c r="E121" i="86"/>
  <c r="E122" i="86"/>
  <c r="E123" i="86"/>
  <c r="E124" i="86"/>
  <c r="E125" i="86"/>
  <c r="E126" i="86"/>
  <c r="E127" i="86"/>
  <c r="E128" i="86"/>
  <c r="E129" i="86"/>
  <c r="E130" i="86"/>
  <c r="E131" i="86"/>
  <c r="E132" i="86"/>
  <c r="E133" i="86"/>
  <c r="E134" i="86"/>
  <c r="E135" i="86"/>
  <c r="E136" i="86"/>
  <c r="E137" i="86"/>
  <c r="E138" i="86"/>
  <c r="F138" i="86"/>
  <c r="F137" i="86"/>
  <c r="F136" i="86"/>
  <c r="F135" i="86"/>
  <c r="F134" i="86"/>
  <c r="F133" i="86"/>
  <c r="F132" i="86"/>
  <c r="F131" i="86"/>
  <c r="F130" i="86"/>
  <c r="F129" i="86"/>
  <c r="F128" i="86"/>
  <c r="F127" i="86"/>
  <c r="F126" i="86"/>
  <c r="F125" i="86"/>
  <c r="F124" i="86"/>
  <c r="F123" i="86"/>
  <c r="F122" i="86"/>
  <c r="F121" i="86"/>
  <c r="F120" i="86"/>
  <c r="F119" i="86"/>
  <c r="F118" i="86"/>
  <c r="F117" i="86"/>
  <c r="F116" i="86"/>
  <c r="F115" i="86"/>
  <c r="F114" i="86"/>
  <c r="F113" i="86"/>
  <c r="F112" i="86"/>
  <c r="F111" i="86"/>
  <c r="F110" i="86"/>
  <c r="F109" i="86"/>
  <c r="F108" i="86"/>
  <c r="F107" i="86"/>
  <c r="F106" i="86"/>
  <c r="F105" i="86"/>
  <c r="F104" i="86"/>
  <c r="F103" i="86"/>
  <c r="F102" i="86"/>
  <c r="F101" i="86"/>
  <c r="F100" i="86"/>
  <c r="F99" i="86"/>
  <c r="F98" i="86"/>
  <c r="F97" i="86"/>
  <c r="F96" i="86"/>
  <c r="F95" i="86"/>
  <c r="F94" i="86"/>
  <c r="F93" i="86"/>
  <c r="F92" i="86"/>
  <c r="F91" i="86"/>
  <c r="F90" i="86"/>
  <c r="F89" i="86"/>
  <c r="F88" i="86"/>
  <c r="F87" i="86"/>
  <c r="F86" i="86"/>
  <c r="F85" i="86"/>
  <c r="F84" i="86"/>
  <c r="F83" i="86"/>
  <c r="F82" i="86"/>
  <c r="F81" i="86"/>
  <c r="F80" i="86"/>
  <c r="F79" i="86"/>
  <c r="F78" i="86"/>
  <c r="F77" i="86"/>
  <c r="F76" i="86"/>
  <c r="F75" i="86"/>
  <c r="F74" i="86"/>
  <c r="F73" i="86"/>
  <c r="F72" i="86"/>
  <c r="F71" i="86"/>
  <c r="F70" i="86"/>
  <c r="F69" i="86"/>
  <c r="F68" i="86"/>
  <c r="F67" i="86"/>
  <c r="F66" i="86"/>
  <c r="F65" i="86"/>
  <c r="F64" i="86"/>
  <c r="F63" i="86"/>
  <c r="F62" i="86"/>
  <c r="F61" i="86"/>
  <c r="F60" i="86"/>
  <c r="F59" i="86"/>
  <c r="F58" i="86"/>
  <c r="F57" i="86"/>
  <c r="F56" i="86"/>
  <c r="F55" i="86"/>
  <c r="F54" i="86"/>
  <c r="F53" i="86"/>
  <c r="F52" i="86"/>
  <c r="F51" i="86"/>
  <c r="F50" i="86"/>
  <c r="F49" i="86"/>
  <c r="F48" i="86"/>
  <c r="F47" i="86"/>
  <c r="F46" i="86"/>
  <c r="F45" i="86"/>
  <c r="F44" i="86"/>
  <c r="F43" i="86"/>
  <c r="F42" i="86"/>
  <c r="F41" i="86"/>
  <c r="F40" i="86"/>
  <c r="F39" i="86"/>
  <c r="F38" i="86"/>
  <c r="F37" i="86"/>
  <c r="F36" i="86"/>
  <c r="F35" i="86"/>
  <c r="F34" i="86"/>
  <c r="F33" i="86"/>
  <c r="F32" i="86"/>
  <c r="F31" i="86"/>
  <c r="F30" i="86"/>
  <c r="F29" i="86"/>
  <c r="F28" i="86"/>
  <c r="F27" i="86"/>
  <c r="F26" i="86"/>
  <c r="F25" i="86"/>
  <c r="F24" i="86"/>
  <c r="F23" i="86"/>
  <c r="F22" i="86"/>
  <c r="F21" i="86"/>
  <c r="F20" i="86"/>
  <c r="F19" i="86"/>
  <c r="F18" i="86"/>
  <c r="F17" i="86"/>
  <c r="F16" i="86"/>
  <c r="F15" i="86"/>
  <c r="F14" i="86"/>
  <c r="F13" i="86"/>
  <c r="F12" i="86"/>
  <c r="F11" i="86"/>
  <c r="F10" i="86"/>
  <c r="F9" i="86"/>
  <c r="F8" i="86"/>
  <c r="F7" i="86"/>
  <c r="F6" i="86"/>
  <c r="F5" i="86"/>
  <c r="E5" i="86"/>
  <c r="E1" i="86"/>
  <c r="E2" i="86"/>
  <c r="C138" i="117" l="1"/>
  <c r="C137" i="117"/>
  <c r="C136" i="117"/>
  <c r="C135" i="117"/>
  <c r="C134" i="117"/>
  <c r="C133" i="117"/>
  <c r="C132" i="117"/>
  <c r="C131" i="117"/>
  <c r="C130" i="117"/>
  <c r="C129" i="117"/>
  <c r="C128" i="117"/>
  <c r="C127" i="117"/>
  <c r="C126" i="117"/>
  <c r="C125" i="117"/>
  <c r="C124" i="117"/>
  <c r="C123" i="117"/>
  <c r="C122" i="117"/>
  <c r="C121" i="117"/>
  <c r="C120" i="117"/>
  <c r="C119" i="117"/>
  <c r="C118" i="117"/>
  <c r="C117" i="117"/>
  <c r="C116" i="117"/>
  <c r="C115" i="117"/>
  <c r="C114" i="117"/>
  <c r="C113" i="117"/>
  <c r="C112" i="117"/>
  <c r="C111" i="117"/>
  <c r="C110" i="117"/>
  <c r="C109" i="117"/>
  <c r="C108" i="117"/>
  <c r="C107" i="117"/>
  <c r="C106" i="117"/>
  <c r="C105" i="117"/>
  <c r="C104" i="117"/>
  <c r="C103" i="117"/>
  <c r="C102" i="117"/>
  <c r="C101" i="117"/>
  <c r="C100" i="117"/>
  <c r="C99" i="117"/>
  <c r="C98" i="117"/>
  <c r="C97" i="117"/>
  <c r="C96" i="117"/>
  <c r="C95" i="117"/>
  <c r="C94" i="117"/>
  <c r="C93" i="117"/>
  <c r="C92" i="117"/>
  <c r="C91" i="117"/>
  <c r="C90" i="117"/>
  <c r="C89" i="117"/>
  <c r="C88" i="117"/>
  <c r="C87" i="117"/>
  <c r="C86" i="117"/>
  <c r="C85" i="117"/>
  <c r="C84" i="117"/>
  <c r="C83" i="117"/>
  <c r="C82" i="117"/>
  <c r="C81" i="117"/>
  <c r="C80" i="117"/>
  <c r="C79" i="117"/>
  <c r="C78" i="117"/>
  <c r="C77" i="117"/>
  <c r="C76" i="117"/>
  <c r="C75" i="117"/>
  <c r="C74" i="117"/>
  <c r="C73" i="117"/>
  <c r="C72" i="117"/>
  <c r="C71" i="117"/>
  <c r="C70" i="117"/>
  <c r="C69" i="117"/>
  <c r="C68" i="117"/>
  <c r="C67" i="117"/>
  <c r="C66" i="117"/>
  <c r="C65" i="117"/>
  <c r="C64" i="117"/>
  <c r="C63" i="117"/>
  <c r="C62" i="117"/>
  <c r="C61" i="117"/>
  <c r="C60" i="117"/>
  <c r="C59" i="117"/>
  <c r="C58" i="117"/>
  <c r="C57" i="117"/>
  <c r="C56" i="117"/>
  <c r="C55" i="117"/>
  <c r="C54" i="117"/>
  <c r="C53" i="117"/>
  <c r="C52" i="117"/>
  <c r="C51" i="117"/>
  <c r="C50" i="117"/>
  <c r="C49" i="117"/>
  <c r="C48" i="117"/>
  <c r="C47" i="117"/>
  <c r="C46" i="117"/>
  <c r="C45" i="117"/>
  <c r="C44" i="117"/>
  <c r="C43" i="117"/>
  <c r="C42" i="117"/>
  <c r="C41" i="117"/>
  <c r="C40" i="117"/>
  <c r="C39" i="117"/>
  <c r="C38" i="117"/>
  <c r="C37" i="117"/>
  <c r="C36" i="117"/>
  <c r="C35" i="117"/>
  <c r="C34" i="117"/>
  <c r="C33" i="117"/>
  <c r="C32" i="117"/>
  <c r="C31" i="117"/>
  <c r="C30" i="117"/>
  <c r="C29" i="117"/>
  <c r="C28" i="117"/>
  <c r="C27" i="117"/>
  <c r="C26" i="117"/>
  <c r="C25" i="117"/>
  <c r="C24" i="117"/>
  <c r="C23" i="117"/>
  <c r="C22" i="117"/>
  <c r="C21" i="117"/>
  <c r="C20" i="117"/>
  <c r="C19" i="117"/>
  <c r="C18" i="117"/>
  <c r="C17" i="117"/>
  <c r="C16" i="117"/>
  <c r="C15" i="117"/>
  <c r="C14" i="117"/>
  <c r="C13" i="117"/>
  <c r="C12" i="117"/>
  <c r="C11" i="117"/>
  <c r="C10" i="117"/>
  <c r="C9" i="117"/>
  <c r="C8" i="117"/>
  <c r="C7" i="117"/>
  <c r="C6" i="117"/>
  <c r="B6" i="117"/>
  <c r="B7" i="117"/>
  <c r="B8" i="117"/>
  <c r="B9" i="117"/>
  <c r="B10" i="117"/>
  <c r="B11" i="117"/>
  <c r="B12" i="117"/>
  <c r="B13" i="117"/>
  <c r="B14" i="117"/>
  <c r="B15" i="117"/>
  <c r="B16" i="117"/>
  <c r="B17" i="117"/>
  <c r="B18" i="117"/>
  <c r="B19" i="117"/>
  <c r="B20" i="117"/>
  <c r="B21" i="117"/>
  <c r="B22" i="117"/>
  <c r="B23" i="117"/>
  <c r="B24" i="117"/>
  <c r="B25" i="117"/>
  <c r="B26" i="117"/>
  <c r="B27" i="117"/>
  <c r="B28" i="117"/>
  <c r="B29" i="117"/>
  <c r="B30" i="117"/>
  <c r="B31" i="117"/>
  <c r="B32" i="117"/>
  <c r="B33" i="117"/>
  <c r="B34" i="117"/>
  <c r="B35" i="117"/>
  <c r="B36" i="117"/>
  <c r="B37" i="117"/>
  <c r="B38" i="117"/>
  <c r="B39" i="117"/>
  <c r="B40" i="117"/>
  <c r="B41" i="117"/>
  <c r="B42" i="117"/>
  <c r="B43" i="117"/>
  <c r="B44" i="117"/>
  <c r="B45" i="117"/>
  <c r="B46" i="117"/>
  <c r="B47" i="117"/>
  <c r="B48" i="117"/>
  <c r="B49" i="117"/>
  <c r="B50" i="117"/>
  <c r="B51" i="117"/>
  <c r="B52" i="117"/>
  <c r="B53" i="117"/>
  <c r="B54" i="117"/>
  <c r="B55" i="117"/>
  <c r="B56" i="117"/>
  <c r="B57" i="117"/>
  <c r="B58" i="117"/>
  <c r="B59" i="117"/>
  <c r="B60" i="117"/>
  <c r="B61" i="117"/>
  <c r="B62" i="117"/>
  <c r="B63" i="117"/>
  <c r="B64" i="117"/>
  <c r="B65" i="117"/>
  <c r="B66" i="117"/>
  <c r="B67" i="117"/>
  <c r="B68" i="117"/>
  <c r="B69" i="117"/>
  <c r="B70" i="117"/>
  <c r="B71" i="117"/>
  <c r="B72" i="117"/>
  <c r="B73" i="117"/>
  <c r="B74" i="117"/>
  <c r="B75" i="117"/>
  <c r="B76" i="117"/>
  <c r="B77" i="117"/>
  <c r="B78" i="117"/>
  <c r="B79" i="117"/>
  <c r="B80" i="117"/>
  <c r="B81" i="117"/>
  <c r="B82" i="117"/>
  <c r="B83" i="117"/>
  <c r="B84" i="117"/>
  <c r="B85" i="117"/>
  <c r="B86" i="117"/>
  <c r="B87" i="117"/>
  <c r="B88" i="117"/>
  <c r="B89" i="117"/>
  <c r="B90" i="117"/>
  <c r="B91" i="117"/>
  <c r="B92" i="117"/>
  <c r="B93" i="117"/>
  <c r="B94" i="117"/>
  <c r="B95" i="117"/>
  <c r="B96" i="117"/>
  <c r="B97" i="117"/>
  <c r="B98" i="117"/>
  <c r="B99" i="117"/>
  <c r="B100" i="117"/>
  <c r="B101" i="117"/>
  <c r="B102" i="117"/>
  <c r="B103" i="117"/>
  <c r="B104" i="117"/>
  <c r="B105" i="117"/>
  <c r="B106" i="117"/>
  <c r="B107" i="117"/>
  <c r="B108" i="117"/>
  <c r="B109" i="117"/>
  <c r="B110" i="117"/>
  <c r="B111" i="117"/>
  <c r="B112" i="117"/>
  <c r="B113" i="117"/>
  <c r="B114" i="117"/>
  <c r="B115" i="117"/>
  <c r="B116" i="117"/>
  <c r="B117" i="117"/>
  <c r="B118" i="117"/>
  <c r="B119" i="117"/>
  <c r="B120" i="117"/>
  <c r="B121" i="117"/>
  <c r="B122" i="117"/>
  <c r="B123" i="117"/>
  <c r="B124" i="117"/>
  <c r="B125" i="117"/>
  <c r="B126" i="117"/>
  <c r="B127" i="117"/>
  <c r="B128" i="117"/>
  <c r="B129" i="117"/>
  <c r="B130" i="117"/>
  <c r="B131" i="117"/>
  <c r="B132" i="117"/>
  <c r="B133" i="117"/>
  <c r="B134" i="117"/>
  <c r="B135" i="117"/>
  <c r="B136" i="117"/>
  <c r="B137" i="117"/>
  <c r="B138" i="117"/>
  <c r="J6" i="86"/>
  <c r="J7" i="86"/>
  <c r="J8" i="86"/>
  <c r="J9" i="86"/>
  <c r="J10" i="86"/>
  <c r="J11" i="86"/>
  <c r="J12" i="86"/>
  <c r="J13" i="86"/>
  <c r="J14" i="86"/>
  <c r="J15" i="86"/>
  <c r="J16" i="86"/>
  <c r="J17" i="86"/>
  <c r="J18" i="86"/>
  <c r="J19" i="86"/>
  <c r="J20" i="86"/>
  <c r="J21" i="86"/>
  <c r="J22" i="86"/>
  <c r="J23" i="86"/>
  <c r="J24" i="86"/>
  <c r="J25" i="86"/>
  <c r="J26" i="86"/>
  <c r="J27" i="86"/>
  <c r="J28" i="86"/>
  <c r="J29" i="86"/>
  <c r="J30" i="86"/>
  <c r="J31" i="86"/>
  <c r="J32" i="86"/>
  <c r="J33" i="86"/>
  <c r="J34" i="86"/>
  <c r="J35" i="86"/>
  <c r="J36" i="86"/>
  <c r="J37" i="86"/>
  <c r="J38" i="86"/>
  <c r="J39" i="86"/>
  <c r="J40" i="86"/>
  <c r="J41" i="86"/>
  <c r="J42" i="86"/>
  <c r="J43" i="86"/>
  <c r="J44" i="86"/>
  <c r="J45" i="86"/>
  <c r="J46" i="86"/>
  <c r="J47" i="86"/>
  <c r="J48" i="86"/>
  <c r="J49" i="86"/>
  <c r="J50" i="86"/>
  <c r="J51" i="86"/>
  <c r="J52" i="86"/>
  <c r="J53" i="86"/>
  <c r="J54" i="86"/>
  <c r="J55" i="86"/>
  <c r="J56" i="86"/>
  <c r="J57" i="86"/>
  <c r="J58" i="86"/>
  <c r="J59" i="86"/>
  <c r="J60" i="86"/>
  <c r="J61" i="86"/>
  <c r="J62" i="86"/>
  <c r="J63" i="86"/>
  <c r="J64" i="86"/>
  <c r="J65" i="86"/>
  <c r="J66" i="86"/>
  <c r="J67" i="86"/>
  <c r="J68" i="86"/>
  <c r="J69" i="86"/>
  <c r="J70" i="86"/>
  <c r="J71" i="86"/>
  <c r="J72" i="86"/>
  <c r="J73" i="86"/>
  <c r="J74" i="86"/>
  <c r="J75" i="86"/>
  <c r="J76" i="86"/>
  <c r="J77" i="86"/>
  <c r="J78" i="86"/>
  <c r="J79" i="86"/>
  <c r="J80" i="86"/>
  <c r="J81" i="86"/>
  <c r="J82" i="86"/>
  <c r="J83" i="86"/>
  <c r="J84" i="86"/>
  <c r="J85" i="86"/>
  <c r="J86" i="86"/>
  <c r="J87" i="86"/>
  <c r="J88" i="86"/>
  <c r="J89" i="86"/>
  <c r="J90" i="86"/>
  <c r="J91" i="86"/>
  <c r="J92" i="86"/>
  <c r="J93" i="86"/>
  <c r="J94" i="86"/>
  <c r="J95" i="86"/>
  <c r="J96" i="86"/>
  <c r="J97" i="86"/>
  <c r="J98" i="86"/>
  <c r="J99" i="86"/>
  <c r="J100" i="86"/>
  <c r="J101" i="86"/>
  <c r="J102" i="86"/>
  <c r="J103" i="86"/>
  <c r="J104" i="86"/>
  <c r="J105" i="86"/>
  <c r="J106" i="86"/>
  <c r="J107" i="86"/>
  <c r="J108" i="86"/>
  <c r="J109" i="86"/>
  <c r="J110" i="86"/>
  <c r="J111" i="86"/>
  <c r="J112" i="86"/>
  <c r="J113" i="86"/>
  <c r="J114" i="86"/>
  <c r="J115" i="86"/>
  <c r="J116" i="86"/>
  <c r="J117" i="86"/>
  <c r="J118" i="86"/>
  <c r="J119" i="86"/>
  <c r="J120" i="86"/>
  <c r="J121" i="86"/>
  <c r="J122" i="86"/>
  <c r="J123" i="86"/>
  <c r="J124" i="86"/>
  <c r="J125" i="86"/>
  <c r="J126" i="86"/>
  <c r="J127" i="86"/>
  <c r="J128" i="86"/>
  <c r="J129" i="86"/>
  <c r="J130" i="86"/>
  <c r="J131" i="86"/>
  <c r="J132" i="86"/>
  <c r="J133" i="86"/>
  <c r="J134" i="86"/>
  <c r="J135" i="86"/>
  <c r="J136" i="86"/>
  <c r="J137" i="86"/>
  <c r="J138" i="86"/>
  <c r="G6" i="86"/>
  <c r="G7" i="86"/>
  <c r="G8" i="86"/>
  <c r="G9" i="86"/>
  <c r="G10" i="86"/>
  <c r="G11" i="86"/>
  <c r="G12" i="86"/>
  <c r="G13" i="86"/>
  <c r="G14" i="86"/>
  <c r="G15" i="86"/>
  <c r="G16" i="86"/>
  <c r="G17" i="86"/>
  <c r="G18" i="86"/>
  <c r="G19" i="86"/>
  <c r="G20" i="86"/>
  <c r="G21" i="86"/>
  <c r="G22" i="86"/>
  <c r="G23" i="86"/>
  <c r="G24" i="86"/>
  <c r="G25" i="86"/>
  <c r="G26" i="86"/>
  <c r="G27" i="86"/>
  <c r="G28" i="86"/>
  <c r="G29" i="86"/>
  <c r="G30" i="86"/>
  <c r="G31" i="86"/>
  <c r="G32" i="86"/>
  <c r="G33" i="86"/>
  <c r="G34" i="86"/>
  <c r="G35" i="86"/>
  <c r="G36" i="86"/>
  <c r="G37" i="86"/>
  <c r="G38" i="86"/>
  <c r="G39" i="86"/>
  <c r="G40" i="86"/>
  <c r="G41" i="86"/>
  <c r="G42" i="86"/>
  <c r="G43" i="86"/>
  <c r="G44" i="86"/>
  <c r="G45" i="86"/>
  <c r="G46" i="86"/>
  <c r="G47" i="86"/>
  <c r="G48" i="86"/>
  <c r="G49" i="86"/>
  <c r="G50" i="86"/>
  <c r="G51" i="86"/>
  <c r="G52" i="86"/>
  <c r="G53" i="86"/>
  <c r="G54" i="86"/>
  <c r="G55" i="86"/>
  <c r="G56" i="86"/>
  <c r="G57" i="86"/>
  <c r="G58" i="86"/>
  <c r="G59" i="86"/>
  <c r="G60" i="86"/>
  <c r="G61" i="86"/>
  <c r="G62" i="86"/>
  <c r="G63" i="86"/>
  <c r="G64" i="86"/>
  <c r="G65" i="86"/>
  <c r="G66" i="86"/>
  <c r="G67" i="86"/>
  <c r="G68" i="86"/>
  <c r="G69" i="86"/>
  <c r="G70" i="86"/>
  <c r="G71" i="86"/>
  <c r="G72" i="86"/>
  <c r="G73" i="86"/>
  <c r="G74" i="86"/>
  <c r="G75" i="86"/>
  <c r="G76" i="86"/>
  <c r="G77" i="86"/>
  <c r="G78" i="86"/>
  <c r="G79" i="86"/>
  <c r="G80" i="86"/>
  <c r="G81" i="86"/>
  <c r="G82" i="86"/>
  <c r="G83" i="86"/>
  <c r="G84" i="86"/>
  <c r="G85" i="86"/>
  <c r="G86" i="86"/>
  <c r="G87" i="86"/>
  <c r="G88" i="86"/>
  <c r="G89" i="86"/>
  <c r="G90" i="86"/>
  <c r="G91" i="86"/>
  <c r="G92" i="86"/>
  <c r="G93" i="86"/>
  <c r="G94" i="86"/>
  <c r="G95" i="86"/>
  <c r="G96" i="86"/>
  <c r="G97" i="86"/>
  <c r="G98" i="86"/>
  <c r="G99" i="86"/>
  <c r="G100" i="86"/>
  <c r="G101" i="86"/>
  <c r="G102" i="86"/>
  <c r="G103" i="86"/>
  <c r="G104" i="86"/>
  <c r="G105" i="86"/>
  <c r="G106" i="86"/>
  <c r="G107" i="86"/>
  <c r="G108" i="86"/>
  <c r="G109" i="86"/>
  <c r="G110" i="86"/>
  <c r="G111" i="86"/>
  <c r="G112" i="86"/>
  <c r="G113" i="86"/>
  <c r="G114" i="86"/>
  <c r="G115" i="86"/>
  <c r="G116" i="86"/>
  <c r="G117" i="86"/>
  <c r="G118" i="86"/>
  <c r="G119" i="86"/>
  <c r="G120" i="86"/>
  <c r="G121" i="86"/>
  <c r="G122" i="86"/>
  <c r="G123" i="86"/>
  <c r="G124" i="86"/>
  <c r="G125" i="86"/>
  <c r="G126" i="86"/>
  <c r="G127" i="86"/>
  <c r="G128" i="86"/>
  <c r="G129" i="86"/>
  <c r="G130" i="86"/>
  <c r="G131" i="86"/>
  <c r="G132" i="86"/>
  <c r="G133" i="86"/>
  <c r="G134" i="86"/>
  <c r="G135" i="86"/>
  <c r="G136" i="86"/>
  <c r="G137" i="86"/>
  <c r="G138" i="86"/>
  <c r="F2" i="86"/>
  <c r="C5" i="117"/>
  <c r="B5" i="117"/>
  <c r="G5" i="86" l="1"/>
  <c r="G2" i="86" l="1"/>
  <c r="F1" i="86" s="1"/>
  <c r="H2" i="86" l="1"/>
  <c r="G1" i="86" s="1"/>
  <c r="I2" i="86" l="1"/>
  <c r="H1" i="86" s="1"/>
  <c r="J5" i="86" l="1"/>
  <c r="C138" i="86" l="1"/>
  <c r="C137" i="86"/>
  <c r="C136" i="86"/>
  <c r="C134" i="86"/>
  <c r="C135" i="86"/>
  <c r="C133" i="86"/>
  <c r="C131" i="86"/>
  <c r="C132" i="86"/>
  <c r="C130" i="86"/>
  <c r="C129" i="86"/>
  <c r="C128" i="86"/>
  <c r="C127" i="86"/>
  <c r="C126" i="86"/>
  <c r="C125" i="86"/>
  <c r="C124" i="86"/>
  <c r="C123" i="86"/>
  <c r="C122" i="86"/>
  <c r="C121" i="86"/>
  <c r="C117" i="86"/>
  <c r="C119" i="86"/>
  <c r="C120" i="86"/>
  <c r="C115" i="86"/>
  <c r="C118" i="86"/>
  <c r="C113" i="86"/>
  <c r="C109" i="86"/>
  <c r="C111" i="86"/>
  <c r="C112" i="86"/>
  <c r="C107" i="86"/>
  <c r="C103" i="86"/>
  <c r="C105" i="86"/>
  <c r="C102" i="86"/>
  <c r="C110" i="86"/>
  <c r="C106" i="86"/>
  <c r="C108" i="86"/>
  <c r="C104" i="86"/>
  <c r="C100" i="86"/>
  <c r="C101" i="86"/>
  <c r="C114" i="86"/>
  <c r="C116" i="86"/>
  <c r="C99" i="86"/>
  <c r="C98" i="86"/>
  <c r="C96" i="86"/>
  <c r="C97" i="86"/>
  <c r="C95" i="86"/>
  <c r="C94" i="86"/>
  <c r="C93" i="86"/>
  <c r="C91" i="86"/>
  <c r="C92" i="86"/>
  <c r="C90" i="86"/>
  <c r="C89" i="86"/>
  <c r="C88" i="86"/>
  <c r="C87" i="86"/>
  <c r="C86" i="86"/>
  <c r="C85" i="86"/>
  <c r="C84" i="86"/>
  <c r="C83" i="86"/>
  <c r="C82" i="86"/>
  <c r="C81" i="86"/>
  <c r="C79" i="86"/>
  <c r="C80" i="86"/>
  <c r="C78" i="86"/>
  <c r="C73" i="86"/>
  <c r="C77" i="86"/>
  <c r="C76" i="86"/>
  <c r="C74" i="86"/>
  <c r="C71" i="86"/>
  <c r="C72" i="86"/>
  <c r="C75" i="86"/>
  <c r="C70" i="86"/>
  <c r="C69" i="86"/>
  <c r="C66" i="86"/>
  <c r="C68" i="86"/>
  <c r="C67" i="86"/>
  <c r="C65" i="86"/>
  <c r="C63" i="86"/>
  <c r="C64" i="86"/>
  <c r="C62" i="86"/>
  <c r="C61" i="86"/>
  <c r="C60" i="86"/>
  <c r="C59" i="86"/>
  <c r="C58" i="86"/>
  <c r="C57" i="86"/>
  <c r="C55" i="86"/>
  <c r="C54" i="86"/>
  <c r="C53" i="86"/>
  <c r="C51" i="86"/>
  <c r="C56" i="86"/>
  <c r="C52" i="86"/>
  <c r="C49" i="86"/>
  <c r="C50" i="86"/>
  <c r="C48" i="86"/>
  <c r="C46" i="86"/>
  <c r="C47" i="86"/>
  <c r="C44" i="86"/>
  <c r="C43" i="86"/>
  <c r="C45" i="86"/>
  <c r="C41" i="86"/>
  <c r="C42" i="86"/>
  <c r="C40" i="86"/>
  <c r="C39" i="86"/>
  <c r="C38" i="86"/>
  <c r="C37" i="86"/>
  <c r="C35" i="86"/>
  <c r="C34" i="86"/>
  <c r="C36" i="86"/>
  <c r="C33" i="86"/>
  <c r="C32" i="86"/>
  <c r="C31" i="86"/>
  <c r="C30" i="86"/>
  <c r="C29" i="86"/>
  <c r="C28" i="86"/>
  <c r="C26" i="86"/>
  <c r="C25" i="86"/>
  <c r="C27" i="86"/>
  <c r="C24" i="86"/>
  <c r="C23" i="86"/>
  <c r="C22" i="86"/>
  <c r="C21" i="86"/>
  <c r="C20" i="86"/>
  <c r="C19" i="86"/>
  <c r="C18" i="86"/>
  <c r="C17" i="86"/>
  <c r="C15" i="86"/>
  <c r="C16" i="86"/>
  <c r="C14" i="86"/>
  <c r="C13" i="86"/>
  <c r="C12" i="86"/>
  <c r="C11" i="86"/>
  <c r="C10" i="86"/>
  <c r="C9" i="86"/>
  <c r="C8" i="86"/>
  <c r="C7" i="86"/>
  <c r="C6" i="86"/>
  <c r="C5" i="86"/>
  <c r="D1" i="734" l="1"/>
  <c r="D14" i="734" s="1"/>
  <c r="J2" i="86"/>
  <c r="I1" i="86" s="1"/>
  <c r="D13" i="734" l="1"/>
  <c r="D6" i="734"/>
  <c r="D10" i="734"/>
  <c r="E1" i="734"/>
  <c r="E14" i="734" s="1"/>
  <c r="D7" i="734"/>
  <c r="D11" i="734"/>
  <c r="D4" i="734"/>
  <c r="D8" i="734"/>
  <c r="D12" i="734"/>
  <c r="D5" i="734"/>
  <c r="D9" i="734"/>
  <c r="G14" i="734" l="1"/>
  <c r="H14" i="734" s="1"/>
  <c r="E13" i="734"/>
  <c r="G13" i="734" s="1"/>
  <c r="H13" i="734" s="1"/>
  <c r="E9" i="734"/>
  <c r="G9" i="734" s="1"/>
  <c r="H9" i="734" s="1"/>
  <c r="E5" i="734"/>
  <c r="G5" i="734" s="1"/>
  <c r="H5" i="734" s="1"/>
  <c r="E12" i="734"/>
  <c r="G12" i="734" s="1"/>
  <c r="H12" i="734" s="1"/>
  <c r="E8" i="734"/>
  <c r="G8" i="734" s="1"/>
  <c r="H8" i="734" s="1"/>
  <c r="E4" i="734"/>
  <c r="G4" i="734" s="1"/>
  <c r="H4" i="734" s="1"/>
  <c r="E11" i="734"/>
  <c r="G11" i="734" s="1"/>
  <c r="H11" i="734" s="1"/>
  <c r="E7" i="734"/>
  <c r="G7" i="734" s="1"/>
  <c r="H7" i="734" s="1"/>
  <c r="E10" i="734"/>
  <c r="G10" i="734" s="1"/>
  <c r="H10" i="734" s="1"/>
  <c r="E6" i="734"/>
  <c r="G6" i="734" s="1"/>
  <c r="H6" i="734" s="1"/>
</calcChain>
</file>

<file path=xl/sharedStrings.xml><?xml version="1.0" encoding="utf-8"?>
<sst xmlns="http://schemas.openxmlformats.org/spreadsheetml/2006/main" count="14016" uniqueCount="656">
  <si>
    <t/>
  </si>
  <si>
    <t>A06109</t>
  </si>
  <si>
    <t>A07105</t>
  </si>
  <si>
    <t>A08103</t>
  </si>
  <si>
    <t>A08106</t>
  </si>
  <si>
    <t>A08107</t>
  </si>
  <si>
    <t>A08109</t>
  </si>
  <si>
    <t>A94103</t>
  </si>
  <si>
    <t>A95102</t>
  </si>
  <si>
    <t>A93103</t>
  </si>
  <si>
    <t>A93109</t>
  </si>
  <si>
    <t>A95107</t>
  </si>
  <si>
    <t>A96102</t>
  </si>
  <si>
    <t>A96107</t>
  </si>
  <si>
    <t>A97102</t>
  </si>
  <si>
    <t>A97105</t>
  </si>
  <si>
    <t>A98102</t>
  </si>
  <si>
    <t>A98105</t>
  </si>
  <si>
    <t>A99104</t>
  </si>
  <si>
    <t>A99107</t>
  </si>
  <si>
    <t>A90105</t>
  </si>
  <si>
    <t>A93106</t>
  </si>
  <si>
    <t>A99102</t>
  </si>
  <si>
    <t>A00104</t>
  </si>
  <si>
    <t>A01104</t>
  </si>
  <si>
    <t>A01201</t>
  </si>
  <si>
    <t>A04102</t>
  </si>
  <si>
    <t>A08101</t>
  </si>
  <si>
    <t>A07109</t>
  </si>
  <si>
    <t>A01107</t>
  </si>
  <si>
    <t>A02108</t>
  </si>
  <si>
    <t>A04105</t>
  </si>
  <si>
    <t>A06104</t>
  </si>
  <si>
    <t>A02110</t>
  </si>
  <si>
    <t>A05106</t>
  </si>
  <si>
    <t>A07102</t>
  </si>
  <si>
    <t>A06103</t>
  </si>
  <si>
    <t>A07111</t>
  </si>
  <si>
    <t>A04112</t>
  </si>
  <si>
    <t>A05102</t>
  </si>
  <si>
    <t>A08108</t>
  </si>
  <si>
    <t>A02105</t>
  </si>
  <si>
    <t>A03113</t>
  </si>
  <si>
    <t>A01102</t>
  </si>
  <si>
    <t>A03107</t>
  </si>
  <si>
    <t>A05109</t>
  </si>
  <si>
    <t>A99109</t>
  </si>
  <si>
    <t>A00108</t>
  </si>
  <si>
    <t>A03105</t>
  </si>
  <si>
    <t>A04107</t>
  </si>
  <si>
    <t>A00102</t>
  </si>
  <si>
    <t>A08110</t>
  </si>
  <si>
    <t>A03106</t>
  </si>
  <si>
    <t>A02103</t>
  </si>
  <si>
    <t>A04114</t>
  </si>
  <si>
    <t>A04104</t>
  </si>
  <si>
    <t>A05111</t>
  </si>
  <si>
    <t>A07110</t>
  </si>
  <si>
    <t>A00201</t>
  </si>
  <si>
    <t>A05104</t>
  </si>
  <si>
    <t>A02101</t>
  </si>
  <si>
    <t>A00107</t>
  </si>
  <si>
    <t>A02201</t>
  </si>
  <si>
    <t>A03103</t>
  </si>
  <si>
    <t>A03114</t>
  </si>
  <si>
    <t>A03111</t>
  </si>
  <si>
    <t>A06108</t>
  </si>
  <si>
    <t>A07103</t>
  </si>
  <si>
    <t>A07108</t>
  </si>
  <si>
    <t>A02109</t>
  </si>
  <si>
    <t>A01108</t>
  </si>
  <si>
    <t>A03116</t>
  </si>
  <si>
    <t>A03112</t>
  </si>
  <si>
    <t>A03108</t>
  </si>
  <si>
    <t>A04108</t>
  </si>
  <si>
    <t>A04111</t>
  </si>
  <si>
    <t>A05114</t>
  </si>
  <si>
    <t>A05107</t>
  </si>
  <si>
    <t>A06106</t>
  </si>
  <si>
    <t>A05110</t>
  </si>
  <si>
    <t>A06111</t>
  </si>
  <si>
    <t>A07104</t>
  </si>
  <si>
    <r>
      <t>A</t>
    </r>
    <r>
      <rPr>
        <sz val="12"/>
        <color theme="1"/>
        <rFont val="新細明體"/>
        <family val="2"/>
        <charset val="136"/>
        <scheme val="minor"/>
      </rPr>
      <t>08102</t>
    </r>
  </si>
  <si>
    <r>
      <t>A</t>
    </r>
    <r>
      <rPr>
        <sz val="12"/>
        <color theme="1"/>
        <rFont val="新細明體"/>
        <family val="2"/>
        <charset val="136"/>
        <scheme val="minor"/>
      </rPr>
      <t>08104</t>
    </r>
  </si>
  <si>
    <t>A08105</t>
  </si>
  <si>
    <t>指標利率</t>
    <phoneticPr fontId="1" type="noConversion"/>
  </si>
  <si>
    <t>理論殖利率</t>
    <phoneticPr fontId="1" type="noConversion"/>
  </si>
  <si>
    <t>存續期間</t>
    <phoneticPr fontId="1" type="noConversion"/>
  </si>
  <si>
    <t>A09102</t>
    <phoneticPr fontId="1" type="noConversion"/>
  </si>
  <si>
    <t>A09101</t>
    <phoneticPr fontId="1" type="noConversion"/>
  </si>
  <si>
    <t>A09103</t>
    <phoneticPr fontId="1" type="noConversion"/>
  </si>
  <si>
    <t>A09104</t>
    <phoneticPr fontId="1" type="noConversion"/>
  </si>
  <si>
    <t>A09105</t>
    <phoneticPr fontId="1" type="noConversion"/>
  </si>
  <si>
    <t>A09106</t>
    <phoneticPr fontId="1" type="noConversion"/>
  </si>
  <si>
    <t>A09107</t>
    <phoneticPr fontId="1" type="noConversion"/>
  </si>
  <si>
    <t>A09108</t>
    <phoneticPr fontId="1" type="noConversion"/>
  </si>
  <si>
    <t>A09109</t>
    <phoneticPr fontId="1" type="noConversion"/>
  </si>
  <si>
    <t>A09111</t>
    <phoneticPr fontId="1" type="noConversion"/>
  </si>
  <si>
    <t>A09112</t>
    <phoneticPr fontId="1" type="noConversion"/>
  </si>
  <si>
    <t>A09113</t>
    <phoneticPr fontId="1" type="noConversion"/>
  </si>
  <si>
    <t>A10101</t>
    <phoneticPr fontId="1" type="noConversion"/>
  </si>
  <si>
    <t>A10102</t>
    <phoneticPr fontId="1" type="noConversion"/>
  </si>
  <si>
    <t>A10102</t>
    <phoneticPr fontId="1" type="noConversion"/>
  </si>
  <si>
    <t>A10103</t>
    <phoneticPr fontId="1" type="noConversion"/>
  </si>
  <si>
    <t>A10103</t>
    <phoneticPr fontId="1" type="noConversion"/>
  </si>
  <si>
    <t>Duration</t>
  </si>
  <si>
    <t>DY</t>
  </si>
  <si>
    <t>Count</t>
  </si>
  <si>
    <t>行業別</t>
  </si>
  <si>
    <t>賣超面額(元)</t>
  </si>
  <si>
    <t>112/09/18</t>
  </si>
  <si>
    <t>112/11/23</t>
  </si>
  <si>
    <t>113/02/10</t>
  </si>
  <si>
    <t>113/01/14</t>
  </si>
  <si>
    <t>113/03/03</t>
  </si>
  <si>
    <t>113/07/17</t>
  </si>
  <si>
    <t>113/09/26</t>
  </si>
  <si>
    <t>113/11/18</t>
  </si>
  <si>
    <t>114/02/25</t>
  </si>
  <si>
    <t>114/01/10</t>
  </si>
  <si>
    <t>114/03/13</t>
  </si>
  <si>
    <t>114/07/17</t>
  </si>
  <si>
    <t>114/09/11</t>
  </si>
  <si>
    <t>115/02/24</t>
  </si>
  <si>
    <t>114/12/08</t>
  </si>
  <si>
    <t>115/01/13</t>
  </si>
  <si>
    <t>115/03/04</t>
  </si>
  <si>
    <t>115/11/10</t>
  </si>
  <si>
    <t>115/09/07</t>
  </si>
  <si>
    <t>116/02/14</t>
  </si>
  <si>
    <t>116/03/01</t>
  </si>
  <si>
    <t>116/11/16</t>
  </si>
  <si>
    <t>116/09/20</t>
  </si>
  <si>
    <t>117/02/14</t>
  </si>
  <si>
    <t>117/01/09</t>
  </si>
  <si>
    <t>117/02/08</t>
  </si>
  <si>
    <t>117/08/14</t>
  </si>
  <si>
    <t>117/06/08</t>
  </si>
  <si>
    <t>118/02/16</t>
  </si>
  <si>
    <t>117/10/17</t>
  </si>
  <si>
    <t>118/02/13</t>
  </si>
  <si>
    <t>118/08/13</t>
  </si>
  <si>
    <t>118/06/26</t>
  </si>
  <si>
    <t>119/02/22</t>
  </si>
  <si>
    <t>118/10/14</t>
  </si>
  <si>
    <t>119/02/21</t>
  </si>
  <si>
    <t>119/08/12</t>
  </si>
  <si>
    <t>120/01/13</t>
  </si>
  <si>
    <t>120/07/17</t>
  </si>
  <si>
    <t>119/06/11</t>
  </si>
  <si>
    <t>120/05/26</t>
  </si>
  <si>
    <t>119/10/14</t>
  </si>
  <si>
    <t>120/02/22</t>
  </si>
  <si>
    <t>120/08/02</t>
  </si>
  <si>
    <t>121/01/20</t>
  </si>
  <si>
    <t>121/03/16</t>
  </si>
  <si>
    <t>121/08/10</t>
  </si>
  <si>
    <t>123/05/27</t>
  </si>
  <si>
    <t>122/03/21</t>
  </si>
  <si>
    <t>122/01/28</t>
  </si>
  <si>
    <t>122/07/26</t>
  </si>
  <si>
    <t>123/01/29</t>
  </si>
  <si>
    <t>123/04/25</t>
  </si>
  <si>
    <t>123/07/31</t>
  </si>
  <si>
    <t>123/10/02</t>
  </si>
  <si>
    <t>124/01/23</t>
  </si>
  <si>
    <t>124/04/15</t>
  </si>
  <si>
    <t>124/10/26</t>
  </si>
  <si>
    <t>125/01/22</t>
  </si>
  <si>
    <t>125/04/08</t>
  </si>
  <si>
    <t>126/02/20</t>
  </si>
  <si>
    <t>125/07/19</t>
  </si>
  <si>
    <t>126/08/18</t>
  </si>
  <si>
    <t>127/03/13</t>
  </si>
  <si>
    <t>129/01/28</t>
  </si>
  <si>
    <t>127/09/21</t>
  </si>
  <si>
    <t>128/01/28</t>
  </si>
  <si>
    <t>128/03/04</t>
  </si>
  <si>
    <t>129/12/28</t>
  </si>
  <si>
    <t>130/02/22</t>
  </si>
  <si>
    <t>128/09/06</t>
  </si>
  <si>
    <t>130/08/22</t>
  </si>
  <si>
    <t>129/01/17</t>
  </si>
  <si>
    <t>131/02/13</t>
  </si>
  <si>
    <t>129/03/09</t>
  </si>
  <si>
    <t>132/08/02</t>
  </si>
  <si>
    <t>131/08/24</t>
  </si>
  <si>
    <t>129/09/18</t>
  </si>
  <si>
    <t>132/02/26</t>
  </si>
  <si>
    <t>133/02/26</t>
  </si>
  <si>
    <t>133/08/04</t>
  </si>
  <si>
    <t>134/02/13</t>
  </si>
  <si>
    <t>129/12/29</t>
  </si>
  <si>
    <t>130/01/29</t>
  </si>
  <si>
    <t>133/05/28</t>
  </si>
  <si>
    <t>133/11/26</t>
  </si>
  <si>
    <t>134/05/15</t>
  </si>
  <si>
    <t>134/08/10</t>
  </si>
  <si>
    <t>135/11/25</t>
  </si>
  <si>
    <t>135/05/20</t>
  </si>
  <si>
    <t>136/05/26</t>
  </si>
  <si>
    <t>135/08/05</t>
  </si>
  <si>
    <t>136/11/24</t>
  </si>
  <si>
    <t>137/05/18</t>
  </si>
  <si>
    <t>137/11/09</t>
  </si>
  <si>
    <t>138/05/17</t>
  </si>
  <si>
    <t>138/11/08</t>
  </si>
  <si>
    <t>139/05/12</t>
  </si>
  <si>
    <t>139/11/27</t>
  </si>
  <si>
    <t>140/02/25</t>
  </si>
  <si>
    <t>A10104</t>
    <phoneticPr fontId="1" type="noConversion"/>
  </si>
  <si>
    <t>A10104</t>
    <phoneticPr fontId="1" type="noConversion"/>
  </si>
  <si>
    <t>120/05/07</t>
  </si>
  <si>
    <t>130/05/21</t>
  </si>
  <si>
    <t>A10105</t>
    <phoneticPr fontId="1" type="noConversion"/>
  </si>
  <si>
    <t>A10105</t>
    <phoneticPr fontId="1" type="noConversion"/>
  </si>
  <si>
    <t>120/06/23</t>
  </si>
  <si>
    <t>A10201</t>
    <phoneticPr fontId="1" type="noConversion"/>
  </si>
  <si>
    <t>A10107</t>
    <phoneticPr fontId="1" type="noConversion"/>
  </si>
  <si>
    <t>A10201</t>
    <phoneticPr fontId="1" type="noConversion"/>
  </si>
  <si>
    <t>A10107</t>
    <phoneticPr fontId="1" type="noConversion"/>
  </si>
  <si>
    <t>112/08/26</t>
  </si>
  <si>
    <t>115/07/29</t>
  </si>
  <si>
    <t>117/08/20</t>
  </si>
  <si>
    <t>130/09/29</t>
  </si>
  <si>
    <t>A10108</t>
    <phoneticPr fontId="1" type="noConversion"/>
  </si>
  <si>
    <t>A10108</t>
    <phoneticPr fontId="1" type="noConversion"/>
  </si>
  <si>
    <t>剩餘年限</t>
    <phoneticPr fontId="1" type="noConversion"/>
  </si>
  <si>
    <t>A10202</t>
    <phoneticPr fontId="1" type="noConversion"/>
  </si>
  <si>
    <t>A10202</t>
    <phoneticPr fontId="1" type="noConversion"/>
  </si>
  <si>
    <t>A10109</t>
    <phoneticPr fontId="1" type="noConversion"/>
  </si>
  <si>
    <t>A10109</t>
    <phoneticPr fontId="1" type="noConversion"/>
  </si>
  <si>
    <t>120/10/22</t>
  </si>
  <si>
    <t>130/11/12</t>
  </si>
  <si>
    <t>A10111</t>
    <phoneticPr fontId="1" type="noConversion"/>
  </si>
  <si>
    <t>A10111</t>
    <phoneticPr fontId="1" type="noConversion"/>
  </si>
  <si>
    <t>A10110</t>
    <phoneticPr fontId="1" type="noConversion"/>
  </si>
  <si>
    <t>A10110</t>
    <phoneticPr fontId="1" type="noConversion"/>
  </si>
  <si>
    <t>140/12/23</t>
  </si>
  <si>
    <t>A10112</t>
    <phoneticPr fontId="1" type="noConversion"/>
  </si>
  <si>
    <t>A10112</t>
    <phoneticPr fontId="1" type="noConversion"/>
  </si>
  <si>
    <r>
      <t>A</t>
    </r>
    <r>
      <rPr>
        <sz val="12"/>
        <color theme="1"/>
        <rFont val="新細明體"/>
        <family val="2"/>
        <charset val="136"/>
        <scheme val="minor"/>
      </rPr>
      <t>08102</t>
    </r>
  </si>
  <si>
    <r>
      <t>A</t>
    </r>
    <r>
      <rPr>
        <sz val="12"/>
        <color theme="1"/>
        <rFont val="新細明體"/>
        <family val="2"/>
        <charset val="136"/>
        <scheme val="minor"/>
      </rPr>
      <t>08104</t>
    </r>
  </si>
  <si>
    <t>A10113</t>
    <phoneticPr fontId="1" type="noConversion"/>
  </si>
  <si>
    <t>A10113</t>
    <phoneticPr fontId="1" type="noConversion"/>
  </si>
  <si>
    <t>A11102</t>
  </si>
  <si>
    <t>113/03/31</t>
  </si>
  <si>
    <t>116/02/24</t>
  </si>
  <si>
    <t>121/01/10</t>
  </si>
  <si>
    <t>121/02/18</t>
  </si>
  <si>
    <t>131/01/18</t>
  </si>
  <si>
    <t>131/03/04</t>
  </si>
  <si>
    <t>A11201</t>
    <phoneticPr fontId="1" type="noConversion"/>
  </si>
  <si>
    <t>A11201</t>
    <phoneticPr fontId="1" type="noConversion"/>
  </si>
  <si>
    <t>A11102</t>
    <phoneticPr fontId="1" type="noConversion"/>
  </si>
  <si>
    <t>A11102</t>
    <phoneticPr fontId="1" type="noConversion"/>
  </si>
  <si>
    <t>A11101</t>
  </si>
  <si>
    <t>A11103</t>
    <phoneticPr fontId="1" type="noConversion"/>
  </si>
  <si>
    <t>A11103</t>
    <phoneticPr fontId="1" type="noConversion"/>
  </si>
  <si>
    <t>A11104</t>
  </si>
  <si>
    <t>A09113</t>
  </si>
  <si>
    <t>A11202</t>
    <phoneticPr fontId="1" type="noConversion"/>
  </si>
  <si>
    <t>A11202</t>
    <phoneticPr fontId="1" type="noConversion"/>
  </si>
  <si>
    <t>A11106</t>
  </si>
  <si>
    <t>A11107</t>
  </si>
  <si>
    <t>116/06/23</t>
  </si>
  <si>
    <t>121/06/30</t>
  </si>
  <si>
    <t>141/05/20</t>
  </si>
  <si>
    <t>A11105</t>
  </si>
  <si>
    <t>A11106</t>
    <phoneticPr fontId="1" type="noConversion"/>
  </si>
  <si>
    <t>A11106</t>
    <phoneticPr fontId="1" type="noConversion"/>
  </si>
  <si>
    <t>A11107</t>
    <phoneticPr fontId="1" type="noConversion"/>
  </si>
  <si>
    <t>A11105</t>
    <phoneticPr fontId="1" type="noConversion"/>
  </si>
  <si>
    <t>A11105</t>
    <phoneticPr fontId="1" type="noConversion"/>
  </si>
  <si>
    <t>A10109</t>
  </si>
  <si>
    <t>A09101</t>
  </si>
  <si>
    <t>A10107</t>
  </si>
  <si>
    <t>A11202</t>
  </si>
  <si>
    <t>A09107</t>
  </si>
  <si>
    <t>A09112</t>
  </si>
  <si>
    <t>A10101</t>
  </si>
  <si>
    <t>A10108</t>
  </si>
  <si>
    <t>A11103</t>
  </si>
  <si>
    <t>A10202</t>
  </si>
  <si>
    <t>A09103</t>
  </si>
  <si>
    <t>A09106</t>
  </si>
  <si>
    <t>A09109</t>
  </si>
  <si>
    <t>A10103</t>
  </si>
  <si>
    <t>A10201</t>
  </si>
  <si>
    <t>A10111</t>
  </si>
  <si>
    <t>A11201</t>
  </si>
  <si>
    <t>A08102</t>
  </si>
  <si>
    <t>A08104</t>
  </si>
  <si>
    <t>A09102</t>
  </si>
  <si>
    <t>A09104</t>
  </si>
  <si>
    <t>A09108</t>
  </si>
  <si>
    <t>A10105</t>
  </si>
  <si>
    <t>A10102</t>
  </si>
  <si>
    <t>A10112</t>
  </si>
  <si>
    <t>A10110</t>
  </si>
  <si>
    <t>A09105</t>
  </si>
  <si>
    <t>A10113</t>
  </si>
  <si>
    <t>A10104</t>
  </si>
  <si>
    <t>A09111</t>
  </si>
  <si>
    <t>A11108</t>
  </si>
  <si>
    <t>116/09/23</t>
  </si>
  <si>
    <t>131/09/30</t>
  </si>
  <si>
    <t>A11108</t>
    <phoneticPr fontId="1" type="noConversion"/>
  </si>
  <si>
    <t>A11108</t>
    <phoneticPr fontId="1" type="noConversion"/>
  </si>
  <si>
    <t>A11109</t>
    <phoneticPr fontId="1" type="noConversion"/>
  </si>
  <si>
    <t>A11109</t>
    <phoneticPr fontId="1" type="noConversion"/>
  </si>
  <si>
    <t>A11109</t>
  </si>
  <si>
    <t>A02110</t>
    <phoneticPr fontId="1" type="noConversion"/>
  </si>
  <si>
    <t>A11110</t>
  </si>
  <si>
    <t>121/10/17</t>
  </si>
  <si>
    <t>141/11/11</t>
  </si>
  <si>
    <t>A11110</t>
    <phoneticPr fontId="1" type="noConversion"/>
  </si>
  <si>
    <t>A11110</t>
    <phoneticPr fontId="1" type="noConversion"/>
  </si>
  <si>
    <t>A11111</t>
    <phoneticPr fontId="1" type="noConversion"/>
  </si>
  <si>
    <t>A11111</t>
    <phoneticPr fontId="1" type="noConversion"/>
  </si>
  <si>
    <t>A11111</t>
  </si>
  <si>
    <t>TWD</t>
  </si>
  <si>
    <t>A12103</t>
  </si>
  <si>
    <t>114/02/23</t>
  </si>
  <si>
    <t>A12101R</t>
  </si>
  <si>
    <t>117/01/17</t>
  </si>
  <si>
    <t>A12101</t>
  </si>
  <si>
    <t>A12102</t>
  </si>
  <si>
    <t>122/02/17</t>
  </si>
  <si>
    <t>A12201</t>
  </si>
  <si>
    <t>122/01/10</t>
  </si>
  <si>
    <t>A12104</t>
  </si>
  <si>
    <t>132/03/03</t>
  </si>
  <si>
    <t>A12103</t>
    <phoneticPr fontId="1" type="noConversion"/>
  </si>
  <si>
    <t>A12103</t>
    <phoneticPr fontId="1" type="noConversion"/>
  </si>
  <si>
    <t>A12101</t>
    <phoneticPr fontId="1" type="noConversion"/>
  </si>
  <si>
    <t>A12101</t>
    <phoneticPr fontId="1" type="noConversion"/>
  </si>
  <si>
    <t>A12201</t>
    <phoneticPr fontId="1" type="noConversion"/>
  </si>
  <si>
    <t>A12102</t>
    <phoneticPr fontId="1" type="noConversion"/>
  </si>
  <si>
    <t>A12201</t>
    <phoneticPr fontId="1" type="noConversion"/>
  </si>
  <si>
    <t>A12102</t>
    <phoneticPr fontId="1" type="noConversion"/>
  </si>
  <si>
    <t>A12104</t>
    <phoneticPr fontId="1" type="noConversion"/>
  </si>
  <si>
    <t>A12104</t>
    <phoneticPr fontId="1" type="noConversion"/>
  </si>
  <si>
    <t>A04105</t>
    <phoneticPr fontId="1" type="noConversion"/>
  </si>
  <si>
    <t>A03113</t>
    <phoneticPr fontId="1" type="noConversion"/>
  </si>
  <si>
    <t>A09101</t>
    <phoneticPr fontId="1" type="noConversion"/>
  </si>
  <si>
    <t>2y</t>
    <phoneticPr fontId="1" type="noConversion"/>
  </si>
  <si>
    <t>1.55y</t>
    <phoneticPr fontId="1" type="noConversion"/>
  </si>
  <si>
    <t>A94103</t>
    <phoneticPr fontId="1" type="noConversion"/>
  </si>
  <si>
    <t>2.8y</t>
    <phoneticPr fontId="1" type="noConversion"/>
  </si>
  <si>
    <t>A95107</t>
    <phoneticPr fontId="1" type="noConversion"/>
  </si>
  <si>
    <t>3y</t>
    <phoneticPr fontId="1" type="noConversion"/>
  </si>
  <si>
    <t>票面</t>
    <phoneticPr fontId="6" type="noConversion"/>
  </si>
  <si>
    <t>到期日</t>
    <phoneticPr fontId="6" type="noConversion"/>
  </si>
  <si>
    <t>G12446</t>
  </si>
  <si>
    <t>P12合庫1</t>
  </si>
  <si>
    <t>B99903</t>
  </si>
  <si>
    <t>P10合迪1</t>
  </si>
  <si>
    <t>-</t>
  </si>
  <si>
    <t>A12106</t>
  </si>
  <si>
    <t>117/05/26</t>
  </si>
  <si>
    <t>A12107</t>
  </si>
  <si>
    <t>122/06/09</t>
  </si>
  <si>
    <t>A12105</t>
  </si>
  <si>
    <t>142/05/12</t>
  </si>
  <si>
    <t>A12106</t>
    <phoneticPr fontId="1" type="noConversion"/>
  </si>
  <si>
    <t>A12106</t>
    <phoneticPr fontId="1" type="noConversion"/>
  </si>
  <si>
    <t>A12105</t>
    <phoneticPr fontId="1" type="noConversion"/>
  </si>
  <si>
    <t>A12105</t>
    <phoneticPr fontId="1" type="noConversion"/>
  </si>
  <si>
    <t>A12107</t>
    <phoneticPr fontId="1" type="noConversion"/>
  </si>
  <si>
    <t>A12107</t>
    <phoneticPr fontId="1" type="noConversion"/>
  </si>
  <si>
    <t>資金成本</t>
    <phoneticPr fontId="1" type="noConversion"/>
  </si>
  <si>
    <t>利率</t>
    <phoneticPr fontId="1" type="noConversion"/>
  </si>
  <si>
    <t>張數</t>
    <phoneticPr fontId="1" type="noConversion"/>
  </si>
  <si>
    <t>F02222</t>
  </si>
  <si>
    <t>16SG6</t>
  </si>
  <si>
    <t>NZD</t>
  </si>
  <si>
    <t>A12107R</t>
  </si>
  <si>
    <t>A12108</t>
  </si>
  <si>
    <t>117/09/15</t>
  </si>
  <si>
    <t>A12109</t>
  </si>
  <si>
    <t>132/09/22</t>
  </si>
  <si>
    <t>A12108</t>
    <phoneticPr fontId="1" type="noConversion"/>
  </si>
  <si>
    <t>A12108</t>
    <phoneticPr fontId="1" type="noConversion"/>
  </si>
  <si>
    <t>A12107R</t>
    <phoneticPr fontId="1" type="noConversion"/>
  </si>
  <si>
    <t>A12107R</t>
    <phoneticPr fontId="1" type="noConversion"/>
  </si>
  <si>
    <t>A12109</t>
    <phoneticPr fontId="1" type="noConversion"/>
  </si>
  <si>
    <t>A12109</t>
    <phoneticPr fontId="1" type="noConversion"/>
  </si>
  <si>
    <r>
      <t>平均</t>
    </r>
    <r>
      <rPr>
        <sz val="6"/>
        <rFont val="新細明體"/>
        <family val="1"/>
        <charset val="136"/>
      </rPr>
      <t xml:space="preserve">
</t>
    </r>
    <r>
      <rPr>
        <sz val="8"/>
        <rFont val="新細明體"/>
        <family val="1"/>
        <charset val="136"/>
      </rPr>
      <t>Volume-Weighted
Average</t>
    </r>
    <phoneticPr fontId="6" type="noConversion"/>
  </si>
  <si>
    <t>存續
期間</t>
    <phoneticPr fontId="8" type="noConversion"/>
  </si>
  <si>
    <t>剩餘
年限</t>
    <phoneticPr fontId="8" type="noConversion"/>
  </si>
  <si>
    <r>
      <t>殖利率</t>
    </r>
    <r>
      <rPr>
        <sz val="10"/>
        <rFont val="Times New Roman"/>
        <family val="1"/>
      </rPr>
      <t>(%)
Yield</t>
    </r>
    <phoneticPr fontId="8" type="noConversion"/>
  </si>
  <si>
    <r>
      <t>總成交面額</t>
    </r>
    <r>
      <rPr>
        <sz val="10"/>
        <rFont val="Times New Roman"/>
        <family val="1"/>
      </rPr>
      <t>(</t>
    </r>
    <r>
      <rPr>
        <sz val="10"/>
        <rFont val="新細明體"/>
        <family val="1"/>
        <charset val="136"/>
      </rPr>
      <t>億</t>
    </r>
    <r>
      <rPr>
        <sz val="10"/>
        <rFont val="Times New Roman"/>
        <family val="1"/>
      </rPr>
      <t>)</t>
    </r>
    <phoneticPr fontId="6" type="noConversion"/>
  </si>
  <si>
    <r>
      <t>理論
殖利率</t>
    </r>
    <r>
      <rPr>
        <sz val="8"/>
        <rFont val="Times New Roman"/>
        <family val="1"/>
      </rPr>
      <t xml:space="preserve">
Theoretical 
Yield %</t>
    </r>
    <phoneticPr fontId="6" type="noConversion"/>
  </si>
  <si>
    <r>
      <t xml:space="preserve">最低
</t>
    </r>
    <r>
      <rPr>
        <sz val="10"/>
        <rFont val="Times New Roman"/>
        <family val="1"/>
      </rPr>
      <t>Lowest</t>
    </r>
    <phoneticPr fontId="6" type="noConversion"/>
  </si>
  <si>
    <t>Volume
(NT$100 Mil.)</t>
    <phoneticPr fontId="6" type="noConversion"/>
  </si>
  <si>
    <t>債券
Bond</t>
    <phoneticPr fontId="8" type="noConversion"/>
  </si>
  <si>
    <t>銀行</t>
    <phoneticPr fontId="6" type="noConversion"/>
  </si>
  <si>
    <t>證券</t>
    <phoneticPr fontId="6" type="noConversion"/>
  </si>
  <si>
    <t>B20156</t>
  </si>
  <si>
    <t>P08亞泥1</t>
  </si>
  <si>
    <t>Volume
(NT$100 Mil.)</t>
    <phoneticPr fontId="6" type="noConversion"/>
  </si>
  <si>
    <t>等殖</t>
    <phoneticPr fontId="6" type="noConversion"/>
  </si>
  <si>
    <r>
      <t xml:space="preserve">最低
</t>
    </r>
    <r>
      <rPr>
        <sz val="10"/>
        <rFont val="Times New Roman"/>
        <family val="1"/>
      </rPr>
      <t>Lowest</t>
    </r>
    <phoneticPr fontId="6" type="noConversion"/>
  </si>
  <si>
    <t>B6A307</t>
  </si>
  <si>
    <t>P12台達電4</t>
  </si>
  <si>
    <r>
      <t>買超面額</t>
    </r>
    <r>
      <rPr>
        <sz val="10"/>
        <rFont val="Times New Roman"/>
        <family val="1"/>
      </rPr>
      <t>(</t>
    </r>
    <r>
      <rPr>
        <sz val="10"/>
        <rFont val="新細明體"/>
        <family val="1"/>
        <charset val="136"/>
      </rPr>
      <t>元</t>
    </r>
    <r>
      <rPr>
        <sz val="10"/>
        <rFont val="Times New Roman"/>
        <family val="1"/>
      </rPr>
      <t>)</t>
    </r>
    <phoneticPr fontId="8" type="noConversion"/>
  </si>
  <si>
    <t>B50176</t>
  </si>
  <si>
    <t>P12遠東新4</t>
  </si>
  <si>
    <t>處所</t>
    <phoneticPr fontId="6" type="noConversion"/>
  </si>
  <si>
    <r>
      <t>平均</t>
    </r>
    <r>
      <rPr>
        <sz val="6"/>
        <rFont val="新細明體"/>
        <family val="1"/>
        <charset val="136"/>
      </rPr>
      <t xml:space="preserve">
</t>
    </r>
    <r>
      <rPr>
        <sz val="8"/>
        <rFont val="新細明體"/>
        <family val="1"/>
        <charset val="136"/>
      </rPr>
      <t>Volume-Weighted
Average</t>
    </r>
    <phoneticPr fontId="6" type="noConversion"/>
  </si>
  <si>
    <t>B99603</t>
  </si>
  <si>
    <t>P12國壽1A</t>
  </si>
  <si>
    <t>B99604</t>
  </si>
  <si>
    <t>P12國壽1B</t>
  </si>
  <si>
    <t>日期 Date：112/08/07</t>
  </si>
  <si>
    <t>債券等殖成交系統買賣超統計日報表
Electronic Bond Trading System Net Position Daily Report (Statistics)</t>
    <phoneticPr fontId="8" type="noConversion"/>
  </si>
  <si>
    <r>
      <t>殖利率</t>
    </r>
    <r>
      <rPr>
        <sz val="10"/>
        <rFont val="Times New Roman"/>
        <family val="1"/>
      </rPr>
      <t>(%)
Yield</t>
    </r>
    <phoneticPr fontId="8" type="noConversion"/>
  </si>
  <si>
    <t>總筆數</t>
    <phoneticPr fontId="6" type="noConversion"/>
  </si>
  <si>
    <r>
      <t>理論
殖利率</t>
    </r>
    <r>
      <rPr>
        <sz val="8"/>
        <rFont val="Times New Roman"/>
        <family val="1"/>
      </rPr>
      <t xml:space="preserve">
Theoretical 
Yield %</t>
    </r>
    <phoneticPr fontId="6" type="noConversion"/>
  </si>
  <si>
    <t>日期 Date：2023/08/07</t>
    <phoneticPr fontId="9" type="noConversion"/>
  </si>
  <si>
    <t>到期日</t>
    <phoneticPr fontId="6" type="noConversion"/>
  </si>
  <si>
    <r>
      <t xml:space="preserve">最高
</t>
    </r>
    <r>
      <rPr>
        <sz val="10"/>
        <rFont val="Times New Roman"/>
        <family val="1"/>
      </rPr>
      <t>Highest</t>
    </r>
    <phoneticPr fontId="6" type="noConversion"/>
  </si>
  <si>
    <t>Volume
(NT$100 Mil.)</t>
    <phoneticPr fontId="6" type="noConversion"/>
  </si>
  <si>
    <r>
      <t xml:space="preserve">最低
</t>
    </r>
    <r>
      <rPr>
        <sz val="10"/>
        <rFont val="Times New Roman"/>
        <family val="1"/>
      </rPr>
      <t>Lowest</t>
    </r>
    <phoneticPr fontId="6" type="noConversion"/>
  </si>
  <si>
    <r>
      <t>平均</t>
    </r>
    <r>
      <rPr>
        <sz val="6"/>
        <rFont val="新細明體"/>
        <family val="1"/>
        <charset val="136"/>
      </rPr>
      <t xml:space="preserve">
</t>
    </r>
    <r>
      <rPr>
        <sz val="8"/>
        <rFont val="新細明體"/>
        <family val="1"/>
        <charset val="136"/>
      </rPr>
      <t>Volume-Weighted
Average</t>
    </r>
    <phoneticPr fontId="6" type="noConversion"/>
  </si>
  <si>
    <t>債券
Bond</t>
    <phoneticPr fontId="8" type="noConversion"/>
  </si>
  <si>
    <t>銀行</t>
    <phoneticPr fontId="6" type="noConversion"/>
  </si>
  <si>
    <t>銀行</t>
    <phoneticPr fontId="6" type="noConversion"/>
  </si>
  <si>
    <t>證券</t>
    <phoneticPr fontId="6" type="noConversion"/>
  </si>
  <si>
    <t>證券</t>
    <phoneticPr fontId="6" type="noConversion"/>
  </si>
  <si>
    <t>B618BM</t>
  </si>
  <si>
    <t>B618BZ</t>
  </si>
  <si>
    <t>B618D7</t>
  </si>
  <si>
    <t>證券</t>
    <phoneticPr fontId="6" type="noConversion"/>
  </si>
  <si>
    <t>P09台積1A</t>
  </si>
  <si>
    <t>P09台積5A</t>
  </si>
  <si>
    <t>P11台積5B</t>
  </si>
  <si>
    <t>等殖</t>
    <phoneticPr fontId="6" type="noConversion"/>
  </si>
  <si>
    <t>處所</t>
    <phoneticPr fontId="6" type="noConversion"/>
  </si>
  <si>
    <t>日期 Date：112/08/08</t>
  </si>
  <si>
    <t>債券等殖成交系統買賣超統計日報表
Electronic Bond Trading System Net Position Daily Report (Statistics)</t>
    <phoneticPr fontId="8" type="noConversion"/>
  </si>
  <si>
    <t>存續
期間</t>
    <phoneticPr fontId="8" type="noConversion"/>
  </si>
  <si>
    <t>剩餘
年限</t>
    <phoneticPr fontId="8" type="noConversion"/>
  </si>
  <si>
    <r>
      <t>殖利率</t>
    </r>
    <r>
      <rPr>
        <sz val="10"/>
        <rFont val="Times New Roman"/>
        <family val="1"/>
      </rPr>
      <t>(%)
Yield</t>
    </r>
    <phoneticPr fontId="8" type="noConversion"/>
  </si>
  <si>
    <r>
      <t>總成交面額</t>
    </r>
    <r>
      <rPr>
        <sz val="10"/>
        <rFont val="Times New Roman"/>
        <family val="1"/>
      </rPr>
      <t>(</t>
    </r>
    <r>
      <rPr>
        <sz val="10"/>
        <rFont val="新細明體"/>
        <family val="1"/>
        <charset val="136"/>
      </rPr>
      <t>億</t>
    </r>
    <r>
      <rPr>
        <sz val="10"/>
        <rFont val="Times New Roman"/>
        <family val="1"/>
      </rPr>
      <t>)</t>
    </r>
    <phoneticPr fontId="6" type="noConversion"/>
  </si>
  <si>
    <t>總筆數</t>
    <phoneticPr fontId="6" type="noConversion"/>
  </si>
  <si>
    <r>
      <t>理論
殖利率</t>
    </r>
    <r>
      <rPr>
        <sz val="8"/>
        <rFont val="Times New Roman"/>
        <family val="1"/>
      </rPr>
      <t xml:space="preserve">
Theoretical 
Yield %</t>
    </r>
    <phoneticPr fontId="6" type="noConversion"/>
  </si>
  <si>
    <t>日期 Date：2023/08/08</t>
    <phoneticPr fontId="9" type="noConversion"/>
  </si>
  <si>
    <t>到期日</t>
    <phoneticPr fontId="6" type="noConversion"/>
  </si>
  <si>
    <t>票面</t>
    <phoneticPr fontId="6" type="noConversion"/>
  </si>
  <si>
    <r>
      <t xml:space="preserve">最高
</t>
    </r>
    <r>
      <rPr>
        <sz val="10"/>
        <rFont val="Times New Roman"/>
        <family val="1"/>
      </rPr>
      <t>Highest</t>
    </r>
    <phoneticPr fontId="6" type="noConversion"/>
  </si>
  <si>
    <r>
      <t xml:space="preserve">最低
</t>
    </r>
    <r>
      <rPr>
        <sz val="10"/>
        <rFont val="Times New Roman"/>
        <family val="1"/>
      </rPr>
      <t>Lowest</t>
    </r>
    <phoneticPr fontId="6" type="noConversion"/>
  </si>
  <si>
    <r>
      <t>平均</t>
    </r>
    <r>
      <rPr>
        <sz val="6"/>
        <rFont val="新細明體"/>
        <family val="1"/>
        <charset val="136"/>
      </rPr>
      <t xml:space="preserve">
</t>
    </r>
    <r>
      <rPr>
        <sz val="8"/>
        <rFont val="新細明體"/>
        <family val="1"/>
        <charset val="136"/>
      </rPr>
      <t>Volume-Weighted
Average</t>
    </r>
    <phoneticPr fontId="6" type="noConversion"/>
  </si>
  <si>
    <t>Volume
(NT$100 Mil.)</t>
    <phoneticPr fontId="6" type="noConversion"/>
  </si>
  <si>
    <t>債券
Bond</t>
    <phoneticPr fontId="8" type="noConversion"/>
  </si>
  <si>
    <r>
      <t>買超面額</t>
    </r>
    <r>
      <rPr>
        <sz val="10"/>
        <rFont val="Times New Roman"/>
        <family val="1"/>
      </rPr>
      <t>(</t>
    </r>
    <r>
      <rPr>
        <sz val="10"/>
        <rFont val="新細明體"/>
        <family val="1"/>
        <charset val="136"/>
      </rPr>
      <t>元</t>
    </r>
    <r>
      <rPr>
        <sz val="10"/>
        <rFont val="Times New Roman"/>
        <family val="1"/>
      </rPr>
      <t>)</t>
    </r>
    <phoneticPr fontId="8" type="noConversion"/>
  </si>
  <si>
    <t>銀行</t>
    <phoneticPr fontId="6" type="noConversion"/>
  </si>
  <si>
    <t>證券</t>
    <phoneticPr fontId="6" type="noConversion"/>
  </si>
  <si>
    <t>票券</t>
    <phoneticPr fontId="6" type="noConversion"/>
  </si>
  <si>
    <t>銀行</t>
    <phoneticPr fontId="6" type="noConversion"/>
  </si>
  <si>
    <t>證券</t>
    <phoneticPr fontId="6" type="noConversion"/>
  </si>
  <si>
    <t xml:space="preserve">  </t>
    <phoneticPr fontId="6" type="noConversion"/>
  </si>
  <si>
    <t>G13105</t>
  </si>
  <si>
    <t>04農金庫1</t>
  </si>
  <si>
    <t>等殖</t>
    <phoneticPr fontId="6" type="noConversion"/>
  </si>
  <si>
    <t>處所</t>
    <phoneticPr fontId="6" type="noConversion"/>
  </si>
  <si>
    <t>日期 Date：112/08/09</t>
  </si>
  <si>
    <t>債券等殖成交系統買賣超統計日報表
Electronic Bond Trading System Net Position Daily Report (Statistics)</t>
    <phoneticPr fontId="8" type="noConversion"/>
  </si>
  <si>
    <t>存續
期間</t>
    <phoneticPr fontId="8" type="noConversion"/>
  </si>
  <si>
    <t>剩餘
年限</t>
    <phoneticPr fontId="8" type="noConversion"/>
  </si>
  <si>
    <r>
      <t>殖利率</t>
    </r>
    <r>
      <rPr>
        <sz val="10"/>
        <rFont val="Times New Roman"/>
        <family val="1"/>
      </rPr>
      <t>(%)
Yield</t>
    </r>
    <phoneticPr fontId="8" type="noConversion"/>
  </si>
  <si>
    <r>
      <t>總成交面額</t>
    </r>
    <r>
      <rPr>
        <sz val="10"/>
        <rFont val="Times New Roman"/>
        <family val="1"/>
      </rPr>
      <t>(</t>
    </r>
    <r>
      <rPr>
        <sz val="10"/>
        <rFont val="新細明體"/>
        <family val="1"/>
        <charset val="136"/>
      </rPr>
      <t>億</t>
    </r>
    <r>
      <rPr>
        <sz val="10"/>
        <rFont val="Times New Roman"/>
        <family val="1"/>
      </rPr>
      <t>)</t>
    </r>
    <phoneticPr fontId="6" type="noConversion"/>
  </si>
  <si>
    <t>總筆數</t>
    <phoneticPr fontId="6" type="noConversion"/>
  </si>
  <si>
    <r>
      <t>總成交面額</t>
    </r>
    <r>
      <rPr>
        <sz val="10"/>
        <rFont val="Times New Roman"/>
        <family val="1"/>
      </rPr>
      <t>(</t>
    </r>
    <r>
      <rPr>
        <sz val="10"/>
        <rFont val="新細明體"/>
        <family val="1"/>
        <charset val="136"/>
      </rPr>
      <t>億</t>
    </r>
    <r>
      <rPr>
        <sz val="10"/>
        <rFont val="Times New Roman"/>
        <family val="1"/>
      </rPr>
      <t>)</t>
    </r>
    <phoneticPr fontId="6" type="noConversion"/>
  </si>
  <si>
    <r>
      <t>理論
殖利率</t>
    </r>
    <r>
      <rPr>
        <sz val="8"/>
        <rFont val="Times New Roman"/>
        <family val="1"/>
      </rPr>
      <t xml:space="preserve">
Theoretical 
Yield %</t>
    </r>
    <phoneticPr fontId="6" type="noConversion"/>
  </si>
  <si>
    <t>日期 Date：2023/08/09</t>
    <phoneticPr fontId="9" type="noConversion"/>
  </si>
  <si>
    <t>到期日</t>
    <phoneticPr fontId="6" type="noConversion"/>
  </si>
  <si>
    <t>票面</t>
    <phoneticPr fontId="6" type="noConversion"/>
  </si>
  <si>
    <r>
      <t xml:space="preserve">最高
</t>
    </r>
    <r>
      <rPr>
        <sz val="10"/>
        <rFont val="Times New Roman"/>
        <family val="1"/>
      </rPr>
      <t>Highest</t>
    </r>
    <phoneticPr fontId="6" type="noConversion"/>
  </si>
  <si>
    <r>
      <t xml:space="preserve">最低
</t>
    </r>
    <r>
      <rPr>
        <sz val="10"/>
        <rFont val="Times New Roman"/>
        <family val="1"/>
      </rPr>
      <t>Lowest</t>
    </r>
    <phoneticPr fontId="6" type="noConversion"/>
  </si>
  <si>
    <r>
      <t>平均</t>
    </r>
    <r>
      <rPr>
        <sz val="6"/>
        <rFont val="新細明體"/>
        <family val="1"/>
        <charset val="136"/>
      </rPr>
      <t xml:space="preserve">
</t>
    </r>
    <r>
      <rPr>
        <sz val="8"/>
        <rFont val="新細明體"/>
        <family val="1"/>
        <charset val="136"/>
      </rPr>
      <t>Volume-Weighted
Average</t>
    </r>
    <phoneticPr fontId="6" type="noConversion"/>
  </si>
  <si>
    <t>Volume
(NT$100 Mil.)</t>
    <phoneticPr fontId="6" type="noConversion"/>
  </si>
  <si>
    <t>Volume
(NT$100 Mil.)</t>
    <phoneticPr fontId="6" type="noConversion"/>
  </si>
  <si>
    <t>債券
Bond</t>
    <phoneticPr fontId="8" type="noConversion"/>
  </si>
  <si>
    <r>
      <t>買超面額</t>
    </r>
    <r>
      <rPr>
        <sz val="10"/>
        <rFont val="Times New Roman"/>
        <family val="1"/>
      </rPr>
      <t>(</t>
    </r>
    <r>
      <rPr>
        <sz val="10"/>
        <rFont val="新細明體"/>
        <family val="1"/>
        <charset val="136"/>
      </rPr>
      <t>元</t>
    </r>
    <r>
      <rPr>
        <sz val="10"/>
        <rFont val="Times New Roman"/>
        <family val="1"/>
      </rPr>
      <t>)</t>
    </r>
    <phoneticPr fontId="8" type="noConversion"/>
  </si>
  <si>
    <t>銀行</t>
    <phoneticPr fontId="6" type="noConversion"/>
  </si>
  <si>
    <t>證券</t>
    <phoneticPr fontId="6" type="noConversion"/>
  </si>
  <si>
    <t>銀行</t>
    <phoneticPr fontId="6" type="noConversion"/>
  </si>
  <si>
    <t xml:space="preserve">  </t>
    <phoneticPr fontId="6" type="noConversion"/>
  </si>
  <si>
    <t>等殖</t>
    <phoneticPr fontId="6" type="noConversion"/>
  </si>
  <si>
    <t>處所</t>
    <phoneticPr fontId="6" type="noConversion"/>
  </si>
  <si>
    <t>日期 Date：112/08/10</t>
  </si>
  <si>
    <t>債券等殖成交系統買賣超統計日報表
Electronic Bond Trading System Net Position Daily Report (Statistics)</t>
    <phoneticPr fontId="8" type="noConversion"/>
  </si>
  <si>
    <t>剩餘
年限</t>
    <phoneticPr fontId="8" type="noConversion"/>
  </si>
  <si>
    <r>
      <t>殖利率</t>
    </r>
    <r>
      <rPr>
        <sz val="10"/>
        <rFont val="Times New Roman"/>
        <family val="1"/>
      </rPr>
      <t>(%)
Yield</t>
    </r>
    <phoneticPr fontId="8" type="noConversion"/>
  </si>
  <si>
    <t>總筆數</t>
    <phoneticPr fontId="6" type="noConversion"/>
  </si>
  <si>
    <t>日期 Date：2023/08/10</t>
    <phoneticPr fontId="9" type="noConversion"/>
  </si>
  <si>
    <t>票面</t>
    <phoneticPr fontId="6" type="noConversion"/>
  </si>
  <si>
    <r>
      <t xml:space="preserve">最高
</t>
    </r>
    <r>
      <rPr>
        <sz val="10"/>
        <rFont val="Times New Roman"/>
        <family val="1"/>
      </rPr>
      <t>Highest</t>
    </r>
    <phoneticPr fontId="6" type="noConversion"/>
  </si>
  <si>
    <r>
      <t xml:space="preserve">最高
</t>
    </r>
    <r>
      <rPr>
        <sz val="10"/>
        <rFont val="Times New Roman"/>
        <family val="1"/>
      </rPr>
      <t>Highest</t>
    </r>
    <phoneticPr fontId="6" type="noConversion"/>
  </si>
  <si>
    <r>
      <t xml:space="preserve">最低
</t>
    </r>
    <r>
      <rPr>
        <sz val="10"/>
        <rFont val="Times New Roman"/>
        <family val="1"/>
      </rPr>
      <t>Lowest</t>
    </r>
    <phoneticPr fontId="6" type="noConversion"/>
  </si>
  <si>
    <r>
      <t>平均</t>
    </r>
    <r>
      <rPr>
        <sz val="6"/>
        <rFont val="新細明體"/>
        <family val="1"/>
        <charset val="136"/>
      </rPr>
      <t xml:space="preserve">
</t>
    </r>
    <r>
      <rPr>
        <sz val="8"/>
        <rFont val="新細明體"/>
        <family val="1"/>
        <charset val="136"/>
      </rPr>
      <t>Volume-Weighted
Average</t>
    </r>
    <phoneticPr fontId="6" type="noConversion"/>
  </si>
  <si>
    <t>Volume
(NT$100 Mil.)</t>
    <phoneticPr fontId="6" type="noConversion"/>
  </si>
  <si>
    <r>
      <t>買超面額</t>
    </r>
    <r>
      <rPr>
        <sz val="10"/>
        <rFont val="Times New Roman"/>
        <family val="1"/>
      </rPr>
      <t>(</t>
    </r>
    <r>
      <rPr>
        <sz val="10"/>
        <rFont val="新細明體"/>
        <family val="1"/>
        <charset val="136"/>
      </rPr>
      <t>元</t>
    </r>
    <r>
      <rPr>
        <sz val="10"/>
        <rFont val="Times New Roman"/>
        <family val="1"/>
      </rPr>
      <t>)</t>
    </r>
    <phoneticPr fontId="8" type="noConversion"/>
  </si>
  <si>
    <t>證券</t>
    <phoneticPr fontId="6" type="noConversion"/>
  </si>
  <si>
    <t>銀行</t>
    <phoneticPr fontId="6" type="noConversion"/>
  </si>
  <si>
    <t>銀行</t>
    <phoneticPr fontId="6" type="noConversion"/>
  </si>
  <si>
    <t>B801AQ</t>
  </si>
  <si>
    <t>P12中鋼1A</t>
  </si>
  <si>
    <t>B50166</t>
  </si>
  <si>
    <t>P09遠東新5</t>
  </si>
  <si>
    <t>B618DK</t>
  </si>
  <si>
    <t>P12台積3A</t>
  </si>
  <si>
    <t>B97920</t>
  </si>
  <si>
    <t>P10正新1</t>
  </si>
  <si>
    <t>等殖</t>
    <phoneticPr fontId="6" type="noConversion"/>
  </si>
  <si>
    <t>處所</t>
    <phoneticPr fontId="6" type="noConversion"/>
  </si>
  <si>
    <t>日期 Date：112/08/11</t>
  </si>
  <si>
    <t>債券等殖成交系統買賣超統計日報表
Electronic Bond Trading System Net Position Daily Report (Statistics)</t>
    <phoneticPr fontId="8" type="noConversion"/>
  </si>
  <si>
    <t>存續
期間</t>
    <phoneticPr fontId="8" type="noConversion"/>
  </si>
  <si>
    <t>剩餘
年限</t>
    <phoneticPr fontId="8" type="noConversion"/>
  </si>
  <si>
    <r>
      <t>殖利率</t>
    </r>
    <r>
      <rPr>
        <sz val="10"/>
        <rFont val="Times New Roman"/>
        <family val="1"/>
      </rPr>
      <t>(%)
Yield</t>
    </r>
    <phoneticPr fontId="8" type="noConversion"/>
  </si>
  <si>
    <r>
      <t>總成交面額</t>
    </r>
    <r>
      <rPr>
        <sz val="10"/>
        <rFont val="Times New Roman"/>
        <family val="1"/>
      </rPr>
      <t>(</t>
    </r>
    <r>
      <rPr>
        <sz val="10"/>
        <rFont val="新細明體"/>
        <family val="1"/>
        <charset val="136"/>
      </rPr>
      <t>億</t>
    </r>
    <r>
      <rPr>
        <sz val="10"/>
        <rFont val="Times New Roman"/>
        <family val="1"/>
      </rPr>
      <t>)</t>
    </r>
    <phoneticPr fontId="6" type="noConversion"/>
  </si>
  <si>
    <t>總筆數</t>
    <phoneticPr fontId="6" type="noConversion"/>
  </si>
  <si>
    <r>
      <t>理論
殖利率</t>
    </r>
    <r>
      <rPr>
        <sz val="8"/>
        <rFont val="Times New Roman"/>
        <family val="1"/>
      </rPr>
      <t xml:space="preserve">
Theoretical 
Yield %</t>
    </r>
    <phoneticPr fontId="6" type="noConversion"/>
  </si>
  <si>
    <t>日期 Date：2023/08/11</t>
    <phoneticPr fontId="9" type="noConversion"/>
  </si>
  <si>
    <t>到期日</t>
    <phoneticPr fontId="6" type="noConversion"/>
  </si>
  <si>
    <t>票面</t>
    <phoneticPr fontId="6" type="noConversion"/>
  </si>
  <si>
    <r>
      <t xml:space="preserve">最高
</t>
    </r>
    <r>
      <rPr>
        <sz val="10"/>
        <rFont val="Times New Roman"/>
        <family val="1"/>
      </rPr>
      <t>Highest</t>
    </r>
    <phoneticPr fontId="6" type="noConversion"/>
  </si>
  <si>
    <r>
      <t xml:space="preserve">最低
</t>
    </r>
    <r>
      <rPr>
        <sz val="10"/>
        <rFont val="Times New Roman"/>
        <family val="1"/>
      </rPr>
      <t>Lowest</t>
    </r>
    <phoneticPr fontId="6" type="noConversion"/>
  </si>
  <si>
    <r>
      <t>平均</t>
    </r>
    <r>
      <rPr>
        <sz val="6"/>
        <rFont val="新細明體"/>
        <family val="1"/>
        <charset val="136"/>
      </rPr>
      <t xml:space="preserve">
</t>
    </r>
    <r>
      <rPr>
        <sz val="8"/>
        <rFont val="新細明體"/>
        <family val="1"/>
        <charset val="136"/>
      </rPr>
      <t>Volume-Weighted
Average</t>
    </r>
    <phoneticPr fontId="6" type="noConversion"/>
  </si>
  <si>
    <t>Volume
(NT$100 Mil.)</t>
    <phoneticPr fontId="6" type="noConversion"/>
  </si>
  <si>
    <t>債券
Bond</t>
    <phoneticPr fontId="8" type="noConversion"/>
  </si>
  <si>
    <r>
      <t>買超面額</t>
    </r>
    <r>
      <rPr>
        <sz val="10"/>
        <rFont val="Times New Roman"/>
        <family val="1"/>
      </rPr>
      <t>(</t>
    </r>
    <r>
      <rPr>
        <sz val="10"/>
        <rFont val="新細明體"/>
        <family val="1"/>
        <charset val="136"/>
      </rPr>
      <t>元</t>
    </r>
    <r>
      <rPr>
        <sz val="10"/>
        <rFont val="Times New Roman"/>
        <family val="1"/>
      </rPr>
      <t>)</t>
    </r>
    <phoneticPr fontId="8" type="noConversion"/>
  </si>
  <si>
    <t>銀行</t>
    <phoneticPr fontId="6" type="noConversion"/>
  </si>
  <si>
    <t>證券</t>
    <phoneticPr fontId="6" type="noConversion"/>
  </si>
  <si>
    <t>銀行</t>
    <phoneticPr fontId="6" type="noConversion"/>
  </si>
  <si>
    <t>證券</t>
    <phoneticPr fontId="6" type="noConversion"/>
  </si>
  <si>
    <t>G12810</t>
  </si>
  <si>
    <t>票券</t>
    <phoneticPr fontId="6" type="noConversion"/>
  </si>
  <si>
    <t>G107BD</t>
  </si>
  <si>
    <t>03北富銀2</t>
  </si>
  <si>
    <t>P09凱基銀2</t>
  </si>
  <si>
    <t>等殖</t>
    <phoneticPr fontId="6" type="noConversion"/>
  </si>
  <si>
    <t>處所</t>
    <phoneticPr fontId="6" type="noConversion"/>
  </si>
  <si>
    <t>日期 Date：112/08/16</t>
  </si>
  <si>
    <t>債券等殖成交系統買賣超統計日報表
Electronic Bond Trading System Net Position Daily Report (Statistics)</t>
    <phoneticPr fontId="8" type="noConversion"/>
  </si>
  <si>
    <t>存續
期間</t>
    <phoneticPr fontId="8" type="noConversion"/>
  </si>
  <si>
    <t>剩餘
年限</t>
    <phoneticPr fontId="8" type="noConversion"/>
  </si>
  <si>
    <r>
      <t>殖利率</t>
    </r>
    <r>
      <rPr>
        <sz val="10"/>
        <rFont val="Times New Roman"/>
        <family val="1"/>
      </rPr>
      <t>(%)
Yield</t>
    </r>
    <phoneticPr fontId="8" type="noConversion"/>
  </si>
  <si>
    <r>
      <t>總成交面額</t>
    </r>
    <r>
      <rPr>
        <sz val="10"/>
        <rFont val="Times New Roman"/>
        <family val="1"/>
      </rPr>
      <t>(</t>
    </r>
    <r>
      <rPr>
        <sz val="10"/>
        <rFont val="新細明體"/>
        <family val="1"/>
        <charset val="136"/>
      </rPr>
      <t>億</t>
    </r>
    <r>
      <rPr>
        <sz val="10"/>
        <rFont val="Times New Roman"/>
        <family val="1"/>
      </rPr>
      <t>)</t>
    </r>
    <phoneticPr fontId="6" type="noConversion"/>
  </si>
  <si>
    <t>總筆數</t>
    <phoneticPr fontId="6" type="noConversion"/>
  </si>
  <si>
    <r>
      <t>理論
殖利率</t>
    </r>
    <r>
      <rPr>
        <sz val="8"/>
        <rFont val="Times New Roman"/>
        <family val="1"/>
      </rPr>
      <t xml:space="preserve">
Theoretical 
Yield %</t>
    </r>
    <phoneticPr fontId="6" type="noConversion"/>
  </si>
  <si>
    <t>日期 Date：2023/08/16</t>
    <phoneticPr fontId="9" type="noConversion"/>
  </si>
  <si>
    <t>到期日</t>
    <phoneticPr fontId="6" type="noConversion"/>
  </si>
  <si>
    <t>票面</t>
    <phoneticPr fontId="6" type="noConversion"/>
  </si>
  <si>
    <r>
      <t xml:space="preserve">最高
</t>
    </r>
    <r>
      <rPr>
        <sz val="10"/>
        <rFont val="Times New Roman"/>
        <family val="1"/>
      </rPr>
      <t>Highest</t>
    </r>
    <phoneticPr fontId="6" type="noConversion"/>
  </si>
  <si>
    <r>
      <t xml:space="preserve">最低
</t>
    </r>
    <r>
      <rPr>
        <sz val="10"/>
        <rFont val="Times New Roman"/>
        <family val="1"/>
      </rPr>
      <t>Lowest</t>
    </r>
    <phoneticPr fontId="6" type="noConversion"/>
  </si>
  <si>
    <r>
      <t>平均</t>
    </r>
    <r>
      <rPr>
        <sz val="6"/>
        <rFont val="新細明體"/>
        <family val="1"/>
        <charset val="136"/>
      </rPr>
      <t xml:space="preserve">
</t>
    </r>
    <r>
      <rPr>
        <sz val="8"/>
        <rFont val="新細明體"/>
        <family val="1"/>
        <charset val="136"/>
      </rPr>
      <t>Volume-Weighted
Average</t>
    </r>
    <phoneticPr fontId="6" type="noConversion"/>
  </si>
  <si>
    <t>Volume
(NT$100 Mil.)</t>
    <phoneticPr fontId="6" type="noConversion"/>
  </si>
  <si>
    <r>
      <t xml:space="preserve">最低
</t>
    </r>
    <r>
      <rPr>
        <sz val="10"/>
        <rFont val="Times New Roman"/>
        <family val="1"/>
      </rPr>
      <t>Lowest</t>
    </r>
    <phoneticPr fontId="6" type="noConversion"/>
  </si>
  <si>
    <t>債券
Bond</t>
    <phoneticPr fontId="8" type="noConversion"/>
  </si>
  <si>
    <r>
      <t>買超面額</t>
    </r>
    <r>
      <rPr>
        <sz val="10"/>
        <rFont val="Times New Roman"/>
        <family val="1"/>
      </rPr>
      <t>(</t>
    </r>
    <r>
      <rPr>
        <sz val="10"/>
        <rFont val="新細明體"/>
        <family val="1"/>
        <charset val="136"/>
      </rPr>
      <t>元</t>
    </r>
    <r>
      <rPr>
        <sz val="10"/>
        <rFont val="Times New Roman"/>
        <family val="1"/>
      </rPr>
      <t>)</t>
    </r>
    <phoneticPr fontId="8" type="noConversion"/>
  </si>
  <si>
    <t>銀行</t>
    <phoneticPr fontId="6" type="noConversion"/>
  </si>
  <si>
    <t>票券</t>
    <phoneticPr fontId="6" type="noConversion"/>
  </si>
  <si>
    <t>證券</t>
    <phoneticPr fontId="6" type="noConversion"/>
  </si>
  <si>
    <t>B618DN</t>
  </si>
  <si>
    <t>B618DP</t>
  </si>
  <si>
    <t>B618DQ</t>
  </si>
  <si>
    <t>證券</t>
    <phoneticPr fontId="6" type="noConversion"/>
  </si>
  <si>
    <t>B85408</t>
  </si>
  <si>
    <t>B97848</t>
  </si>
  <si>
    <t>P12台積4B</t>
  </si>
  <si>
    <t>P07中龍2</t>
  </si>
  <si>
    <t>P12台積4A</t>
  </si>
  <si>
    <t>P12台積4C</t>
  </si>
  <si>
    <t>B903Z6</t>
  </si>
  <si>
    <t>P12台電4B</t>
  </si>
  <si>
    <t>B903Z7</t>
  </si>
  <si>
    <t>P12台電4C</t>
  </si>
  <si>
    <t>B903Z8</t>
  </si>
  <si>
    <t>P12台電4D</t>
  </si>
  <si>
    <t>B95027</t>
  </si>
  <si>
    <t>P09華控1</t>
  </si>
  <si>
    <t>P09富邦金1</t>
  </si>
  <si>
    <t>等殖</t>
    <phoneticPr fontId="6" type="noConversion"/>
  </si>
  <si>
    <t>處所</t>
    <phoneticPr fontId="6" type="noConversion"/>
  </si>
  <si>
    <t>日期 Date：112/08/17</t>
  </si>
  <si>
    <t>債券等殖成交系統買賣超統計日報表
Electronic Bond Trading System Net Position Daily Report (Statistics)</t>
    <phoneticPr fontId="8" type="noConversion"/>
  </si>
  <si>
    <t>存續
期間</t>
    <phoneticPr fontId="8" type="noConversion"/>
  </si>
  <si>
    <t>剩餘
年限</t>
    <phoneticPr fontId="8" type="noConversion"/>
  </si>
  <si>
    <r>
      <t>殖利率</t>
    </r>
    <r>
      <rPr>
        <sz val="10"/>
        <rFont val="Times New Roman"/>
        <family val="1"/>
      </rPr>
      <t>(%)
Yield</t>
    </r>
    <phoneticPr fontId="8" type="noConversion"/>
  </si>
  <si>
    <r>
      <t>總成交面額</t>
    </r>
    <r>
      <rPr>
        <sz val="10"/>
        <rFont val="Times New Roman"/>
        <family val="1"/>
      </rPr>
      <t>(</t>
    </r>
    <r>
      <rPr>
        <sz val="10"/>
        <rFont val="新細明體"/>
        <family val="1"/>
        <charset val="136"/>
      </rPr>
      <t>億</t>
    </r>
    <r>
      <rPr>
        <sz val="10"/>
        <rFont val="Times New Roman"/>
        <family val="1"/>
      </rPr>
      <t>)</t>
    </r>
    <phoneticPr fontId="6" type="noConversion"/>
  </si>
  <si>
    <t>總筆數</t>
    <phoneticPr fontId="6" type="noConversion"/>
  </si>
  <si>
    <r>
      <t>理論
殖利率</t>
    </r>
    <r>
      <rPr>
        <sz val="8"/>
        <rFont val="Times New Roman"/>
        <family val="1"/>
      </rPr>
      <t xml:space="preserve">
Theoretical 
Yield %</t>
    </r>
    <phoneticPr fontId="6" type="noConversion"/>
  </si>
  <si>
    <t>日期 Date：2023/08/17</t>
    <phoneticPr fontId="9" type="noConversion"/>
  </si>
  <si>
    <t>到期日</t>
    <phoneticPr fontId="6" type="noConversion"/>
  </si>
  <si>
    <t>票面</t>
    <phoneticPr fontId="6" type="noConversion"/>
  </si>
  <si>
    <r>
      <t xml:space="preserve">最高
</t>
    </r>
    <r>
      <rPr>
        <sz val="10"/>
        <rFont val="Times New Roman"/>
        <family val="1"/>
      </rPr>
      <t>Highest</t>
    </r>
    <phoneticPr fontId="6" type="noConversion"/>
  </si>
  <si>
    <r>
      <t xml:space="preserve">最低
</t>
    </r>
    <r>
      <rPr>
        <sz val="10"/>
        <rFont val="Times New Roman"/>
        <family val="1"/>
      </rPr>
      <t>Lowest</t>
    </r>
    <phoneticPr fontId="6" type="noConversion"/>
  </si>
  <si>
    <r>
      <t>平均</t>
    </r>
    <r>
      <rPr>
        <sz val="6"/>
        <rFont val="新細明體"/>
        <family val="1"/>
        <charset val="136"/>
      </rPr>
      <t xml:space="preserve">
</t>
    </r>
    <r>
      <rPr>
        <sz val="8"/>
        <rFont val="新細明體"/>
        <family val="1"/>
        <charset val="136"/>
      </rPr>
      <t>Volume-Weighted
Average</t>
    </r>
    <phoneticPr fontId="6" type="noConversion"/>
  </si>
  <si>
    <t>Volume
(NT$100 Mil.)</t>
    <phoneticPr fontId="6" type="noConversion"/>
  </si>
  <si>
    <t>債券
Bond</t>
    <phoneticPr fontId="8" type="noConversion"/>
  </si>
  <si>
    <r>
      <t>買超面額</t>
    </r>
    <r>
      <rPr>
        <sz val="10"/>
        <rFont val="Times New Roman"/>
        <family val="1"/>
      </rPr>
      <t>(</t>
    </r>
    <r>
      <rPr>
        <sz val="10"/>
        <rFont val="新細明體"/>
        <family val="1"/>
        <charset val="136"/>
      </rPr>
      <t>元</t>
    </r>
    <r>
      <rPr>
        <sz val="10"/>
        <rFont val="Times New Roman"/>
        <family val="1"/>
      </rPr>
      <t>)</t>
    </r>
    <phoneticPr fontId="8" type="noConversion"/>
  </si>
  <si>
    <t>銀行</t>
    <phoneticPr fontId="6" type="noConversion"/>
  </si>
  <si>
    <t>證券</t>
    <phoneticPr fontId="6" type="noConversion"/>
  </si>
  <si>
    <t>銀行</t>
    <phoneticPr fontId="6" type="noConversion"/>
  </si>
  <si>
    <t>證券</t>
    <phoneticPr fontId="6" type="noConversion"/>
  </si>
  <si>
    <t>B97868</t>
  </si>
  <si>
    <t>P12富邦金2</t>
  </si>
  <si>
    <t>B903YK</t>
  </si>
  <si>
    <t>P11台電5C</t>
  </si>
  <si>
    <t>B9AD05</t>
  </si>
  <si>
    <t>P10合庫金2</t>
  </si>
  <si>
    <t>等殖</t>
    <phoneticPr fontId="6" type="noConversion"/>
  </si>
  <si>
    <t>處所</t>
    <phoneticPr fontId="6" type="noConversion"/>
  </si>
  <si>
    <t>日期 Date：112/08/18</t>
  </si>
  <si>
    <t>債券等殖成交系統買賣超統計日報表
Electronic Bond Trading System Net Position Daily Report (Statistics)</t>
    <phoneticPr fontId="8" type="noConversion"/>
  </si>
  <si>
    <t>存續
期間</t>
    <phoneticPr fontId="8" type="noConversion"/>
  </si>
  <si>
    <t>剩餘
年限</t>
    <phoneticPr fontId="8" type="noConversion"/>
  </si>
  <si>
    <r>
      <t>殖利率</t>
    </r>
    <r>
      <rPr>
        <sz val="10"/>
        <rFont val="Times New Roman"/>
        <family val="1"/>
      </rPr>
      <t>(%)
Yield</t>
    </r>
    <phoneticPr fontId="8" type="noConversion"/>
  </si>
  <si>
    <r>
      <t>總成交面額</t>
    </r>
    <r>
      <rPr>
        <sz val="10"/>
        <rFont val="Times New Roman"/>
        <family val="1"/>
      </rPr>
      <t>(</t>
    </r>
    <r>
      <rPr>
        <sz val="10"/>
        <rFont val="新細明體"/>
        <family val="1"/>
        <charset val="136"/>
      </rPr>
      <t>億</t>
    </r>
    <r>
      <rPr>
        <sz val="10"/>
        <rFont val="Times New Roman"/>
        <family val="1"/>
      </rPr>
      <t>)</t>
    </r>
    <phoneticPr fontId="6" type="noConversion"/>
  </si>
  <si>
    <r>
      <t>殖利率</t>
    </r>
    <r>
      <rPr>
        <sz val="10"/>
        <rFont val="Times New Roman"/>
        <family val="1"/>
      </rPr>
      <t>(%)
Yield</t>
    </r>
    <phoneticPr fontId="8" type="noConversion"/>
  </si>
  <si>
    <t>總筆數</t>
    <phoneticPr fontId="6" type="noConversion"/>
  </si>
  <si>
    <r>
      <t>總成交面額</t>
    </r>
    <r>
      <rPr>
        <sz val="10"/>
        <rFont val="Times New Roman"/>
        <family val="1"/>
      </rPr>
      <t>(</t>
    </r>
    <r>
      <rPr>
        <sz val="10"/>
        <rFont val="新細明體"/>
        <family val="1"/>
        <charset val="136"/>
      </rPr>
      <t>億</t>
    </r>
    <r>
      <rPr>
        <sz val="10"/>
        <rFont val="Times New Roman"/>
        <family val="1"/>
      </rPr>
      <t>)</t>
    </r>
    <phoneticPr fontId="6" type="noConversion"/>
  </si>
  <si>
    <r>
      <t>理論
殖利率</t>
    </r>
    <r>
      <rPr>
        <sz val="8"/>
        <rFont val="Times New Roman"/>
        <family val="1"/>
      </rPr>
      <t xml:space="preserve">
Theoretical 
Yield %</t>
    </r>
    <phoneticPr fontId="6" type="noConversion"/>
  </si>
  <si>
    <t>日期 Date：2023/08/18</t>
    <phoneticPr fontId="9" type="noConversion"/>
  </si>
  <si>
    <t>到期日</t>
    <phoneticPr fontId="6" type="noConversion"/>
  </si>
  <si>
    <r>
      <t xml:space="preserve">最低
</t>
    </r>
    <r>
      <rPr>
        <sz val="10"/>
        <rFont val="Times New Roman"/>
        <family val="1"/>
      </rPr>
      <t>Lowest</t>
    </r>
    <phoneticPr fontId="6" type="noConversion"/>
  </si>
  <si>
    <r>
      <t>平均</t>
    </r>
    <r>
      <rPr>
        <sz val="6"/>
        <rFont val="新細明體"/>
        <family val="1"/>
        <charset val="136"/>
      </rPr>
      <t xml:space="preserve">
</t>
    </r>
    <r>
      <rPr>
        <sz val="8"/>
        <rFont val="新細明體"/>
        <family val="1"/>
        <charset val="136"/>
      </rPr>
      <t>Volume-Weighted
Average</t>
    </r>
    <phoneticPr fontId="6" type="noConversion"/>
  </si>
  <si>
    <r>
      <t xml:space="preserve">最低
</t>
    </r>
    <r>
      <rPr>
        <sz val="10"/>
        <rFont val="Times New Roman"/>
        <family val="1"/>
      </rPr>
      <t>Lowest</t>
    </r>
    <phoneticPr fontId="6" type="noConversion"/>
  </si>
  <si>
    <t>Volume
(NT$100 Mil.)</t>
    <phoneticPr fontId="6" type="noConversion"/>
  </si>
  <si>
    <r>
      <t>買超面額</t>
    </r>
    <r>
      <rPr>
        <sz val="10"/>
        <rFont val="Times New Roman"/>
        <family val="1"/>
      </rPr>
      <t>(</t>
    </r>
    <r>
      <rPr>
        <sz val="10"/>
        <rFont val="新細明體"/>
        <family val="1"/>
        <charset val="136"/>
      </rPr>
      <t>元</t>
    </r>
    <r>
      <rPr>
        <sz val="10"/>
        <rFont val="Times New Roman"/>
        <family val="1"/>
      </rPr>
      <t>)</t>
    </r>
    <phoneticPr fontId="8" type="noConversion"/>
  </si>
  <si>
    <t>銀行</t>
    <phoneticPr fontId="6" type="noConversion"/>
  </si>
  <si>
    <t>證券</t>
    <phoneticPr fontId="6" type="noConversion"/>
  </si>
  <si>
    <t>銀行</t>
    <phoneticPr fontId="6" type="noConversion"/>
  </si>
  <si>
    <t>銀行</t>
    <phoneticPr fontId="6" type="noConversion"/>
  </si>
  <si>
    <t>票券</t>
    <phoneticPr fontId="6" type="noConversion"/>
  </si>
  <si>
    <t>銀行</t>
    <phoneticPr fontId="6" type="noConversion"/>
  </si>
  <si>
    <t>證券</t>
    <phoneticPr fontId="6" type="noConversion"/>
  </si>
  <si>
    <t>B618DC</t>
  </si>
  <si>
    <t>證券</t>
    <phoneticPr fontId="6" type="noConversion"/>
  </si>
  <si>
    <t>B85410</t>
  </si>
  <si>
    <t>G107BT</t>
  </si>
  <si>
    <t>P11台積6C</t>
  </si>
  <si>
    <t>P12中龍1</t>
  </si>
  <si>
    <t>P08北富銀5</t>
  </si>
  <si>
    <t>B718A6</t>
  </si>
  <si>
    <t>P11中油2C</t>
  </si>
  <si>
    <t>B903YG</t>
  </si>
  <si>
    <t>P11台電4D</t>
  </si>
  <si>
    <t>B95458</t>
  </si>
  <si>
    <t>P09中控2B</t>
  </si>
  <si>
    <t>B98913</t>
  </si>
  <si>
    <t>P12國泰金1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</si>
</sst>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2">
    <numFmt numFmtId="43" formatCode="_-* #,##0.00_-;\-* #,##0.00_-;_-* &quot;-&quot;??_-;_-@_-"/>
    <numFmt numFmtId="176" formatCode="m/d;@"/>
    <numFmt numFmtId="177" formatCode="_-[$€-2]* #,##0.00_-;\-[$€-2]* #,##0.00_-;_-[$€-2]* &quot;-&quot;??_-"/>
    <numFmt numFmtId="178" formatCode="0.000"/>
    <numFmt numFmtId="179" formatCode="0.00_ "/>
    <numFmt numFmtId="180" formatCode="0.0000_ "/>
    <numFmt numFmtId="181" formatCode="#,##0.000"/>
    <numFmt numFmtId="182" formatCode="#0.00;;\-"/>
    <numFmt numFmtId="183" formatCode="#0.00"/>
    <numFmt numFmtId="184" formatCode="#,##0_ "/>
    <numFmt numFmtId="185" formatCode="#,##0_ ;[Red]\-#,##0\ "/>
    <numFmt numFmtId="186" formatCode="#,##0.000_ ;[Red]\-#,##0.000\ "/>
  </numFmts>
  <fonts count="19" x14ac:knownFonts="1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2"/>
      <name val="新細明體"/>
      <family val="1"/>
      <charset val="136"/>
    </font>
    <font>
      <sz val="12"/>
      <color indexed="8"/>
      <name val="細明體"/>
      <family val="3"/>
      <charset val="136"/>
    </font>
    <font>
      <sz val="12"/>
      <color theme="1"/>
      <name val="新細明體"/>
      <family val="1"/>
      <charset val="136"/>
      <scheme val="minor"/>
    </font>
    <font>
      <u/>
      <sz val="12"/>
      <color indexed="12"/>
      <name val="新細明體"/>
      <family val="1"/>
      <charset val="136"/>
    </font>
    <font>
      <sz val="9"/>
      <name val="新細明體"/>
      <family val="1"/>
      <charset val="136"/>
    </font>
    <font>
      <b/>
      <sz val="12"/>
      <color rgb="FF0000FF"/>
      <name val="新細明體"/>
      <family val="1"/>
      <charset val="136"/>
    </font>
    <font>
      <sz val="9"/>
      <name val="細明體"/>
      <family val="3"/>
      <charset val="136"/>
    </font>
    <font>
      <sz val="10"/>
      <name val="新細明體"/>
      <family val="1"/>
      <charset val="136"/>
    </font>
    <font>
      <sz val="10"/>
      <name val="Times New Roman"/>
      <family val="1"/>
    </font>
    <font>
      <sz val="8"/>
      <name val="細明體"/>
      <family val="3"/>
      <charset val="136"/>
    </font>
    <font>
      <sz val="8"/>
      <name val="Times New Roman"/>
      <family val="1"/>
    </font>
    <font>
      <sz val="6"/>
      <name val="新細明體"/>
      <family val="1"/>
      <charset val="136"/>
    </font>
    <font>
      <sz val="8"/>
      <name val="新細明體"/>
      <family val="1"/>
      <charset val="136"/>
    </font>
    <font>
      <sz val="12"/>
      <name val="細明體"/>
      <family val="3"/>
      <charset val="136"/>
    </font>
    <font>
      <sz val="10"/>
      <color theme="1"/>
      <name val="新細明體"/>
      <family val="1"/>
      <charset val="136"/>
      <scheme val="minor"/>
    </font>
    <font>
      <sz val="10"/>
      <name val="細明體"/>
      <family val="3"/>
      <charset val="136"/>
    </font>
    <font>
      <sz val="12"/>
      <color rgb="FF000000"/>
      <name val="新細明體"/>
      <family val="1"/>
      <charset val="136"/>
    </font>
  </fonts>
  <fills count="3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</borders>
  <cellStyleXfs count="18">
    <xf numFmtId="0" fontId="0" fillId="0" borderId="0">
      <alignment vertical="center"/>
    </xf>
    <xf numFmtId="0" fontId="2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177" fontId="2" fillId="0" borderId="0" applyFont="0" applyFill="0" applyBorder="0" applyAlignment="0" applyProtection="0">
      <alignment vertical="center"/>
    </xf>
    <xf numFmtId="0" fontId="4" fillId="0" borderId="0">
      <alignment vertical="center"/>
    </xf>
    <xf numFmtId="177" fontId="4" fillId="0" borderId="0">
      <alignment vertical="center"/>
    </xf>
    <xf numFmtId="9" fontId="2" fillId="0" borderId="0" applyFont="0" applyFill="0" applyBorder="0" applyAlignment="0" applyProtection="0"/>
    <xf numFmtId="177" fontId="5" fillId="0" borderId="0" applyNumberFormat="0" applyFill="0" applyBorder="0" applyAlignment="0" applyProtection="0">
      <alignment vertical="top"/>
      <protection locked="0"/>
    </xf>
    <xf numFmtId="0" fontId="2" fillId="0" borderId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</cellStyleXfs>
  <cellXfs count="109">
    <xf numFmtId="0" fontId="0" fillId="0" borderId="0" xfId="0">
      <alignment vertical="center"/>
    </xf>
    <xf numFmtId="176" fontId="0" fillId="0" borderId="0" xfId="0" applyNumberFormat="1">
      <alignment vertical="center"/>
    </xf>
    <xf numFmtId="0" fontId="0" fillId="0" borderId="0" xfId="0">
      <alignment vertical="center"/>
    </xf>
    <xf numFmtId="49" fontId="3" fillId="0" borderId="0" xfId="1" applyNumberFormat="1" applyFont="1" applyBorder="1" applyAlignment="1">
      <alignment horizontal="center" vertical="center"/>
    </xf>
    <xf numFmtId="0" fontId="4" fillId="0" borderId="0" xfId="0" applyFont="1">
      <alignment vertical="center"/>
    </xf>
    <xf numFmtId="0" fontId="0" fillId="0" borderId="0" xfId="0" applyAlignment="1">
      <alignment horizontal="center" vertical="center"/>
    </xf>
    <xf numFmtId="49" fontId="3" fillId="0" borderId="0" xfId="1" applyNumberFormat="1" applyFont="1" applyFill="1" applyBorder="1" applyAlignment="1">
      <alignment horizontal="center" vertical="center"/>
    </xf>
    <xf numFmtId="0" fontId="2" fillId="0" borderId="0" xfId="11" applyFont="1" applyAlignment="1">
      <alignment horizontal="center"/>
    </xf>
    <xf numFmtId="0" fontId="2" fillId="0" borderId="0" xfId="11"/>
    <xf numFmtId="179" fontId="9" fillId="0" borderId="5" xfId="11" applyNumberFormat="1" applyFont="1" applyBorder="1" applyAlignment="1">
      <alignment horizontal="right" wrapText="1" shrinkToFit="1"/>
    </xf>
    <xf numFmtId="0" fontId="9" fillId="0" borderId="5" xfId="11" applyFont="1" applyBorder="1" applyAlignment="1">
      <alignment horizontal="right" wrapText="1"/>
    </xf>
    <xf numFmtId="0" fontId="9" fillId="0" borderId="1" xfId="11" applyFont="1" applyBorder="1" applyAlignment="1">
      <alignment horizontal="left"/>
    </xf>
    <xf numFmtId="0" fontId="9" fillId="0" borderId="1" xfId="11" applyFont="1" applyBorder="1"/>
    <xf numFmtId="0" fontId="9" fillId="0" borderId="1" xfId="11" applyFont="1" applyBorder="1" applyAlignment="1">
      <alignment horizontal="right"/>
    </xf>
    <xf numFmtId="179" fontId="9" fillId="0" borderId="7" xfId="11" applyNumberFormat="1" applyFont="1" applyBorder="1" applyAlignment="1">
      <alignment horizontal="right" vertical="top" shrinkToFit="1"/>
    </xf>
    <xf numFmtId="180" fontId="9" fillId="0" borderId="6" xfId="11" applyNumberFormat="1" applyFont="1" applyBorder="1" applyAlignment="1">
      <alignment horizontal="right" vertical="center" wrapText="1"/>
    </xf>
    <xf numFmtId="0" fontId="10" fillId="0" borderId="7" xfId="11" applyFont="1" applyBorder="1" applyAlignment="1">
      <alignment horizontal="right" vertical="top" wrapText="1" shrinkToFit="1"/>
    </xf>
    <xf numFmtId="0" fontId="9" fillId="0" borderId="7" xfId="11" applyFont="1" applyBorder="1" applyAlignment="1">
      <alignment horizontal="right" vertical="top" wrapText="1"/>
    </xf>
    <xf numFmtId="0" fontId="9" fillId="0" borderId="8" xfId="11" applyFont="1" applyBorder="1" applyAlignment="1">
      <alignment horizontal="center"/>
    </xf>
    <xf numFmtId="0" fontId="9" fillId="0" borderId="8" xfId="11" applyFont="1" applyBorder="1" applyAlignment="1">
      <alignment horizontal="right"/>
    </xf>
    <xf numFmtId="0" fontId="15" fillId="0" borderId="0" xfId="11" applyFont="1"/>
    <xf numFmtId="178" fontId="15" fillId="0" borderId="0" xfId="11" applyNumberFormat="1" applyFont="1"/>
    <xf numFmtId="181" fontId="15" fillId="0" borderId="0" xfId="11" applyNumberFormat="1" applyFont="1" applyAlignment="1">
      <alignment horizontal="right" vertical="center"/>
    </xf>
    <xf numFmtId="3" fontId="15" fillId="0" borderId="0" xfId="11" applyNumberFormat="1" applyFont="1" applyAlignment="1">
      <alignment horizontal="right" vertical="center"/>
    </xf>
    <xf numFmtId="49" fontId="16" fillId="0" borderId="9" xfId="11" applyNumberFormat="1" applyFont="1" applyBorder="1" applyAlignment="1">
      <alignment horizontal="center" vertical="center"/>
    </xf>
    <xf numFmtId="3" fontId="16" fillId="0" borderId="9" xfId="11" applyNumberFormat="1" applyFont="1" applyBorder="1" applyAlignment="1">
      <alignment horizontal="right" vertical="center"/>
    </xf>
    <xf numFmtId="49" fontId="16" fillId="0" borderId="0" xfId="11" applyNumberFormat="1" applyFont="1" applyAlignment="1">
      <alignment horizontal="center" vertical="center"/>
    </xf>
    <xf numFmtId="3" fontId="16" fillId="0" borderId="0" xfId="11" applyNumberFormat="1" applyFont="1" applyAlignment="1">
      <alignment horizontal="right" vertical="center"/>
    </xf>
    <xf numFmtId="0" fontId="9" fillId="0" borderId="0" xfId="11" applyFont="1"/>
    <xf numFmtId="0" fontId="10" fillId="0" borderId="0" xfId="11" applyFont="1" applyAlignment="1">
      <alignment horizontal="right"/>
    </xf>
    <xf numFmtId="49" fontId="9" fillId="0" borderId="0" xfId="11" applyNumberFormat="1" applyFont="1" applyAlignment="1">
      <alignment horizontal="right"/>
    </xf>
    <xf numFmtId="0" fontId="9" fillId="0" borderId="0" xfId="11" applyFont="1" applyAlignment="1">
      <alignment horizontal="right"/>
    </xf>
    <xf numFmtId="49" fontId="16" fillId="0" borderId="1" xfId="11" applyNumberFormat="1" applyFont="1" applyBorder="1" applyAlignment="1">
      <alignment horizontal="center" vertical="center"/>
    </xf>
    <xf numFmtId="3" fontId="9" fillId="0" borderId="0" xfId="11" applyNumberFormat="1" applyFont="1" applyAlignment="1">
      <alignment horizontal="right" vertical="center"/>
    </xf>
    <xf numFmtId="49" fontId="16" fillId="0" borderId="0" xfId="11" applyNumberFormat="1" applyFont="1" applyAlignment="1">
      <alignment horizontal="left" vertical="center"/>
    </xf>
    <xf numFmtId="182" fontId="16" fillId="0" borderId="0" xfId="11" applyNumberFormat="1" applyFont="1" applyAlignment="1">
      <alignment horizontal="right" vertical="center"/>
    </xf>
    <xf numFmtId="3" fontId="16" fillId="0" borderId="1" xfId="11" applyNumberFormat="1" applyFont="1" applyBorder="1" applyAlignment="1">
      <alignment horizontal="right" vertical="center"/>
    </xf>
    <xf numFmtId="14" fontId="15" fillId="0" borderId="0" xfId="11" applyNumberFormat="1" applyFont="1"/>
    <xf numFmtId="14" fontId="2" fillId="0" borderId="0" xfId="11" applyNumberFormat="1"/>
    <xf numFmtId="1" fontId="15" fillId="0" borderId="0" xfId="11" applyNumberFormat="1" applyFont="1"/>
    <xf numFmtId="183" fontId="16" fillId="0" borderId="0" xfId="11" applyNumberFormat="1" applyFont="1" applyAlignment="1">
      <alignment horizontal="right" vertical="center"/>
    </xf>
    <xf numFmtId="184" fontId="2" fillId="0" borderId="0" xfId="11" applyNumberFormat="1"/>
    <xf numFmtId="185" fontId="15" fillId="0" borderId="0" xfId="11" applyNumberFormat="1" applyFont="1"/>
    <xf numFmtId="179" fontId="9" fillId="0" borderId="8" xfId="11" applyNumberFormat="1" applyFont="1" applyBorder="1" applyAlignment="1">
      <alignment horizontal="right" wrapText="1" shrinkToFit="1"/>
    </xf>
    <xf numFmtId="186" fontId="15" fillId="0" borderId="0" xfId="11" applyNumberFormat="1" applyFont="1" applyAlignment="1">
      <alignment horizontal="center"/>
    </xf>
    <xf numFmtId="185" fontId="15" fillId="0" borderId="0" xfId="11" applyNumberFormat="1" applyFont="1" applyAlignment="1">
      <alignment horizontal="center"/>
    </xf>
    <xf numFmtId="0" fontId="9" fillId="0" borderId="7" xfId="11" applyFont="1" applyBorder="1" applyAlignment="1">
      <alignment horizontal="center" vertical="center" wrapText="1"/>
    </xf>
    <xf numFmtId="49" fontId="16" fillId="0" borderId="3" xfId="11" applyNumberFormat="1" applyFont="1" applyBorder="1" applyAlignment="1">
      <alignment horizontal="center" vertical="center"/>
    </xf>
    <xf numFmtId="3" fontId="16" fillId="0" borderId="3" xfId="11" applyNumberFormat="1" applyFont="1" applyBorder="1" applyAlignment="1">
      <alignment horizontal="right" vertical="center"/>
    </xf>
    <xf numFmtId="0" fontId="17" fillId="0" borderId="0" xfId="11" applyFont="1"/>
    <xf numFmtId="178" fontId="17" fillId="0" borderId="0" xfId="11" applyNumberFormat="1" applyFont="1"/>
    <xf numFmtId="0" fontId="9" fillId="0" borderId="2" xfId="11" applyFont="1" applyBorder="1" applyAlignment="1">
      <alignment horizontal="center" vertical="center" wrapText="1"/>
    </xf>
    <xf numFmtId="0" fontId="2" fillId="0" borderId="0" xfId="1" applyAlignment="1">
      <alignment horizontal="center"/>
    </xf>
    <xf numFmtId="0" fontId="2" fillId="0" borderId="0" xfId="1"/>
    <xf numFmtId="179" fontId="9" fillId="0" borderId="5" xfId="1" applyNumberFormat="1" applyFont="1" applyBorder="1" applyAlignment="1">
      <alignment horizontal="right" wrapText="1" shrinkToFit="1"/>
    </xf>
    <xf numFmtId="0" fontId="9" fillId="0" borderId="5" xfId="1" applyFont="1" applyBorder="1" applyAlignment="1">
      <alignment horizontal="right" wrapText="1"/>
    </xf>
    <xf numFmtId="0" fontId="9" fillId="0" borderId="1" xfId="1" applyFont="1" applyBorder="1" applyAlignment="1">
      <alignment horizontal="left"/>
    </xf>
    <xf numFmtId="0" fontId="9" fillId="0" borderId="1" xfId="1" applyFont="1" applyBorder="1"/>
    <xf numFmtId="0" fontId="9" fillId="0" borderId="1" xfId="1" applyFont="1" applyBorder="1" applyAlignment="1">
      <alignment horizontal="right"/>
    </xf>
    <xf numFmtId="179" fontId="9" fillId="0" borderId="7" xfId="1" applyNumberFormat="1" applyFont="1" applyBorder="1" applyAlignment="1">
      <alignment horizontal="right" vertical="top" shrinkToFit="1"/>
    </xf>
    <xf numFmtId="180" fontId="9" fillId="0" borderId="6" xfId="1" applyNumberFormat="1" applyFont="1" applyBorder="1" applyAlignment="1">
      <alignment horizontal="right" vertical="center" wrapText="1"/>
    </xf>
    <xf numFmtId="0" fontId="10" fillId="0" borderId="7" xfId="1" applyFont="1" applyBorder="1" applyAlignment="1">
      <alignment horizontal="right" vertical="top" wrapText="1" shrinkToFit="1"/>
    </xf>
    <xf numFmtId="0" fontId="9" fillId="0" borderId="7" xfId="1" applyFont="1" applyBorder="1" applyAlignment="1">
      <alignment horizontal="right" vertical="top" wrapText="1"/>
    </xf>
    <xf numFmtId="0" fontId="9" fillId="0" borderId="7" xfId="1" applyFont="1" applyBorder="1" applyAlignment="1">
      <alignment horizontal="center" vertical="center" wrapText="1"/>
    </xf>
    <xf numFmtId="0" fontId="9" fillId="0" borderId="8" xfId="1" applyFont="1" applyBorder="1" applyAlignment="1">
      <alignment horizontal="center"/>
    </xf>
    <xf numFmtId="0" fontId="9" fillId="0" borderId="8" xfId="1" applyFont="1" applyBorder="1" applyAlignment="1">
      <alignment horizontal="right"/>
    </xf>
    <xf numFmtId="49" fontId="16" fillId="0" borderId="0" xfId="1" applyNumberFormat="1" applyFont="1" applyAlignment="1">
      <alignment horizontal="center" vertical="center"/>
    </xf>
    <xf numFmtId="0" fontId="17" fillId="0" borderId="0" xfId="1" applyFont="1"/>
    <xf numFmtId="178" fontId="17" fillId="0" borderId="0" xfId="1" applyNumberFormat="1" applyFont="1"/>
    <xf numFmtId="0" fontId="15" fillId="0" borderId="0" xfId="1" applyFont="1"/>
    <xf numFmtId="181" fontId="15" fillId="0" borderId="0" xfId="1" applyNumberFormat="1" applyFont="1" applyAlignment="1">
      <alignment horizontal="right" vertical="center"/>
    </xf>
    <xf numFmtId="3" fontId="15" fillId="0" borderId="0" xfId="1" applyNumberFormat="1" applyFont="1" applyAlignment="1">
      <alignment horizontal="right" vertical="center"/>
    </xf>
    <xf numFmtId="49" fontId="16" fillId="0" borderId="9" xfId="1" applyNumberFormat="1" applyFont="1" applyBorder="1" applyAlignment="1">
      <alignment horizontal="center" vertical="center"/>
    </xf>
    <xf numFmtId="3" fontId="16" fillId="0" borderId="9" xfId="1" applyNumberFormat="1" applyFont="1" applyBorder="1" applyAlignment="1">
      <alignment horizontal="right" vertical="center"/>
    </xf>
    <xf numFmtId="3" fontId="16" fillId="0" borderId="0" xfId="1" applyNumberFormat="1" applyFont="1" applyAlignment="1">
      <alignment horizontal="right" vertical="center"/>
    </xf>
    <xf numFmtId="49" fontId="16" fillId="0" borderId="1" xfId="1" applyNumberFormat="1" applyFont="1" applyBorder="1" applyAlignment="1">
      <alignment horizontal="center" vertical="center"/>
    </xf>
    <xf numFmtId="3" fontId="16" fillId="0" borderId="1" xfId="1" applyNumberFormat="1" applyFont="1" applyBorder="1" applyAlignment="1">
      <alignment horizontal="right" vertical="center"/>
    </xf>
    <xf numFmtId="0" fontId="9" fillId="0" borderId="0" xfId="1" applyFont="1"/>
    <xf numFmtId="0" fontId="10" fillId="0" borderId="0" xfId="1" applyFont="1" applyAlignment="1">
      <alignment horizontal="right"/>
    </xf>
    <xf numFmtId="49" fontId="9" fillId="0" borderId="0" xfId="1" applyNumberFormat="1" applyFont="1" applyAlignment="1">
      <alignment horizontal="right"/>
    </xf>
    <xf numFmtId="0" fontId="9" fillId="0" borderId="0" xfId="1" applyFont="1" applyAlignment="1">
      <alignment horizontal="right"/>
    </xf>
    <xf numFmtId="49" fontId="16" fillId="0" borderId="0" xfId="1" applyNumberFormat="1" applyFont="1" applyAlignment="1">
      <alignment horizontal="left" vertical="center"/>
    </xf>
    <xf numFmtId="183" fontId="16" fillId="0" borderId="0" xfId="1" applyNumberFormat="1" applyFont="1" applyAlignment="1">
      <alignment horizontal="right" vertical="center"/>
    </xf>
    <xf numFmtId="182" fontId="16" fillId="0" borderId="0" xfId="1" applyNumberFormat="1" applyFont="1" applyAlignment="1">
      <alignment horizontal="right" vertical="center"/>
    </xf>
    <xf numFmtId="49" fontId="16" fillId="2" borderId="0" xfId="11" applyNumberFormat="1" applyFont="1" applyFill="1" applyAlignment="1">
      <alignment horizontal="center" vertical="center"/>
    </xf>
    <xf numFmtId="0" fontId="17" fillId="2" borderId="0" xfId="11" applyFont="1" applyFill="1"/>
    <xf numFmtId="178" fontId="17" fillId="2" borderId="0" xfId="11" applyNumberFormat="1" applyFont="1" applyFill="1"/>
    <xf numFmtId="0" fontId="15" fillId="2" borderId="0" xfId="11" applyFont="1" applyFill="1"/>
    <xf numFmtId="181" fontId="15" fillId="2" borderId="0" xfId="11" applyNumberFormat="1" applyFont="1" applyFill="1" applyAlignment="1">
      <alignment horizontal="right" vertical="center"/>
    </xf>
    <xf numFmtId="3" fontId="15" fillId="2" borderId="0" xfId="11" applyNumberFormat="1" applyFont="1" applyFill="1" applyAlignment="1">
      <alignment horizontal="right" vertical="center"/>
    </xf>
    <xf numFmtId="0" fontId="2" fillId="2" borderId="0" xfId="11" applyFill="1"/>
    <xf numFmtId="0" fontId="9" fillId="2" borderId="0" xfId="11" applyFont="1" applyFill="1"/>
    <xf numFmtId="0" fontId="9" fillId="2" borderId="0" xfId="11" applyFont="1" applyFill="1" applyAlignment="1">
      <alignment horizontal="right"/>
    </xf>
    <xf numFmtId="0" fontId="2" fillId="0" borderId="2" xfId="11" applyBorder="1" applyAlignment="1">
      <alignment horizontal="center"/>
    </xf>
    <xf numFmtId="0" fontId="2" fillId="0" borderId="3" xfId="11" applyBorder="1" applyAlignment="1">
      <alignment horizontal="center"/>
    </xf>
    <xf numFmtId="0" fontId="2" fillId="0" borderId="4" xfId="11" applyBorder="1" applyAlignment="1">
      <alignment horizontal="center"/>
    </xf>
    <xf numFmtId="0" fontId="7" fillId="0" borderId="0" xfId="11" applyFont="1" applyAlignment="1">
      <alignment horizontal="center" vertical="center" wrapText="1"/>
    </xf>
    <xf numFmtId="0" fontId="2" fillId="0" borderId="0" xfId="11" applyAlignment="1">
      <alignment horizontal="center" vertical="center" wrapText="1"/>
    </xf>
    <xf numFmtId="179" fontId="9" fillId="0" borderId="2" xfId="11" applyNumberFormat="1" applyFont="1" applyBorder="1" applyAlignment="1">
      <alignment horizontal="center" vertical="center" wrapText="1"/>
    </xf>
    <xf numFmtId="179" fontId="9" fillId="0" borderId="3" xfId="11" applyNumberFormat="1" applyFont="1" applyBorder="1" applyAlignment="1">
      <alignment horizontal="center" vertical="center" wrapText="1"/>
    </xf>
    <xf numFmtId="0" fontId="11" fillId="0" borderId="6" xfId="11" applyFont="1" applyBorder="1" applyAlignment="1">
      <alignment horizontal="right" vertical="center" wrapText="1" shrinkToFit="1"/>
    </xf>
    <xf numFmtId="0" fontId="2" fillId="0" borderId="2" xfId="1" applyBorder="1" applyAlignment="1">
      <alignment horizontal="center"/>
    </xf>
    <xf numFmtId="0" fontId="2" fillId="0" borderId="3" xfId="1" applyBorder="1" applyAlignment="1">
      <alignment horizontal="center"/>
    </xf>
    <xf numFmtId="0" fontId="2" fillId="0" borderId="4" xfId="1" applyBorder="1" applyAlignment="1">
      <alignment horizontal="center"/>
    </xf>
    <xf numFmtId="0" fontId="7" fillId="0" borderId="0" xfId="1" applyFont="1" applyAlignment="1">
      <alignment horizontal="center" vertical="center" wrapText="1"/>
    </xf>
    <xf numFmtId="0" fontId="2" fillId="0" borderId="0" xfId="1" applyAlignment="1">
      <alignment horizontal="center" vertical="center" wrapText="1"/>
    </xf>
    <xf numFmtId="179" fontId="9" fillId="0" borderId="2" xfId="1" applyNumberFormat="1" applyFont="1" applyBorder="1" applyAlignment="1">
      <alignment horizontal="center" vertical="center" wrapText="1"/>
    </xf>
    <xf numFmtId="179" fontId="9" fillId="0" borderId="3" xfId="1" applyNumberFormat="1" applyFont="1" applyBorder="1" applyAlignment="1">
      <alignment horizontal="center" vertical="center" wrapText="1"/>
    </xf>
    <xf numFmtId="0" fontId="11" fillId="0" borderId="6" xfId="1" applyFont="1" applyBorder="1" applyAlignment="1">
      <alignment horizontal="right" vertical="center" wrapText="1" shrinkToFit="1"/>
    </xf>
  </cellXfs>
  <cellStyles count="18">
    <cellStyle name="Euro" xfId="6"/>
    <cellStyle name="一般" xfId="0" builtinId="0"/>
    <cellStyle name="一般 10" xfId="11"/>
    <cellStyle name="一般 2" xfId="1"/>
    <cellStyle name="一般 2 2" xfId="7"/>
    <cellStyle name="一般 2 3" xfId="8"/>
    <cellStyle name="一般 3" xfId="2"/>
    <cellStyle name="一般 4" xfId="3"/>
    <cellStyle name="一般 5" xfId="4"/>
    <cellStyle name="一般 6" xfId="5"/>
    <cellStyle name="千分位 2" xfId="12"/>
    <cellStyle name="千分位 2 2" xfId="13"/>
    <cellStyle name="千分位 2 3" xfId="14"/>
    <cellStyle name="千分位 3" xfId="15"/>
    <cellStyle name="千分位 3 2" xfId="16"/>
    <cellStyle name="千分位 3 3" xfId="17"/>
    <cellStyle name="百分比 2" xfId="9"/>
    <cellStyle name="超連結 2" xfId="10"/>
  </cellStyles>
  <dxfs count="6">
    <dxf>
      <font>
        <b/>
        <i val="0"/>
        <strike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strike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strike val="0"/>
        <color rgb="FFFF0000"/>
      </font>
      <fill>
        <patternFill patternType="none">
          <bgColor auto="1"/>
        </patternFill>
      </fill>
    </dxf>
    <dxf>
      <font>
        <b/>
        <i val="0"/>
        <color rgb="FFFF0000"/>
      </font>
      <fill>
        <patternFill patternType="none">
          <bgColor auto="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1.xml"/><Relationship Id="rId18" Type="http://schemas.openxmlformats.org/officeDocument/2006/relationships/externalLink" Target="externalLinks/externalLink6.xml"/><Relationship Id="rId26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externalLink" Target="externalLinks/externalLink9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externalLink" Target="externalLinks/externalLink5.xml"/><Relationship Id="rId25" Type="http://schemas.openxmlformats.org/officeDocument/2006/relationships/externalLink" Target="externalLinks/externalLink13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4.xml"/><Relationship Id="rId20" Type="http://schemas.openxmlformats.org/officeDocument/2006/relationships/externalLink" Target="externalLinks/externalLink8.xml"/><Relationship Id="rId29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externalLink" Target="externalLinks/externalLink12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3.xml"/><Relationship Id="rId23" Type="http://schemas.openxmlformats.org/officeDocument/2006/relationships/externalLink" Target="externalLinks/externalLink11.xml"/><Relationship Id="rId28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externalLink" Target="externalLinks/externalLink7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2.xml"/><Relationship Id="rId22" Type="http://schemas.openxmlformats.org/officeDocument/2006/relationships/externalLink" Target="externalLinks/externalLink10.xml"/><Relationship Id="rId27" Type="http://schemas.openxmlformats.org/officeDocument/2006/relationships/styles" Target="styles.xml"/><Relationship Id="rId30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57150</xdr:colOff>
          <xdr:row>0</xdr:row>
          <xdr:rowOff>76200</xdr:rowOff>
        </xdr:from>
        <xdr:to>
          <xdr:col>3</xdr:col>
          <xdr:colOff>752475</xdr:colOff>
          <xdr:row>2</xdr:row>
          <xdr:rowOff>114300</xdr:rowOff>
        </xdr:to>
        <xdr:sp macro="" textlink="">
          <xdr:nvSpPr>
            <xdr:cNvPr id="336898" name="Button 2" hidden="1">
              <a:extLst>
                <a:ext uri="{63B3BB69-23CF-44E3-9099-C40C66FF867C}">
                  <a14:compatExt spid="_x0000_s3368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換日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011818/AppData/Local/Microsoft/Windows/INetCache/Content.Outlook/URCTW4LY/980316&#27284;&#26696;&#20633;&#20221;/&#25104;&#26412;&#27010;&#31639;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009097/AppData/Roaming/Microsoft/Windows/Start%20Menu/Programs/&#27599;&#26085;&#20363;&#34892;&#36039;&#26009;/&#25104;&#26412;&#27010;&#31639;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&#27778;&#29229;\&#27599;&#26085;&#25104;&#20132;\&#27599;&#26085;&#20363;&#34892;&#36039;&#26009;\&#25104;&#26412;&#27010;&#31639;.xls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011818/AppData/Local/Microsoft/Windows/INetCache/Content.Outlook/URCTW4LY/980316&#27284;&#26696;&#20633;&#20221;/&#27511;&#21490;&#36039;&#26009;/OTC950801~951229.xls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009097/AppData/Roaming/Microsoft/Windows/Start%20Menu/Programs/&#27599;&#26085;&#20363;&#34892;&#36039;&#26009;/&#27511;&#21490;&#36039;&#26009;/OTC950801~951229.xls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&#27778;&#29229;\&#27599;&#26085;&#25104;&#20132;\&#27599;&#26085;&#20363;&#34892;&#36039;&#26009;\&#27511;&#21490;&#36039;&#26009;\OTC950801~951229.xls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sbnas1\&#39080;&#38570;&#31649;&#29702;&#34389;\Public\&#20013;&#21488;\Trading%20Book\2_IR\Regular%20Reports\TWGB\TWGB_MtM_V1.0.xlsm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&#20844;&#20661;&#27542;&#21033;&#29575;.xlsm" TargetMode="External"/></Relationships>
</file>

<file path=xl/externalLinks/_rels/externalLink9.xml.rels><?xml version="1.0" encoding="UTF-8" standalone="yes"?>
<Relationships xmlns="http://schemas.openxmlformats.org/package/2006/relationships"><Relationship Id="rId1" Type="http://schemas.openxmlformats.org/officeDocument/2006/relationships/externalLinkPath" Target="&#20919;&#21048;&#25104;&#20132;&#34920;/0817.xlsm" TargetMode="External"/></Relationships>
</file>

<file path=xl/externalLinks/_rels/externalLink10.xml.rels><?xml version="1.0" encoding="UTF-8" standalone="yes"?>
<Relationships xmlns="http://schemas.openxmlformats.org/package/2006/relationships"><Relationship Id="rId1" Type="http://schemas.openxmlformats.org/officeDocument/2006/relationships/externalLinkPath" Target="&#20919;&#21048;&#25104;&#20132;&#34920;/0808.xlsm" TargetMode="External"/></Relationships>
</file>

<file path=xl/externalLinks/_rels/externalLink11.xml.rels><?xml version="1.0" encoding="UTF-8" standalone="yes"?>
<Relationships xmlns="http://schemas.openxmlformats.org/package/2006/relationships"><Relationship Id="rId1" Type="http://schemas.openxmlformats.org/officeDocument/2006/relationships/externalLinkPath" Target="&#20919;&#21048;&#25104;&#20132;&#34920;/0816.xlsm" TargetMode="External"/></Relationships>
</file>

<file path=xl/externalLinks/_rels/externalLink12.xml.rels><?xml version="1.0" encoding="UTF-8" standalone="yes"?>
<Relationships xmlns="http://schemas.openxmlformats.org/package/2006/relationships"><Relationship Id="rId1" Type="http://schemas.openxmlformats.org/officeDocument/2006/relationships/externalLinkPath" Target="&#20919;&#21048;&#25104;&#20132;&#34920;/0811.xlsm" TargetMode="External"/></Relationships>
</file>

<file path=xl/externalLinks/_rels/externalLink13.xml.rels><?xml version="1.0" encoding="UTF-8" standalone="yes"?>
<Relationships xmlns="http://schemas.openxmlformats.org/package/2006/relationships"><Relationship Id="rId1" Type="http://schemas.openxmlformats.org/officeDocument/2006/relationships/externalLinkPath" Target="&#20919;&#21048;&#25104;&#20132;&#34920;/0818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RS"/>
      <sheetName val="自營二處月表"/>
      <sheetName val="期貨"/>
      <sheetName val="養券簡易版"/>
      <sheetName val="美債"/>
      <sheetName val="帳務"/>
      <sheetName val="CTD"/>
      <sheetName val="發債餘額"/>
      <sheetName val="得標行業別"/>
      <sheetName val="央行貼放利率"/>
      <sheetName val="債券基本資料"/>
      <sheetName val="借券損益計算"/>
      <sheetName val="報酬率計算"/>
      <sheetName val="利率調整"/>
      <sheetName val="備忘錄"/>
      <sheetName val="隔拆"/>
      <sheetName val="NCD"/>
      <sheetName val="債券發行"/>
      <sheetName val="發債結果"/>
      <sheetName val="歷史發行資料"/>
      <sheetName val="央行公布數字時間表"/>
      <sheetName val="利率商品比較（稅）"/>
      <sheetName val="公債價格計算"/>
      <sheetName val="公平市價"/>
      <sheetName val="養券"/>
      <sheetName val="bond(部位)"/>
      <sheetName val="部位明細表"/>
      <sheetName val="套利計算"/>
      <sheetName val="課稅基本假設-文字"/>
      <sheetName val="稅務三圖"/>
      <sheetName val="稅務計算排序 (3)"/>
      <sheetName val="稅務計算排序 (2)"/>
      <sheetName val="稅務計算排序"/>
      <sheetName val="稅務計算基本資料"/>
      <sheetName val="公債價格計算 (2)"/>
      <sheetName val="債券基本資料 (2)"/>
      <sheetName val="91~95債券型基金規模"/>
      <sheetName val="公債交易商名單"/>
      <sheetName val="成本概算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RS"/>
      <sheetName val="自營二處月表"/>
      <sheetName val="期貨"/>
      <sheetName val="養券簡易版"/>
      <sheetName val="美債"/>
      <sheetName val="帳務"/>
      <sheetName val="CTD"/>
      <sheetName val="發債餘額"/>
      <sheetName val="得標行業別"/>
      <sheetName val="央行貼放利率"/>
      <sheetName val="債券基本資料"/>
      <sheetName val="借券損益計算"/>
      <sheetName val="報酬率計算"/>
      <sheetName val="利率調整"/>
      <sheetName val="備忘錄"/>
      <sheetName val="隔拆"/>
      <sheetName val="NCD"/>
      <sheetName val="債券發行"/>
      <sheetName val="發債結果"/>
      <sheetName val="歷史發行資料"/>
      <sheetName val="央行公布數字時間表"/>
      <sheetName val="利率商品比較（稅）"/>
      <sheetName val="公債價格計算"/>
      <sheetName val="公平市價"/>
      <sheetName val="養券"/>
      <sheetName val="bond(部位)"/>
      <sheetName val="部位明細表"/>
      <sheetName val="套利計算"/>
      <sheetName val="課稅基本假設-文字"/>
      <sheetName val="稅務三圖"/>
      <sheetName val="稅務計算排序 (3)"/>
      <sheetName val="稅務計算排序 (2)"/>
      <sheetName val="稅務計算排序"/>
      <sheetName val="稅務計算基本資料"/>
      <sheetName val="公債價格計算 (2)"/>
      <sheetName val="債券基本資料 (2)"/>
      <sheetName val="91~95債券型基金規模"/>
      <sheetName val="公債交易商名單"/>
      <sheetName val="成本概算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RS"/>
      <sheetName val="自營二處月表"/>
      <sheetName val="期貨"/>
      <sheetName val="養券簡易版"/>
      <sheetName val="美債"/>
      <sheetName val="帳務"/>
      <sheetName val="CTD"/>
      <sheetName val="發債餘額"/>
      <sheetName val="得標行業別"/>
      <sheetName val="央行貼放利率"/>
      <sheetName val="債券基本資料"/>
      <sheetName val="借券損益計算"/>
      <sheetName val="報酬率計算"/>
      <sheetName val="利率調整"/>
      <sheetName val="備忘錄"/>
      <sheetName val="隔拆"/>
      <sheetName val="NCD"/>
      <sheetName val="債券發行"/>
      <sheetName val="發債結果"/>
      <sheetName val="歷史發行資料"/>
      <sheetName val="央行公布數字時間表"/>
      <sheetName val="利率商品比較（稅）"/>
      <sheetName val="公債價格計算"/>
      <sheetName val="公平市價"/>
      <sheetName val="養券"/>
      <sheetName val="bond(部位)"/>
      <sheetName val="部位明細表"/>
      <sheetName val="套利計算"/>
      <sheetName val="課稅基本假設-文字"/>
      <sheetName val="稅務三圖"/>
      <sheetName val="稅務計算排序 (3)"/>
      <sheetName val="稅務計算排序 (2)"/>
      <sheetName val="稅務計算排序"/>
      <sheetName val="稅務計算基本資料"/>
      <sheetName val="公債價格計算 (2)"/>
      <sheetName val="債券基本資料 (2)"/>
      <sheetName val="91~95債券型基金規模"/>
      <sheetName val="公債交易商名單"/>
      <sheetName val="成本概算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950801"/>
      <sheetName val="950802"/>
      <sheetName val="950803"/>
      <sheetName val="950804"/>
      <sheetName val="950807"/>
      <sheetName val="950808"/>
      <sheetName val="950809"/>
      <sheetName val="950810"/>
      <sheetName val="950811"/>
      <sheetName val="950814"/>
      <sheetName val="950815"/>
      <sheetName val="950816"/>
      <sheetName val="950817"/>
      <sheetName val="950818"/>
      <sheetName val="950821"/>
      <sheetName val="950822"/>
      <sheetName val="950823"/>
      <sheetName val="950824"/>
      <sheetName val="950825"/>
      <sheetName val="950828"/>
      <sheetName val="950829"/>
      <sheetName val="950830"/>
      <sheetName val="950831"/>
      <sheetName val="950901"/>
      <sheetName val="950904"/>
      <sheetName val="950905"/>
      <sheetName val="950906"/>
      <sheetName val="950907"/>
      <sheetName val="950908"/>
      <sheetName val="950911"/>
      <sheetName val="950912"/>
      <sheetName val="950913"/>
      <sheetName val="950914"/>
      <sheetName val="950915"/>
      <sheetName val="950918"/>
      <sheetName val="950919"/>
      <sheetName val="950920"/>
      <sheetName val="950921"/>
      <sheetName val="950922"/>
      <sheetName val="950925"/>
      <sheetName val="950926"/>
      <sheetName val="950927"/>
      <sheetName val="950928"/>
      <sheetName val="950929"/>
      <sheetName val="951002"/>
      <sheetName val="951003"/>
      <sheetName val="951004"/>
      <sheetName val="951005"/>
      <sheetName val="951011"/>
      <sheetName val="951012"/>
      <sheetName val="951013"/>
      <sheetName val="951014"/>
      <sheetName val="951016"/>
      <sheetName val="951017"/>
      <sheetName val="951018"/>
      <sheetName val="951019"/>
      <sheetName val="951020"/>
      <sheetName val="951023"/>
      <sheetName val="951024"/>
      <sheetName val="951025"/>
      <sheetName val="951026"/>
      <sheetName val="951027"/>
      <sheetName val="951030"/>
      <sheetName val="951031"/>
      <sheetName val="951101"/>
      <sheetName val="951102"/>
      <sheetName val="951103"/>
      <sheetName val="951106"/>
      <sheetName val="951107"/>
      <sheetName val="951108"/>
      <sheetName val="951109"/>
      <sheetName val="951110"/>
      <sheetName val="951113"/>
      <sheetName val="951114"/>
      <sheetName val="951115"/>
      <sheetName val="951116"/>
      <sheetName val="951117"/>
      <sheetName val="951120"/>
      <sheetName val="951121"/>
      <sheetName val="951122"/>
      <sheetName val="951123"/>
      <sheetName val="951124"/>
      <sheetName val="951127"/>
      <sheetName val="951128"/>
      <sheetName val="951129"/>
      <sheetName val="951130"/>
      <sheetName val="951201"/>
      <sheetName val="951204"/>
      <sheetName val="951205"/>
      <sheetName val="951206"/>
      <sheetName val="951207"/>
      <sheetName val="951208"/>
      <sheetName val="951211"/>
      <sheetName val="951212"/>
      <sheetName val="951213"/>
      <sheetName val="951214"/>
      <sheetName val="951215"/>
      <sheetName val="951218"/>
      <sheetName val="951219"/>
      <sheetName val="951220"/>
      <sheetName val="951221"/>
      <sheetName val="951222"/>
      <sheetName val="951225"/>
      <sheetName val="951226"/>
      <sheetName val="951227"/>
      <sheetName val="951228"/>
      <sheetName val="951229"/>
      <sheetName val="OTC950801~951229"/>
      <sheetName val="#REF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  <sheetData sheetId="78"/>
      <sheetData sheetId="79"/>
      <sheetData sheetId="80"/>
      <sheetData sheetId="81"/>
      <sheetData sheetId="82"/>
      <sheetData sheetId="83"/>
      <sheetData sheetId="84"/>
      <sheetData sheetId="85"/>
      <sheetData sheetId="86"/>
      <sheetData sheetId="87"/>
      <sheetData sheetId="88"/>
      <sheetData sheetId="89"/>
      <sheetData sheetId="90"/>
      <sheetData sheetId="91"/>
      <sheetData sheetId="92"/>
      <sheetData sheetId="93"/>
      <sheetData sheetId="94"/>
      <sheetData sheetId="95"/>
      <sheetData sheetId="96"/>
      <sheetData sheetId="97"/>
      <sheetData sheetId="98"/>
      <sheetData sheetId="99"/>
      <sheetData sheetId="100"/>
      <sheetData sheetId="101"/>
      <sheetData sheetId="102"/>
      <sheetData sheetId="103"/>
      <sheetData sheetId="104"/>
      <sheetData sheetId="105"/>
      <sheetData sheetId="106"/>
      <sheetData sheetId="107" refreshError="1"/>
      <sheetData sheetId="108" refreshError="1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950801"/>
      <sheetName val="950802"/>
      <sheetName val="950803"/>
      <sheetName val="950804"/>
      <sheetName val="950807"/>
      <sheetName val="950808"/>
      <sheetName val="950809"/>
      <sheetName val="950810"/>
      <sheetName val="950811"/>
      <sheetName val="950814"/>
      <sheetName val="950815"/>
      <sheetName val="950816"/>
      <sheetName val="950817"/>
      <sheetName val="950818"/>
      <sheetName val="950821"/>
      <sheetName val="950822"/>
      <sheetName val="950823"/>
      <sheetName val="950824"/>
      <sheetName val="950825"/>
      <sheetName val="950828"/>
      <sheetName val="950829"/>
      <sheetName val="950830"/>
      <sheetName val="950831"/>
      <sheetName val="950901"/>
      <sheetName val="950904"/>
      <sheetName val="950905"/>
      <sheetName val="950906"/>
      <sheetName val="950907"/>
      <sheetName val="950908"/>
      <sheetName val="950911"/>
      <sheetName val="950912"/>
      <sheetName val="950913"/>
      <sheetName val="950914"/>
      <sheetName val="950915"/>
      <sheetName val="950918"/>
      <sheetName val="950919"/>
      <sheetName val="950920"/>
      <sheetName val="950921"/>
      <sheetName val="950922"/>
      <sheetName val="950925"/>
      <sheetName val="950926"/>
      <sheetName val="950927"/>
      <sheetName val="950928"/>
      <sheetName val="950929"/>
      <sheetName val="951002"/>
      <sheetName val="951003"/>
      <sheetName val="951004"/>
      <sheetName val="951005"/>
      <sheetName val="951011"/>
      <sheetName val="951012"/>
      <sheetName val="951013"/>
      <sheetName val="951014"/>
      <sheetName val="951016"/>
      <sheetName val="951017"/>
      <sheetName val="951018"/>
      <sheetName val="951019"/>
      <sheetName val="951020"/>
      <sheetName val="951023"/>
      <sheetName val="951024"/>
      <sheetName val="951025"/>
      <sheetName val="951026"/>
      <sheetName val="951027"/>
      <sheetName val="951030"/>
      <sheetName val="951031"/>
      <sheetName val="951101"/>
      <sheetName val="951102"/>
      <sheetName val="951103"/>
      <sheetName val="951106"/>
      <sheetName val="951107"/>
      <sheetName val="951108"/>
      <sheetName val="951109"/>
      <sheetName val="951110"/>
      <sheetName val="951113"/>
      <sheetName val="951114"/>
      <sheetName val="951115"/>
      <sheetName val="951116"/>
      <sheetName val="951117"/>
      <sheetName val="951120"/>
      <sheetName val="951121"/>
      <sheetName val="951122"/>
      <sheetName val="951123"/>
      <sheetName val="951124"/>
      <sheetName val="951127"/>
      <sheetName val="951128"/>
      <sheetName val="951129"/>
      <sheetName val="951130"/>
      <sheetName val="951201"/>
      <sheetName val="951204"/>
      <sheetName val="951205"/>
      <sheetName val="951206"/>
      <sheetName val="951207"/>
      <sheetName val="951208"/>
      <sheetName val="951211"/>
      <sheetName val="951212"/>
      <sheetName val="951213"/>
      <sheetName val="951214"/>
      <sheetName val="951215"/>
      <sheetName val="951218"/>
      <sheetName val="951219"/>
      <sheetName val="951220"/>
      <sheetName val="951221"/>
      <sheetName val="951222"/>
      <sheetName val="951225"/>
      <sheetName val="951226"/>
      <sheetName val="951227"/>
      <sheetName val="951228"/>
      <sheetName val="951229"/>
      <sheetName val="OTC950801~951229"/>
      <sheetName val="#REF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  <sheetData sheetId="78"/>
      <sheetData sheetId="79"/>
      <sheetData sheetId="80"/>
      <sheetData sheetId="81"/>
      <sheetData sheetId="82"/>
      <sheetData sheetId="83"/>
      <sheetData sheetId="84"/>
      <sheetData sheetId="85"/>
      <sheetData sheetId="86"/>
      <sheetData sheetId="87"/>
      <sheetData sheetId="88"/>
      <sheetData sheetId="89"/>
      <sheetData sheetId="90"/>
      <sheetData sheetId="91"/>
      <sheetData sheetId="92"/>
      <sheetData sheetId="93"/>
      <sheetData sheetId="94"/>
      <sheetData sheetId="95"/>
      <sheetData sheetId="96"/>
      <sheetData sheetId="97"/>
      <sheetData sheetId="98"/>
      <sheetData sheetId="99"/>
      <sheetData sheetId="100"/>
      <sheetData sheetId="101"/>
      <sheetData sheetId="102"/>
      <sheetData sheetId="103"/>
      <sheetData sheetId="104"/>
      <sheetData sheetId="105"/>
      <sheetData sheetId="106"/>
      <sheetData sheetId="107" refreshError="1"/>
      <sheetData sheetId="108" refreshError="1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950801"/>
      <sheetName val="950802"/>
      <sheetName val="950803"/>
      <sheetName val="950804"/>
      <sheetName val="950807"/>
      <sheetName val="950808"/>
      <sheetName val="950809"/>
      <sheetName val="950810"/>
      <sheetName val="950811"/>
      <sheetName val="950814"/>
      <sheetName val="950815"/>
      <sheetName val="950816"/>
      <sheetName val="950817"/>
      <sheetName val="950818"/>
      <sheetName val="950821"/>
      <sheetName val="950822"/>
      <sheetName val="950823"/>
      <sheetName val="950824"/>
      <sheetName val="950825"/>
      <sheetName val="950828"/>
      <sheetName val="950829"/>
      <sheetName val="950830"/>
      <sheetName val="950831"/>
      <sheetName val="950901"/>
      <sheetName val="950904"/>
      <sheetName val="950905"/>
      <sheetName val="950906"/>
      <sheetName val="950907"/>
      <sheetName val="950908"/>
      <sheetName val="950911"/>
      <sheetName val="950912"/>
      <sheetName val="950913"/>
      <sheetName val="950914"/>
      <sheetName val="950915"/>
      <sheetName val="950918"/>
      <sheetName val="950919"/>
      <sheetName val="950920"/>
      <sheetName val="950921"/>
      <sheetName val="950922"/>
      <sheetName val="950925"/>
      <sheetName val="950926"/>
      <sheetName val="950927"/>
      <sheetName val="950928"/>
      <sheetName val="950929"/>
      <sheetName val="951002"/>
      <sheetName val="951003"/>
      <sheetName val="951004"/>
      <sheetName val="951005"/>
      <sheetName val="951011"/>
      <sheetName val="951012"/>
      <sheetName val="951013"/>
      <sheetName val="951014"/>
      <sheetName val="951016"/>
      <sheetName val="951017"/>
      <sheetName val="951018"/>
      <sheetName val="951019"/>
      <sheetName val="951020"/>
      <sheetName val="951023"/>
      <sheetName val="951024"/>
      <sheetName val="951025"/>
      <sheetName val="951026"/>
      <sheetName val="951027"/>
      <sheetName val="951030"/>
      <sheetName val="951031"/>
      <sheetName val="951101"/>
      <sheetName val="951102"/>
      <sheetName val="951103"/>
      <sheetName val="951106"/>
      <sheetName val="951107"/>
      <sheetName val="951108"/>
      <sheetName val="951109"/>
      <sheetName val="951110"/>
      <sheetName val="951113"/>
      <sheetName val="951114"/>
      <sheetName val="951115"/>
      <sheetName val="951116"/>
      <sheetName val="951117"/>
      <sheetName val="951120"/>
      <sheetName val="951121"/>
      <sheetName val="951122"/>
      <sheetName val="951123"/>
      <sheetName val="951124"/>
      <sheetName val="951127"/>
      <sheetName val="951128"/>
      <sheetName val="951129"/>
      <sheetName val="951130"/>
      <sheetName val="951201"/>
      <sheetName val="951204"/>
      <sheetName val="951205"/>
      <sheetName val="951206"/>
      <sheetName val="951207"/>
      <sheetName val="951208"/>
      <sheetName val="951211"/>
      <sheetName val="951212"/>
      <sheetName val="951213"/>
      <sheetName val="951214"/>
      <sheetName val="951215"/>
      <sheetName val="951218"/>
      <sheetName val="951219"/>
      <sheetName val="951220"/>
      <sheetName val="951221"/>
      <sheetName val="951222"/>
      <sheetName val="951225"/>
      <sheetName val="951226"/>
      <sheetName val="951227"/>
      <sheetName val="951228"/>
      <sheetName val="951229"/>
      <sheetName val="OTC950801~951229"/>
      <sheetName val="#REF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  <sheetData sheetId="78"/>
      <sheetData sheetId="79"/>
      <sheetData sheetId="80"/>
      <sheetData sheetId="81"/>
      <sheetData sheetId="82"/>
      <sheetData sheetId="83"/>
      <sheetData sheetId="84"/>
      <sheetData sheetId="85"/>
      <sheetData sheetId="86"/>
      <sheetData sheetId="87"/>
      <sheetData sheetId="88"/>
      <sheetData sheetId="89"/>
      <sheetData sheetId="90"/>
      <sheetData sheetId="91"/>
      <sheetData sheetId="92"/>
      <sheetData sheetId="93"/>
      <sheetData sheetId="94"/>
      <sheetData sheetId="95"/>
      <sheetData sheetId="96"/>
      <sheetData sheetId="97"/>
      <sheetData sheetId="98"/>
      <sheetData sheetId="99"/>
      <sheetData sheetId="100"/>
      <sheetData sheetId="101"/>
      <sheetData sheetId="102"/>
      <sheetData sheetId="103"/>
      <sheetData sheetId="104"/>
      <sheetData sheetId="105"/>
      <sheetData sheetId="106"/>
      <sheetData sheetId="107" refreshError="1"/>
      <sheetData sheetId="108" refreshError="1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WGB_TradingArea_TD"/>
      <sheetName val="TXTDesignInfo"/>
      <sheetName val="TableDesignInfo"/>
      <sheetName val="BaseLayout"/>
      <sheetName val="SQLBackup"/>
      <sheetName val="LinkFileProcess"/>
      <sheetName val="SourceDataSample"/>
      <sheetName val="AutoWebLog"/>
      <sheetName val="AutoWebDefine"/>
      <sheetName val="報表下載"/>
      <sheetName val="SourceDefine"/>
      <sheetName val="MailAddress"/>
      <sheetName val="MailDefine"/>
      <sheetName val="FilePathDefine"/>
      <sheetName val="SQLDefine"/>
      <sheetName val="SampleStaticDataCondition"/>
      <sheetName val="SampleSheet"/>
      <sheetName val="債券月底評價表_Layout"/>
      <sheetName val="Total淨損益_Layout"/>
      <sheetName val="TWGB_TradingArea"/>
      <sheetName val="Main"/>
      <sheetName val="債券月底評價表"/>
      <sheetName val="Total淨損益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>
        <row r="2">
          <cell r="C2">
            <v>45147</v>
          </cell>
        </row>
      </sheetData>
      <sheetData sheetId="21"/>
      <sheetData sheetId="22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美國10yr"/>
      <sheetName val="台灣10yr"/>
      <sheetName val="模擬美"/>
      <sheetName val="IRS"/>
      <sheetName val="127"/>
      <sheetName val="CNH"/>
      <sheetName val="CNH紀錄"/>
      <sheetName val="J"/>
      <sheetName val="VOL"/>
      <sheetName val="現券R券"/>
      <sheetName val="中債"/>
      <sheetName val="工作表1"/>
      <sheetName val="FRTB"/>
    </sheetNames>
    <sheetDataSet>
      <sheetData sheetId="0"/>
      <sheetData sheetId="1">
        <row r="1">
          <cell r="A1" t="str">
            <v>台灣時間</v>
          </cell>
          <cell r="C1" t="str">
            <v>殖利率</v>
          </cell>
          <cell r="D1" t="str">
            <v>較前一日</v>
          </cell>
        </row>
        <row r="2">
          <cell r="A2">
            <v>43509</v>
          </cell>
          <cell r="B2">
            <v>3</v>
          </cell>
          <cell r="C2">
            <v>0.8286</v>
          </cell>
          <cell r="D2">
            <v>0.51</v>
          </cell>
          <cell r="E2" t="str">
            <v>X</v>
          </cell>
        </row>
        <row r="3">
          <cell r="A3">
            <v>43510</v>
          </cell>
          <cell r="B3">
            <v>4</v>
          </cell>
          <cell r="C3">
            <v>0.82969999999999999</v>
          </cell>
          <cell r="D3">
            <v>0.10999999999999899</v>
          </cell>
          <cell r="E3" t="str">
            <v>X</v>
          </cell>
        </row>
        <row r="4">
          <cell r="A4">
            <v>43511</v>
          </cell>
          <cell r="B4">
            <v>5</v>
          </cell>
          <cell r="C4">
            <v>0.81950000000000001</v>
          </cell>
          <cell r="D4">
            <v>-1.0199999999999987</v>
          </cell>
          <cell r="E4" t="str">
            <v>X</v>
          </cell>
        </row>
        <row r="5">
          <cell r="A5">
            <v>43514</v>
          </cell>
          <cell r="B5">
            <v>1</v>
          </cell>
          <cell r="C5">
            <v>0.81389999999999996</v>
          </cell>
          <cell r="D5">
            <v>-0.56000000000000494</v>
          </cell>
          <cell r="E5" t="str">
            <v>X</v>
          </cell>
        </row>
        <row r="6">
          <cell r="A6">
            <v>43515</v>
          </cell>
          <cell r="B6">
            <v>2</v>
          </cell>
          <cell r="C6">
            <v>0.81359999999999999</v>
          </cell>
          <cell r="D6">
            <v>-2.9999999999996696E-2</v>
          </cell>
          <cell r="E6" t="str">
            <v>X</v>
          </cell>
        </row>
        <row r="7">
          <cell r="A7">
            <v>43516</v>
          </cell>
          <cell r="B7">
            <v>3</v>
          </cell>
          <cell r="C7">
            <v>0.80800000000000005</v>
          </cell>
          <cell r="D7">
            <v>-0.55999999999999384</v>
          </cell>
          <cell r="E7" t="str">
            <v>X</v>
          </cell>
        </row>
        <row r="8">
          <cell r="A8">
            <v>43517</v>
          </cell>
          <cell r="B8">
            <v>4</v>
          </cell>
          <cell r="C8">
            <v>0.81430000000000002</v>
          </cell>
          <cell r="D8">
            <v>0.62999999999999723</v>
          </cell>
          <cell r="E8" t="str">
            <v>X</v>
          </cell>
        </row>
        <row r="9">
          <cell r="A9">
            <v>43518</v>
          </cell>
          <cell r="B9">
            <v>5</v>
          </cell>
          <cell r="C9">
            <v>0.82040000000000002</v>
          </cell>
          <cell r="D9">
            <v>0.60999999999999943</v>
          </cell>
          <cell r="E9" t="str">
            <v>X</v>
          </cell>
        </row>
        <row r="10">
          <cell r="A10">
            <v>43521</v>
          </cell>
          <cell r="B10">
            <v>1</v>
          </cell>
          <cell r="C10">
            <v>0.81520000000000004</v>
          </cell>
          <cell r="D10">
            <v>-0.51999999999999824</v>
          </cell>
          <cell r="E10" t="str">
            <v>X</v>
          </cell>
        </row>
        <row r="11">
          <cell r="A11">
            <v>43522</v>
          </cell>
          <cell r="B11">
            <v>2</v>
          </cell>
          <cell r="C11">
            <v>0.81910000000000005</v>
          </cell>
          <cell r="D11">
            <v>0.39000000000000146</v>
          </cell>
          <cell r="E11" t="str">
            <v>X</v>
          </cell>
        </row>
        <row r="12">
          <cell r="A12">
            <v>43523</v>
          </cell>
          <cell r="B12">
            <v>3</v>
          </cell>
          <cell r="C12">
            <v>0.82</v>
          </cell>
          <cell r="D12">
            <v>8.9999999999990088E-2</v>
          </cell>
          <cell r="E12" t="str">
            <v>X</v>
          </cell>
        </row>
        <row r="13">
          <cell r="A13">
            <v>43528</v>
          </cell>
          <cell r="B13">
            <v>1</v>
          </cell>
          <cell r="C13">
            <v>0.83799999999999997</v>
          </cell>
          <cell r="D13">
            <v>1.8000000000000016</v>
          </cell>
          <cell r="E13" t="str">
            <v>X</v>
          </cell>
        </row>
        <row r="14">
          <cell r="A14">
            <v>43529</v>
          </cell>
          <cell r="B14">
            <v>2</v>
          </cell>
          <cell r="C14">
            <v>0.83050000000000002</v>
          </cell>
          <cell r="D14">
            <v>-0.74999999999999512</v>
          </cell>
          <cell r="E14" t="str">
            <v>X</v>
          </cell>
        </row>
        <row r="15">
          <cell r="A15">
            <v>43530</v>
          </cell>
          <cell r="B15">
            <v>3</v>
          </cell>
          <cell r="C15">
            <v>0.82989999999999997</v>
          </cell>
          <cell r="D15">
            <v>-6.0000000000004494E-2</v>
          </cell>
          <cell r="E15" t="str">
            <v>X</v>
          </cell>
        </row>
        <row r="16">
          <cell r="A16">
            <v>43531</v>
          </cell>
          <cell r="B16">
            <v>4</v>
          </cell>
          <cell r="C16">
            <v>0.82679999999999998</v>
          </cell>
          <cell r="D16">
            <v>-0.30999999999999917</v>
          </cell>
          <cell r="E16" t="str">
            <v>X</v>
          </cell>
        </row>
        <row r="17">
          <cell r="A17">
            <v>43532</v>
          </cell>
          <cell r="B17">
            <v>5</v>
          </cell>
          <cell r="C17">
            <v>0.81630000000000003</v>
          </cell>
          <cell r="D17">
            <v>-1.0499999999999954</v>
          </cell>
          <cell r="E17" t="str">
            <v>X</v>
          </cell>
        </row>
        <row r="18">
          <cell r="A18">
            <v>43535</v>
          </cell>
          <cell r="B18">
            <v>1</v>
          </cell>
          <cell r="C18">
            <v>0.82230000000000003</v>
          </cell>
          <cell r="D18">
            <v>0.60000000000000053</v>
          </cell>
          <cell r="E18" t="str">
            <v>X</v>
          </cell>
        </row>
        <row r="19">
          <cell r="A19">
            <v>43536</v>
          </cell>
          <cell r="B19">
            <v>2</v>
          </cell>
          <cell r="C19">
            <v>0.81699999999999995</v>
          </cell>
          <cell r="D19">
            <v>-0.53000000000000824</v>
          </cell>
          <cell r="E19" t="str">
            <v>X</v>
          </cell>
        </row>
        <row r="20">
          <cell r="A20">
            <v>43537</v>
          </cell>
          <cell r="B20">
            <v>3</v>
          </cell>
          <cell r="C20">
            <v>0.8115</v>
          </cell>
          <cell r="D20">
            <v>-0.54999999999999494</v>
          </cell>
          <cell r="E20" t="str">
            <v>X</v>
          </cell>
        </row>
        <row r="21">
          <cell r="A21">
            <v>43538</v>
          </cell>
          <cell r="B21">
            <v>4</v>
          </cell>
          <cell r="C21">
            <v>0.80400000000000005</v>
          </cell>
          <cell r="D21">
            <v>-0.8799999999999919</v>
          </cell>
          <cell r="E21" t="str">
            <v>X</v>
          </cell>
        </row>
        <row r="22">
          <cell r="A22">
            <v>43539</v>
          </cell>
          <cell r="B22">
            <v>5</v>
          </cell>
          <cell r="C22">
            <v>0.79779999999999995</v>
          </cell>
          <cell r="D22">
            <v>-1.5000000000000013</v>
          </cell>
          <cell r="E22" t="str">
            <v>X</v>
          </cell>
        </row>
        <row r="23">
          <cell r="A23">
            <v>43542</v>
          </cell>
          <cell r="B23">
            <v>1</v>
          </cell>
          <cell r="C23">
            <v>0.79300000000000004</v>
          </cell>
          <cell r="D23">
            <v>-0.47999999999999154</v>
          </cell>
          <cell r="E23" t="str">
            <v>X</v>
          </cell>
        </row>
        <row r="24">
          <cell r="A24">
            <v>43543</v>
          </cell>
          <cell r="B24">
            <v>2</v>
          </cell>
          <cell r="C24">
            <v>0.79520000000000002</v>
          </cell>
          <cell r="D24">
            <v>0.21999999999999797</v>
          </cell>
          <cell r="E24" t="str">
            <v>X</v>
          </cell>
        </row>
        <row r="25">
          <cell r="A25">
            <v>43544</v>
          </cell>
          <cell r="B25">
            <v>3</v>
          </cell>
          <cell r="C25">
            <v>0.81240000000000001</v>
          </cell>
          <cell r="D25">
            <v>1.7199999999999993</v>
          </cell>
          <cell r="E25" t="str">
            <v>X</v>
          </cell>
        </row>
        <row r="26">
          <cell r="A26">
            <v>43545</v>
          </cell>
          <cell r="B26">
            <v>4</v>
          </cell>
          <cell r="C26">
            <v>0.79079999999999995</v>
          </cell>
          <cell r="D26">
            <v>-2.1600000000000064</v>
          </cell>
          <cell r="E26" t="str">
            <v>X</v>
          </cell>
        </row>
        <row r="27">
          <cell r="A27">
            <v>43546</v>
          </cell>
          <cell r="B27">
            <v>5</v>
          </cell>
          <cell r="C27">
            <v>0.78749999999999998</v>
          </cell>
          <cell r="D27">
            <v>-0.32999999999999696</v>
          </cell>
          <cell r="E27" t="str">
            <v>X</v>
          </cell>
        </row>
        <row r="28">
          <cell r="A28">
            <v>43549</v>
          </cell>
          <cell r="B28">
            <v>1</v>
          </cell>
          <cell r="C28">
            <v>0.76900000000000002</v>
          </cell>
          <cell r="D28">
            <v>-1.8499999999999961</v>
          </cell>
          <cell r="E28" t="str">
            <v>X</v>
          </cell>
        </row>
        <row r="29">
          <cell r="A29">
            <v>43550</v>
          </cell>
          <cell r="B29">
            <v>2</v>
          </cell>
          <cell r="C29">
            <v>0.77600000000000002</v>
          </cell>
          <cell r="D29">
            <v>0.70000000000000062</v>
          </cell>
          <cell r="E29" t="str">
            <v>X</v>
          </cell>
        </row>
        <row r="30">
          <cell r="A30">
            <v>43551</v>
          </cell>
          <cell r="B30">
            <v>3</v>
          </cell>
          <cell r="C30">
            <v>0.77349999999999997</v>
          </cell>
          <cell r="D30">
            <v>-0.25000000000000577</v>
          </cell>
          <cell r="E30" t="str">
            <v>X</v>
          </cell>
        </row>
        <row r="31">
          <cell r="A31">
            <v>43552</v>
          </cell>
          <cell r="B31">
            <v>4</v>
          </cell>
          <cell r="C31">
            <v>0.75990000000000002</v>
          </cell>
          <cell r="D31">
            <v>-1.3599999999999945</v>
          </cell>
          <cell r="E31" t="str">
            <v>X</v>
          </cell>
        </row>
        <row r="32">
          <cell r="A32">
            <v>43553</v>
          </cell>
          <cell r="B32">
            <v>5</v>
          </cell>
          <cell r="C32">
            <v>0.76800000000000002</v>
          </cell>
          <cell r="D32">
            <v>0.80999999999999961</v>
          </cell>
          <cell r="E32" t="str">
            <v>X</v>
          </cell>
        </row>
        <row r="33">
          <cell r="A33">
            <v>43556</v>
          </cell>
          <cell r="B33">
            <v>1</v>
          </cell>
          <cell r="C33">
            <v>0.77390000000000003</v>
          </cell>
          <cell r="D33">
            <v>0.59000000000000163</v>
          </cell>
          <cell r="E33" t="str">
            <v>X</v>
          </cell>
        </row>
        <row r="34">
          <cell r="A34">
            <v>43557</v>
          </cell>
          <cell r="B34">
            <v>2</v>
          </cell>
          <cell r="C34">
            <v>0.77339999999999998</v>
          </cell>
          <cell r="D34">
            <v>-5.0000000000005596E-2</v>
          </cell>
          <cell r="E34" t="str">
            <v>X</v>
          </cell>
        </row>
        <row r="35">
          <cell r="A35">
            <v>43558</v>
          </cell>
          <cell r="B35">
            <v>3</v>
          </cell>
          <cell r="C35">
            <v>0.75770000000000004</v>
          </cell>
          <cell r="D35">
            <v>-1.5699999999999936</v>
          </cell>
          <cell r="E35" t="str">
            <v>X</v>
          </cell>
        </row>
        <row r="36">
          <cell r="A36">
            <v>43563</v>
          </cell>
          <cell r="B36">
            <v>1</v>
          </cell>
          <cell r="C36">
            <v>0.74709999999999999</v>
          </cell>
          <cell r="D36">
            <v>-1.0600000000000054</v>
          </cell>
          <cell r="E36" t="str">
            <v>X</v>
          </cell>
        </row>
        <row r="37">
          <cell r="A37">
            <v>43564</v>
          </cell>
          <cell r="B37">
            <v>2</v>
          </cell>
          <cell r="C37">
            <v>0.75800000000000001</v>
          </cell>
          <cell r="D37">
            <v>1.0900000000000021</v>
          </cell>
          <cell r="E37" t="str">
            <v>X</v>
          </cell>
        </row>
        <row r="38">
          <cell r="A38">
            <v>43565</v>
          </cell>
          <cell r="B38">
            <v>3</v>
          </cell>
          <cell r="C38">
            <v>0.76390000000000002</v>
          </cell>
          <cell r="D38">
            <v>0.59000000000000163</v>
          </cell>
          <cell r="E38" t="str">
            <v>X</v>
          </cell>
        </row>
        <row r="39">
          <cell r="A39">
            <v>43566</v>
          </cell>
          <cell r="B39">
            <v>4</v>
          </cell>
          <cell r="C39">
            <v>0.76100000000000001</v>
          </cell>
          <cell r="D39">
            <v>-0.29000000000000137</v>
          </cell>
          <cell r="E39" t="str">
            <v>X</v>
          </cell>
        </row>
        <row r="40">
          <cell r="A40">
            <v>43567</v>
          </cell>
          <cell r="B40">
            <v>5</v>
          </cell>
          <cell r="C40">
            <v>0.75649999999999995</v>
          </cell>
          <cell r="D40">
            <v>-0.45000000000000595</v>
          </cell>
          <cell r="E40" t="str">
            <v>X</v>
          </cell>
        </row>
        <row r="41">
          <cell r="A41">
            <v>43570</v>
          </cell>
          <cell r="B41">
            <v>1</v>
          </cell>
          <cell r="C41">
            <v>0.76080000000000003</v>
          </cell>
          <cell r="D41">
            <v>0.43000000000000815</v>
          </cell>
          <cell r="E41" t="str">
            <v>X</v>
          </cell>
        </row>
        <row r="42">
          <cell r="A42">
            <v>43571</v>
          </cell>
          <cell r="B42">
            <v>2</v>
          </cell>
          <cell r="C42">
            <v>0.73960000000000004</v>
          </cell>
          <cell r="D42">
            <v>-2.1199999999999997</v>
          </cell>
          <cell r="E42" t="str">
            <v>X</v>
          </cell>
        </row>
        <row r="43">
          <cell r="A43">
            <v>43572</v>
          </cell>
          <cell r="B43">
            <v>3</v>
          </cell>
          <cell r="C43">
            <v>0.75280000000000002</v>
          </cell>
          <cell r="D43">
            <v>1.319999999999999</v>
          </cell>
          <cell r="E43" t="str">
            <v>X</v>
          </cell>
        </row>
        <row r="44">
          <cell r="A44">
            <v>43573</v>
          </cell>
          <cell r="B44">
            <v>4</v>
          </cell>
          <cell r="C44">
            <v>0.74739999999999995</v>
          </cell>
          <cell r="D44">
            <v>-0.54000000000000714</v>
          </cell>
          <cell r="E44" t="str">
            <v>X</v>
          </cell>
        </row>
        <row r="45">
          <cell r="A45">
            <v>43574</v>
          </cell>
          <cell r="B45">
            <v>5</v>
          </cell>
          <cell r="C45">
            <v>0.753</v>
          </cell>
          <cell r="D45">
            <v>0.56000000000000494</v>
          </cell>
          <cell r="E45" t="str">
            <v>X</v>
          </cell>
        </row>
        <row r="46">
          <cell r="A46">
            <v>43577</v>
          </cell>
          <cell r="B46">
            <v>1</v>
          </cell>
          <cell r="C46">
            <v>0.75360000000000005</v>
          </cell>
          <cell r="D46">
            <v>6.0000000000004494E-2</v>
          </cell>
          <cell r="E46" t="str">
            <v>X</v>
          </cell>
        </row>
        <row r="47">
          <cell r="A47">
            <v>43578</v>
          </cell>
          <cell r="B47">
            <v>2</v>
          </cell>
          <cell r="C47">
            <v>0.75219999999999998</v>
          </cell>
          <cell r="D47">
            <v>-0.14000000000000679</v>
          </cell>
          <cell r="E47" t="str">
            <v>X</v>
          </cell>
        </row>
        <row r="48">
          <cell r="A48">
            <v>43579</v>
          </cell>
          <cell r="B48">
            <v>3</v>
          </cell>
          <cell r="C48">
            <v>0.74639999999999995</v>
          </cell>
          <cell r="D48">
            <v>-0.58000000000000274</v>
          </cell>
          <cell r="E48" t="str">
            <v>X</v>
          </cell>
        </row>
        <row r="49">
          <cell r="A49">
            <v>43580</v>
          </cell>
          <cell r="B49">
            <v>4</v>
          </cell>
          <cell r="C49">
            <v>0.74280000000000002</v>
          </cell>
          <cell r="D49">
            <v>-0.35999999999999366</v>
          </cell>
          <cell r="E49" t="str">
            <v>X</v>
          </cell>
        </row>
        <row r="50">
          <cell r="A50">
            <v>43581</v>
          </cell>
          <cell r="B50">
            <v>5</v>
          </cell>
          <cell r="C50">
            <v>0.74099999999999999</v>
          </cell>
          <cell r="D50">
            <v>-0.18000000000000238</v>
          </cell>
          <cell r="E50" t="str">
            <v>X</v>
          </cell>
        </row>
        <row r="51">
          <cell r="A51">
            <v>43584</v>
          </cell>
          <cell r="B51">
            <v>1</v>
          </cell>
          <cell r="C51">
            <v>0.73340000000000005</v>
          </cell>
          <cell r="D51">
            <v>-0.75999999999999401</v>
          </cell>
          <cell r="E51" t="str">
            <v>X</v>
          </cell>
        </row>
        <row r="52">
          <cell r="A52">
            <v>43585</v>
          </cell>
          <cell r="B52">
            <v>2</v>
          </cell>
          <cell r="C52">
            <v>0.73399999999999999</v>
          </cell>
          <cell r="D52">
            <v>5.9999999999993392E-2</v>
          </cell>
          <cell r="E52" t="str">
            <v>X</v>
          </cell>
        </row>
        <row r="53">
          <cell r="A53">
            <v>43586</v>
          </cell>
          <cell r="B53">
            <v>3</v>
          </cell>
          <cell r="C53">
            <v>0.73399999999999999</v>
          </cell>
          <cell r="D53">
            <v>0</v>
          </cell>
          <cell r="E53" t="str">
            <v>X</v>
          </cell>
        </row>
        <row r="54">
          <cell r="A54">
            <v>43587</v>
          </cell>
          <cell r="B54">
            <v>4</v>
          </cell>
          <cell r="C54">
            <v>0.7379</v>
          </cell>
          <cell r="D54">
            <v>0.39000000000000146</v>
          </cell>
          <cell r="E54" t="str">
            <v>X</v>
          </cell>
        </row>
        <row r="55">
          <cell r="A55">
            <v>43588</v>
          </cell>
          <cell r="B55">
            <v>5</v>
          </cell>
          <cell r="C55">
            <v>0.74960000000000004</v>
          </cell>
          <cell r="D55">
            <v>1.1700000000000044</v>
          </cell>
          <cell r="E55" t="str">
            <v>X</v>
          </cell>
        </row>
        <row r="56">
          <cell r="A56">
            <v>43591</v>
          </cell>
          <cell r="B56">
            <v>1</v>
          </cell>
          <cell r="C56">
            <v>0.73350000000000004</v>
          </cell>
          <cell r="D56">
            <v>-1.6100000000000003</v>
          </cell>
          <cell r="E56" t="str">
            <v>X</v>
          </cell>
        </row>
        <row r="57">
          <cell r="A57">
            <v>43592</v>
          </cell>
          <cell r="B57">
            <v>2</v>
          </cell>
          <cell r="C57">
            <v>0.7419</v>
          </cell>
          <cell r="D57">
            <v>0.83999999999999631</v>
          </cell>
          <cell r="E57" t="str">
            <v>X</v>
          </cell>
        </row>
        <row r="58">
          <cell r="A58">
            <v>43593</v>
          </cell>
          <cell r="B58">
            <v>3</v>
          </cell>
          <cell r="C58">
            <v>0.74150000000000005</v>
          </cell>
          <cell r="D58">
            <v>-3.9999999999995595E-2</v>
          </cell>
          <cell r="E58" t="str">
            <v>X</v>
          </cell>
        </row>
        <row r="59">
          <cell r="A59">
            <v>43594</v>
          </cell>
          <cell r="B59">
            <v>4</v>
          </cell>
          <cell r="C59">
            <v>0.73909999999999998</v>
          </cell>
          <cell r="D59">
            <v>-0.24000000000000687</v>
          </cell>
          <cell r="E59" t="str">
            <v>X</v>
          </cell>
        </row>
        <row r="60">
          <cell r="A60">
            <v>43595</v>
          </cell>
          <cell r="B60">
            <v>5</v>
          </cell>
          <cell r="C60">
            <v>0.74009999999999998</v>
          </cell>
          <cell r="D60">
            <v>0.10000000000000009</v>
          </cell>
          <cell r="E60" t="str">
            <v>X</v>
          </cell>
        </row>
        <row r="61">
          <cell r="A61">
            <v>43598</v>
          </cell>
          <cell r="B61">
            <v>1</v>
          </cell>
          <cell r="C61">
            <v>0.73499999999999999</v>
          </cell>
          <cell r="D61">
            <v>-0.50999999999999934</v>
          </cell>
          <cell r="E61" t="str">
            <v>X</v>
          </cell>
        </row>
        <row r="62">
          <cell r="A62">
            <v>43599</v>
          </cell>
          <cell r="B62">
            <v>2</v>
          </cell>
          <cell r="C62">
            <v>0.73699999999999999</v>
          </cell>
          <cell r="D62">
            <v>0.20000000000000018</v>
          </cell>
          <cell r="E62" t="str">
            <v>X</v>
          </cell>
        </row>
        <row r="63">
          <cell r="A63">
            <v>43600</v>
          </cell>
          <cell r="B63">
            <v>3</v>
          </cell>
          <cell r="C63">
            <v>0.73340000000000005</v>
          </cell>
          <cell r="D63">
            <v>-0.35999999999999366</v>
          </cell>
          <cell r="E63" t="str">
            <v>X</v>
          </cell>
        </row>
        <row r="64">
          <cell r="A64">
            <v>43601</v>
          </cell>
          <cell r="B64">
            <v>4</v>
          </cell>
          <cell r="C64">
            <v>0.72199999999999998</v>
          </cell>
          <cell r="D64">
            <v>-1.1400000000000077</v>
          </cell>
          <cell r="E64" t="str">
            <v>X</v>
          </cell>
        </row>
        <row r="65">
          <cell r="A65">
            <v>43602</v>
          </cell>
          <cell r="B65">
            <v>5</v>
          </cell>
          <cell r="C65">
            <v>0.72</v>
          </cell>
          <cell r="D65">
            <v>-0.20000000000000018</v>
          </cell>
          <cell r="E65" t="str">
            <v>X</v>
          </cell>
        </row>
        <row r="66">
          <cell r="A66">
            <v>43605</v>
          </cell>
          <cell r="B66">
            <v>1</v>
          </cell>
          <cell r="C66">
            <v>0.7208</v>
          </cell>
          <cell r="D66">
            <v>8.0000000000002292E-2</v>
          </cell>
          <cell r="E66" t="str">
            <v>X</v>
          </cell>
        </row>
        <row r="67">
          <cell r="A67">
            <v>43606</v>
          </cell>
          <cell r="B67">
            <v>2</v>
          </cell>
          <cell r="C67">
            <v>0.71250000000000002</v>
          </cell>
          <cell r="D67">
            <v>-0.82999999999999741</v>
          </cell>
          <cell r="E67" t="str">
            <v>X</v>
          </cell>
        </row>
        <row r="68">
          <cell r="A68">
            <v>43607</v>
          </cell>
          <cell r="B68">
            <v>3</v>
          </cell>
          <cell r="C68">
            <v>0.71719999999999995</v>
          </cell>
          <cell r="D68">
            <v>0.46999999999999265</v>
          </cell>
          <cell r="E68" t="str">
            <v>X</v>
          </cell>
        </row>
        <row r="69">
          <cell r="A69">
            <v>43608</v>
          </cell>
          <cell r="B69">
            <v>4</v>
          </cell>
          <cell r="C69">
            <v>0.70289999999999997</v>
          </cell>
          <cell r="D69">
            <v>-1.4299999999999979</v>
          </cell>
          <cell r="E69" t="str">
            <v>X</v>
          </cell>
        </row>
        <row r="70">
          <cell r="A70">
            <v>43609</v>
          </cell>
          <cell r="B70">
            <v>5</v>
          </cell>
          <cell r="C70">
            <v>0.70299999999999996</v>
          </cell>
          <cell r="D70">
            <v>9.9999999999988987E-3</v>
          </cell>
          <cell r="E70" t="str">
            <v>X</v>
          </cell>
        </row>
        <row r="71">
          <cell r="A71">
            <v>43612</v>
          </cell>
          <cell r="B71">
            <v>1</v>
          </cell>
          <cell r="C71">
            <v>0.70799999999999996</v>
          </cell>
          <cell r="D71">
            <v>0.50000000000000044</v>
          </cell>
          <cell r="E71" t="str">
            <v>X</v>
          </cell>
        </row>
        <row r="72">
          <cell r="A72">
            <v>43613</v>
          </cell>
          <cell r="B72">
            <v>2</v>
          </cell>
          <cell r="C72">
            <v>0.71360000000000001</v>
          </cell>
          <cell r="D72">
            <v>0.56000000000000494</v>
          </cell>
          <cell r="E72" t="str">
            <v>X</v>
          </cell>
        </row>
        <row r="73">
          <cell r="A73">
            <v>43614</v>
          </cell>
          <cell r="B73">
            <v>3</v>
          </cell>
          <cell r="C73">
            <v>0.70130000000000003</v>
          </cell>
          <cell r="D73">
            <v>-1.2299999999999978</v>
          </cell>
          <cell r="E73" t="str">
            <v>X</v>
          </cell>
        </row>
        <row r="74">
          <cell r="A74">
            <v>43615</v>
          </cell>
          <cell r="B74">
            <v>4</v>
          </cell>
          <cell r="C74">
            <v>0.71240000000000003</v>
          </cell>
          <cell r="D74">
            <v>1.1099999999999999</v>
          </cell>
          <cell r="E74" t="str">
            <v>X</v>
          </cell>
        </row>
        <row r="75">
          <cell r="A75">
            <v>43616</v>
          </cell>
          <cell r="B75">
            <v>5</v>
          </cell>
          <cell r="C75">
            <v>0.70650000000000002</v>
          </cell>
          <cell r="D75">
            <v>-0.59000000000000163</v>
          </cell>
          <cell r="E75" t="str">
            <v>X</v>
          </cell>
        </row>
        <row r="76">
          <cell r="A76">
            <v>43619</v>
          </cell>
          <cell r="B76">
            <v>1</v>
          </cell>
          <cell r="C76">
            <v>0.69699999999999995</v>
          </cell>
          <cell r="D76">
            <v>-0.95000000000000639</v>
          </cell>
          <cell r="E76" t="str">
            <v>X</v>
          </cell>
        </row>
        <row r="77">
          <cell r="A77">
            <v>43620</v>
          </cell>
          <cell r="B77">
            <v>2</v>
          </cell>
          <cell r="C77">
            <v>0.67130000000000001</v>
          </cell>
          <cell r="D77">
            <v>-2.5699999999999945</v>
          </cell>
          <cell r="E77" t="str">
            <v>X</v>
          </cell>
        </row>
        <row r="78">
          <cell r="A78">
            <v>43621</v>
          </cell>
          <cell r="B78">
            <v>3</v>
          </cell>
          <cell r="C78">
            <v>0.67010000000000003</v>
          </cell>
          <cell r="D78">
            <v>-0.11999999999999789</v>
          </cell>
          <cell r="E78" t="str">
            <v>X</v>
          </cell>
        </row>
        <row r="79">
          <cell r="A79">
            <v>43622</v>
          </cell>
          <cell r="B79">
            <v>4</v>
          </cell>
          <cell r="C79">
            <v>0.67459999999999998</v>
          </cell>
          <cell r="D79">
            <v>0.44999999999999485</v>
          </cell>
          <cell r="E79" t="str">
            <v>X</v>
          </cell>
        </row>
        <row r="80">
          <cell r="A80">
            <v>43626</v>
          </cell>
          <cell r="B80">
            <v>1</v>
          </cell>
          <cell r="C80">
            <v>0.68979999999999997</v>
          </cell>
          <cell r="D80">
            <v>1.5199999999999991</v>
          </cell>
          <cell r="E80" t="str">
            <v>X</v>
          </cell>
        </row>
        <row r="81">
          <cell r="A81">
            <v>43627</v>
          </cell>
          <cell r="B81">
            <v>2</v>
          </cell>
          <cell r="C81">
            <v>0.70520000000000005</v>
          </cell>
          <cell r="D81">
            <v>1.540000000000008</v>
          </cell>
          <cell r="E81" t="str">
            <v>X</v>
          </cell>
        </row>
        <row r="82">
          <cell r="A82">
            <v>43628</v>
          </cell>
          <cell r="B82">
            <v>3</v>
          </cell>
          <cell r="C82">
            <v>0.71150000000000002</v>
          </cell>
          <cell r="D82">
            <v>0.62999999999999723</v>
          </cell>
          <cell r="E82" t="str">
            <v>X</v>
          </cell>
        </row>
        <row r="83">
          <cell r="A83">
            <v>43629</v>
          </cell>
          <cell r="B83">
            <v>4</v>
          </cell>
          <cell r="C83">
            <v>0.70130000000000003</v>
          </cell>
          <cell r="D83">
            <v>-1.0199999999999987</v>
          </cell>
          <cell r="E83" t="str">
            <v>X</v>
          </cell>
        </row>
        <row r="84">
          <cell r="A84">
            <v>43630</v>
          </cell>
          <cell r="B84">
            <v>5</v>
          </cell>
          <cell r="C84">
            <v>0.70799999999999996</v>
          </cell>
          <cell r="D84">
            <v>0.66999999999999282</v>
          </cell>
          <cell r="E84">
            <v>0.193</v>
          </cell>
        </row>
        <row r="85">
          <cell r="A85">
            <v>43633</v>
          </cell>
          <cell r="B85">
            <v>1</v>
          </cell>
          <cell r="C85">
            <v>0.71450000000000002</v>
          </cell>
          <cell r="D85">
            <v>0.65000000000000613</v>
          </cell>
          <cell r="E85">
            <v>0.191</v>
          </cell>
        </row>
        <row r="86">
          <cell r="A86">
            <v>43634</v>
          </cell>
          <cell r="B86">
            <v>2</v>
          </cell>
          <cell r="C86">
            <v>0.70930000000000004</v>
          </cell>
          <cell r="D86">
            <v>-0.51999999999999824</v>
          </cell>
          <cell r="E86">
            <v>0.193</v>
          </cell>
        </row>
        <row r="87">
          <cell r="A87">
            <v>43635</v>
          </cell>
          <cell r="B87">
            <v>3</v>
          </cell>
          <cell r="C87">
            <v>0.70550000000000002</v>
          </cell>
          <cell r="D87">
            <v>-0.38000000000000256</v>
          </cell>
          <cell r="E87">
            <v>0.193</v>
          </cell>
        </row>
        <row r="88">
          <cell r="A88">
            <v>43636</v>
          </cell>
          <cell r="B88">
            <v>4</v>
          </cell>
          <cell r="C88">
            <v>0.68769999999999998</v>
          </cell>
          <cell r="D88">
            <v>-1.7800000000000038</v>
          </cell>
          <cell r="E88">
            <v>0.193</v>
          </cell>
        </row>
        <row r="89">
          <cell r="A89">
            <v>43637</v>
          </cell>
          <cell r="B89">
            <v>5</v>
          </cell>
          <cell r="C89">
            <v>0.68500000000000005</v>
          </cell>
          <cell r="D89">
            <v>-0.26999999999999247</v>
          </cell>
          <cell r="E89">
            <v>0.193</v>
          </cell>
        </row>
        <row r="90">
          <cell r="A90">
            <v>43640</v>
          </cell>
          <cell r="B90">
            <v>1</v>
          </cell>
          <cell r="C90">
            <v>0.68520000000000003</v>
          </cell>
          <cell r="D90">
            <v>1.9999999999997797E-2</v>
          </cell>
          <cell r="E90">
            <v>0.189</v>
          </cell>
        </row>
        <row r="91">
          <cell r="A91">
            <v>43641</v>
          </cell>
          <cell r="B91">
            <v>2</v>
          </cell>
          <cell r="C91">
            <v>0.67300000000000004</v>
          </cell>
          <cell r="D91">
            <v>-1.2199999999999989</v>
          </cell>
          <cell r="E91">
            <v>0.191</v>
          </cell>
        </row>
        <row r="92">
          <cell r="A92">
            <v>43642</v>
          </cell>
          <cell r="B92">
            <v>3</v>
          </cell>
          <cell r="C92">
            <v>0.68</v>
          </cell>
          <cell r="D92">
            <v>0.70000000000000062</v>
          </cell>
          <cell r="E92">
            <v>0.19</v>
          </cell>
        </row>
        <row r="93">
          <cell r="A93">
            <v>43643</v>
          </cell>
          <cell r="B93">
            <v>4</v>
          </cell>
          <cell r="C93">
            <v>0.69279999999999997</v>
          </cell>
          <cell r="D93">
            <v>1.2799999999999923</v>
          </cell>
          <cell r="E93">
            <v>0.192</v>
          </cell>
        </row>
        <row r="94">
          <cell r="A94">
            <v>43644</v>
          </cell>
          <cell r="B94">
            <v>5</v>
          </cell>
          <cell r="C94">
            <v>0.68400000000000005</v>
          </cell>
          <cell r="D94">
            <v>-0.8799999999999919</v>
          </cell>
          <cell r="E94">
            <v>0.19</v>
          </cell>
        </row>
        <row r="95">
          <cell r="A95">
            <v>43647</v>
          </cell>
          <cell r="B95">
            <v>1</v>
          </cell>
          <cell r="C95">
            <v>0.68799999999999994</v>
          </cell>
          <cell r="D95">
            <v>0.39999999999998925</v>
          </cell>
        </row>
        <row r="96">
          <cell r="A96">
            <v>43648</v>
          </cell>
          <cell r="B96">
            <v>2</v>
          </cell>
          <cell r="C96">
            <v>0.68200000000000005</v>
          </cell>
          <cell r="D96">
            <v>-0.59999999999998943</v>
          </cell>
        </row>
        <row r="97">
          <cell r="A97">
            <v>43649</v>
          </cell>
          <cell r="B97">
            <v>3</v>
          </cell>
          <cell r="C97">
            <v>0.65500000000000003</v>
          </cell>
          <cell r="D97">
            <v>-2.7000000000000024</v>
          </cell>
        </row>
        <row r="98">
          <cell r="A98">
            <v>43650</v>
          </cell>
          <cell r="B98">
            <v>4</v>
          </cell>
          <cell r="C98">
            <v>0.65529999999999999</v>
          </cell>
          <cell r="D98">
            <v>2.9999999999996696E-2</v>
          </cell>
        </row>
        <row r="99">
          <cell r="A99">
            <v>43651</v>
          </cell>
          <cell r="B99">
            <v>5</v>
          </cell>
          <cell r="C99">
            <v>0.64600000000000002</v>
          </cell>
          <cell r="D99">
            <v>-0.9299999999999975</v>
          </cell>
        </row>
        <row r="100">
          <cell r="A100">
            <v>43654</v>
          </cell>
          <cell r="B100">
            <v>1</v>
          </cell>
          <cell r="C100">
            <v>0.65100000000000002</v>
          </cell>
          <cell r="D100">
            <v>0.50000000000000044</v>
          </cell>
        </row>
        <row r="101">
          <cell r="A101">
            <v>43655</v>
          </cell>
          <cell r="B101">
            <v>2</v>
          </cell>
          <cell r="C101">
            <v>0.64349999999999996</v>
          </cell>
          <cell r="D101">
            <v>-0.75000000000000622</v>
          </cell>
        </row>
        <row r="102">
          <cell r="A102">
            <v>43656</v>
          </cell>
          <cell r="B102">
            <v>3</v>
          </cell>
          <cell r="C102">
            <v>0.64800000000000002</v>
          </cell>
          <cell r="D102">
            <v>0.45000000000000595</v>
          </cell>
        </row>
        <row r="103">
          <cell r="A103">
            <v>43657</v>
          </cell>
          <cell r="B103">
            <v>4</v>
          </cell>
          <cell r="C103">
            <v>0.64800000000000002</v>
          </cell>
          <cell r="D103">
            <v>0</v>
          </cell>
        </row>
        <row r="104">
          <cell r="A104">
            <v>43658</v>
          </cell>
          <cell r="B104">
            <v>5</v>
          </cell>
          <cell r="C104">
            <v>0.67379999999999995</v>
          </cell>
          <cell r="D104">
            <v>2.5799999999999934</v>
          </cell>
        </row>
        <row r="105">
          <cell r="A105">
            <v>43661</v>
          </cell>
          <cell r="B105">
            <v>1</v>
          </cell>
          <cell r="C105">
            <v>0.67</v>
          </cell>
          <cell r="D105">
            <v>-0.37999999999999146</v>
          </cell>
        </row>
        <row r="106">
          <cell r="A106">
            <v>43662</v>
          </cell>
          <cell r="B106">
            <v>2</v>
          </cell>
          <cell r="C106">
            <v>0.67</v>
          </cell>
          <cell r="D106">
            <v>0</v>
          </cell>
        </row>
        <row r="107">
          <cell r="A107">
            <v>43663</v>
          </cell>
          <cell r="B107">
            <v>3</v>
          </cell>
          <cell r="C107">
            <v>0.67869999999999997</v>
          </cell>
          <cell r="D107">
            <v>0.869999999999993</v>
          </cell>
        </row>
        <row r="108">
          <cell r="A108">
            <v>43664</v>
          </cell>
          <cell r="B108">
            <v>4</v>
          </cell>
          <cell r="C108">
            <v>0.65680000000000005</v>
          </cell>
          <cell r="D108">
            <v>-2.189999999999992</v>
          </cell>
        </row>
        <row r="109">
          <cell r="A109">
            <v>43665</v>
          </cell>
          <cell r="B109">
            <v>5</v>
          </cell>
          <cell r="C109">
            <v>0.65600000000000003</v>
          </cell>
          <cell r="D109">
            <v>-8.0000000000002292E-2</v>
          </cell>
        </row>
        <row r="110">
          <cell r="A110">
            <v>43668</v>
          </cell>
          <cell r="B110">
            <v>1</v>
          </cell>
          <cell r="C110">
            <v>0.65600000000000003</v>
          </cell>
          <cell r="D110">
            <v>0</v>
          </cell>
          <cell r="E110" t="str">
            <v>無成交</v>
          </cell>
        </row>
        <row r="111">
          <cell r="A111">
            <v>43669</v>
          </cell>
          <cell r="B111">
            <v>2</v>
          </cell>
          <cell r="C111">
            <v>0.65600000000000003</v>
          </cell>
          <cell r="D111">
            <v>0</v>
          </cell>
          <cell r="E111" t="str">
            <v>無成交</v>
          </cell>
        </row>
        <row r="112">
          <cell r="A112">
            <v>43670</v>
          </cell>
          <cell r="B112">
            <v>3</v>
          </cell>
          <cell r="C112">
            <v>0.67100000000000004</v>
          </cell>
          <cell r="D112">
            <v>1.5000000000000013</v>
          </cell>
        </row>
        <row r="113">
          <cell r="A113">
            <v>43671</v>
          </cell>
          <cell r="B113">
            <v>4</v>
          </cell>
          <cell r="C113">
            <v>0.66959999999999997</v>
          </cell>
          <cell r="D113">
            <v>-0.14000000000000679</v>
          </cell>
        </row>
        <row r="114">
          <cell r="A114">
            <v>43672</v>
          </cell>
          <cell r="B114">
            <v>5</v>
          </cell>
          <cell r="C114">
            <v>0.67500000000000004</v>
          </cell>
          <cell r="D114">
            <v>0.54000000000000714</v>
          </cell>
        </row>
        <row r="115">
          <cell r="A115">
            <v>43675</v>
          </cell>
          <cell r="B115">
            <v>1</v>
          </cell>
          <cell r="C115">
            <v>0.68220000000000003</v>
          </cell>
          <cell r="D115">
            <v>0.71999999999999842</v>
          </cell>
        </row>
        <row r="116">
          <cell r="A116">
            <v>43676</v>
          </cell>
          <cell r="B116">
            <v>2</v>
          </cell>
          <cell r="C116">
            <v>0.68659999999999999</v>
          </cell>
          <cell r="D116">
            <v>0.43999999999999595</v>
          </cell>
        </row>
        <row r="117">
          <cell r="A117">
            <v>43677</v>
          </cell>
          <cell r="B117">
            <v>3</v>
          </cell>
          <cell r="C117">
            <v>0.68500000000000005</v>
          </cell>
          <cell r="D117">
            <v>-0.15999999999999348</v>
          </cell>
        </row>
        <row r="118">
          <cell r="A118">
            <v>43678</v>
          </cell>
          <cell r="B118">
            <v>4</v>
          </cell>
          <cell r="C118">
            <v>0.69699999999999995</v>
          </cell>
          <cell r="D118">
            <v>1.19999999999999</v>
          </cell>
        </row>
        <row r="119">
          <cell r="A119">
            <v>43679</v>
          </cell>
          <cell r="B119">
            <v>5</v>
          </cell>
          <cell r="C119">
            <v>0.67500000000000004</v>
          </cell>
          <cell r="D119">
            <v>-2.1999999999999909</v>
          </cell>
        </row>
        <row r="120">
          <cell r="A120">
            <v>43682</v>
          </cell>
          <cell r="B120">
            <v>1</v>
          </cell>
          <cell r="C120">
            <v>0.66300000000000003</v>
          </cell>
          <cell r="D120">
            <v>-1.2000000000000011</v>
          </cell>
        </row>
        <row r="121">
          <cell r="A121">
            <v>43683</v>
          </cell>
          <cell r="B121">
            <v>2</v>
          </cell>
          <cell r="C121">
            <v>0.66720000000000002</v>
          </cell>
          <cell r="D121">
            <v>0.41999999999999815</v>
          </cell>
        </row>
        <row r="122">
          <cell r="A122">
            <v>43684</v>
          </cell>
          <cell r="B122">
            <v>3</v>
          </cell>
          <cell r="C122">
            <v>0.6603</v>
          </cell>
          <cell r="D122">
            <v>-0.69000000000000172</v>
          </cell>
        </row>
        <row r="123">
          <cell r="A123">
            <v>43685</v>
          </cell>
          <cell r="B123">
            <v>4</v>
          </cell>
          <cell r="C123">
            <v>0.65300000000000002</v>
          </cell>
          <cell r="D123">
            <v>-0.72999999999999732</v>
          </cell>
        </row>
        <row r="124">
          <cell r="A124">
            <v>43686</v>
          </cell>
          <cell r="B124">
            <v>5</v>
          </cell>
          <cell r="C124">
            <v>0.65300000000000002</v>
          </cell>
          <cell r="D124">
            <v>0</v>
          </cell>
          <cell r="E124" t="str">
            <v>休假</v>
          </cell>
        </row>
        <row r="125">
          <cell r="A125">
            <v>43689</v>
          </cell>
          <cell r="B125">
            <v>1</v>
          </cell>
          <cell r="C125">
            <v>0.65249999999999997</v>
          </cell>
          <cell r="D125">
            <v>-5.0000000000005596E-2</v>
          </cell>
        </row>
        <row r="126">
          <cell r="A126">
            <v>43690</v>
          </cell>
          <cell r="B126">
            <v>2</v>
          </cell>
          <cell r="C126">
            <v>0.63400000000000001</v>
          </cell>
          <cell r="D126">
            <v>-1.8499999999999961</v>
          </cell>
        </row>
        <row r="127">
          <cell r="A127">
            <v>43691</v>
          </cell>
          <cell r="B127">
            <v>3</v>
          </cell>
          <cell r="C127">
            <v>0.64049999999999996</v>
          </cell>
          <cell r="D127">
            <v>0.64999999999999503</v>
          </cell>
        </row>
        <row r="128">
          <cell r="A128">
            <v>43692</v>
          </cell>
          <cell r="B128">
            <v>4</v>
          </cell>
          <cell r="C128">
            <v>0.626</v>
          </cell>
          <cell r="D128">
            <v>-1.4499999999999957</v>
          </cell>
        </row>
        <row r="129">
          <cell r="A129">
            <v>43693</v>
          </cell>
          <cell r="B129">
            <v>5</v>
          </cell>
          <cell r="C129">
            <v>0.63480000000000003</v>
          </cell>
          <cell r="D129">
            <v>0.880000000000003</v>
          </cell>
        </row>
        <row r="130">
          <cell r="A130">
            <v>43696</v>
          </cell>
          <cell r="B130">
            <v>1</v>
          </cell>
          <cell r="C130">
            <v>0.64900000000000002</v>
          </cell>
          <cell r="D130">
            <v>1.419999999999999</v>
          </cell>
        </row>
        <row r="131">
          <cell r="A131">
            <v>43697</v>
          </cell>
          <cell r="B131">
            <v>2</v>
          </cell>
          <cell r="C131">
            <v>0.6482</v>
          </cell>
          <cell r="D131">
            <v>-8.0000000000002292E-2</v>
          </cell>
        </row>
        <row r="132">
          <cell r="A132">
            <v>43698</v>
          </cell>
          <cell r="B132">
            <v>3</v>
          </cell>
          <cell r="C132">
            <v>0.64700000000000002</v>
          </cell>
          <cell r="D132">
            <v>-0.11999999999999789</v>
          </cell>
        </row>
        <row r="133">
          <cell r="A133">
            <v>43699</v>
          </cell>
          <cell r="B133">
            <v>4</v>
          </cell>
          <cell r="C133">
            <v>0.64439999999999997</v>
          </cell>
          <cell r="D133">
            <v>-0.26000000000000467</v>
          </cell>
        </row>
        <row r="134">
          <cell r="A134">
            <v>43700</v>
          </cell>
          <cell r="B134">
            <v>5</v>
          </cell>
          <cell r="C134">
            <v>0.65700000000000003</v>
          </cell>
          <cell r="D134">
            <v>1.2600000000000056</v>
          </cell>
        </row>
        <row r="135">
          <cell r="A135">
            <v>43703</v>
          </cell>
          <cell r="B135">
            <v>1</v>
          </cell>
          <cell r="C135">
            <v>0.63660000000000005</v>
          </cell>
          <cell r="D135">
            <v>-2.0399999999999974</v>
          </cell>
        </row>
        <row r="136">
          <cell r="A136">
            <v>43704</v>
          </cell>
          <cell r="B136">
            <v>2</v>
          </cell>
          <cell r="C136">
            <v>0.64390000000000003</v>
          </cell>
          <cell r="D136">
            <v>0.72999999999999732</v>
          </cell>
        </row>
        <row r="137">
          <cell r="A137">
            <v>43705</v>
          </cell>
          <cell r="B137">
            <v>3</v>
          </cell>
          <cell r="C137">
            <v>0.64300000000000002</v>
          </cell>
          <cell r="D137">
            <v>-9.000000000000119E-2</v>
          </cell>
        </row>
        <row r="138">
          <cell r="A138">
            <v>43706</v>
          </cell>
          <cell r="B138">
            <v>4</v>
          </cell>
          <cell r="C138">
            <v>0.63829999999999998</v>
          </cell>
          <cell r="D138">
            <v>-0.47000000000000375</v>
          </cell>
        </row>
        <row r="139">
          <cell r="A139">
            <v>43707</v>
          </cell>
          <cell r="B139">
            <v>5</v>
          </cell>
          <cell r="C139">
            <v>0.64249999999999996</v>
          </cell>
          <cell r="D139">
            <v>0.41999999999999815</v>
          </cell>
        </row>
        <row r="140">
          <cell r="A140">
            <v>43710</v>
          </cell>
          <cell r="B140">
            <v>1</v>
          </cell>
          <cell r="C140">
            <v>0.64</v>
          </cell>
          <cell r="D140">
            <v>-0.24999999999999467</v>
          </cell>
        </row>
        <row r="141">
          <cell r="A141">
            <v>43711</v>
          </cell>
          <cell r="B141">
            <v>2</v>
          </cell>
          <cell r="C141">
            <v>0.66600000000000004</v>
          </cell>
          <cell r="D141">
            <v>2.6000000000000023</v>
          </cell>
        </row>
        <row r="142">
          <cell r="A142">
            <v>43712</v>
          </cell>
          <cell r="B142">
            <v>3</v>
          </cell>
          <cell r="C142">
            <v>0.65200000000000002</v>
          </cell>
          <cell r="D142">
            <v>-1.4000000000000012</v>
          </cell>
        </row>
        <row r="143">
          <cell r="A143">
            <v>43713</v>
          </cell>
          <cell r="B143">
            <v>4</v>
          </cell>
          <cell r="C143">
            <v>0.65849999999999997</v>
          </cell>
          <cell r="D143">
            <v>0.64999999999999503</v>
          </cell>
        </row>
        <row r="144">
          <cell r="A144">
            <v>43714</v>
          </cell>
          <cell r="B144">
            <v>5</v>
          </cell>
          <cell r="C144">
            <v>0.67</v>
          </cell>
          <cell r="D144">
            <v>1.1500000000000066</v>
          </cell>
        </row>
        <row r="145">
          <cell r="A145">
            <v>43717</v>
          </cell>
          <cell r="B145">
            <v>1</v>
          </cell>
          <cell r="C145">
            <v>0.66849999999999998</v>
          </cell>
          <cell r="D145">
            <v>-0.15000000000000568</v>
          </cell>
        </row>
        <row r="146">
          <cell r="A146">
            <v>43718</v>
          </cell>
          <cell r="B146">
            <v>2</v>
          </cell>
          <cell r="C146">
            <v>0.6845</v>
          </cell>
          <cell r="D146">
            <v>1.6000000000000014</v>
          </cell>
        </row>
        <row r="147">
          <cell r="A147">
            <v>43719</v>
          </cell>
          <cell r="B147">
            <v>3</v>
          </cell>
          <cell r="C147">
            <v>0.68569999999999998</v>
          </cell>
          <cell r="D147">
            <v>0.11999999999999789</v>
          </cell>
        </row>
        <row r="148">
          <cell r="A148">
            <v>43720</v>
          </cell>
          <cell r="B148">
            <v>4</v>
          </cell>
          <cell r="C148">
            <v>0.68679999999999997</v>
          </cell>
          <cell r="D148">
            <v>0.10999999999999899</v>
          </cell>
        </row>
        <row r="149">
          <cell r="A149">
            <v>43721</v>
          </cell>
          <cell r="B149">
            <v>5</v>
          </cell>
          <cell r="C149">
            <v>0.68679999999999997</v>
          </cell>
          <cell r="D149">
            <v>0</v>
          </cell>
          <cell r="E149" t="str">
            <v>休假</v>
          </cell>
        </row>
        <row r="150">
          <cell r="A150">
            <v>43724</v>
          </cell>
          <cell r="B150">
            <v>1</v>
          </cell>
          <cell r="C150">
            <v>0.70099999999999996</v>
          </cell>
          <cell r="D150">
            <v>1.419999999999999</v>
          </cell>
        </row>
        <row r="151">
          <cell r="A151">
            <v>43725</v>
          </cell>
          <cell r="B151">
            <v>2</v>
          </cell>
          <cell r="C151">
            <v>0.70489999999999997</v>
          </cell>
          <cell r="D151">
            <v>0.39000000000000146</v>
          </cell>
        </row>
        <row r="152">
          <cell r="A152">
            <v>43726</v>
          </cell>
          <cell r="B152">
            <v>3</v>
          </cell>
          <cell r="C152">
            <v>0.7</v>
          </cell>
          <cell r="D152">
            <v>-0.49000000000000155</v>
          </cell>
        </row>
        <row r="153">
          <cell r="A153">
            <v>43727</v>
          </cell>
          <cell r="B153">
            <v>4</v>
          </cell>
          <cell r="C153">
            <v>0.7</v>
          </cell>
          <cell r="D153">
            <v>0</v>
          </cell>
        </row>
        <row r="154">
          <cell r="A154">
            <v>43728</v>
          </cell>
          <cell r="B154">
            <v>5</v>
          </cell>
          <cell r="C154">
            <v>0.70750000000000002</v>
          </cell>
          <cell r="D154">
            <v>0.75000000000000622</v>
          </cell>
        </row>
        <row r="155">
          <cell r="A155">
            <v>43731</v>
          </cell>
          <cell r="B155">
            <v>1</v>
          </cell>
          <cell r="C155">
            <v>0.70099999999999996</v>
          </cell>
          <cell r="D155">
            <v>-0.65000000000000613</v>
          </cell>
        </row>
        <row r="156">
          <cell r="A156">
            <v>43732</v>
          </cell>
          <cell r="B156">
            <v>2</v>
          </cell>
          <cell r="C156">
            <v>0.71750000000000003</v>
          </cell>
          <cell r="D156">
            <v>1.650000000000007</v>
          </cell>
        </row>
        <row r="157">
          <cell r="A157">
            <v>43733</v>
          </cell>
          <cell r="B157">
            <v>3</v>
          </cell>
          <cell r="C157">
            <v>0.70750000000000002</v>
          </cell>
          <cell r="D157">
            <v>-1.0000000000000009</v>
          </cell>
        </row>
        <row r="158">
          <cell r="A158">
            <v>43734</v>
          </cell>
          <cell r="B158">
            <v>4</v>
          </cell>
          <cell r="C158">
            <v>0.72250000000000003</v>
          </cell>
          <cell r="D158">
            <v>1.5000000000000013</v>
          </cell>
        </row>
        <row r="159">
          <cell r="A159">
            <v>43735</v>
          </cell>
          <cell r="B159">
            <v>5</v>
          </cell>
          <cell r="C159">
            <v>0.72350000000000003</v>
          </cell>
          <cell r="D159">
            <v>0.10000000000000009</v>
          </cell>
        </row>
        <row r="160">
          <cell r="A160">
            <v>43738</v>
          </cell>
          <cell r="B160">
            <v>1</v>
          </cell>
          <cell r="C160">
            <v>0.72350000000000003</v>
          </cell>
          <cell r="D160">
            <v>0</v>
          </cell>
          <cell r="E160" t="str">
            <v>休假</v>
          </cell>
        </row>
        <row r="161">
          <cell r="A161">
            <v>43739</v>
          </cell>
          <cell r="B161">
            <v>2</v>
          </cell>
          <cell r="C161">
            <v>0.72499999999999998</v>
          </cell>
          <cell r="D161">
            <v>0.14999999999999458</v>
          </cell>
        </row>
        <row r="162">
          <cell r="A162">
            <v>43740</v>
          </cell>
          <cell r="B162">
            <v>3</v>
          </cell>
          <cell r="C162">
            <v>0.72399999999999998</v>
          </cell>
          <cell r="D162">
            <v>-0.10000000000000009</v>
          </cell>
        </row>
        <row r="163">
          <cell r="A163">
            <v>43741</v>
          </cell>
          <cell r="B163">
            <v>4</v>
          </cell>
          <cell r="C163">
            <v>0.71679999999999999</v>
          </cell>
          <cell r="D163">
            <v>-0.71999999999999842</v>
          </cell>
        </row>
        <row r="164">
          <cell r="A164">
            <v>43742</v>
          </cell>
          <cell r="B164">
            <v>5</v>
          </cell>
          <cell r="C164">
            <v>0.71450000000000002</v>
          </cell>
          <cell r="D164">
            <v>-0.22999999999999687</v>
          </cell>
        </row>
        <row r="165">
          <cell r="A165">
            <v>43745</v>
          </cell>
          <cell r="B165">
            <v>1</v>
          </cell>
          <cell r="C165">
            <v>0.69350000000000001</v>
          </cell>
          <cell r="D165">
            <v>-2.1000000000000019</v>
          </cell>
        </row>
        <row r="166">
          <cell r="A166">
            <v>43746</v>
          </cell>
          <cell r="B166">
            <v>2</v>
          </cell>
          <cell r="C166">
            <v>0.69830000000000003</v>
          </cell>
          <cell r="D166">
            <v>0.48000000000000265</v>
          </cell>
        </row>
        <row r="167">
          <cell r="A167">
            <v>43747</v>
          </cell>
          <cell r="B167">
            <v>3</v>
          </cell>
          <cell r="C167">
            <v>0.68899999999999995</v>
          </cell>
          <cell r="D167">
            <v>-0.9300000000000086</v>
          </cell>
        </row>
        <row r="168">
          <cell r="A168">
            <v>43748</v>
          </cell>
          <cell r="B168">
            <v>4</v>
          </cell>
          <cell r="C168">
            <v>0.68899999999999995</v>
          </cell>
          <cell r="D168">
            <v>0</v>
          </cell>
          <cell r="E168" t="str">
            <v>休假</v>
          </cell>
        </row>
        <row r="169">
          <cell r="A169">
            <v>43749</v>
          </cell>
          <cell r="B169">
            <v>5</v>
          </cell>
          <cell r="C169">
            <v>0.68899999999999995</v>
          </cell>
          <cell r="D169">
            <v>0</v>
          </cell>
          <cell r="E169" t="str">
            <v>休假</v>
          </cell>
        </row>
        <row r="170">
          <cell r="A170">
            <v>43752</v>
          </cell>
          <cell r="B170">
            <v>1</v>
          </cell>
          <cell r="C170">
            <v>0.69699999999999995</v>
          </cell>
          <cell r="D170">
            <v>0.80000000000000071</v>
          </cell>
        </row>
        <row r="171">
          <cell r="A171">
            <v>43753</v>
          </cell>
          <cell r="B171">
            <v>2</v>
          </cell>
          <cell r="C171">
            <v>0.67600000000000005</v>
          </cell>
          <cell r="D171">
            <v>-2.0999999999999908</v>
          </cell>
        </row>
        <row r="172">
          <cell r="A172">
            <v>43754</v>
          </cell>
          <cell r="B172">
            <v>3</v>
          </cell>
          <cell r="C172">
            <v>0.66700000000000004</v>
          </cell>
          <cell r="D172">
            <v>-0.9000000000000008</v>
          </cell>
        </row>
        <row r="173">
          <cell r="A173">
            <v>43755</v>
          </cell>
          <cell r="B173">
            <v>4</v>
          </cell>
          <cell r="C173">
            <v>0.66</v>
          </cell>
          <cell r="D173">
            <v>-0.70000000000000062</v>
          </cell>
        </row>
        <row r="174">
          <cell r="A174">
            <v>43756</v>
          </cell>
          <cell r="B174">
            <v>5</v>
          </cell>
          <cell r="C174">
            <v>0.67</v>
          </cell>
          <cell r="D174">
            <v>1.0000000000000009</v>
          </cell>
        </row>
        <row r="175">
          <cell r="A175">
            <v>43759</v>
          </cell>
          <cell r="B175">
            <v>1</v>
          </cell>
          <cell r="C175">
            <v>0.67</v>
          </cell>
          <cell r="D175">
            <v>0</v>
          </cell>
        </row>
        <row r="176">
          <cell r="A176">
            <v>43760</v>
          </cell>
          <cell r="B176">
            <v>2</v>
          </cell>
          <cell r="C176">
            <v>0.68700000000000006</v>
          </cell>
          <cell r="D176">
            <v>1.7000000000000015</v>
          </cell>
        </row>
        <row r="177">
          <cell r="A177">
            <v>43761</v>
          </cell>
          <cell r="B177">
            <v>3</v>
          </cell>
          <cell r="C177">
            <v>0.68510000000000004</v>
          </cell>
          <cell r="D177">
            <v>-0.19000000000000128</v>
          </cell>
        </row>
        <row r="178">
          <cell r="A178">
            <v>43762</v>
          </cell>
          <cell r="B178">
            <v>4</v>
          </cell>
          <cell r="C178">
            <v>0.68569999999999998</v>
          </cell>
          <cell r="D178">
            <v>5.9999999999993392E-2</v>
          </cell>
        </row>
        <row r="179">
          <cell r="A179">
            <v>43763</v>
          </cell>
          <cell r="B179">
            <v>5</v>
          </cell>
          <cell r="C179">
            <v>0.68459999999999999</v>
          </cell>
          <cell r="D179">
            <v>-0.10999999999999899</v>
          </cell>
        </row>
        <row r="180">
          <cell r="A180">
            <v>43766</v>
          </cell>
          <cell r="B180">
            <v>1</v>
          </cell>
          <cell r="C180">
            <v>0.69899999999999995</v>
          </cell>
          <cell r="D180">
            <v>1.4399999999999968</v>
          </cell>
        </row>
        <row r="181">
          <cell r="A181">
            <v>43767</v>
          </cell>
          <cell r="B181">
            <v>2</v>
          </cell>
          <cell r="C181">
            <v>0.69899999999999995</v>
          </cell>
          <cell r="D181">
            <v>0</v>
          </cell>
        </row>
        <row r="182">
          <cell r="A182">
            <v>43768</v>
          </cell>
          <cell r="B182">
            <v>3</v>
          </cell>
          <cell r="C182">
            <v>0.69899999999999995</v>
          </cell>
          <cell r="D182">
            <v>0</v>
          </cell>
          <cell r="E182" t="str">
            <v>無成交</v>
          </cell>
        </row>
        <row r="183">
          <cell r="A183">
            <v>43769</v>
          </cell>
          <cell r="B183">
            <v>4</v>
          </cell>
          <cell r="C183">
            <v>0.68859999999999999</v>
          </cell>
          <cell r="D183">
            <v>-1.0399999999999965</v>
          </cell>
        </row>
        <row r="184">
          <cell r="A184">
            <v>43770</v>
          </cell>
          <cell r="B184">
            <v>5</v>
          </cell>
          <cell r="C184">
            <v>0.67849999999999999</v>
          </cell>
          <cell r="D184">
            <v>-1.0099999999999998</v>
          </cell>
        </row>
        <row r="185">
          <cell r="A185">
            <v>43773</v>
          </cell>
          <cell r="B185">
            <v>1</v>
          </cell>
          <cell r="C185">
            <v>0.67849999999999999</v>
          </cell>
          <cell r="D185">
            <v>0</v>
          </cell>
          <cell r="E185" t="str">
            <v>無成交</v>
          </cell>
        </row>
        <row r="186">
          <cell r="A186">
            <v>43774</v>
          </cell>
          <cell r="B186">
            <v>2</v>
          </cell>
          <cell r="C186">
            <v>0.68799999999999994</v>
          </cell>
          <cell r="D186">
            <v>0.94999999999999529</v>
          </cell>
        </row>
        <row r="187">
          <cell r="A187">
            <v>43775</v>
          </cell>
          <cell r="B187">
            <v>3</v>
          </cell>
          <cell r="C187">
            <v>0.68899999999999995</v>
          </cell>
          <cell r="D187">
            <v>0.10000000000000009</v>
          </cell>
        </row>
        <row r="188">
          <cell r="A188">
            <v>43776</v>
          </cell>
          <cell r="B188">
            <v>4</v>
          </cell>
          <cell r="C188">
            <v>0.68600000000000005</v>
          </cell>
          <cell r="D188">
            <v>-0.29999999999998916</v>
          </cell>
        </row>
        <row r="189">
          <cell r="A189">
            <v>43777</v>
          </cell>
          <cell r="B189">
            <v>5</v>
          </cell>
          <cell r="C189">
            <v>0.70250000000000001</v>
          </cell>
          <cell r="D189">
            <v>1.6499999999999959</v>
          </cell>
        </row>
        <row r="190">
          <cell r="A190">
            <v>43780</v>
          </cell>
          <cell r="B190">
            <v>1</v>
          </cell>
          <cell r="C190">
            <v>0.70350000000000001</v>
          </cell>
          <cell r="D190">
            <v>0.10000000000000009</v>
          </cell>
        </row>
        <row r="191">
          <cell r="A191">
            <v>43781</v>
          </cell>
          <cell r="B191">
            <v>2</v>
          </cell>
          <cell r="C191">
            <v>0.70050000000000001</v>
          </cell>
          <cell r="D191">
            <v>-0.30000000000000027</v>
          </cell>
        </row>
        <row r="192">
          <cell r="A192">
            <v>43782</v>
          </cell>
          <cell r="B192">
            <v>3</v>
          </cell>
          <cell r="C192">
            <v>0.70050000000000001</v>
          </cell>
          <cell r="D192">
            <v>0</v>
          </cell>
        </row>
        <row r="193">
          <cell r="A193">
            <v>43783</v>
          </cell>
          <cell r="B193">
            <v>4</v>
          </cell>
          <cell r="C193">
            <v>0.69699999999999995</v>
          </cell>
          <cell r="D193">
            <v>-0.35000000000000586</v>
          </cell>
        </row>
        <row r="194">
          <cell r="A194">
            <v>43784</v>
          </cell>
          <cell r="B194">
            <v>5</v>
          </cell>
          <cell r="C194">
            <v>0.69799999999999995</v>
          </cell>
          <cell r="D194">
            <v>0.10000000000000009</v>
          </cell>
        </row>
        <row r="195">
          <cell r="A195">
            <v>43787</v>
          </cell>
          <cell r="B195">
            <v>1</v>
          </cell>
          <cell r="C195">
            <v>0.69299999999999995</v>
          </cell>
          <cell r="D195">
            <v>-0.50000000000000044</v>
          </cell>
        </row>
        <row r="196">
          <cell r="A196">
            <v>43788</v>
          </cell>
          <cell r="B196">
            <v>2</v>
          </cell>
          <cell r="C196">
            <v>0.68500000000000005</v>
          </cell>
          <cell r="D196">
            <v>-0.79999999999998961</v>
          </cell>
        </row>
        <row r="197">
          <cell r="A197">
            <v>43789</v>
          </cell>
          <cell r="B197">
            <v>3</v>
          </cell>
          <cell r="C197">
            <v>0.66700000000000004</v>
          </cell>
          <cell r="D197">
            <v>-1.8000000000000016</v>
          </cell>
        </row>
        <row r="198">
          <cell r="A198">
            <v>43790</v>
          </cell>
          <cell r="B198">
            <v>4</v>
          </cell>
          <cell r="C198">
            <v>0.68</v>
          </cell>
          <cell r="D198">
            <v>1.3000000000000012</v>
          </cell>
        </row>
        <row r="199">
          <cell r="A199">
            <v>43791</v>
          </cell>
          <cell r="B199">
            <v>5</v>
          </cell>
          <cell r="C199">
            <v>0.6875</v>
          </cell>
          <cell r="D199">
            <v>0.74999999999999512</v>
          </cell>
        </row>
        <row r="200">
          <cell r="A200">
            <v>43794</v>
          </cell>
          <cell r="B200">
            <v>1</v>
          </cell>
          <cell r="C200">
            <v>0.6915</v>
          </cell>
          <cell r="D200">
            <v>0.40000000000000036</v>
          </cell>
        </row>
        <row r="201">
          <cell r="A201">
            <v>43795</v>
          </cell>
          <cell r="B201">
            <v>2</v>
          </cell>
          <cell r="C201">
            <v>0.6825</v>
          </cell>
          <cell r="D201">
            <v>-0.9000000000000008</v>
          </cell>
        </row>
        <row r="202">
          <cell r="A202">
            <v>43796</v>
          </cell>
          <cell r="B202">
            <v>3</v>
          </cell>
          <cell r="C202">
            <v>0.67800000000000005</v>
          </cell>
          <cell r="D202">
            <v>-0.44999999999999485</v>
          </cell>
        </row>
        <row r="203">
          <cell r="A203">
            <v>43797</v>
          </cell>
          <cell r="B203">
            <v>4</v>
          </cell>
          <cell r="C203">
            <v>0.6835</v>
          </cell>
          <cell r="D203">
            <v>0.54999999999999494</v>
          </cell>
        </row>
        <row r="204">
          <cell r="A204">
            <v>43798</v>
          </cell>
          <cell r="B204">
            <v>5</v>
          </cell>
          <cell r="C204">
            <v>0.68259999999999998</v>
          </cell>
          <cell r="D204">
            <v>-9.000000000000119E-2</v>
          </cell>
        </row>
        <row r="205">
          <cell r="A205">
            <v>43801</v>
          </cell>
          <cell r="B205">
            <v>1</v>
          </cell>
          <cell r="C205">
            <v>0.68600000000000005</v>
          </cell>
          <cell r="D205">
            <v>0.34000000000000696</v>
          </cell>
        </row>
        <row r="206">
          <cell r="A206">
            <v>43802</v>
          </cell>
          <cell r="B206">
            <v>2</v>
          </cell>
          <cell r="C206">
            <v>0.68859999999999999</v>
          </cell>
          <cell r="D206">
            <v>0.25999999999999357</v>
          </cell>
        </row>
        <row r="207">
          <cell r="A207">
            <v>43803</v>
          </cell>
          <cell r="B207">
            <v>3</v>
          </cell>
          <cell r="C207">
            <v>0.67900000000000005</v>
          </cell>
          <cell r="D207">
            <v>-0.95999999999999419</v>
          </cell>
        </row>
        <row r="208">
          <cell r="A208">
            <v>43804</v>
          </cell>
          <cell r="B208">
            <v>4</v>
          </cell>
          <cell r="C208">
            <v>0.68100000000000005</v>
          </cell>
          <cell r="D208">
            <v>0.20000000000000018</v>
          </cell>
        </row>
        <row r="209">
          <cell r="A209">
            <v>43805</v>
          </cell>
          <cell r="B209">
            <v>5</v>
          </cell>
          <cell r="C209">
            <v>0.68</v>
          </cell>
          <cell r="D209">
            <v>-0.10000000000000009</v>
          </cell>
        </row>
        <row r="210">
          <cell r="A210">
            <v>43808</v>
          </cell>
          <cell r="B210">
            <v>1</v>
          </cell>
          <cell r="C210">
            <v>0.68149999999999999</v>
          </cell>
          <cell r="D210">
            <v>0.14999999999999458</v>
          </cell>
          <cell r="E210">
            <v>0.17100000000000001</v>
          </cell>
        </row>
        <row r="211">
          <cell r="A211">
            <v>43809</v>
          </cell>
          <cell r="B211">
            <v>2</v>
          </cell>
          <cell r="C211">
            <v>0.67549999999999999</v>
          </cell>
          <cell r="D211">
            <v>-0.60000000000000053</v>
          </cell>
          <cell r="E211">
            <v>0.17299999999999999</v>
          </cell>
        </row>
        <row r="212">
          <cell r="A212">
            <v>43810</v>
          </cell>
          <cell r="B212">
            <v>3</v>
          </cell>
          <cell r="C212">
            <v>0.67500000000000004</v>
          </cell>
          <cell r="D212">
            <v>-4.9999999999994493E-2</v>
          </cell>
          <cell r="E212">
            <v>0.17599999999999999</v>
          </cell>
        </row>
        <row r="213">
          <cell r="A213">
            <v>43811</v>
          </cell>
          <cell r="B213">
            <v>4</v>
          </cell>
          <cell r="C213">
            <v>0.67200000000000004</v>
          </cell>
          <cell r="D213">
            <v>-0.30000000000000027</v>
          </cell>
          <cell r="E213">
            <v>0.17499999999999999</v>
          </cell>
        </row>
        <row r="214">
          <cell r="A214">
            <v>43812</v>
          </cell>
          <cell r="B214">
            <v>5</v>
          </cell>
          <cell r="C214">
            <v>0.67349999999999999</v>
          </cell>
          <cell r="D214">
            <v>0.14999999999999458</v>
          </cell>
          <cell r="E214">
            <v>0.17799999999999999</v>
          </cell>
        </row>
        <row r="215">
          <cell r="A215">
            <v>43815</v>
          </cell>
          <cell r="B215">
            <v>1</v>
          </cell>
          <cell r="C215">
            <v>0.66500000000000004</v>
          </cell>
          <cell r="D215">
            <v>-0.8499999999999952</v>
          </cell>
          <cell r="E215">
            <v>0.17499999999999999</v>
          </cell>
        </row>
        <row r="216">
          <cell r="A216">
            <v>43816</v>
          </cell>
          <cell r="B216">
            <v>2</v>
          </cell>
          <cell r="C216">
            <v>0.66800000000000004</v>
          </cell>
          <cell r="D216">
            <v>0.30000000000000027</v>
          </cell>
          <cell r="E216">
            <v>0.17299999999999999</v>
          </cell>
        </row>
        <row r="217">
          <cell r="A217">
            <v>43817</v>
          </cell>
          <cell r="B217">
            <v>3</v>
          </cell>
          <cell r="C217">
            <v>0.66300000000000003</v>
          </cell>
          <cell r="D217">
            <v>-0.50000000000000044</v>
          </cell>
          <cell r="E217">
            <v>0.17599999999999999</v>
          </cell>
        </row>
        <row r="218">
          <cell r="A218">
            <v>43818</v>
          </cell>
          <cell r="B218">
            <v>4</v>
          </cell>
          <cell r="C218">
            <v>0.66300000000000003</v>
          </cell>
          <cell r="D218" t="str">
            <v>無成交</v>
          </cell>
          <cell r="E218">
            <v>0.17299999999999999</v>
          </cell>
        </row>
        <row r="219">
          <cell r="A219">
            <v>43819</v>
          </cell>
          <cell r="B219">
            <v>5</v>
          </cell>
          <cell r="C219">
            <v>0.66500000000000004</v>
          </cell>
          <cell r="D219">
            <v>0.20000000000000018</v>
          </cell>
          <cell r="E219">
            <v>0.17599999999999999</v>
          </cell>
        </row>
        <row r="220">
          <cell r="A220">
            <v>43822</v>
          </cell>
          <cell r="B220">
            <v>1</v>
          </cell>
          <cell r="C220">
            <v>0.66200000000000003</v>
          </cell>
          <cell r="D220">
            <v>-0.30000000000000027</v>
          </cell>
          <cell r="E220">
            <v>0.17299999999999999</v>
          </cell>
        </row>
        <row r="221">
          <cell r="A221">
            <v>43823</v>
          </cell>
          <cell r="B221">
            <v>2</v>
          </cell>
          <cell r="C221">
            <v>0.66600000000000004</v>
          </cell>
          <cell r="D221">
            <v>0.40000000000000036</v>
          </cell>
          <cell r="E221">
            <v>0.17399999999999999</v>
          </cell>
        </row>
        <row r="222">
          <cell r="A222">
            <v>43824</v>
          </cell>
          <cell r="B222">
            <v>3</v>
          </cell>
          <cell r="C222">
            <v>0.66900000000000004</v>
          </cell>
          <cell r="D222">
            <v>0.30000000000000027</v>
          </cell>
          <cell r="E222">
            <v>0.17299999999999999</v>
          </cell>
        </row>
        <row r="223">
          <cell r="A223">
            <v>43825</v>
          </cell>
          <cell r="B223">
            <v>4</v>
          </cell>
          <cell r="C223">
            <v>0.67</v>
          </cell>
          <cell r="D223">
            <v>0.10000000000000009</v>
          </cell>
          <cell r="E223">
            <v>0.17499999999999999</v>
          </cell>
        </row>
        <row r="224">
          <cell r="A224">
            <v>43826</v>
          </cell>
          <cell r="B224">
            <v>5</v>
          </cell>
          <cell r="C224">
            <v>0.67500000000000004</v>
          </cell>
          <cell r="D224">
            <v>0.50000000000000044</v>
          </cell>
          <cell r="E224">
            <v>0.17199999999999999</v>
          </cell>
        </row>
        <row r="225">
          <cell r="A225">
            <v>43829</v>
          </cell>
          <cell r="B225">
            <v>1</v>
          </cell>
          <cell r="C225">
            <v>0.67500000000000004</v>
          </cell>
          <cell r="D225" t="str">
            <v>無成交</v>
          </cell>
          <cell r="E225">
            <v>0.17199999999999999</v>
          </cell>
        </row>
        <row r="226">
          <cell r="A226">
            <v>43830</v>
          </cell>
          <cell r="B226">
            <v>2</v>
          </cell>
          <cell r="C226">
            <v>0.67</v>
          </cell>
          <cell r="D226">
            <v>-0.50000000000000044</v>
          </cell>
          <cell r="E226">
            <v>0.17499999999999999</v>
          </cell>
        </row>
        <row r="227">
          <cell r="A227">
            <v>43832</v>
          </cell>
          <cell r="B227">
            <v>4</v>
          </cell>
          <cell r="C227">
            <v>0.67</v>
          </cell>
          <cell r="D227">
            <v>0</v>
          </cell>
          <cell r="E227">
            <v>0.17499999999999999</v>
          </cell>
        </row>
        <row r="228">
          <cell r="A228">
            <v>43833</v>
          </cell>
          <cell r="B228">
            <v>5</v>
          </cell>
          <cell r="C228">
            <v>0.65049999999999997</v>
          </cell>
          <cell r="D228">
            <v>-1.9500000000000073</v>
          </cell>
          <cell r="E228">
            <v>0.17499999999999999</v>
          </cell>
        </row>
        <row r="229">
          <cell r="A229">
            <v>43836</v>
          </cell>
          <cell r="B229">
            <v>1</v>
          </cell>
          <cell r="C229">
            <v>0.64900000000000002</v>
          </cell>
          <cell r="D229">
            <v>-0.14999999999999458</v>
          </cell>
          <cell r="E229">
            <v>0.17499999999999999</v>
          </cell>
        </row>
        <row r="230">
          <cell r="A230">
            <v>43837</v>
          </cell>
          <cell r="B230">
            <v>2</v>
          </cell>
          <cell r="C230">
            <v>0.65100000000000002</v>
          </cell>
          <cell r="D230">
            <v>0.20000000000000018</v>
          </cell>
          <cell r="E230">
            <v>0.17199999999999999</v>
          </cell>
        </row>
        <row r="231">
          <cell r="A231">
            <v>43838</v>
          </cell>
          <cell r="B231">
            <v>3</v>
          </cell>
          <cell r="C231">
            <v>0.64159999999999995</v>
          </cell>
          <cell r="D231">
            <v>-0.9400000000000075</v>
          </cell>
          <cell r="E231">
            <v>0.17499999999999999</v>
          </cell>
        </row>
        <row r="232">
          <cell r="A232">
            <v>43839</v>
          </cell>
          <cell r="B232">
            <v>4</v>
          </cell>
          <cell r="C232">
            <v>0.64749999999999996</v>
          </cell>
          <cell r="D232">
            <v>0.59000000000000163</v>
          </cell>
          <cell r="E232">
            <v>0.17499999999999999</v>
          </cell>
        </row>
        <row r="233">
          <cell r="A233">
            <v>43840</v>
          </cell>
          <cell r="B233">
            <v>5</v>
          </cell>
          <cell r="C233">
            <v>0.64500000000000002</v>
          </cell>
          <cell r="D233">
            <v>-0.24999999999999467</v>
          </cell>
          <cell r="E233">
            <v>0.17399999999999999</v>
          </cell>
        </row>
        <row r="234">
          <cell r="A234">
            <v>43843</v>
          </cell>
          <cell r="B234">
            <v>1</v>
          </cell>
          <cell r="C234">
            <v>0.64559999999999995</v>
          </cell>
          <cell r="D234">
            <v>5.9999999999993392E-2</v>
          </cell>
          <cell r="E234">
            <v>0.17100000000000001</v>
          </cell>
        </row>
        <row r="235">
          <cell r="A235">
            <v>43844</v>
          </cell>
          <cell r="B235">
            <v>2</v>
          </cell>
          <cell r="C235">
            <v>0.64</v>
          </cell>
          <cell r="D235">
            <v>-0.55999999999999384</v>
          </cell>
          <cell r="E235">
            <v>0.16900000000000001</v>
          </cell>
        </row>
        <row r="236">
          <cell r="A236">
            <v>43845</v>
          </cell>
          <cell r="B236">
            <v>3</v>
          </cell>
          <cell r="C236">
            <v>0.63329999999999997</v>
          </cell>
          <cell r="D236">
            <v>-0.67000000000000393</v>
          </cell>
          <cell r="E236">
            <v>0.17199999999999999</v>
          </cell>
        </row>
        <row r="237">
          <cell r="A237">
            <v>43846</v>
          </cell>
          <cell r="B237">
            <v>4</v>
          </cell>
          <cell r="C237">
            <v>0.62260000000000004</v>
          </cell>
          <cell r="D237">
            <v>-1.0699999999999932</v>
          </cell>
          <cell r="E237">
            <v>0.17199999999999999</v>
          </cell>
        </row>
        <row r="238">
          <cell r="A238">
            <v>43847</v>
          </cell>
          <cell r="B238">
            <v>5</v>
          </cell>
          <cell r="C238">
            <v>0.60799999999999998</v>
          </cell>
          <cell r="D238">
            <v>-1.4600000000000057</v>
          </cell>
          <cell r="E238">
            <v>0.17100000000000001</v>
          </cell>
        </row>
        <row r="239">
          <cell r="A239">
            <v>43850</v>
          </cell>
          <cell r="B239">
            <v>1</v>
          </cell>
          <cell r="C239">
            <v>0.60799999999999998</v>
          </cell>
          <cell r="D239" t="str">
            <v>無成交，封關日</v>
          </cell>
          <cell r="E239">
            <v>0.16800000000000001</v>
          </cell>
        </row>
        <row r="240">
          <cell r="A240">
            <v>43860</v>
          </cell>
          <cell r="B240">
            <v>4</v>
          </cell>
          <cell r="C240">
            <v>0.57879999999999998</v>
          </cell>
          <cell r="D240">
            <v>-2.9200000000000004</v>
          </cell>
          <cell r="E240">
            <v>0.16700000000000001</v>
          </cell>
        </row>
        <row r="241">
          <cell r="A241">
            <v>43861</v>
          </cell>
          <cell r="B241">
            <v>5</v>
          </cell>
          <cell r="C241">
            <v>0.59099999999999997</v>
          </cell>
          <cell r="D241">
            <v>1.2199999999999989</v>
          </cell>
          <cell r="E241">
            <v>0.17</v>
          </cell>
        </row>
        <row r="242">
          <cell r="A242">
            <v>43864</v>
          </cell>
          <cell r="B242">
            <v>1</v>
          </cell>
          <cell r="C242">
            <v>0.58299999999999996</v>
          </cell>
          <cell r="D242">
            <v>-0.80000000000000071</v>
          </cell>
          <cell r="E242">
            <v>0.16700000000000001</v>
          </cell>
        </row>
        <row r="243">
          <cell r="A243">
            <v>43865</v>
          </cell>
          <cell r="B243">
            <v>2</v>
          </cell>
          <cell r="C243">
            <v>0.59499999999999997</v>
          </cell>
          <cell r="D243">
            <v>1.2000000000000011</v>
          </cell>
          <cell r="E243">
            <v>0.17</v>
          </cell>
        </row>
        <row r="244">
          <cell r="A244">
            <v>43866</v>
          </cell>
          <cell r="B244">
            <v>3</v>
          </cell>
          <cell r="C244">
            <v>0.58809999999999996</v>
          </cell>
          <cell r="D244">
            <v>-0.69000000000000172</v>
          </cell>
          <cell r="E244">
            <v>0.16700000000000001</v>
          </cell>
        </row>
        <row r="245">
          <cell r="A245">
            <v>43867</v>
          </cell>
          <cell r="B245">
            <v>4</v>
          </cell>
          <cell r="C245">
            <v>0.59350000000000003</v>
          </cell>
          <cell r="D245">
            <v>0.54000000000000714</v>
          </cell>
          <cell r="E245">
            <v>0.16900000000000001</v>
          </cell>
        </row>
        <row r="246">
          <cell r="A246">
            <v>43868</v>
          </cell>
          <cell r="B246">
            <v>5</v>
          </cell>
          <cell r="C246">
            <v>0.58309999999999995</v>
          </cell>
          <cell r="D246">
            <v>-1.0400000000000076</v>
          </cell>
          <cell r="E246">
            <v>0.17</v>
          </cell>
        </row>
        <row r="247">
          <cell r="A247">
            <v>43871</v>
          </cell>
          <cell r="B247">
            <v>1</v>
          </cell>
          <cell r="C247">
            <v>0.58009999999999995</v>
          </cell>
          <cell r="D247">
            <v>-0.30000000000000027</v>
          </cell>
          <cell r="E247">
            <v>0.16700000000000001</v>
          </cell>
        </row>
        <row r="248">
          <cell r="A248">
            <v>43872</v>
          </cell>
          <cell r="B248">
            <v>2</v>
          </cell>
          <cell r="C248">
            <v>0.5887</v>
          </cell>
          <cell r="D248">
            <v>0.8600000000000052</v>
          </cell>
          <cell r="E248">
            <v>0.16700000000000001</v>
          </cell>
        </row>
        <row r="249">
          <cell r="A249">
            <v>43873</v>
          </cell>
          <cell r="B249">
            <v>3</v>
          </cell>
          <cell r="C249">
            <v>0.58899999999999997</v>
          </cell>
          <cell r="D249">
            <v>2.9999999999996696E-2</v>
          </cell>
          <cell r="E249">
            <v>0.16700000000000001</v>
          </cell>
        </row>
        <row r="250">
          <cell r="A250">
            <v>43874</v>
          </cell>
          <cell r="B250">
            <v>4</v>
          </cell>
          <cell r="C250">
            <v>0.58199999999999996</v>
          </cell>
          <cell r="D250">
            <v>-0.70000000000000062</v>
          </cell>
          <cell r="E250">
            <v>0.16700000000000001</v>
          </cell>
        </row>
        <row r="251">
          <cell r="A251">
            <v>43875</v>
          </cell>
          <cell r="B251">
            <v>5</v>
          </cell>
          <cell r="C251">
            <v>0.58350000000000002</v>
          </cell>
          <cell r="D251">
            <v>0.15000000000000568</v>
          </cell>
          <cell r="E251">
            <v>0.16700000000000001</v>
          </cell>
        </row>
        <row r="252">
          <cell r="A252">
            <v>43878</v>
          </cell>
          <cell r="B252">
            <v>1</v>
          </cell>
          <cell r="C252">
            <v>0.56999999999999995</v>
          </cell>
          <cell r="D252">
            <v>-1.3500000000000068</v>
          </cell>
          <cell r="E252">
            <v>0.16600000000000001</v>
          </cell>
        </row>
        <row r="253">
          <cell r="A253">
            <v>43879</v>
          </cell>
          <cell r="B253">
            <v>2</v>
          </cell>
          <cell r="C253">
            <v>0.55000000000000004</v>
          </cell>
          <cell r="D253">
            <v>-1.9999999999999907</v>
          </cell>
          <cell r="E253">
            <v>0.16800000000000001</v>
          </cell>
        </row>
        <row r="254">
          <cell r="A254">
            <v>43880</v>
          </cell>
          <cell r="B254">
            <v>3</v>
          </cell>
          <cell r="C254">
            <v>0.54249999999999998</v>
          </cell>
          <cell r="D254">
            <v>-0.75000000000000622</v>
          </cell>
          <cell r="E254">
            <v>0.16600000000000001</v>
          </cell>
        </row>
        <row r="255">
          <cell r="A255">
            <v>43881</v>
          </cell>
          <cell r="B255">
            <v>4</v>
          </cell>
          <cell r="C255">
            <v>0.53739999999999999</v>
          </cell>
          <cell r="D255">
            <v>-0.50999999999999934</v>
          </cell>
          <cell r="E255">
            <v>0.16600000000000001</v>
          </cell>
        </row>
        <row r="256">
          <cell r="A256">
            <v>43882</v>
          </cell>
          <cell r="B256">
            <v>5</v>
          </cell>
          <cell r="C256">
            <v>0.52900000000000003</v>
          </cell>
          <cell r="D256">
            <v>-0.83999999999999631</v>
          </cell>
          <cell r="E256">
            <v>0.16600000000000001</v>
          </cell>
        </row>
        <row r="257">
          <cell r="A257">
            <v>43885</v>
          </cell>
          <cell r="B257">
            <v>1</v>
          </cell>
          <cell r="C257">
            <v>0.54249999999999998</v>
          </cell>
          <cell r="D257">
            <v>1.3499999999999956</v>
          </cell>
          <cell r="E257">
            <v>0.16600000000000001</v>
          </cell>
        </row>
        <row r="258">
          <cell r="A258">
            <v>43886</v>
          </cell>
          <cell r="B258">
            <v>2</v>
          </cell>
          <cell r="C258">
            <v>0.53249999999999997</v>
          </cell>
          <cell r="D258">
            <v>-1.0000000000000009</v>
          </cell>
          <cell r="E258">
            <v>0.16700000000000001</v>
          </cell>
        </row>
        <row r="259">
          <cell r="A259">
            <v>43887</v>
          </cell>
          <cell r="B259">
            <v>3</v>
          </cell>
          <cell r="C259">
            <v>0.53979999999999995</v>
          </cell>
          <cell r="D259">
            <v>0.72999999999999732</v>
          </cell>
          <cell r="E259">
            <v>0.17</v>
          </cell>
        </row>
        <row r="260">
          <cell r="A260">
            <v>43888</v>
          </cell>
          <cell r="B260">
            <v>4</v>
          </cell>
          <cell r="C260">
            <v>0.53249999999999997</v>
          </cell>
          <cell r="D260">
            <v>-0.72999999999999732</v>
          </cell>
          <cell r="E260">
            <v>0.17199999999999999</v>
          </cell>
        </row>
        <row r="261">
          <cell r="A261">
            <v>43892</v>
          </cell>
          <cell r="B261">
            <v>1</v>
          </cell>
          <cell r="C261">
            <v>0.51500000000000001</v>
          </cell>
          <cell r="D261">
            <v>-1.749999999999996</v>
          </cell>
          <cell r="E261">
            <v>0.16900000000000001</v>
          </cell>
        </row>
        <row r="262">
          <cell r="A262">
            <v>43893</v>
          </cell>
          <cell r="B262">
            <v>2</v>
          </cell>
          <cell r="C262">
            <v>0.52149999999999996</v>
          </cell>
          <cell r="D262">
            <v>0.64999999999999503</v>
          </cell>
          <cell r="E262">
            <v>0.16700000000000001</v>
          </cell>
        </row>
        <row r="263">
          <cell r="A263">
            <v>43894</v>
          </cell>
          <cell r="B263">
            <v>3</v>
          </cell>
          <cell r="C263">
            <v>0.48049999999999998</v>
          </cell>
          <cell r="D263">
            <v>-4.0999999999999979</v>
          </cell>
          <cell r="E263">
            <v>0.17</v>
          </cell>
        </row>
        <row r="264">
          <cell r="A264">
            <v>43895</v>
          </cell>
          <cell r="B264">
            <v>4</v>
          </cell>
          <cell r="C264">
            <v>0.499</v>
          </cell>
          <cell r="D264">
            <v>1.8500000000000016</v>
          </cell>
          <cell r="E264">
            <v>0.17100000000000001</v>
          </cell>
        </row>
        <row r="265">
          <cell r="A265">
            <v>43896</v>
          </cell>
          <cell r="B265">
            <v>5</v>
          </cell>
          <cell r="C265">
            <v>0.47899999999999998</v>
          </cell>
          <cell r="D265">
            <v>-2.0000000000000018</v>
          </cell>
          <cell r="E265">
            <v>0.16800000000000001</v>
          </cell>
        </row>
        <row r="266">
          <cell r="A266">
            <v>43899</v>
          </cell>
          <cell r="B266">
            <v>1</v>
          </cell>
          <cell r="C266">
            <v>0.44</v>
          </cell>
          <cell r="D266">
            <v>-3.8999999999999977</v>
          </cell>
          <cell r="E266">
            <v>0.16600000000000001</v>
          </cell>
        </row>
        <row r="267">
          <cell r="A267">
            <v>43900</v>
          </cell>
          <cell r="B267">
            <v>2</v>
          </cell>
          <cell r="C267">
            <v>0.46500000000000002</v>
          </cell>
          <cell r="D267">
            <v>2.5000000000000022</v>
          </cell>
          <cell r="E267">
            <v>0.16600000000000001</v>
          </cell>
        </row>
        <row r="268">
          <cell r="A268">
            <v>43901</v>
          </cell>
          <cell r="B268">
            <v>3</v>
          </cell>
          <cell r="C268">
            <v>0.44</v>
          </cell>
          <cell r="D268">
            <v>-2.5000000000000022</v>
          </cell>
          <cell r="E268">
            <v>0.16600000000000001</v>
          </cell>
        </row>
        <row r="269">
          <cell r="A269">
            <v>43902</v>
          </cell>
          <cell r="B269">
            <v>4</v>
          </cell>
          <cell r="C269">
            <v>0.44350000000000001</v>
          </cell>
          <cell r="D269">
            <v>0.35000000000000031</v>
          </cell>
          <cell r="E269">
            <v>0.16600000000000001</v>
          </cell>
        </row>
        <row r="270">
          <cell r="A270">
            <v>43903</v>
          </cell>
          <cell r="B270">
            <v>5</v>
          </cell>
          <cell r="C270">
            <v>0.495</v>
          </cell>
          <cell r="D270">
            <v>5.1499999999999986</v>
          </cell>
          <cell r="E270">
            <v>0.16600000000000001</v>
          </cell>
        </row>
        <row r="271">
          <cell r="A271">
            <v>43906</v>
          </cell>
          <cell r="B271">
            <v>1</v>
          </cell>
          <cell r="C271">
            <v>0.47239999999999999</v>
          </cell>
          <cell r="D271">
            <v>-2.2600000000000007</v>
          </cell>
          <cell r="E271">
            <v>0.16600000000000001</v>
          </cell>
        </row>
        <row r="272">
          <cell r="A272">
            <v>43907</v>
          </cell>
          <cell r="B272">
            <v>2</v>
          </cell>
          <cell r="C272">
            <v>0.51049999999999995</v>
          </cell>
          <cell r="D272">
            <v>3.8099999999999969</v>
          </cell>
          <cell r="E272">
            <v>0.16600000000000001</v>
          </cell>
        </row>
        <row r="273">
          <cell r="A273">
            <v>43908</v>
          </cell>
          <cell r="B273">
            <v>3</v>
          </cell>
          <cell r="C273">
            <v>0.57599999999999996</v>
          </cell>
          <cell r="D273">
            <v>6.5500000000000007</v>
          </cell>
          <cell r="E273">
            <v>0.16600000000000001</v>
          </cell>
        </row>
        <row r="274">
          <cell r="A274">
            <v>43909</v>
          </cell>
          <cell r="B274">
            <v>4</v>
          </cell>
          <cell r="C274">
            <v>0.67</v>
          </cell>
          <cell r="D274">
            <v>9.4000000000000092</v>
          </cell>
          <cell r="E274">
            <v>0.16600000000000001</v>
          </cell>
        </row>
        <row r="275">
          <cell r="A275">
            <v>43910</v>
          </cell>
          <cell r="B275">
            <v>5</v>
          </cell>
          <cell r="C275">
            <v>0.53</v>
          </cell>
          <cell r="D275">
            <v>-14.000000000000002</v>
          </cell>
          <cell r="E275">
            <v>0.1</v>
          </cell>
        </row>
        <row r="276">
          <cell r="A276">
            <v>43913</v>
          </cell>
          <cell r="B276">
            <v>1</v>
          </cell>
          <cell r="C276">
            <v>0.47199999999999998</v>
          </cell>
          <cell r="D276">
            <v>-5.8000000000000052</v>
          </cell>
          <cell r="E276">
            <v>0.09</v>
          </cell>
        </row>
        <row r="277">
          <cell r="A277">
            <v>43914</v>
          </cell>
          <cell r="B277">
            <v>2</v>
          </cell>
          <cell r="C277">
            <v>0.50280000000000002</v>
          </cell>
          <cell r="D277">
            <v>3.080000000000005</v>
          </cell>
          <cell r="E277">
            <v>0.09</v>
          </cell>
        </row>
        <row r="278">
          <cell r="A278">
            <v>43915</v>
          </cell>
          <cell r="B278">
            <v>3</v>
          </cell>
          <cell r="C278">
            <v>0.55000000000000004</v>
          </cell>
          <cell r="D278">
            <v>4.7200000000000024</v>
          </cell>
          <cell r="E278">
            <v>0.09</v>
          </cell>
        </row>
        <row r="279">
          <cell r="A279">
            <v>43916</v>
          </cell>
          <cell r="B279">
            <v>4</v>
          </cell>
          <cell r="C279">
            <v>0.52380000000000004</v>
          </cell>
          <cell r="D279">
            <v>-2.62</v>
          </cell>
          <cell r="E279">
            <v>0.08</v>
          </cell>
        </row>
        <row r="280">
          <cell r="A280">
            <v>43917</v>
          </cell>
          <cell r="B280">
            <v>5</v>
          </cell>
          <cell r="C280">
            <v>0.48</v>
          </cell>
          <cell r="D280">
            <v>-4.3800000000000061</v>
          </cell>
          <cell r="E280">
            <v>0.08</v>
          </cell>
        </row>
        <row r="281">
          <cell r="A281">
            <v>43920</v>
          </cell>
          <cell r="B281">
            <v>1</v>
          </cell>
          <cell r="C281">
            <v>0.48</v>
          </cell>
          <cell r="D281" t="str">
            <v>無成交</v>
          </cell>
          <cell r="E281">
            <v>7.0000000000000007E-2</v>
          </cell>
        </row>
        <row r="282">
          <cell r="A282">
            <v>43921</v>
          </cell>
          <cell r="B282">
            <v>2</v>
          </cell>
          <cell r="C282">
            <v>0.48</v>
          </cell>
          <cell r="D282">
            <v>0</v>
          </cell>
          <cell r="E282">
            <v>7.0000000000000007E-2</v>
          </cell>
        </row>
        <row r="283">
          <cell r="A283">
            <v>43922</v>
          </cell>
          <cell r="B283">
            <v>3</v>
          </cell>
          <cell r="C283">
            <v>0.45600000000000002</v>
          </cell>
          <cell r="D283">
            <v>-2.3999999999999968</v>
          </cell>
          <cell r="E283">
            <v>7.0000000000000007E-2</v>
          </cell>
        </row>
        <row r="284">
          <cell r="A284">
            <v>43927</v>
          </cell>
          <cell r="B284">
            <v>1</v>
          </cell>
          <cell r="C284">
            <v>0.45600000000000002</v>
          </cell>
          <cell r="D284" t="str">
            <v>無成交</v>
          </cell>
          <cell r="E284">
            <v>7.0000000000000007E-2</v>
          </cell>
        </row>
        <row r="285">
          <cell r="A285">
            <v>43928</v>
          </cell>
          <cell r="B285">
            <v>2</v>
          </cell>
          <cell r="C285">
            <v>0.48549999999999999</v>
          </cell>
          <cell r="D285">
            <v>2.9499999999999971</v>
          </cell>
          <cell r="E285">
            <v>7.0000000000000007E-2</v>
          </cell>
        </row>
        <row r="286">
          <cell r="A286">
            <v>43929</v>
          </cell>
          <cell r="B286">
            <v>3</v>
          </cell>
          <cell r="C286">
            <v>0.52</v>
          </cell>
          <cell r="D286">
            <v>3.4500000000000028</v>
          </cell>
          <cell r="E286">
            <v>7.0000000000000007E-2</v>
          </cell>
        </row>
        <row r="287">
          <cell r="A287">
            <v>43930</v>
          </cell>
          <cell r="B287">
            <v>4</v>
          </cell>
          <cell r="C287">
            <v>0.50549999999999995</v>
          </cell>
          <cell r="D287">
            <v>-1.4500000000000068</v>
          </cell>
          <cell r="E287">
            <v>7.0000000000000007E-2</v>
          </cell>
        </row>
        <row r="288">
          <cell r="A288">
            <v>43931</v>
          </cell>
          <cell r="B288">
            <v>5</v>
          </cell>
          <cell r="C288">
            <v>0.50549999999999995</v>
          </cell>
          <cell r="D288" t="str">
            <v>無成交</v>
          </cell>
          <cell r="E288">
            <v>0.08</v>
          </cell>
        </row>
        <row r="289">
          <cell r="A289">
            <v>43934</v>
          </cell>
          <cell r="B289">
            <v>1</v>
          </cell>
          <cell r="C289">
            <v>0.5101</v>
          </cell>
          <cell r="D289">
            <v>0.46000000000000485</v>
          </cell>
          <cell r="E289">
            <v>7.0000000000000007E-2</v>
          </cell>
        </row>
        <row r="290">
          <cell r="A290">
            <v>43935</v>
          </cell>
          <cell r="B290">
            <v>2</v>
          </cell>
          <cell r="C290">
            <v>0.503</v>
          </cell>
          <cell r="D290">
            <v>-0.70999999999999952</v>
          </cell>
          <cell r="E290">
            <v>7.0000000000000007E-2</v>
          </cell>
        </row>
        <row r="291">
          <cell r="A291">
            <v>43936</v>
          </cell>
          <cell r="B291">
            <v>3</v>
          </cell>
          <cell r="C291">
            <v>0.503</v>
          </cell>
          <cell r="D291">
            <v>0</v>
          </cell>
          <cell r="E291">
            <v>7.0000000000000007E-2</v>
          </cell>
        </row>
        <row r="292">
          <cell r="A292">
            <v>43937</v>
          </cell>
          <cell r="B292">
            <v>4</v>
          </cell>
          <cell r="C292">
            <v>0.48720000000000002</v>
          </cell>
          <cell r="D292">
            <v>-1.5799999999999981</v>
          </cell>
          <cell r="E292">
            <v>7.0000000000000007E-2</v>
          </cell>
        </row>
        <row r="293">
          <cell r="A293">
            <v>43938</v>
          </cell>
          <cell r="B293">
            <v>5</v>
          </cell>
          <cell r="C293">
            <v>0.502</v>
          </cell>
          <cell r="D293">
            <v>1.479999999999998</v>
          </cell>
          <cell r="E293">
            <v>0.08</v>
          </cell>
        </row>
        <row r="294">
          <cell r="A294">
            <v>43941</v>
          </cell>
          <cell r="B294">
            <v>1</v>
          </cell>
          <cell r="C294">
            <v>0.49099999999999999</v>
          </cell>
          <cell r="D294">
            <v>-1.100000000000001</v>
          </cell>
          <cell r="E294">
            <v>7.0000000000000007E-2</v>
          </cell>
        </row>
        <row r="295">
          <cell r="A295">
            <v>43942</v>
          </cell>
          <cell r="B295">
            <v>2</v>
          </cell>
          <cell r="C295">
            <v>0.47899999999999998</v>
          </cell>
          <cell r="D295">
            <v>-1.2000000000000011</v>
          </cell>
          <cell r="E295">
            <v>7.0000000000000007E-2</v>
          </cell>
        </row>
        <row r="296">
          <cell r="A296">
            <v>43943</v>
          </cell>
          <cell r="B296">
            <v>3</v>
          </cell>
          <cell r="C296">
            <v>0.47199999999999998</v>
          </cell>
          <cell r="D296">
            <v>-0.70000000000000062</v>
          </cell>
          <cell r="E296">
            <v>7.0000000000000007E-2</v>
          </cell>
        </row>
        <row r="297">
          <cell r="A297">
            <v>43944</v>
          </cell>
          <cell r="B297">
            <v>4</v>
          </cell>
          <cell r="C297">
            <v>0.46050000000000002</v>
          </cell>
          <cell r="D297">
            <v>-1.1499999999999955</v>
          </cell>
          <cell r="E297">
            <v>7.0000000000000007E-2</v>
          </cell>
        </row>
        <row r="298">
          <cell r="A298">
            <v>43945</v>
          </cell>
          <cell r="B298">
            <v>5</v>
          </cell>
          <cell r="C298">
            <v>0.45</v>
          </cell>
          <cell r="D298">
            <v>-1.0500000000000009</v>
          </cell>
          <cell r="E298">
            <v>0.08</v>
          </cell>
        </row>
        <row r="299">
          <cell r="A299">
            <v>43948</v>
          </cell>
          <cell r="B299">
            <v>1</v>
          </cell>
          <cell r="C299">
            <v>0.46400000000000002</v>
          </cell>
          <cell r="D299">
            <v>1.4000000000000012</v>
          </cell>
          <cell r="E299">
            <v>7.0000000000000007E-2</v>
          </cell>
        </row>
        <row r="300">
          <cell r="A300">
            <v>43949</v>
          </cell>
          <cell r="B300">
            <v>2</v>
          </cell>
          <cell r="C300">
            <v>0.48249999999999998</v>
          </cell>
          <cell r="D300">
            <v>1.8499999999999961</v>
          </cell>
          <cell r="E300">
            <v>7.0000000000000007E-2</v>
          </cell>
        </row>
        <row r="301">
          <cell r="A301">
            <v>43950</v>
          </cell>
          <cell r="B301">
            <v>3</v>
          </cell>
          <cell r="C301">
            <v>0.47499999999999998</v>
          </cell>
          <cell r="D301">
            <v>-0.75000000000000067</v>
          </cell>
          <cell r="E301">
            <v>7.0000000000000007E-2</v>
          </cell>
        </row>
        <row r="302">
          <cell r="A302">
            <v>43951</v>
          </cell>
          <cell r="B302">
            <v>4</v>
          </cell>
          <cell r="C302">
            <v>0.48</v>
          </cell>
          <cell r="D302">
            <v>0.50000000000000044</v>
          </cell>
          <cell r="E302">
            <v>0.08</v>
          </cell>
        </row>
        <row r="303">
          <cell r="A303">
            <v>43952</v>
          </cell>
          <cell r="B303">
            <v>5</v>
          </cell>
          <cell r="C303">
            <v>0.48</v>
          </cell>
          <cell r="D303">
            <v>0</v>
          </cell>
          <cell r="E303" t="str">
            <v>休假</v>
          </cell>
        </row>
        <row r="304">
          <cell r="A304">
            <v>43955</v>
          </cell>
          <cell r="B304">
            <v>1</v>
          </cell>
          <cell r="C304">
            <v>0.47139999999999999</v>
          </cell>
          <cell r="D304">
            <v>-0.85999999999999965</v>
          </cell>
          <cell r="E304">
            <v>7.0000000000000007E-2</v>
          </cell>
        </row>
        <row r="305">
          <cell r="A305">
            <v>43956</v>
          </cell>
          <cell r="B305">
            <v>2</v>
          </cell>
          <cell r="C305">
            <v>0.47199999999999998</v>
          </cell>
          <cell r="D305">
            <v>5.9999999999998943E-2</v>
          </cell>
          <cell r="E305">
            <v>7.0000000000000007E-2</v>
          </cell>
        </row>
        <row r="306">
          <cell r="A306">
            <v>43957</v>
          </cell>
          <cell r="B306">
            <v>3</v>
          </cell>
          <cell r="C306">
            <v>0.47799999999999998</v>
          </cell>
          <cell r="D306">
            <v>0.60000000000000053</v>
          </cell>
          <cell r="E306">
            <v>7.0000000000000007E-2</v>
          </cell>
        </row>
        <row r="307">
          <cell r="A307">
            <v>43958</v>
          </cell>
          <cell r="B307">
            <v>4</v>
          </cell>
          <cell r="C307">
            <v>0.48</v>
          </cell>
          <cell r="D307">
            <v>0.20000000000000018</v>
          </cell>
          <cell r="E307">
            <v>7.0000000000000007E-2</v>
          </cell>
        </row>
        <row r="308">
          <cell r="A308">
            <v>43959</v>
          </cell>
          <cell r="B308">
            <v>5</v>
          </cell>
          <cell r="C308">
            <v>0.47</v>
          </cell>
          <cell r="D308">
            <v>-1.0000000000000009</v>
          </cell>
          <cell r="E308">
            <v>7.4999999999999997E-2</v>
          </cell>
        </row>
        <row r="309">
          <cell r="A309">
            <v>43962</v>
          </cell>
          <cell r="B309">
            <v>1</v>
          </cell>
          <cell r="C309">
            <v>0.47</v>
          </cell>
          <cell r="D309">
            <v>0</v>
          </cell>
          <cell r="E309">
            <v>7.0000000000000007E-2</v>
          </cell>
        </row>
        <row r="310">
          <cell r="A310">
            <v>43963</v>
          </cell>
          <cell r="B310">
            <v>2</v>
          </cell>
          <cell r="C310">
            <v>0.46810000000000002</v>
          </cell>
          <cell r="D310">
            <v>-0.18999999999999573</v>
          </cell>
          <cell r="E310">
            <v>7.0000000000000007E-2</v>
          </cell>
        </row>
        <row r="311">
          <cell r="A311">
            <v>43964</v>
          </cell>
          <cell r="B311">
            <v>3</v>
          </cell>
          <cell r="C311">
            <v>0.4677</v>
          </cell>
          <cell r="D311">
            <v>-4.0000000000001146E-2</v>
          </cell>
          <cell r="E311">
            <v>7.0000000000000007E-2</v>
          </cell>
        </row>
        <row r="312">
          <cell r="A312">
            <v>43965</v>
          </cell>
          <cell r="B312">
            <v>4</v>
          </cell>
          <cell r="C312">
            <v>0.45729999999999998</v>
          </cell>
          <cell r="D312">
            <v>-1.040000000000002</v>
          </cell>
          <cell r="E312">
            <v>7.0000000000000007E-2</v>
          </cell>
        </row>
        <row r="313">
          <cell r="A313">
            <v>43966</v>
          </cell>
          <cell r="B313">
            <v>5</v>
          </cell>
          <cell r="C313">
            <v>0.45800000000000002</v>
          </cell>
          <cell r="D313">
            <v>7.0000000000003393E-2</v>
          </cell>
          <cell r="E313">
            <v>7.4999999999999997E-2</v>
          </cell>
        </row>
        <row r="314">
          <cell r="A314">
            <v>43969</v>
          </cell>
          <cell r="B314">
            <v>1</v>
          </cell>
          <cell r="C314">
            <v>0.45800000000000002</v>
          </cell>
          <cell r="D314" t="str">
            <v>無成交</v>
          </cell>
          <cell r="E314">
            <v>7.0000000000000007E-2</v>
          </cell>
        </row>
        <row r="315">
          <cell r="A315">
            <v>43970</v>
          </cell>
          <cell r="B315">
            <v>2</v>
          </cell>
          <cell r="C315">
            <v>0.47599999999999998</v>
          </cell>
          <cell r="D315">
            <v>1.799999999999996</v>
          </cell>
          <cell r="E315">
            <v>7.0000000000000007E-2</v>
          </cell>
        </row>
        <row r="316">
          <cell r="A316">
            <v>43971</v>
          </cell>
          <cell r="B316">
            <v>3</v>
          </cell>
          <cell r="C316">
            <v>0.47649999999999998</v>
          </cell>
          <cell r="D316">
            <v>5.0000000000000044E-2</v>
          </cell>
          <cell r="E316">
            <v>7.0000000000000007E-2</v>
          </cell>
        </row>
        <row r="317">
          <cell r="A317">
            <v>43972</v>
          </cell>
          <cell r="B317">
            <v>4</v>
          </cell>
          <cell r="C317">
            <v>0.46</v>
          </cell>
          <cell r="D317">
            <v>-1.6499999999999959</v>
          </cell>
          <cell r="E317">
            <v>7.0000000000000007E-2</v>
          </cell>
        </row>
        <row r="318">
          <cell r="A318">
            <v>43973</v>
          </cell>
          <cell r="B318">
            <v>5</v>
          </cell>
          <cell r="C318">
            <v>0.44900000000000001</v>
          </cell>
          <cell r="D318">
            <v>-1.100000000000001</v>
          </cell>
          <cell r="E318">
            <v>7.4999999999999997E-2</v>
          </cell>
        </row>
        <row r="319">
          <cell r="A319">
            <v>43976</v>
          </cell>
          <cell r="B319">
            <v>1</v>
          </cell>
          <cell r="C319">
            <v>0.45</v>
          </cell>
          <cell r="D319">
            <v>0.10000000000000009</v>
          </cell>
          <cell r="E319">
            <v>7.0000000000000007E-2</v>
          </cell>
        </row>
        <row r="320">
          <cell r="A320">
            <v>43977</v>
          </cell>
          <cell r="B320">
            <v>2</v>
          </cell>
          <cell r="C320">
            <v>0.46500000000000002</v>
          </cell>
          <cell r="D320">
            <v>1.5000000000000013</v>
          </cell>
          <cell r="E320">
            <v>7.4999999999999997E-2</v>
          </cell>
        </row>
        <row r="321">
          <cell r="A321">
            <v>43978</v>
          </cell>
          <cell r="B321">
            <v>3</v>
          </cell>
          <cell r="C321">
            <v>0.45800000000000002</v>
          </cell>
          <cell r="D321">
            <v>-0.70000000000000062</v>
          </cell>
          <cell r="E321">
            <v>7.4999999999999997E-2</v>
          </cell>
        </row>
        <row r="322">
          <cell r="A322">
            <v>43979</v>
          </cell>
          <cell r="B322">
            <v>4</v>
          </cell>
          <cell r="C322">
            <v>0.45550000000000002</v>
          </cell>
          <cell r="D322">
            <v>-0.25000000000000022</v>
          </cell>
          <cell r="E322">
            <v>7.4999999999999997E-2</v>
          </cell>
        </row>
        <row r="323">
          <cell r="A323">
            <v>43980</v>
          </cell>
          <cell r="B323">
            <v>5</v>
          </cell>
          <cell r="C323">
            <v>0.45550000000000002</v>
          </cell>
          <cell r="D323">
            <v>0</v>
          </cell>
          <cell r="E323">
            <v>8.5000000000000006E-2</v>
          </cell>
        </row>
        <row r="324">
          <cell r="A324">
            <v>43983</v>
          </cell>
          <cell r="B324">
            <v>1</v>
          </cell>
          <cell r="C324">
            <v>0.45400000000000001</v>
          </cell>
          <cell r="D324">
            <v>-0.15000000000000013</v>
          </cell>
          <cell r="E324">
            <v>7.4999999999999997E-2</v>
          </cell>
        </row>
        <row r="325">
          <cell r="A325">
            <v>43984</v>
          </cell>
          <cell r="B325">
            <v>2</v>
          </cell>
          <cell r="C325">
            <v>0.45729999999999998</v>
          </cell>
          <cell r="D325">
            <v>0.32999999999999696</v>
          </cell>
          <cell r="E325">
            <v>7.4999999999999997E-2</v>
          </cell>
        </row>
        <row r="326">
          <cell r="A326">
            <v>43985</v>
          </cell>
          <cell r="B326">
            <v>3</v>
          </cell>
          <cell r="C326">
            <v>0.46750000000000003</v>
          </cell>
          <cell r="D326">
            <v>1.0200000000000042</v>
          </cell>
          <cell r="E326">
            <v>7.4999999999999997E-2</v>
          </cell>
        </row>
        <row r="327">
          <cell r="A327">
            <v>43986</v>
          </cell>
          <cell r="B327">
            <v>4</v>
          </cell>
          <cell r="C327">
            <v>0.46700000000000003</v>
          </cell>
          <cell r="D327">
            <v>-5.0000000000000044E-2</v>
          </cell>
          <cell r="E327">
            <v>7.4999999999999997E-2</v>
          </cell>
        </row>
        <row r="328">
          <cell r="A328">
            <v>43987</v>
          </cell>
          <cell r="B328">
            <v>5</v>
          </cell>
          <cell r="C328">
            <v>0.48299999999999998</v>
          </cell>
          <cell r="D328">
            <v>1.5999999999999959</v>
          </cell>
          <cell r="E328">
            <v>0.08</v>
          </cell>
        </row>
        <row r="329">
          <cell r="A329">
            <v>43990</v>
          </cell>
          <cell r="B329">
            <v>1</v>
          </cell>
          <cell r="C329">
            <v>0.47020000000000001</v>
          </cell>
          <cell r="D329">
            <v>-1.2799999999999978</v>
          </cell>
          <cell r="E329">
            <v>7.4999999999999997E-2</v>
          </cell>
        </row>
        <row r="330">
          <cell r="A330">
            <v>43991</v>
          </cell>
          <cell r="B330">
            <v>2</v>
          </cell>
          <cell r="C330">
            <v>0.46339999999999998</v>
          </cell>
          <cell r="D330">
            <v>-0.68000000000000282</v>
          </cell>
          <cell r="E330">
            <v>7.4999999999999997E-2</v>
          </cell>
        </row>
        <row r="331">
          <cell r="A331">
            <v>43992</v>
          </cell>
          <cell r="B331">
            <v>3</v>
          </cell>
          <cell r="C331">
            <v>0.46100000000000002</v>
          </cell>
          <cell r="D331">
            <v>-0.23999999999999577</v>
          </cell>
          <cell r="E331">
            <v>7.4999999999999997E-2</v>
          </cell>
        </row>
        <row r="332">
          <cell r="A332">
            <v>43993</v>
          </cell>
          <cell r="B332">
            <v>4</v>
          </cell>
          <cell r="C332">
            <v>0.4526</v>
          </cell>
          <cell r="D332">
            <v>-0.84000000000000186</v>
          </cell>
          <cell r="E332">
            <v>7.2999999999999995E-2</v>
          </cell>
        </row>
        <row r="333">
          <cell r="A333">
            <v>43994</v>
          </cell>
          <cell r="B333">
            <v>5</v>
          </cell>
          <cell r="C333">
            <v>0.45300000000000001</v>
          </cell>
          <cell r="D333">
            <v>4.0000000000001146E-2</v>
          </cell>
          <cell r="E333">
            <v>7.8E-2</v>
          </cell>
        </row>
        <row r="334">
          <cell r="A334">
            <v>43997</v>
          </cell>
          <cell r="B334">
            <v>1</v>
          </cell>
          <cell r="C334">
            <v>0.45879999999999999</v>
          </cell>
          <cell r="D334">
            <v>0.57999999999999718</v>
          </cell>
          <cell r="E334">
            <v>7.5999999999999998E-2</v>
          </cell>
        </row>
        <row r="335">
          <cell r="A335">
            <v>43998</v>
          </cell>
          <cell r="B335">
            <v>2</v>
          </cell>
          <cell r="C335">
            <v>0.46010000000000001</v>
          </cell>
          <cell r="D335">
            <v>0.13000000000000234</v>
          </cell>
          <cell r="E335">
            <v>7.3999999999999996E-2</v>
          </cell>
        </row>
        <row r="336">
          <cell r="A336">
            <v>43999</v>
          </cell>
          <cell r="B336">
            <v>3</v>
          </cell>
          <cell r="C336">
            <v>0.45400000000000001</v>
          </cell>
          <cell r="D336">
            <v>-0.60999999999999943</v>
          </cell>
          <cell r="E336">
            <v>7.4999999999999997E-2</v>
          </cell>
        </row>
        <row r="337">
          <cell r="A337">
            <v>44000</v>
          </cell>
          <cell r="B337">
            <v>4</v>
          </cell>
          <cell r="C337">
            <v>0.44409999999999999</v>
          </cell>
          <cell r="D337">
            <v>-0.99000000000000199</v>
          </cell>
          <cell r="E337">
            <v>7.4999999999999997E-2</v>
          </cell>
        </row>
        <row r="338">
          <cell r="A338">
            <v>44001</v>
          </cell>
          <cell r="B338">
            <v>5</v>
          </cell>
          <cell r="C338">
            <v>0.45550000000000002</v>
          </cell>
          <cell r="D338">
            <v>1.1400000000000021</v>
          </cell>
          <cell r="E338">
            <v>7.4999999999999997E-2</v>
          </cell>
        </row>
        <row r="339">
          <cell r="A339">
            <v>44004</v>
          </cell>
          <cell r="B339">
            <v>1</v>
          </cell>
          <cell r="C339">
            <v>0.45540000000000003</v>
          </cell>
          <cell r="D339">
            <v>-9.9999999999988987E-3</v>
          </cell>
          <cell r="E339">
            <v>0.08</v>
          </cell>
        </row>
        <row r="340">
          <cell r="A340">
            <v>44005</v>
          </cell>
          <cell r="B340">
            <v>2</v>
          </cell>
          <cell r="C340">
            <v>0.4556</v>
          </cell>
          <cell r="D340">
            <v>1.9999999999997797E-2</v>
          </cell>
          <cell r="E340">
            <v>7.9000000000000001E-2</v>
          </cell>
        </row>
        <row r="341">
          <cell r="A341">
            <v>44006</v>
          </cell>
          <cell r="B341">
            <v>3</v>
          </cell>
          <cell r="C341">
            <v>0.4556</v>
          </cell>
          <cell r="D341" t="str">
            <v>無成交</v>
          </cell>
          <cell r="E341">
            <v>8.5000000000000006E-2</v>
          </cell>
        </row>
        <row r="342">
          <cell r="A342">
            <v>44007</v>
          </cell>
          <cell r="B342">
            <v>4</v>
          </cell>
          <cell r="C342">
            <v>0.4556</v>
          </cell>
          <cell r="D342">
            <v>0</v>
          </cell>
          <cell r="E342" t="str">
            <v>休假</v>
          </cell>
        </row>
        <row r="343">
          <cell r="A343">
            <v>44008</v>
          </cell>
          <cell r="B343">
            <v>5</v>
          </cell>
          <cell r="C343">
            <v>0.4556</v>
          </cell>
          <cell r="D343">
            <v>0</v>
          </cell>
          <cell r="E343" t="str">
            <v>休假</v>
          </cell>
        </row>
        <row r="344">
          <cell r="A344">
            <v>44011</v>
          </cell>
          <cell r="B344">
            <v>1</v>
          </cell>
          <cell r="C344">
            <v>0.44850000000000001</v>
          </cell>
          <cell r="D344">
            <v>-0.70999999999999952</v>
          </cell>
          <cell r="E344">
            <v>0.08</v>
          </cell>
        </row>
        <row r="345">
          <cell r="A345">
            <v>44012</v>
          </cell>
          <cell r="B345">
            <v>2</v>
          </cell>
          <cell r="C345">
            <v>0.45200000000000001</v>
          </cell>
          <cell r="D345">
            <v>0.35000000000000031</v>
          </cell>
          <cell r="E345">
            <v>8.5000000000000006E-2</v>
          </cell>
        </row>
        <row r="346">
          <cell r="A346">
            <v>44013</v>
          </cell>
          <cell r="B346">
            <v>3</v>
          </cell>
          <cell r="C346">
            <v>0.45450000000000002</v>
          </cell>
          <cell r="D346">
            <v>0.25000000000000022</v>
          </cell>
          <cell r="E346">
            <v>0.08</v>
          </cell>
        </row>
        <row r="347">
          <cell r="A347">
            <v>44014</v>
          </cell>
          <cell r="B347">
            <v>4</v>
          </cell>
          <cell r="C347">
            <v>0.45600000000000002</v>
          </cell>
          <cell r="D347">
            <v>0.15000000000000013</v>
          </cell>
          <cell r="E347">
            <v>7.4999999999999997E-2</v>
          </cell>
        </row>
        <row r="348">
          <cell r="A348">
            <v>44015</v>
          </cell>
          <cell r="B348">
            <v>5</v>
          </cell>
          <cell r="C348">
            <v>0.45129999999999998</v>
          </cell>
          <cell r="D348">
            <v>-0.47000000000000375</v>
          </cell>
          <cell r="E348">
            <v>7.6999999999999999E-2</v>
          </cell>
        </row>
        <row r="349">
          <cell r="A349">
            <v>44018</v>
          </cell>
          <cell r="B349">
            <v>1</v>
          </cell>
          <cell r="C349">
            <v>0.45129999999999998</v>
          </cell>
          <cell r="D349" t="str">
            <v>無成交</v>
          </cell>
          <cell r="E349">
            <v>7.4999999999999997E-2</v>
          </cell>
        </row>
        <row r="350">
          <cell r="A350">
            <v>44019</v>
          </cell>
          <cell r="B350">
            <v>2</v>
          </cell>
          <cell r="C350">
            <v>0.45</v>
          </cell>
          <cell r="D350">
            <v>-0.12999999999999678</v>
          </cell>
          <cell r="E350">
            <v>7.5999999999999998E-2</v>
          </cell>
        </row>
        <row r="351">
          <cell r="A351">
            <v>44020</v>
          </cell>
          <cell r="B351">
            <v>3</v>
          </cell>
          <cell r="C351">
            <v>0.45550000000000002</v>
          </cell>
          <cell r="D351">
            <v>0.55000000000000049</v>
          </cell>
          <cell r="E351">
            <v>7.6999999999999999E-2</v>
          </cell>
        </row>
        <row r="352">
          <cell r="A352">
            <v>44021</v>
          </cell>
          <cell r="B352">
            <v>4</v>
          </cell>
          <cell r="C352">
            <v>0.45500000000000002</v>
          </cell>
          <cell r="D352">
            <v>-5.0000000000000044E-2</v>
          </cell>
          <cell r="E352">
            <v>7.4999999999999997E-2</v>
          </cell>
        </row>
        <row r="353">
          <cell r="A353">
            <v>44022</v>
          </cell>
          <cell r="B353">
            <v>5</v>
          </cell>
          <cell r="C353">
            <v>0.45200000000000001</v>
          </cell>
          <cell r="D353">
            <v>-0.30000000000000027</v>
          </cell>
          <cell r="E353">
            <v>0.08</v>
          </cell>
        </row>
        <row r="354">
          <cell r="A354">
            <v>44025</v>
          </cell>
          <cell r="B354">
            <v>1</v>
          </cell>
          <cell r="C354">
            <v>0.45200000000000001</v>
          </cell>
          <cell r="D354" t="str">
            <v>無成交</v>
          </cell>
          <cell r="E354">
            <v>7.8E-2</v>
          </cell>
        </row>
        <row r="355">
          <cell r="A355">
            <v>44026</v>
          </cell>
          <cell r="B355">
            <v>2</v>
          </cell>
          <cell r="C355">
            <v>0.45019999999999999</v>
          </cell>
          <cell r="D355">
            <v>-0.18000000000000238</v>
          </cell>
          <cell r="E355">
            <v>7.9000000000000001E-2</v>
          </cell>
        </row>
        <row r="356">
          <cell r="A356">
            <v>44027</v>
          </cell>
          <cell r="B356">
            <v>3</v>
          </cell>
          <cell r="C356">
            <v>0.45019999999999999</v>
          </cell>
          <cell r="D356" t="str">
            <v>無成交</v>
          </cell>
          <cell r="E356">
            <v>0.08</v>
          </cell>
        </row>
        <row r="357">
          <cell r="A357">
            <v>44028</v>
          </cell>
          <cell r="B357">
            <v>4</v>
          </cell>
          <cell r="C357">
            <v>0.44919999999999999</v>
          </cell>
          <cell r="D357">
            <v>-0.10000000000000009</v>
          </cell>
          <cell r="E357">
            <v>0.08</v>
          </cell>
        </row>
        <row r="358">
          <cell r="A358">
            <v>44029</v>
          </cell>
          <cell r="B358">
            <v>5</v>
          </cell>
          <cell r="C358">
            <v>0.44140000000000001</v>
          </cell>
          <cell r="D358">
            <v>-0.77999999999999736</v>
          </cell>
          <cell r="E358">
            <v>0.08</v>
          </cell>
        </row>
        <row r="359">
          <cell r="A359">
            <v>44032</v>
          </cell>
          <cell r="B359">
            <v>1</v>
          </cell>
          <cell r="C359">
            <v>0.433</v>
          </cell>
          <cell r="D359">
            <v>-0.84000000000000186</v>
          </cell>
          <cell r="E359">
            <v>0.08</v>
          </cell>
        </row>
        <row r="360">
          <cell r="A360">
            <v>44033</v>
          </cell>
          <cell r="B360">
            <v>2</v>
          </cell>
          <cell r="C360">
            <v>0.43980000000000002</v>
          </cell>
          <cell r="D360">
            <v>0.68000000000000282</v>
          </cell>
          <cell r="E360">
            <v>7.8E-2</v>
          </cell>
        </row>
        <row r="361">
          <cell r="A361">
            <v>44034</v>
          </cell>
          <cell r="B361">
            <v>3</v>
          </cell>
          <cell r="C361">
            <v>0.435</v>
          </cell>
          <cell r="D361">
            <v>-0.48000000000000265</v>
          </cell>
          <cell r="E361">
            <v>7.9000000000000001E-2</v>
          </cell>
        </row>
        <row r="362">
          <cell r="A362">
            <v>44035</v>
          </cell>
          <cell r="B362">
            <v>4</v>
          </cell>
          <cell r="C362">
            <v>0.42880000000000001</v>
          </cell>
          <cell r="D362">
            <v>-0.61999999999999833</v>
          </cell>
          <cell r="E362">
            <v>7.6999999999999999E-2</v>
          </cell>
        </row>
        <row r="363">
          <cell r="A363">
            <v>44036</v>
          </cell>
          <cell r="B363">
            <v>5</v>
          </cell>
          <cell r="C363">
            <v>0.42</v>
          </cell>
          <cell r="D363">
            <v>-0.880000000000003</v>
          </cell>
          <cell r="E363">
            <v>0.08</v>
          </cell>
        </row>
        <row r="364">
          <cell r="A364">
            <v>44039</v>
          </cell>
          <cell r="B364">
            <v>1</v>
          </cell>
          <cell r="C364">
            <v>0.42399999999999999</v>
          </cell>
          <cell r="D364">
            <v>0.40000000000000036</v>
          </cell>
          <cell r="E364">
            <v>0.08</v>
          </cell>
        </row>
        <row r="365">
          <cell r="A365">
            <v>44040</v>
          </cell>
          <cell r="B365">
            <v>2</v>
          </cell>
          <cell r="C365">
            <v>0.42799999999999999</v>
          </cell>
          <cell r="D365">
            <v>0.40000000000000036</v>
          </cell>
          <cell r="E365">
            <v>7.5999999999999998E-2</v>
          </cell>
        </row>
        <row r="366">
          <cell r="A366">
            <v>44041</v>
          </cell>
          <cell r="B366">
            <v>3</v>
          </cell>
          <cell r="C366">
            <v>0.42020000000000002</v>
          </cell>
          <cell r="D366">
            <v>-0.77999999999999736</v>
          </cell>
          <cell r="E366">
            <v>7.4999999999999997E-2</v>
          </cell>
        </row>
        <row r="367">
          <cell r="A367">
            <v>44042</v>
          </cell>
          <cell r="B367">
            <v>4</v>
          </cell>
          <cell r="C367">
            <v>0.41649999999999998</v>
          </cell>
          <cell r="D367">
            <v>-0.37000000000000366</v>
          </cell>
          <cell r="E367">
            <v>7.4999999999999997E-2</v>
          </cell>
        </row>
        <row r="368">
          <cell r="A368">
            <v>44043</v>
          </cell>
          <cell r="B368">
            <v>5</v>
          </cell>
          <cell r="C368">
            <v>0.40899999999999997</v>
          </cell>
          <cell r="D368">
            <v>-0.75000000000000067</v>
          </cell>
          <cell r="E368">
            <v>0.08</v>
          </cell>
        </row>
        <row r="369">
          <cell r="A369">
            <v>44046</v>
          </cell>
          <cell r="B369">
            <v>1</v>
          </cell>
          <cell r="C369">
            <v>0.40799999999999997</v>
          </cell>
          <cell r="D369">
            <v>-0.10000000000000009</v>
          </cell>
          <cell r="E369">
            <v>0.08</v>
          </cell>
        </row>
        <row r="370">
          <cell r="A370">
            <v>44047</v>
          </cell>
          <cell r="B370">
            <v>2</v>
          </cell>
          <cell r="C370">
            <v>0.40870000000000001</v>
          </cell>
          <cell r="D370">
            <v>7.0000000000003393E-2</v>
          </cell>
          <cell r="E370">
            <v>7.9000000000000001E-2</v>
          </cell>
        </row>
        <row r="371">
          <cell r="A371">
            <v>44048</v>
          </cell>
          <cell r="B371">
            <v>3</v>
          </cell>
          <cell r="C371">
            <v>0.39710000000000001</v>
          </cell>
          <cell r="D371">
            <v>-1.1599999999999999</v>
          </cell>
          <cell r="E371">
            <v>7.6999999999999999E-2</v>
          </cell>
        </row>
        <row r="372">
          <cell r="A372">
            <v>44049</v>
          </cell>
          <cell r="B372">
            <v>4</v>
          </cell>
          <cell r="C372">
            <v>0.39529999999999998</v>
          </cell>
          <cell r="D372">
            <v>-0.18000000000000238</v>
          </cell>
          <cell r="E372">
            <v>7.8E-2</v>
          </cell>
        </row>
        <row r="373">
          <cell r="A373">
            <v>44050</v>
          </cell>
          <cell r="B373">
            <v>5</v>
          </cell>
          <cell r="C373">
            <v>0.39</v>
          </cell>
          <cell r="D373">
            <v>-0.52999999999999714</v>
          </cell>
          <cell r="E373">
            <v>0.08</v>
          </cell>
        </row>
        <row r="374">
          <cell r="A374">
            <v>44053</v>
          </cell>
          <cell r="B374">
            <v>1</v>
          </cell>
          <cell r="C374">
            <v>0.38779999999999998</v>
          </cell>
          <cell r="D374">
            <v>-0.22000000000000353</v>
          </cell>
          <cell r="E374">
            <v>0.08</v>
          </cell>
        </row>
        <row r="375">
          <cell r="A375">
            <v>44054</v>
          </cell>
          <cell r="B375">
            <v>2</v>
          </cell>
          <cell r="C375">
            <v>0.37</v>
          </cell>
          <cell r="D375">
            <v>-1.7799999999999983</v>
          </cell>
          <cell r="E375">
            <v>7.8E-2</v>
          </cell>
        </row>
        <row r="376">
          <cell r="A376">
            <v>44055</v>
          </cell>
          <cell r="B376">
            <v>3</v>
          </cell>
          <cell r="C376">
            <v>0.39</v>
          </cell>
          <cell r="D376">
            <v>2.0000000000000018</v>
          </cell>
          <cell r="E376">
            <v>7.5999999999999998E-2</v>
          </cell>
        </row>
        <row r="377">
          <cell r="A377">
            <v>44056</v>
          </cell>
          <cell r="B377">
            <v>4</v>
          </cell>
          <cell r="C377">
            <v>0.38650000000000001</v>
          </cell>
          <cell r="D377">
            <v>-0.35000000000000031</v>
          </cell>
          <cell r="E377">
            <v>7.6999999999999999E-2</v>
          </cell>
        </row>
        <row r="378">
          <cell r="A378">
            <v>44057</v>
          </cell>
          <cell r="B378">
            <v>5</v>
          </cell>
          <cell r="C378">
            <v>0.40300000000000002</v>
          </cell>
          <cell r="D378">
            <v>1.6500000000000015</v>
          </cell>
          <cell r="E378">
            <v>0.08</v>
          </cell>
        </row>
        <row r="379">
          <cell r="A379">
            <v>44060</v>
          </cell>
          <cell r="B379">
            <v>1</v>
          </cell>
          <cell r="C379">
            <v>0.4</v>
          </cell>
          <cell r="D379">
            <v>-0.30000000000000027</v>
          </cell>
          <cell r="E379">
            <v>7.9000000000000001E-2</v>
          </cell>
        </row>
        <row r="380">
          <cell r="A380">
            <v>44061</v>
          </cell>
          <cell r="B380">
            <v>2</v>
          </cell>
          <cell r="C380">
            <v>0.39779999999999999</v>
          </cell>
          <cell r="D380">
            <v>-0.22000000000000353</v>
          </cell>
          <cell r="E380">
            <v>7.8E-2</v>
          </cell>
        </row>
        <row r="381">
          <cell r="A381">
            <v>44062</v>
          </cell>
          <cell r="B381">
            <v>3</v>
          </cell>
          <cell r="C381">
            <v>0.39050000000000001</v>
          </cell>
          <cell r="D381">
            <v>-0.72999999999999732</v>
          </cell>
          <cell r="E381">
            <v>7.8E-2</v>
          </cell>
        </row>
        <row r="382">
          <cell r="A382">
            <v>44063</v>
          </cell>
          <cell r="B382">
            <v>4</v>
          </cell>
          <cell r="C382">
            <v>0.39500000000000002</v>
          </cell>
          <cell r="D382">
            <v>0.4500000000000004</v>
          </cell>
          <cell r="E382">
            <v>7.6999999999999999E-2</v>
          </cell>
        </row>
        <row r="383">
          <cell r="A383">
            <v>44064</v>
          </cell>
          <cell r="B383">
            <v>5</v>
          </cell>
          <cell r="C383">
            <v>0.39700000000000002</v>
          </cell>
          <cell r="D383">
            <v>0.20000000000000018</v>
          </cell>
          <cell r="E383">
            <v>0.08</v>
          </cell>
        </row>
        <row r="384">
          <cell r="A384">
            <v>44067</v>
          </cell>
          <cell r="B384">
            <v>1</v>
          </cell>
          <cell r="C384">
            <v>0.39700000000000002</v>
          </cell>
          <cell r="D384">
            <v>0</v>
          </cell>
          <cell r="E384">
            <v>7.9000000000000001E-2</v>
          </cell>
        </row>
        <row r="385">
          <cell r="A385">
            <v>44068</v>
          </cell>
          <cell r="B385">
            <v>2</v>
          </cell>
          <cell r="C385">
            <v>0.40989999999999999</v>
          </cell>
          <cell r="D385">
            <v>1.2899999999999967</v>
          </cell>
          <cell r="E385">
            <v>7.6999999999999999E-2</v>
          </cell>
        </row>
        <row r="386">
          <cell r="A386">
            <v>44069</v>
          </cell>
          <cell r="B386">
            <v>3</v>
          </cell>
          <cell r="C386">
            <v>0.42099999999999999</v>
          </cell>
          <cell r="D386">
            <v>1.1099999999999999</v>
          </cell>
          <cell r="E386">
            <v>7.4999999999999997E-2</v>
          </cell>
        </row>
        <row r="387">
          <cell r="A387">
            <v>44070</v>
          </cell>
          <cell r="B387">
            <v>4</v>
          </cell>
          <cell r="C387">
            <v>0.40699999999999997</v>
          </cell>
          <cell r="D387">
            <v>-1.4000000000000012</v>
          </cell>
          <cell r="E387">
            <v>7.5999999999999998E-2</v>
          </cell>
        </row>
        <row r="388">
          <cell r="A388">
            <v>44071</v>
          </cell>
          <cell r="B388">
            <v>5</v>
          </cell>
          <cell r="C388">
            <v>0.42199999999999999</v>
          </cell>
          <cell r="D388">
            <v>1.5000000000000013</v>
          </cell>
          <cell r="E388">
            <v>0.08</v>
          </cell>
        </row>
        <row r="389">
          <cell r="A389">
            <v>44074</v>
          </cell>
          <cell r="B389">
            <v>1</v>
          </cell>
          <cell r="C389">
            <v>0.41599999999999998</v>
          </cell>
          <cell r="D389">
            <v>-0.60000000000000053</v>
          </cell>
          <cell r="E389">
            <v>0.08</v>
          </cell>
        </row>
        <row r="390">
          <cell r="A390">
            <v>44075</v>
          </cell>
          <cell r="B390">
            <v>2</v>
          </cell>
          <cell r="C390">
            <v>0.41499999999999998</v>
          </cell>
          <cell r="D390">
            <v>-0.10000000000000009</v>
          </cell>
          <cell r="E390">
            <v>7.6999999999999999E-2</v>
          </cell>
        </row>
        <row r="391">
          <cell r="A391">
            <v>44076</v>
          </cell>
          <cell r="B391">
            <v>3</v>
          </cell>
          <cell r="C391">
            <v>0.41499999999999998</v>
          </cell>
          <cell r="D391">
            <v>0</v>
          </cell>
          <cell r="E391">
            <v>7.5999999999999998E-2</v>
          </cell>
        </row>
        <row r="392">
          <cell r="A392">
            <v>44077</v>
          </cell>
          <cell r="B392">
            <v>4</v>
          </cell>
          <cell r="C392">
            <v>0.42</v>
          </cell>
          <cell r="D392">
            <v>0.50000000000000044</v>
          </cell>
          <cell r="E392">
            <v>7.5999999999999998E-2</v>
          </cell>
        </row>
        <row r="393">
          <cell r="A393">
            <v>44078</v>
          </cell>
          <cell r="B393">
            <v>5</v>
          </cell>
          <cell r="C393">
            <v>0.42</v>
          </cell>
          <cell r="D393">
            <v>0</v>
          </cell>
          <cell r="E393">
            <v>0.08</v>
          </cell>
        </row>
        <row r="394">
          <cell r="A394">
            <v>44081</v>
          </cell>
          <cell r="B394">
            <v>1</v>
          </cell>
          <cell r="C394">
            <v>0.42699999999999999</v>
          </cell>
          <cell r="D394">
            <v>0.70000000000000062</v>
          </cell>
          <cell r="E394">
            <v>7.8E-2</v>
          </cell>
        </row>
        <row r="395">
          <cell r="A395">
            <v>44082</v>
          </cell>
          <cell r="B395">
            <v>2</v>
          </cell>
          <cell r="C395">
            <v>0.42420000000000002</v>
          </cell>
          <cell r="D395">
            <v>-0.27999999999999692</v>
          </cell>
          <cell r="E395">
            <v>7.5999999999999998E-2</v>
          </cell>
        </row>
        <row r="396">
          <cell r="A396">
            <v>44083</v>
          </cell>
          <cell r="B396">
            <v>3</v>
          </cell>
          <cell r="C396">
            <v>0.42</v>
          </cell>
          <cell r="D396">
            <v>-0.4200000000000037</v>
          </cell>
          <cell r="E396">
            <v>7.4999999999999997E-2</v>
          </cell>
        </row>
        <row r="397">
          <cell r="A397">
            <v>44084</v>
          </cell>
          <cell r="B397">
            <v>4</v>
          </cell>
          <cell r="C397">
            <v>0.4163</v>
          </cell>
          <cell r="D397">
            <v>-0.36999999999999811</v>
          </cell>
          <cell r="E397">
            <v>7.4999999999999997E-2</v>
          </cell>
        </row>
        <row r="398">
          <cell r="A398">
            <v>44085</v>
          </cell>
          <cell r="B398">
            <v>5</v>
          </cell>
          <cell r="C398">
            <v>0.41220000000000001</v>
          </cell>
          <cell r="D398">
            <v>-0.40999999999999925</v>
          </cell>
          <cell r="E398">
            <v>7.9000000000000001E-2</v>
          </cell>
        </row>
        <row r="399">
          <cell r="A399">
            <v>44088</v>
          </cell>
          <cell r="B399">
            <v>1</v>
          </cell>
          <cell r="C399">
            <v>0.41299999999999998</v>
          </cell>
          <cell r="D399">
            <v>7.999999999999674E-2</v>
          </cell>
          <cell r="E399">
            <v>7.8E-2</v>
          </cell>
        </row>
        <row r="400">
          <cell r="A400">
            <v>44089</v>
          </cell>
          <cell r="B400">
            <v>2</v>
          </cell>
          <cell r="C400">
            <v>0.41149999999999998</v>
          </cell>
          <cell r="D400">
            <v>-0.15000000000000013</v>
          </cell>
          <cell r="E400">
            <v>7.5999999999999998E-2</v>
          </cell>
        </row>
        <row r="401">
          <cell r="A401">
            <v>44090</v>
          </cell>
          <cell r="B401">
            <v>3</v>
          </cell>
          <cell r="C401">
            <v>0.39650000000000002</v>
          </cell>
          <cell r="D401">
            <v>-1.4999999999999958</v>
          </cell>
          <cell r="E401">
            <v>7.6999999999999999E-2</v>
          </cell>
        </row>
        <row r="402">
          <cell r="A402">
            <v>44091</v>
          </cell>
          <cell r="B402">
            <v>4</v>
          </cell>
          <cell r="C402">
            <v>0.39069999999999999</v>
          </cell>
          <cell r="D402">
            <v>-0.58000000000000274</v>
          </cell>
          <cell r="E402">
            <v>7.8E-2</v>
          </cell>
        </row>
        <row r="403">
          <cell r="A403">
            <v>44092</v>
          </cell>
          <cell r="B403">
            <v>5</v>
          </cell>
          <cell r="C403">
            <v>0.38700000000000001</v>
          </cell>
          <cell r="D403">
            <v>-0.36999999999999811</v>
          </cell>
          <cell r="E403">
            <v>0.08</v>
          </cell>
        </row>
        <row r="404">
          <cell r="A404">
            <v>44095</v>
          </cell>
          <cell r="B404">
            <v>1</v>
          </cell>
          <cell r="C404">
            <v>0.39900000000000002</v>
          </cell>
          <cell r="D404">
            <v>1.2000000000000011</v>
          </cell>
          <cell r="E404">
            <v>7.6999999999999999E-2</v>
          </cell>
        </row>
        <row r="405">
          <cell r="A405">
            <v>44096</v>
          </cell>
          <cell r="B405">
            <v>2</v>
          </cell>
          <cell r="C405">
            <v>0.39119999999999999</v>
          </cell>
          <cell r="D405">
            <v>-0.78000000000000291</v>
          </cell>
          <cell r="E405">
            <v>7.4999999999999997E-2</v>
          </cell>
        </row>
        <row r="406">
          <cell r="A406">
            <v>44097</v>
          </cell>
          <cell r="B406">
            <v>3</v>
          </cell>
          <cell r="C406">
            <v>0.39800000000000002</v>
          </cell>
          <cell r="D406">
            <v>0.68000000000000282</v>
          </cell>
          <cell r="E406">
            <v>7.5999999999999998E-2</v>
          </cell>
        </row>
        <row r="407">
          <cell r="A407">
            <v>44098</v>
          </cell>
          <cell r="B407">
            <v>4</v>
          </cell>
          <cell r="C407">
            <v>0.42</v>
          </cell>
          <cell r="D407">
            <v>2.1999999999999966</v>
          </cell>
          <cell r="E407">
            <v>7.5999999999999998E-2</v>
          </cell>
        </row>
        <row r="408">
          <cell r="A408">
            <v>44099</v>
          </cell>
          <cell r="B408">
            <v>5</v>
          </cell>
          <cell r="C408">
            <v>0.41499999999999998</v>
          </cell>
          <cell r="D408">
            <v>-0.50000000000000044</v>
          </cell>
          <cell r="E408">
            <v>7.6999999999999999E-2</v>
          </cell>
        </row>
        <row r="409">
          <cell r="A409">
            <v>44102</v>
          </cell>
          <cell r="B409">
            <v>1</v>
          </cell>
          <cell r="C409">
            <v>0.40699999999999997</v>
          </cell>
          <cell r="D409">
            <v>-0.80000000000000071</v>
          </cell>
          <cell r="E409">
            <v>7.9000000000000001E-2</v>
          </cell>
        </row>
        <row r="410">
          <cell r="A410">
            <v>44103</v>
          </cell>
          <cell r="B410">
            <v>2</v>
          </cell>
          <cell r="C410">
            <v>0.39600000000000002</v>
          </cell>
          <cell r="D410">
            <v>-1.0999999999999954</v>
          </cell>
          <cell r="E410">
            <v>7.8E-2</v>
          </cell>
        </row>
        <row r="411">
          <cell r="A411">
            <v>44104</v>
          </cell>
          <cell r="B411">
            <v>3</v>
          </cell>
          <cell r="C411">
            <v>0.39600000000000002</v>
          </cell>
          <cell r="D411" t="str">
            <v>無成交</v>
          </cell>
          <cell r="E411">
            <v>8.1000000000000003E-2</v>
          </cell>
        </row>
        <row r="412">
          <cell r="A412">
            <v>44105</v>
          </cell>
          <cell r="B412">
            <v>4</v>
          </cell>
          <cell r="C412">
            <v>0.39600000000000002</v>
          </cell>
          <cell r="D412" t="str">
            <v>連假</v>
          </cell>
          <cell r="E412" t="str">
            <v>X</v>
          </cell>
        </row>
        <row r="413">
          <cell r="A413">
            <v>44106</v>
          </cell>
          <cell r="B413">
            <v>5</v>
          </cell>
          <cell r="C413">
            <v>0.39600000000000002</v>
          </cell>
          <cell r="D413" t="str">
            <v>連假</v>
          </cell>
          <cell r="E413" t="str">
            <v>X</v>
          </cell>
        </row>
        <row r="414">
          <cell r="A414">
            <v>44109</v>
          </cell>
          <cell r="B414">
            <v>1</v>
          </cell>
          <cell r="C414">
            <v>0.38250000000000001</v>
          </cell>
          <cell r="D414">
            <v>-1.3500000000000012</v>
          </cell>
          <cell r="E414">
            <v>7.8E-2</v>
          </cell>
        </row>
        <row r="415">
          <cell r="A415">
            <v>44110</v>
          </cell>
          <cell r="B415">
            <v>2</v>
          </cell>
          <cell r="C415">
            <v>0.38300000000000001</v>
          </cell>
          <cell r="D415">
            <v>5.0000000000000044E-2</v>
          </cell>
          <cell r="E415">
            <v>0.08</v>
          </cell>
        </row>
        <row r="416">
          <cell r="A416">
            <v>44111</v>
          </cell>
          <cell r="B416">
            <v>3</v>
          </cell>
          <cell r="C416">
            <v>0.37</v>
          </cell>
          <cell r="D416">
            <v>-1.3000000000000012</v>
          </cell>
          <cell r="E416">
            <v>7.9000000000000001E-2</v>
          </cell>
        </row>
        <row r="417">
          <cell r="A417">
            <v>44112</v>
          </cell>
          <cell r="B417">
            <v>4</v>
          </cell>
          <cell r="C417">
            <v>0.34799999999999998</v>
          </cell>
          <cell r="D417">
            <v>-2.200000000000002</v>
          </cell>
          <cell r="E417">
            <v>8.1000000000000003E-2</v>
          </cell>
        </row>
        <row r="418">
          <cell r="A418">
            <v>44113</v>
          </cell>
          <cell r="B418">
            <v>5</v>
          </cell>
          <cell r="C418">
            <v>0.34799999999999998</v>
          </cell>
          <cell r="D418" t="str">
            <v>連假</v>
          </cell>
          <cell r="E418" t="str">
            <v>X</v>
          </cell>
        </row>
        <row r="419">
          <cell r="A419">
            <v>44116</v>
          </cell>
          <cell r="B419">
            <v>1</v>
          </cell>
          <cell r="C419">
            <v>0.33</v>
          </cell>
          <cell r="D419">
            <v>-1.799999999999996</v>
          </cell>
          <cell r="E419">
            <v>7.9000000000000001E-2</v>
          </cell>
        </row>
        <row r="420">
          <cell r="A420">
            <v>44117</v>
          </cell>
          <cell r="B420">
            <v>2</v>
          </cell>
          <cell r="C420">
            <v>0.30099999999999999</v>
          </cell>
          <cell r="D420">
            <v>-2.9000000000000026</v>
          </cell>
          <cell r="E420">
            <v>7.8E-2</v>
          </cell>
        </row>
        <row r="421">
          <cell r="A421">
            <v>44118</v>
          </cell>
          <cell r="B421">
            <v>3</v>
          </cell>
          <cell r="C421">
            <v>0.30099999999999999</v>
          </cell>
          <cell r="D421">
            <v>0</v>
          </cell>
          <cell r="E421">
            <v>7.6999999999999999E-2</v>
          </cell>
        </row>
        <row r="422">
          <cell r="A422">
            <v>44119</v>
          </cell>
          <cell r="B422">
            <v>4</v>
          </cell>
          <cell r="C422">
            <v>0.30099999999999999</v>
          </cell>
          <cell r="D422" t="str">
            <v>無成交</v>
          </cell>
          <cell r="E422">
            <v>7.8E-2</v>
          </cell>
        </row>
        <row r="423">
          <cell r="A423">
            <v>44120</v>
          </cell>
          <cell r="B423">
            <v>5</v>
          </cell>
          <cell r="C423">
            <v>0.30330000000000001</v>
          </cell>
          <cell r="D423">
            <v>0.23000000000000242</v>
          </cell>
          <cell r="E423">
            <v>0.08</v>
          </cell>
        </row>
        <row r="424">
          <cell r="A424">
            <v>44123</v>
          </cell>
          <cell r="B424">
            <v>1</v>
          </cell>
          <cell r="C424">
            <v>0.30149999999999999</v>
          </cell>
          <cell r="D424">
            <v>-0.18000000000000238</v>
          </cell>
          <cell r="E424">
            <v>7.8E-2</v>
          </cell>
        </row>
        <row r="425">
          <cell r="A425">
            <v>44124</v>
          </cell>
          <cell r="B425">
            <v>2</v>
          </cell>
          <cell r="C425">
            <v>0.30149999999999999</v>
          </cell>
          <cell r="D425" t="str">
            <v>無成交</v>
          </cell>
          <cell r="E425">
            <v>7.9000000000000001E-2</v>
          </cell>
        </row>
        <row r="426">
          <cell r="A426">
            <v>44125</v>
          </cell>
          <cell r="B426">
            <v>3</v>
          </cell>
          <cell r="C426">
            <v>0.30709999999999998</v>
          </cell>
          <cell r="D426">
            <v>0.55999999999999939</v>
          </cell>
          <cell r="E426">
            <v>7.6999999999999999E-2</v>
          </cell>
        </row>
        <row r="427">
          <cell r="A427">
            <v>44126</v>
          </cell>
          <cell r="B427">
            <v>4</v>
          </cell>
          <cell r="C427">
            <v>0.31</v>
          </cell>
          <cell r="D427">
            <v>0.29000000000000137</v>
          </cell>
          <cell r="E427">
            <v>7.9000000000000001E-2</v>
          </cell>
        </row>
        <row r="428">
          <cell r="A428">
            <v>44127</v>
          </cell>
          <cell r="B428">
            <v>5</v>
          </cell>
          <cell r="C428">
            <v>0.31</v>
          </cell>
          <cell r="D428" t="str">
            <v>無成交</v>
          </cell>
          <cell r="E428">
            <v>0.08</v>
          </cell>
        </row>
        <row r="429">
          <cell r="A429">
            <v>44130</v>
          </cell>
          <cell r="B429">
            <v>1</v>
          </cell>
          <cell r="C429">
            <v>0.31</v>
          </cell>
          <cell r="D429" t="str">
            <v>無成交</v>
          </cell>
          <cell r="E429">
            <v>7.8E-2</v>
          </cell>
        </row>
        <row r="430">
          <cell r="A430">
            <v>44131</v>
          </cell>
          <cell r="B430">
            <v>2</v>
          </cell>
          <cell r="C430">
            <v>0.31</v>
          </cell>
          <cell r="D430" t="str">
            <v>無成交</v>
          </cell>
          <cell r="E430">
            <v>7.6999999999999999E-2</v>
          </cell>
        </row>
        <row r="431">
          <cell r="A431">
            <v>44132</v>
          </cell>
          <cell r="B431">
            <v>3</v>
          </cell>
          <cell r="C431">
            <v>0.29499999999999998</v>
          </cell>
          <cell r="D431">
            <v>-1.5000000000000013</v>
          </cell>
          <cell r="E431">
            <v>7.9000000000000001E-2</v>
          </cell>
        </row>
        <row r="432">
          <cell r="A432">
            <v>44133</v>
          </cell>
          <cell r="B432">
            <v>4</v>
          </cell>
          <cell r="C432">
            <v>0.29499999999999998</v>
          </cell>
          <cell r="D432" t="str">
            <v>無成交</v>
          </cell>
          <cell r="E432">
            <v>7.8E-2</v>
          </cell>
        </row>
        <row r="433">
          <cell r="A433">
            <v>44134</v>
          </cell>
          <cell r="B433">
            <v>5</v>
          </cell>
          <cell r="C433">
            <v>0.29749999999999999</v>
          </cell>
          <cell r="D433" t="str">
            <v>無成交</v>
          </cell>
          <cell r="E433">
            <v>0.08</v>
          </cell>
        </row>
        <row r="434">
          <cell r="A434">
            <v>44137</v>
          </cell>
          <cell r="B434">
            <v>1</v>
          </cell>
          <cell r="C434">
            <v>0.29749999999999999</v>
          </cell>
          <cell r="D434" t="str">
            <v>無成交</v>
          </cell>
          <cell r="E434">
            <v>7.6999999999999999E-2</v>
          </cell>
        </row>
        <row r="435">
          <cell r="A435">
            <v>44138</v>
          </cell>
          <cell r="B435">
            <v>2</v>
          </cell>
          <cell r="C435">
            <v>0.29749999999999999</v>
          </cell>
          <cell r="D435" t="str">
            <v>無成交</v>
          </cell>
          <cell r="E435">
            <v>7.5999999999999998E-2</v>
          </cell>
        </row>
        <row r="436">
          <cell r="A436">
            <v>44139</v>
          </cell>
          <cell r="B436">
            <v>3</v>
          </cell>
          <cell r="C436">
            <v>0.29749999999999999</v>
          </cell>
          <cell r="D436" t="str">
            <v>無成交</v>
          </cell>
          <cell r="E436">
            <v>7.8E-2</v>
          </cell>
        </row>
        <row r="437">
          <cell r="A437">
            <v>44140</v>
          </cell>
          <cell r="B437">
            <v>4</v>
          </cell>
          <cell r="C437">
            <v>0.2888</v>
          </cell>
          <cell r="D437">
            <v>-0.86999999999999855</v>
          </cell>
          <cell r="E437">
            <v>7.6999999999999999E-2</v>
          </cell>
        </row>
        <row r="438">
          <cell r="A438">
            <v>44141</v>
          </cell>
          <cell r="B438">
            <v>5</v>
          </cell>
          <cell r="C438">
            <v>0.2888</v>
          </cell>
          <cell r="D438" t="str">
            <v>無成交</v>
          </cell>
          <cell r="E438">
            <v>0.08</v>
          </cell>
        </row>
        <row r="439">
          <cell r="A439">
            <v>44144</v>
          </cell>
          <cell r="B439">
            <v>1</v>
          </cell>
          <cell r="C439">
            <v>0.2888</v>
          </cell>
          <cell r="D439" t="str">
            <v>無成交</v>
          </cell>
          <cell r="E439">
            <v>7.6999999999999999E-2</v>
          </cell>
        </row>
        <row r="440">
          <cell r="A440">
            <v>44145</v>
          </cell>
          <cell r="B440">
            <v>2</v>
          </cell>
          <cell r="C440">
            <v>0.2888</v>
          </cell>
          <cell r="D440" t="str">
            <v>無成交</v>
          </cell>
          <cell r="E440">
            <v>7.5999999999999998E-2</v>
          </cell>
        </row>
        <row r="441">
          <cell r="A441">
            <v>44146</v>
          </cell>
          <cell r="B441">
            <v>3</v>
          </cell>
          <cell r="C441">
            <v>0.2888</v>
          </cell>
          <cell r="D441" t="str">
            <v>無成交</v>
          </cell>
          <cell r="E441">
            <v>7.4999999999999997E-2</v>
          </cell>
        </row>
        <row r="442">
          <cell r="A442">
            <v>44147</v>
          </cell>
          <cell r="B442">
            <v>4</v>
          </cell>
          <cell r="C442">
            <v>0.2888</v>
          </cell>
          <cell r="D442" t="str">
            <v>無成交</v>
          </cell>
          <cell r="E442">
            <v>7.8E-2</v>
          </cell>
        </row>
        <row r="443">
          <cell r="A443">
            <v>44148</v>
          </cell>
          <cell r="B443">
            <v>5</v>
          </cell>
          <cell r="C443">
            <v>0.2888</v>
          </cell>
          <cell r="D443" t="str">
            <v>無成交</v>
          </cell>
          <cell r="E443">
            <v>0.08</v>
          </cell>
        </row>
        <row r="444">
          <cell r="A444">
            <v>44151</v>
          </cell>
          <cell r="B444">
            <v>1</v>
          </cell>
          <cell r="C444">
            <v>0.2888</v>
          </cell>
          <cell r="D444" t="str">
            <v>無成交</v>
          </cell>
          <cell r="E444">
            <v>7.9000000000000001E-2</v>
          </cell>
        </row>
        <row r="445">
          <cell r="A445">
            <v>44152</v>
          </cell>
          <cell r="B445">
            <v>2</v>
          </cell>
          <cell r="C445">
            <v>0.2888</v>
          </cell>
          <cell r="D445" t="str">
            <v>無成交</v>
          </cell>
          <cell r="E445">
            <v>7.9000000000000001E-2</v>
          </cell>
        </row>
        <row r="446">
          <cell r="A446">
            <v>44153</v>
          </cell>
          <cell r="B446">
            <v>3</v>
          </cell>
          <cell r="C446">
            <v>0.26989999999999997</v>
          </cell>
          <cell r="D446">
            <v>-1.8900000000000028</v>
          </cell>
          <cell r="E446">
            <v>0.08</v>
          </cell>
        </row>
        <row r="447">
          <cell r="A447">
            <v>44154</v>
          </cell>
          <cell r="B447">
            <v>4</v>
          </cell>
          <cell r="C447">
            <v>0.26989999999999997</v>
          </cell>
          <cell r="D447" t="str">
            <v>無成交</v>
          </cell>
          <cell r="E447">
            <v>7.8E-2</v>
          </cell>
        </row>
        <row r="448">
          <cell r="A448">
            <v>44155</v>
          </cell>
          <cell r="B448">
            <v>5</v>
          </cell>
          <cell r="C448">
            <v>0.26989999999999997</v>
          </cell>
          <cell r="D448" t="str">
            <v>無成交</v>
          </cell>
          <cell r="E448">
            <v>0.08</v>
          </cell>
        </row>
        <row r="449">
          <cell r="A449">
            <v>44158</v>
          </cell>
          <cell r="B449">
            <v>1</v>
          </cell>
          <cell r="C449">
            <v>0.26989999999999997</v>
          </cell>
          <cell r="D449" t="str">
            <v>無成交</v>
          </cell>
          <cell r="E449">
            <v>7.8E-2</v>
          </cell>
        </row>
        <row r="450">
          <cell r="A450">
            <v>44159</v>
          </cell>
          <cell r="B450">
            <v>2</v>
          </cell>
          <cell r="C450">
            <v>0.26989999999999997</v>
          </cell>
          <cell r="D450" t="str">
            <v>無成交</v>
          </cell>
          <cell r="E450">
            <v>7.8E-2</v>
          </cell>
        </row>
        <row r="451">
          <cell r="A451">
            <v>44160</v>
          </cell>
          <cell r="B451">
            <v>3</v>
          </cell>
          <cell r="C451">
            <v>0.248</v>
          </cell>
          <cell r="D451">
            <v>-2.1899999999999977</v>
          </cell>
          <cell r="E451">
            <v>7.3999999999999996E-2</v>
          </cell>
        </row>
        <row r="452">
          <cell r="A452">
            <v>44161</v>
          </cell>
          <cell r="B452">
            <v>4</v>
          </cell>
          <cell r="C452">
            <v>0.23599999999999999</v>
          </cell>
          <cell r="D452">
            <v>-1.2000000000000011</v>
          </cell>
          <cell r="E452">
            <v>7.9000000000000001E-2</v>
          </cell>
        </row>
        <row r="453">
          <cell r="A453">
            <v>44162</v>
          </cell>
          <cell r="B453">
            <v>5</v>
          </cell>
          <cell r="C453">
            <v>0.23599999999999999</v>
          </cell>
          <cell r="D453" t="str">
            <v>無成交</v>
          </cell>
          <cell r="E453">
            <v>0.08</v>
          </cell>
        </row>
        <row r="454">
          <cell r="A454">
            <v>44165</v>
          </cell>
          <cell r="B454">
            <v>1</v>
          </cell>
          <cell r="C454">
            <v>0.23599999999999999</v>
          </cell>
          <cell r="D454" t="str">
            <v>無成交</v>
          </cell>
          <cell r="E454">
            <v>0.08</v>
          </cell>
        </row>
        <row r="455">
          <cell r="A455">
            <v>44166</v>
          </cell>
          <cell r="B455">
            <v>2</v>
          </cell>
          <cell r="C455">
            <v>0.23599999999999999</v>
          </cell>
          <cell r="D455" t="str">
            <v>無成交</v>
          </cell>
          <cell r="E455">
            <v>7.9000000000000001E-2</v>
          </cell>
        </row>
        <row r="456">
          <cell r="A456">
            <v>44167</v>
          </cell>
          <cell r="B456">
            <v>3</v>
          </cell>
          <cell r="C456">
            <v>0.23599999999999999</v>
          </cell>
          <cell r="D456" t="str">
            <v>無成交</v>
          </cell>
          <cell r="E456">
            <v>7.6999999999999999E-2</v>
          </cell>
        </row>
        <row r="457">
          <cell r="A457">
            <v>44168</v>
          </cell>
          <cell r="B457">
            <v>4</v>
          </cell>
          <cell r="C457">
            <v>0.28999999999999998</v>
          </cell>
          <cell r="D457">
            <v>5.3999999999999995</v>
          </cell>
          <cell r="E457">
            <v>7.8E-2</v>
          </cell>
        </row>
        <row r="458">
          <cell r="A458">
            <v>44169</v>
          </cell>
          <cell r="B458">
            <v>5</v>
          </cell>
          <cell r="C458">
            <v>0.28999999999999998</v>
          </cell>
          <cell r="D458">
            <v>0</v>
          </cell>
          <cell r="E458">
            <v>0.08</v>
          </cell>
        </row>
        <row r="459">
          <cell r="A459">
            <v>44172</v>
          </cell>
          <cell r="B459">
            <v>1</v>
          </cell>
          <cell r="C459">
            <v>0.315</v>
          </cell>
          <cell r="D459">
            <v>2.5000000000000022</v>
          </cell>
          <cell r="E459">
            <v>7.8E-2</v>
          </cell>
        </row>
        <row r="460">
          <cell r="A460">
            <v>44173</v>
          </cell>
          <cell r="B460">
            <v>2</v>
          </cell>
          <cell r="C460">
            <v>0.316</v>
          </cell>
          <cell r="D460">
            <v>0.10000000000000009</v>
          </cell>
          <cell r="E460">
            <v>7.6999999999999999E-2</v>
          </cell>
        </row>
        <row r="461">
          <cell r="A461">
            <v>44174</v>
          </cell>
          <cell r="B461">
            <v>3</v>
          </cell>
          <cell r="C461">
            <v>0.32990000000000003</v>
          </cell>
          <cell r="D461">
            <v>1.3900000000000023</v>
          </cell>
          <cell r="E461">
            <v>7.6999999999999999E-2</v>
          </cell>
        </row>
        <row r="462">
          <cell r="A462">
            <v>44175</v>
          </cell>
          <cell r="B462">
            <v>4</v>
          </cell>
          <cell r="C462">
            <v>0.32</v>
          </cell>
          <cell r="D462">
            <v>-0.99000000000000199</v>
          </cell>
          <cell r="E462">
            <v>7.8E-2</v>
          </cell>
        </row>
        <row r="463">
          <cell r="A463">
            <v>44176</v>
          </cell>
          <cell r="B463">
            <v>5</v>
          </cell>
          <cell r="C463">
            <v>0.27400000000000002</v>
          </cell>
          <cell r="D463">
            <v>-4.5999999999999988</v>
          </cell>
          <cell r="E463">
            <v>0.08</v>
          </cell>
        </row>
        <row r="464">
          <cell r="A464">
            <v>44179</v>
          </cell>
          <cell r="B464">
            <v>1</v>
          </cell>
          <cell r="C464">
            <v>0.27800000000000002</v>
          </cell>
          <cell r="D464">
            <v>0.40000000000000036</v>
          </cell>
          <cell r="E464">
            <v>7.8E-2</v>
          </cell>
        </row>
        <row r="465">
          <cell r="A465">
            <v>44180</v>
          </cell>
          <cell r="B465">
            <v>2</v>
          </cell>
          <cell r="C465">
            <v>0.27700000000000002</v>
          </cell>
          <cell r="D465">
            <v>-0.10000000000000009</v>
          </cell>
          <cell r="E465">
            <v>7.9000000000000001E-2</v>
          </cell>
        </row>
        <row r="466">
          <cell r="A466">
            <v>44181</v>
          </cell>
          <cell r="B466">
            <v>3</v>
          </cell>
          <cell r="C466">
            <v>0.27700000000000002</v>
          </cell>
          <cell r="D466" t="str">
            <v>無成交</v>
          </cell>
          <cell r="E466">
            <v>7.9000000000000001E-2</v>
          </cell>
        </row>
        <row r="467">
          <cell r="A467">
            <v>44182</v>
          </cell>
          <cell r="B467">
            <v>4</v>
          </cell>
          <cell r="C467">
            <v>0.27700000000000002</v>
          </cell>
          <cell r="D467" t="str">
            <v>無成交</v>
          </cell>
          <cell r="E467">
            <v>7.9000000000000001E-2</v>
          </cell>
        </row>
        <row r="468">
          <cell r="A468">
            <v>44183</v>
          </cell>
          <cell r="B468">
            <v>5</v>
          </cell>
          <cell r="C468">
            <v>0.2848</v>
          </cell>
          <cell r="D468">
            <v>0.77999999999999736</v>
          </cell>
          <cell r="E468">
            <v>0.08</v>
          </cell>
        </row>
        <row r="469">
          <cell r="A469">
            <v>44186</v>
          </cell>
          <cell r="B469">
            <v>1</v>
          </cell>
          <cell r="C469">
            <v>0.2848</v>
          </cell>
          <cell r="D469" t="str">
            <v>無成交</v>
          </cell>
          <cell r="E469">
            <v>7.9000000000000001E-2</v>
          </cell>
        </row>
        <row r="470">
          <cell r="A470">
            <v>44187</v>
          </cell>
          <cell r="B470">
            <v>2</v>
          </cell>
          <cell r="C470">
            <v>0.28999999999999998</v>
          </cell>
          <cell r="D470">
            <v>0.51999999999999824</v>
          </cell>
          <cell r="E470">
            <v>7.9000000000000001E-2</v>
          </cell>
        </row>
        <row r="471">
          <cell r="A471">
            <v>44188</v>
          </cell>
          <cell r="B471">
            <v>3</v>
          </cell>
          <cell r="C471">
            <v>0.27500000000000002</v>
          </cell>
          <cell r="D471">
            <v>-1.4999999999999958</v>
          </cell>
          <cell r="E471">
            <v>7.9000000000000001E-2</v>
          </cell>
        </row>
        <row r="472">
          <cell r="A472">
            <v>44189</v>
          </cell>
          <cell r="B472">
            <v>4</v>
          </cell>
          <cell r="C472">
            <v>0.315</v>
          </cell>
          <cell r="D472">
            <v>3.9999999999999982</v>
          </cell>
          <cell r="E472">
            <v>0.08</v>
          </cell>
        </row>
        <row r="473">
          <cell r="A473">
            <v>44190</v>
          </cell>
          <cell r="B473">
            <v>5</v>
          </cell>
          <cell r="C473">
            <v>0.315</v>
          </cell>
          <cell r="D473">
            <v>0</v>
          </cell>
          <cell r="E473">
            <v>0.08</v>
          </cell>
        </row>
        <row r="474">
          <cell r="A474">
            <v>44193</v>
          </cell>
          <cell r="B474">
            <v>1</v>
          </cell>
          <cell r="C474">
            <v>0.32250000000000001</v>
          </cell>
          <cell r="D474" t="str">
            <v>無成交</v>
          </cell>
          <cell r="E474">
            <v>7.8E-2</v>
          </cell>
        </row>
        <row r="475">
          <cell r="A475">
            <v>44194</v>
          </cell>
          <cell r="B475">
            <v>2</v>
          </cell>
          <cell r="C475">
            <v>0.32500000000000001</v>
          </cell>
          <cell r="D475" t="str">
            <v>無成交</v>
          </cell>
          <cell r="E475">
            <v>7.6999999999999999E-2</v>
          </cell>
        </row>
        <row r="476">
          <cell r="A476">
            <v>44195</v>
          </cell>
          <cell r="B476">
            <v>3</v>
          </cell>
          <cell r="C476">
            <v>0.32</v>
          </cell>
          <cell r="D476" t="str">
            <v>無成交</v>
          </cell>
          <cell r="E476">
            <v>7.6999999999999999E-2</v>
          </cell>
        </row>
        <row r="477">
          <cell r="A477">
            <v>44196</v>
          </cell>
          <cell r="B477">
            <v>4</v>
          </cell>
          <cell r="C477">
            <v>0.315</v>
          </cell>
          <cell r="D477">
            <v>-0.50000000000000044</v>
          </cell>
          <cell r="E477">
            <v>8.1000000000000003E-2</v>
          </cell>
        </row>
        <row r="478">
          <cell r="A478">
            <v>44200</v>
          </cell>
          <cell r="B478">
            <v>1</v>
          </cell>
          <cell r="C478">
            <v>0.28260000000000002</v>
          </cell>
          <cell r="D478">
            <v>-3.2399999999999984</v>
          </cell>
          <cell r="E478">
            <v>7.8E-2</v>
          </cell>
        </row>
        <row r="479">
          <cell r="A479">
            <v>44201</v>
          </cell>
          <cell r="B479">
            <v>2</v>
          </cell>
          <cell r="C479">
            <v>0.27800000000000002</v>
          </cell>
          <cell r="D479">
            <v>-0.4599999999999993</v>
          </cell>
          <cell r="E479">
            <v>7.5999999999999998E-2</v>
          </cell>
        </row>
        <row r="480">
          <cell r="A480">
            <v>44202</v>
          </cell>
          <cell r="B480">
            <v>3</v>
          </cell>
          <cell r="C480">
            <v>0.29770000000000002</v>
          </cell>
          <cell r="D480">
            <v>1.9699999999999995</v>
          </cell>
          <cell r="E480">
            <v>7.6999999999999999E-2</v>
          </cell>
        </row>
        <row r="481">
          <cell r="A481">
            <v>44203</v>
          </cell>
          <cell r="B481">
            <v>4</v>
          </cell>
          <cell r="C481">
            <v>0.308</v>
          </cell>
          <cell r="D481">
            <v>1.0299999999999976</v>
          </cell>
          <cell r="E481">
            <v>7.5999999999999998E-2</v>
          </cell>
        </row>
        <row r="482">
          <cell r="A482">
            <v>44204</v>
          </cell>
          <cell r="B482">
            <v>5</v>
          </cell>
          <cell r="C482">
            <v>0.34</v>
          </cell>
          <cell r="D482">
            <v>3.2000000000000028</v>
          </cell>
          <cell r="E482">
            <v>7.9000000000000001E-2</v>
          </cell>
        </row>
        <row r="483">
          <cell r="A483">
            <v>44207</v>
          </cell>
          <cell r="B483">
            <v>1</v>
          </cell>
          <cell r="C483">
            <v>0.34</v>
          </cell>
          <cell r="D483" t="str">
            <v>無成交</v>
          </cell>
          <cell r="E483">
            <v>7.6999999999999999E-2</v>
          </cell>
        </row>
        <row r="484">
          <cell r="A484">
            <v>44208</v>
          </cell>
          <cell r="B484">
            <v>2</v>
          </cell>
          <cell r="C484">
            <v>0.32750000000000001</v>
          </cell>
          <cell r="D484">
            <v>-1.2500000000000011</v>
          </cell>
          <cell r="E484">
            <v>7.5999999999999998E-2</v>
          </cell>
        </row>
        <row r="485">
          <cell r="A485">
            <v>44209</v>
          </cell>
          <cell r="B485">
            <v>3</v>
          </cell>
          <cell r="C485">
            <v>0.31609999999999999</v>
          </cell>
          <cell r="D485">
            <v>-1.1400000000000021</v>
          </cell>
          <cell r="E485">
            <v>7.5999999999999998E-2</v>
          </cell>
        </row>
        <row r="486">
          <cell r="A486">
            <v>44210</v>
          </cell>
          <cell r="B486">
            <v>4</v>
          </cell>
          <cell r="C486">
            <v>0.3165</v>
          </cell>
          <cell r="D486">
            <v>4.0000000000001146E-2</v>
          </cell>
          <cell r="E486">
            <v>7.6999999999999999E-2</v>
          </cell>
        </row>
        <row r="487">
          <cell r="A487">
            <v>44211</v>
          </cell>
          <cell r="B487">
            <v>5</v>
          </cell>
          <cell r="C487">
            <v>0.3125</v>
          </cell>
          <cell r="D487">
            <v>-0.40000000000000036</v>
          </cell>
          <cell r="E487">
            <v>0.08</v>
          </cell>
        </row>
        <row r="488">
          <cell r="A488">
            <v>44214</v>
          </cell>
          <cell r="B488">
            <v>1</v>
          </cell>
          <cell r="C488">
            <v>0.31</v>
          </cell>
          <cell r="D488">
            <v>-0.25000000000000022</v>
          </cell>
          <cell r="E488">
            <v>7.4999999999999997E-2</v>
          </cell>
        </row>
        <row r="489">
          <cell r="A489">
            <v>44215</v>
          </cell>
          <cell r="B489">
            <v>2</v>
          </cell>
          <cell r="C489">
            <v>0.32</v>
          </cell>
          <cell r="D489">
            <v>1.0000000000000009</v>
          </cell>
          <cell r="E489">
            <v>7.5999999999999998E-2</v>
          </cell>
        </row>
        <row r="490">
          <cell r="A490">
            <v>44216</v>
          </cell>
          <cell r="B490">
            <v>3</v>
          </cell>
          <cell r="C490">
            <v>0.32400000000000001</v>
          </cell>
          <cell r="D490">
            <v>0.40000000000000036</v>
          </cell>
          <cell r="E490">
            <v>7.5999999999999998E-2</v>
          </cell>
        </row>
        <row r="491">
          <cell r="A491">
            <v>44217</v>
          </cell>
          <cell r="B491">
            <v>4</v>
          </cell>
          <cell r="C491">
            <v>0.32350000000000001</v>
          </cell>
          <cell r="D491">
            <v>-5.0000000000000044E-2</v>
          </cell>
          <cell r="E491">
            <v>7.6999999999999999E-2</v>
          </cell>
        </row>
        <row r="492">
          <cell r="A492">
            <v>44218</v>
          </cell>
          <cell r="B492">
            <v>5</v>
          </cell>
          <cell r="C492">
            <v>0.32</v>
          </cell>
          <cell r="D492">
            <v>-0.35000000000000031</v>
          </cell>
          <cell r="E492">
            <v>7.8E-2</v>
          </cell>
        </row>
        <row r="493">
          <cell r="A493">
            <v>44221</v>
          </cell>
          <cell r="B493">
            <v>1</v>
          </cell>
          <cell r="C493">
            <v>0.33</v>
          </cell>
          <cell r="D493">
            <v>1.0000000000000009</v>
          </cell>
          <cell r="E493">
            <v>7.6999999999999999E-2</v>
          </cell>
        </row>
        <row r="494">
          <cell r="A494">
            <v>44222</v>
          </cell>
          <cell r="B494">
            <v>2</v>
          </cell>
          <cell r="C494">
            <v>0.33950000000000002</v>
          </cell>
          <cell r="D494">
            <v>0.95000000000000084</v>
          </cell>
          <cell r="E494">
            <v>7.5999999999999998E-2</v>
          </cell>
        </row>
        <row r="495">
          <cell r="A495">
            <v>44223</v>
          </cell>
          <cell r="B495">
            <v>3</v>
          </cell>
          <cell r="C495">
            <v>0.32</v>
          </cell>
          <cell r="D495">
            <v>-1.9500000000000017</v>
          </cell>
          <cell r="E495">
            <v>7.6999999999999999E-2</v>
          </cell>
        </row>
        <row r="496">
          <cell r="A496">
            <v>44224</v>
          </cell>
          <cell r="B496">
            <v>4</v>
          </cell>
          <cell r="C496">
            <v>0.30299999999999999</v>
          </cell>
          <cell r="D496">
            <v>-1.7000000000000015</v>
          </cell>
          <cell r="E496">
            <v>7.5999999999999998E-2</v>
          </cell>
        </row>
        <row r="497">
          <cell r="A497">
            <v>44225</v>
          </cell>
          <cell r="B497">
            <v>5</v>
          </cell>
          <cell r="C497">
            <v>0.30599999999999999</v>
          </cell>
          <cell r="D497">
            <v>0.30000000000000027</v>
          </cell>
          <cell r="E497">
            <v>0.08</v>
          </cell>
        </row>
        <row r="498">
          <cell r="A498">
            <v>44228</v>
          </cell>
          <cell r="B498">
            <v>1</v>
          </cell>
          <cell r="C498">
            <v>0.31</v>
          </cell>
          <cell r="D498" t="str">
            <v>無成交</v>
          </cell>
          <cell r="E498">
            <v>7.5999999999999998E-2</v>
          </cell>
        </row>
        <row r="499">
          <cell r="A499">
            <v>44229</v>
          </cell>
          <cell r="B499">
            <v>2</v>
          </cell>
          <cell r="C499">
            <v>0.31</v>
          </cell>
          <cell r="D499" t="str">
            <v>無成交</v>
          </cell>
          <cell r="E499">
            <v>7.6999999999999999E-2</v>
          </cell>
        </row>
        <row r="500">
          <cell r="A500">
            <v>44230</v>
          </cell>
          <cell r="B500">
            <v>3</v>
          </cell>
          <cell r="C500">
            <v>0.313</v>
          </cell>
          <cell r="D500" t="str">
            <v>無成交</v>
          </cell>
          <cell r="E500">
            <v>7.8E-2</v>
          </cell>
        </row>
        <row r="501">
          <cell r="A501">
            <v>44231</v>
          </cell>
          <cell r="B501">
            <v>4</v>
          </cell>
          <cell r="C501">
            <v>0.32029999999999997</v>
          </cell>
          <cell r="D501" t="str">
            <v>無成交</v>
          </cell>
          <cell r="E501">
            <v>7.6999999999999999E-2</v>
          </cell>
        </row>
        <row r="502">
          <cell r="A502">
            <v>44232</v>
          </cell>
          <cell r="B502">
            <v>5</v>
          </cell>
          <cell r="C502">
            <v>0.34</v>
          </cell>
          <cell r="D502">
            <v>1.9700000000000051</v>
          </cell>
          <cell r="E502">
            <v>0.08</v>
          </cell>
        </row>
        <row r="503">
          <cell r="A503">
            <v>44235</v>
          </cell>
          <cell r="B503">
            <v>1</v>
          </cell>
          <cell r="C503">
            <v>0.34</v>
          </cell>
          <cell r="D503" t="str">
            <v>封關</v>
          </cell>
          <cell r="E503">
            <v>7.9000000000000001E-2</v>
          </cell>
        </row>
        <row r="504">
          <cell r="A504">
            <v>44236</v>
          </cell>
          <cell r="B504">
            <v>2</v>
          </cell>
          <cell r="C504">
            <v>0.34</v>
          </cell>
          <cell r="D504" t="str">
            <v>封關</v>
          </cell>
          <cell r="E504">
            <v>8.5000000000000006E-2</v>
          </cell>
        </row>
        <row r="505">
          <cell r="A505">
            <v>44237</v>
          </cell>
          <cell r="B505">
            <v>3</v>
          </cell>
          <cell r="C505">
            <v>0.34</v>
          </cell>
          <cell r="D505" t="str">
            <v>年假開始</v>
          </cell>
          <cell r="E505" t="str">
            <v>X</v>
          </cell>
        </row>
        <row r="506">
          <cell r="A506">
            <v>44238</v>
          </cell>
          <cell r="B506">
            <v>4</v>
          </cell>
          <cell r="C506">
            <v>0.34</v>
          </cell>
          <cell r="D506" t="str">
            <v>休市</v>
          </cell>
          <cell r="E506" t="str">
            <v>X</v>
          </cell>
        </row>
        <row r="507">
          <cell r="A507">
            <v>44239</v>
          </cell>
          <cell r="B507">
            <v>5</v>
          </cell>
          <cell r="C507">
            <v>0.34</v>
          </cell>
          <cell r="D507" t="str">
            <v>休市</v>
          </cell>
          <cell r="E507" t="str">
            <v>X</v>
          </cell>
        </row>
        <row r="508">
          <cell r="A508">
            <v>44242</v>
          </cell>
          <cell r="B508">
            <v>1</v>
          </cell>
          <cell r="C508">
            <v>0.34</v>
          </cell>
          <cell r="D508" t="str">
            <v>休市</v>
          </cell>
          <cell r="E508" t="str">
            <v>X</v>
          </cell>
        </row>
        <row r="509">
          <cell r="A509">
            <v>44243</v>
          </cell>
          <cell r="B509">
            <v>2</v>
          </cell>
          <cell r="C509">
            <v>0.34</v>
          </cell>
          <cell r="D509" t="str">
            <v>休市</v>
          </cell>
          <cell r="E509" t="str">
            <v>X</v>
          </cell>
        </row>
        <row r="510">
          <cell r="A510">
            <v>44244</v>
          </cell>
          <cell r="B510">
            <v>3</v>
          </cell>
          <cell r="C510">
            <v>0.3755</v>
          </cell>
          <cell r="D510">
            <v>3.5499999999999976</v>
          </cell>
          <cell r="E510">
            <v>7.8E-2</v>
          </cell>
        </row>
        <row r="511">
          <cell r="A511">
            <v>44245</v>
          </cell>
          <cell r="B511">
            <v>4</v>
          </cell>
          <cell r="C511">
            <v>0.36980000000000002</v>
          </cell>
          <cell r="D511">
            <v>-0.56999999999999829</v>
          </cell>
          <cell r="E511">
            <v>7.6999999999999999E-2</v>
          </cell>
        </row>
        <row r="512">
          <cell r="A512">
            <v>44246</v>
          </cell>
          <cell r="B512">
            <v>5</v>
          </cell>
          <cell r="C512">
            <v>0.38</v>
          </cell>
          <cell r="D512">
            <v>1.0199999999999987</v>
          </cell>
          <cell r="E512">
            <v>7.8E-2</v>
          </cell>
        </row>
        <row r="513">
          <cell r="A513">
            <v>44249</v>
          </cell>
          <cell r="B513">
            <v>1</v>
          </cell>
          <cell r="C513">
            <v>0.40899999999999997</v>
          </cell>
          <cell r="D513">
            <v>2.8999999999999968</v>
          </cell>
          <cell r="E513">
            <v>7.6999999999999999E-2</v>
          </cell>
        </row>
        <row r="514">
          <cell r="A514">
            <v>44250</v>
          </cell>
          <cell r="B514">
            <v>2</v>
          </cell>
          <cell r="C514">
            <v>0.4</v>
          </cell>
          <cell r="D514">
            <v>-0.89999999999999525</v>
          </cell>
          <cell r="E514">
            <v>7.8E-2</v>
          </cell>
        </row>
        <row r="515">
          <cell r="A515">
            <v>44251</v>
          </cell>
          <cell r="B515">
            <v>3</v>
          </cell>
          <cell r="C515">
            <v>0.41399999999999998</v>
          </cell>
          <cell r="D515">
            <v>1.3999999999999957</v>
          </cell>
          <cell r="E515">
            <v>7.8E-2</v>
          </cell>
        </row>
        <row r="516">
          <cell r="A516">
            <v>44252</v>
          </cell>
          <cell r="B516">
            <v>4</v>
          </cell>
          <cell r="C516">
            <v>0.43880000000000002</v>
          </cell>
          <cell r="D516">
            <v>2.4800000000000044</v>
          </cell>
          <cell r="E516">
            <v>7.8E-2</v>
          </cell>
        </row>
        <row r="517">
          <cell r="A517">
            <v>44253</v>
          </cell>
          <cell r="B517">
            <v>5</v>
          </cell>
          <cell r="C517">
            <v>0.46</v>
          </cell>
          <cell r="D517" t="str">
            <v>無成交</v>
          </cell>
          <cell r="E517">
            <v>0.08</v>
          </cell>
        </row>
        <row r="518">
          <cell r="A518">
            <v>44256</v>
          </cell>
          <cell r="B518">
            <v>1</v>
          </cell>
          <cell r="C518">
            <v>0.46</v>
          </cell>
          <cell r="D518" t="str">
            <v>休市</v>
          </cell>
          <cell r="E518" t="str">
            <v>X</v>
          </cell>
        </row>
        <row r="519">
          <cell r="A519">
            <v>44257</v>
          </cell>
          <cell r="B519">
            <v>2</v>
          </cell>
          <cell r="C519">
            <v>0.44</v>
          </cell>
          <cell r="D519" t="str">
            <v>無成交</v>
          </cell>
          <cell r="E519">
            <v>7.8E-2</v>
          </cell>
        </row>
        <row r="520">
          <cell r="A520">
            <v>44258</v>
          </cell>
          <cell r="B520">
            <v>3</v>
          </cell>
          <cell r="C520">
            <v>0.44</v>
          </cell>
          <cell r="D520" t="str">
            <v>無成交</v>
          </cell>
          <cell r="E520">
            <v>7.5999999999999998E-2</v>
          </cell>
        </row>
        <row r="521">
          <cell r="A521">
            <v>44259</v>
          </cell>
          <cell r="B521">
            <v>4</v>
          </cell>
          <cell r="C521">
            <v>0.44</v>
          </cell>
          <cell r="D521" t="str">
            <v>無成交</v>
          </cell>
          <cell r="E521">
            <v>7.8E-2</v>
          </cell>
        </row>
        <row r="522">
          <cell r="A522">
            <v>44260</v>
          </cell>
          <cell r="B522">
            <v>5</v>
          </cell>
          <cell r="C522">
            <v>0.46</v>
          </cell>
          <cell r="D522" t="str">
            <v>無成交</v>
          </cell>
          <cell r="E522">
            <v>7.9000000000000001E-2</v>
          </cell>
        </row>
        <row r="523">
          <cell r="A523">
            <v>44263</v>
          </cell>
          <cell r="B523">
            <v>1</v>
          </cell>
          <cell r="C523">
            <v>0.46</v>
          </cell>
          <cell r="D523" t="str">
            <v>無成交</v>
          </cell>
          <cell r="E523">
            <v>7.6999999999999999E-2</v>
          </cell>
        </row>
        <row r="524">
          <cell r="A524">
            <v>44264</v>
          </cell>
          <cell r="B524">
            <v>2</v>
          </cell>
          <cell r="C524">
            <v>0.46</v>
          </cell>
          <cell r="D524" t="str">
            <v>無成交</v>
          </cell>
          <cell r="E524">
            <v>7.6999999999999999E-2</v>
          </cell>
        </row>
        <row r="525">
          <cell r="A525">
            <v>44265</v>
          </cell>
          <cell r="B525">
            <v>3</v>
          </cell>
          <cell r="C525">
            <v>0.46</v>
          </cell>
          <cell r="D525" t="str">
            <v>無成交</v>
          </cell>
          <cell r="E525">
            <v>7.8E-2</v>
          </cell>
        </row>
        <row r="526">
          <cell r="A526">
            <v>44266</v>
          </cell>
          <cell r="B526">
            <v>4</v>
          </cell>
          <cell r="C526">
            <v>0.45500000000000002</v>
          </cell>
          <cell r="D526" t="str">
            <v>無成交</v>
          </cell>
          <cell r="E526">
            <v>7.9000000000000001E-2</v>
          </cell>
        </row>
        <row r="527">
          <cell r="A527">
            <v>44267</v>
          </cell>
          <cell r="B527">
            <v>5</v>
          </cell>
          <cell r="C527">
            <v>0.44500000000000001</v>
          </cell>
          <cell r="D527" t="str">
            <v>無成交</v>
          </cell>
          <cell r="E527">
            <v>0.08</v>
          </cell>
        </row>
        <row r="528">
          <cell r="A528">
            <v>44270</v>
          </cell>
          <cell r="B528">
            <v>1</v>
          </cell>
          <cell r="C528">
            <v>0.47499999999999998</v>
          </cell>
          <cell r="D528" t="str">
            <v>無成交</v>
          </cell>
          <cell r="E528">
            <v>7.8E-2</v>
          </cell>
        </row>
        <row r="529">
          <cell r="A529">
            <v>44271</v>
          </cell>
          <cell r="B529">
            <v>2</v>
          </cell>
          <cell r="C529">
            <v>0.47</v>
          </cell>
          <cell r="D529">
            <v>-0.50000000000000044</v>
          </cell>
          <cell r="E529">
            <v>7.8E-2</v>
          </cell>
        </row>
        <row r="530">
          <cell r="A530">
            <v>44272</v>
          </cell>
          <cell r="B530">
            <v>3</v>
          </cell>
          <cell r="C530">
            <v>0.39600000000000002</v>
          </cell>
          <cell r="D530">
            <v>-7.399999999999995</v>
          </cell>
          <cell r="E530">
            <v>7.9000000000000001E-2</v>
          </cell>
        </row>
        <row r="531">
          <cell r="A531">
            <v>44273</v>
          </cell>
          <cell r="B531">
            <v>4</v>
          </cell>
          <cell r="C531">
            <v>0.4</v>
          </cell>
          <cell r="D531" t="str">
            <v>無成交</v>
          </cell>
          <cell r="E531">
            <v>7.9000000000000001E-2</v>
          </cell>
        </row>
        <row r="532">
          <cell r="A532">
            <v>44274</v>
          </cell>
          <cell r="B532">
            <v>5</v>
          </cell>
          <cell r="C532">
            <v>0.42</v>
          </cell>
          <cell r="D532" t="str">
            <v>無成交</v>
          </cell>
          <cell r="E532">
            <v>0.08</v>
          </cell>
        </row>
        <row r="533">
          <cell r="A533">
            <v>44277</v>
          </cell>
          <cell r="B533">
            <v>1</v>
          </cell>
          <cell r="C533">
            <v>0.41</v>
          </cell>
          <cell r="D533" t="str">
            <v>無成交</v>
          </cell>
          <cell r="E533">
            <v>7.9000000000000001E-2</v>
          </cell>
        </row>
        <row r="534">
          <cell r="A534">
            <v>44278</v>
          </cell>
          <cell r="B534">
            <v>2</v>
          </cell>
          <cell r="C534">
            <v>0.4</v>
          </cell>
          <cell r="D534" t="str">
            <v>無成交</v>
          </cell>
          <cell r="E534">
            <v>7.9000000000000001E-2</v>
          </cell>
        </row>
        <row r="535">
          <cell r="A535">
            <v>44279</v>
          </cell>
          <cell r="B535">
            <v>3</v>
          </cell>
          <cell r="C535">
            <v>0.38100000000000001</v>
          </cell>
          <cell r="D535">
            <v>-1.9000000000000017</v>
          </cell>
          <cell r="E535">
            <v>7.8E-2</v>
          </cell>
        </row>
        <row r="536">
          <cell r="A536">
            <v>44280</v>
          </cell>
          <cell r="B536">
            <v>4</v>
          </cell>
          <cell r="C536">
            <v>0.39150000000000001</v>
          </cell>
          <cell r="D536">
            <v>1.0500000000000009</v>
          </cell>
          <cell r="E536">
            <v>7.8E-2</v>
          </cell>
        </row>
        <row r="537">
          <cell r="A537">
            <v>44281</v>
          </cell>
          <cell r="B537">
            <v>5</v>
          </cell>
          <cell r="C537">
            <v>0.4002</v>
          </cell>
          <cell r="D537">
            <v>0.86999999999999855</v>
          </cell>
          <cell r="E537">
            <v>0.08</v>
          </cell>
        </row>
        <row r="538">
          <cell r="A538">
            <v>44284</v>
          </cell>
          <cell r="B538">
            <v>1</v>
          </cell>
          <cell r="C538">
            <v>0.41749999999999998</v>
          </cell>
          <cell r="D538">
            <v>1.7299999999999982</v>
          </cell>
          <cell r="E538">
            <v>7.9000000000000001E-2</v>
          </cell>
        </row>
        <row r="539">
          <cell r="A539">
            <v>44285</v>
          </cell>
          <cell r="B539">
            <v>2</v>
          </cell>
          <cell r="C539">
            <v>0.44</v>
          </cell>
          <cell r="D539">
            <v>2.2500000000000018</v>
          </cell>
          <cell r="E539">
            <v>0.08</v>
          </cell>
        </row>
        <row r="540">
          <cell r="A540">
            <v>44286</v>
          </cell>
          <cell r="B540">
            <v>3</v>
          </cell>
          <cell r="C540">
            <v>0.44900000000000001</v>
          </cell>
          <cell r="D540">
            <v>0.9000000000000008</v>
          </cell>
          <cell r="E540">
            <v>0.08</v>
          </cell>
        </row>
        <row r="541">
          <cell r="A541">
            <v>44287</v>
          </cell>
          <cell r="B541">
            <v>4</v>
          </cell>
          <cell r="C541">
            <v>0.4597</v>
          </cell>
          <cell r="D541">
            <v>1.0699999999999987</v>
          </cell>
          <cell r="E541">
            <v>0.08</v>
          </cell>
        </row>
        <row r="542">
          <cell r="A542">
            <v>44288</v>
          </cell>
          <cell r="B542">
            <v>5</v>
          </cell>
          <cell r="C542">
            <v>0.4597</v>
          </cell>
          <cell r="D542" t="str">
            <v>連假</v>
          </cell>
          <cell r="E542" t="str">
            <v>X</v>
          </cell>
        </row>
        <row r="543">
          <cell r="A543">
            <v>44291</v>
          </cell>
          <cell r="B543">
            <v>1</v>
          </cell>
          <cell r="C543">
            <v>0.4597</v>
          </cell>
          <cell r="D543" t="str">
            <v>連假</v>
          </cell>
          <cell r="E543" t="str">
            <v>X</v>
          </cell>
        </row>
        <row r="544">
          <cell r="A544">
            <v>44292</v>
          </cell>
          <cell r="B544">
            <v>2</v>
          </cell>
          <cell r="C544">
            <v>0.43880000000000002</v>
          </cell>
          <cell r="D544">
            <v>-2.0899999999999972</v>
          </cell>
          <cell r="E544">
            <v>7.8E-2</v>
          </cell>
        </row>
        <row r="545">
          <cell r="A545">
            <v>44293</v>
          </cell>
          <cell r="B545">
            <v>3</v>
          </cell>
          <cell r="C545">
            <v>0.42699999999999999</v>
          </cell>
          <cell r="D545">
            <v>-1.1800000000000033</v>
          </cell>
          <cell r="E545">
            <v>7.8E-2</v>
          </cell>
        </row>
        <row r="546">
          <cell r="A546">
            <v>44294</v>
          </cell>
          <cell r="B546">
            <v>4</v>
          </cell>
          <cell r="C546">
            <v>0.42199999999999999</v>
          </cell>
          <cell r="D546">
            <v>-0.50000000000000044</v>
          </cell>
          <cell r="E546">
            <v>7.9000000000000001E-2</v>
          </cell>
        </row>
        <row r="547">
          <cell r="A547">
            <v>44295</v>
          </cell>
          <cell r="B547">
            <v>5</v>
          </cell>
          <cell r="C547">
            <v>0.40500000000000003</v>
          </cell>
          <cell r="D547">
            <v>-1.699999999999996</v>
          </cell>
          <cell r="E547">
            <v>0.08</v>
          </cell>
        </row>
        <row r="548">
          <cell r="A548">
            <v>44298</v>
          </cell>
          <cell r="B548">
            <v>1</v>
          </cell>
          <cell r="C548">
            <v>0.39450000000000002</v>
          </cell>
          <cell r="D548">
            <v>-1.0500000000000009</v>
          </cell>
          <cell r="E548">
            <v>7.9000000000000001E-2</v>
          </cell>
        </row>
        <row r="549">
          <cell r="A549">
            <v>44299</v>
          </cell>
          <cell r="B549">
            <v>2</v>
          </cell>
          <cell r="C549">
            <v>0.39300000000000002</v>
          </cell>
          <cell r="D549">
            <v>-0.15000000000000013</v>
          </cell>
          <cell r="E549">
            <v>7.9000000000000001E-2</v>
          </cell>
        </row>
        <row r="550">
          <cell r="A550">
            <v>44300</v>
          </cell>
          <cell r="B550">
            <v>3</v>
          </cell>
          <cell r="C550">
            <v>0.38550000000000001</v>
          </cell>
          <cell r="D550">
            <v>-0.75000000000000067</v>
          </cell>
          <cell r="E550">
            <v>7.8E-2</v>
          </cell>
        </row>
        <row r="551">
          <cell r="A551">
            <v>44301</v>
          </cell>
          <cell r="B551">
            <v>4</v>
          </cell>
          <cell r="C551">
            <v>0.38</v>
          </cell>
          <cell r="D551">
            <v>-0.55000000000000049</v>
          </cell>
          <cell r="E551">
            <v>7.8E-2</v>
          </cell>
        </row>
        <row r="552">
          <cell r="A552">
            <v>44302</v>
          </cell>
          <cell r="B552">
            <v>5</v>
          </cell>
          <cell r="C552">
            <v>0.3775</v>
          </cell>
          <cell r="D552">
            <v>-0.25000000000000022</v>
          </cell>
          <cell r="E552">
            <v>7.9000000000000001E-2</v>
          </cell>
        </row>
        <row r="553">
          <cell r="A553">
            <v>44305</v>
          </cell>
          <cell r="B553">
            <v>1</v>
          </cell>
          <cell r="C553">
            <v>0.38</v>
          </cell>
          <cell r="D553">
            <v>0.25000000000000022</v>
          </cell>
          <cell r="E553">
            <v>7.8E-2</v>
          </cell>
        </row>
        <row r="554">
          <cell r="A554">
            <v>44306</v>
          </cell>
          <cell r="B554">
            <v>2</v>
          </cell>
          <cell r="C554">
            <v>0.39250000000000002</v>
          </cell>
          <cell r="D554">
            <v>1.2500000000000011</v>
          </cell>
          <cell r="E554">
            <v>7.6999999999999999E-2</v>
          </cell>
        </row>
        <row r="555">
          <cell r="A555">
            <v>44307</v>
          </cell>
          <cell r="B555">
            <v>3</v>
          </cell>
          <cell r="C555">
            <v>0.38200000000000001</v>
          </cell>
          <cell r="D555">
            <v>-1.0500000000000009</v>
          </cell>
          <cell r="E555">
            <v>7.8E-2</v>
          </cell>
        </row>
        <row r="556">
          <cell r="A556">
            <v>44308</v>
          </cell>
          <cell r="B556">
            <v>4</v>
          </cell>
          <cell r="C556">
            <v>0.39550000000000002</v>
          </cell>
          <cell r="D556">
            <v>1.3500000000000012</v>
          </cell>
          <cell r="E556">
            <v>7.8E-2</v>
          </cell>
        </row>
        <row r="557">
          <cell r="A557">
            <v>44309</v>
          </cell>
          <cell r="B557">
            <v>5</v>
          </cell>
          <cell r="C557">
            <v>0.39500000000000002</v>
          </cell>
          <cell r="D557">
            <v>-5.0000000000000044E-2</v>
          </cell>
          <cell r="E557">
            <v>7.9000000000000001E-2</v>
          </cell>
        </row>
        <row r="558">
          <cell r="A558">
            <v>44312</v>
          </cell>
          <cell r="B558">
            <v>1</v>
          </cell>
          <cell r="C558">
            <v>0.39600000000000002</v>
          </cell>
          <cell r="D558">
            <v>0.10000000000000009</v>
          </cell>
          <cell r="E558">
            <v>7.8E-2</v>
          </cell>
        </row>
        <row r="559">
          <cell r="A559">
            <v>44313</v>
          </cell>
          <cell r="B559">
            <v>2</v>
          </cell>
          <cell r="C559">
            <v>0.39700000000000002</v>
          </cell>
          <cell r="D559">
            <v>0.10000000000000009</v>
          </cell>
          <cell r="E559">
            <v>7.8E-2</v>
          </cell>
        </row>
        <row r="560">
          <cell r="A560">
            <v>44314</v>
          </cell>
          <cell r="B560">
            <v>3</v>
          </cell>
          <cell r="C560">
            <v>0.40749999999999997</v>
          </cell>
          <cell r="D560">
            <v>1.0499999999999954</v>
          </cell>
          <cell r="E560">
            <v>7.9000000000000001E-2</v>
          </cell>
        </row>
        <row r="561">
          <cell r="A561">
            <v>44315</v>
          </cell>
          <cell r="B561">
            <v>4</v>
          </cell>
          <cell r="C561">
            <v>0.40679999999999999</v>
          </cell>
          <cell r="D561">
            <v>-6.9999999999997842E-2</v>
          </cell>
          <cell r="E561">
            <v>0.08</v>
          </cell>
        </row>
        <row r="562">
          <cell r="A562">
            <v>44316</v>
          </cell>
          <cell r="B562">
            <v>5</v>
          </cell>
          <cell r="C562">
            <v>0.40679999999999999</v>
          </cell>
          <cell r="D562" t="str">
            <v>連假</v>
          </cell>
          <cell r="E562" t="str">
            <v>X</v>
          </cell>
        </row>
        <row r="563">
          <cell r="A563">
            <v>44319</v>
          </cell>
          <cell r="B563">
            <v>1</v>
          </cell>
          <cell r="C563">
            <v>0.39500000000000002</v>
          </cell>
          <cell r="D563">
            <v>-1.1799999999999977</v>
          </cell>
          <cell r="E563">
            <v>7.8E-2</v>
          </cell>
        </row>
        <row r="564">
          <cell r="A564">
            <v>44320</v>
          </cell>
          <cell r="B564">
            <v>2</v>
          </cell>
          <cell r="C564">
            <v>0.39900000000000002</v>
          </cell>
          <cell r="D564">
            <v>0.40000000000000036</v>
          </cell>
          <cell r="E564">
            <v>7.8E-2</v>
          </cell>
        </row>
        <row r="565">
          <cell r="A565">
            <v>44321</v>
          </cell>
          <cell r="B565">
            <v>3</v>
          </cell>
          <cell r="C565">
            <v>0.39900000000000002</v>
          </cell>
          <cell r="D565">
            <v>0</v>
          </cell>
          <cell r="E565">
            <v>7.9000000000000001E-2</v>
          </cell>
        </row>
        <row r="566">
          <cell r="A566">
            <v>44322</v>
          </cell>
          <cell r="B566">
            <v>4</v>
          </cell>
          <cell r="C566">
            <v>0.3982</v>
          </cell>
          <cell r="D566">
            <v>-8.0000000000002292E-2</v>
          </cell>
          <cell r="E566">
            <v>7.9000000000000001E-2</v>
          </cell>
        </row>
        <row r="567">
          <cell r="A567">
            <v>44323</v>
          </cell>
          <cell r="B567">
            <v>5</v>
          </cell>
          <cell r="C567">
            <v>0.40100000000000002</v>
          </cell>
          <cell r="D567">
            <v>0.28000000000000247</v>
          </cell>
          <cell r="E567">
            <v>0.08</v>
          </cell>
        </row>
        <row r="568">
          <cell r="A568">
            <v>44326</v>
          </cell>
          <cell r="B568">
            <v>1</v>
          </cell>
          <cell r="C568">
            <v>0.40129999999999999</v>
          </cell>
          <cell r="D568" t="str">
            <v>無成交</v>
          </cell>
          <cell r="E568">
            <v>7.9000000000000001E-2</v>
          </cell>
        </row>
        <row r="569">
          <cell r="A569">
            <v>44327</v>
          </cell>
          <cell r="B569">
            <v>2</v>
          </cell>
          <cell r="C569">
            <v>0.4</v>
          </cell>
          <cell r="D569" t="str">
            <v>無成交</v>
          </cell>
          <cell r="E569">
            <v>7.8E-2</v>
          </cell>
        </row>
        <row r="570">
          <cell r="A570">
            <v>44328</v>
          </cell>
          <cell r="B570">
            <v>3</v>
          </cell>
          <cell r="C570">
            <v>0.4</v>
          </cell>
          <cell r="D570">
            <v>0</v>
          </cell>
          <cell r="E570">
            <v>7.8E-2</v>
          </cell>
        </row>
        <row r="571">
          <cell r="A571">
            <v>44329</v>
          </cell>
          <cell r="B571">
            <v>4</v>
          </cell>
          <cell r="C571">
            <v>0.42049999999999998</v>
          </cell>
          <cell r="D571">
            <v>2.0499999999999963</v>
          </cell>
          <cell r="E571">
            <v>7.9000000000000001E-2</v>
          </cell>
        </row>
        <row r="572">
          <cell r="A572">
            <v>44330</v>
          </cell>
          <cell r="B572">
            <v>5</v>
          </cell>
          <cell r="C572">
            <v>0.41930000000000001</v>
          </cell>
          <cell r="D572" t="str">
            <v>無成交</v>
          </cell>
          <cell r="E572">
            <v>0.08</v>
          </cell>
        </row>
        <row r="573">
          <cell r="A573">
            <v>44333</v>
          </cell>
          <cell r="B573">
            <v>1</v>
          </cell>
          <cell r="C573">
            <v>0.41799999999999998</v>
          </cell>
          <cell r="D573" t="str">
            <v>無成交</v>
          </cell>
          <cell r="E573">
            <v>7.8E-2</v>
          </cell>
        </row>
        <row r="574">
          <cell r="A574">
            <v>44334</v>
          </cell>
          <cell r="B574">
            <v>2</v>
          </cell>
          <cell r="C574">
            <v>0.44</v>
          </cell>
          <cell r="D574" t="str">
            <v>無成交</v>
          </cell>
          <cell r="E574">
            <v>7.9000000000000001E-2</v>
          </cell>
        </row>
        <row r="575">
          <cell r="A575">
            <v>44335</v>
          </cell>
          <cell r="B575">
            <v>3</v>
          </cell>
          <cell r="C575">
            <v>0.43</v>
          </cell>
          <cell r="D575" t="str">
            <v>無成交</v>
          </cell>
          <cell r="E575">
            <v>7.9000000000000001E-2</v>
          </cell>
        </row>
        <row r="576">
          <cell r="A576">
            <v>44336</v>
          </cell>
          <cell r="B576">
            <v>4</v>
          </cell>
          <cell r="C576">
            <v>0.44</v>
          </cell>
          <cell r="D576" t="str">
            <v>無成交</v>
          </cell>
          <cell r="E576">
            <v>7.9000000000000001E-2</v>
          </cell>
        </row>
        <row r="577">
          <cell r="A577">
            <v>44337</v>
          </cell>
          <cell r="B577">
            <v>5</v>
          </cell>
          <cell r="C577">
            <v>0.435</v>
          </cell>
          <cell r="D577" t="str">
            <v>無成交</v>
          </cell>
          <cell r="E577">
            <v>0.08</v>
          </cell>
        </row>
        <row r="578">
          <cell r="A578">
            <v>44340</v>
          </cell>
          <cell r="B578">
            <v>1</v>
          </cell>
          <cell r="C578">
            <v>0.44</v>
          </cell>
          <cell r="D578" t="str">
            <v>無成交</v>
          </cell>
          <cell r="E578">
            <v>7.8E-2</v>
          </cell>
        </row>
        <row r="579">
          <cell r="A579">
            <v>44341</v>
          </cell>
          <cell r="B579">
            <v>2</v>
          </cell>
          <cell r="C579">
            <v>0.44</v>
          </cell>
          <cell r="D579" t="str">
            <v>無成交</v>
          </cell>
          <cell r="E579">
            <v>7.8E-2</v>
          </cell>
        </row>
        <row r="580">
          <cell r="A580">
            <v>44342</v>
          </cell>
          <cell r="B580">
            <v>3</v>
          </cell>
          <cell r="C580">
            <v>0.44</v>
          </cell>
          <cell r="D580" t="str">
            <v>無成交</v>
          </cell>
          <cell r="E580">
            <v>7.9000000000000001E-2</v>
          </cell>
        </row>
        <row r="581">
          <cell r="A581">
            <v>44343</v>
          </cell>
          <cell r="B581">
            <v>4</v>
          </cell>
          <cell r="C581">
            <v>0.435</v>
          </cell>
          <cell r="D581">
            <v>-0.50000000000000044</v>
          </cell>
          <cell r="E581">
            <v>7.8E-2</v>
          </cell>
        </row>
        <row r="582">
          <cell r="A582">
            <v>44344</v>
          </cell>
          <cell r="B582">
            <v>5</v>
          </cell>
          <cell r="C582">
            <v>0.44</v>
          </cell>
          <cell r="D582" t="str">
            <v>無成交</v>
          </cell>
          <cell r="E582">
            <v>7.9000000000000001E-2</v>
          </cell>
        </row>
        <row r="583">
          <cell r="A583">
            <v>44347</v>
          </cell>
          <cell r="B583">
            <v>1</v>
          </cell>
          <cell r="C583">
            <v>0.44</v>
          </cell>
          <cell r="D583" t="str">
            <v>無成交</v>
          </cell>
          <cell r="E583">
            <v>0.08</v>
          </cell>
        </row>
        <row r="584">
          <cell r="A584">
            <v>44348</v>
          </cell>
          <cell r="B584">
            <v>2</v>
          </cell>
          <cell r="C584">
            <v>0.45</v>
          </cell>
          <cell r="D584">
            <v>1.0000000000000009</v>
          </cell>
          <cell r="E584">
            <v>7.9000000000000001E-2</v>
          </cell>
        </row>
        <row r="585">
          <cell r="A585">
            <v>44349</v>
          </cell>
          <cell r="B585">
            <v>3</v>
          </cell>
          <cell r="C585">
            <v>0.44500000000000001</v>
          </cell>
          <cell r="D585" t="str">
            <v>無成交</v>
          </cell>
          <cell r="E585">
            <v>7.8E-2</v>
          </cell>
        </row>
        <row r="586">
          <cell r="A586">
            <v>44350</v>
          </cell>
          <cell r="B586">
            <v>4</v>
          </cell>
          <cell r="C586">
            <v>0.44950000000000001</v>
          </cell>
          <cell r="D586">
            <v>0.4500000000000004</v>
          </cell>
          <cell r="E586">
            <v>7.8E-2</v>
          </cell>
        </row>
        <row r="587">
          <cell r="A587">
            <v>44351</v>
          </cell>
          <cell r="B587">
            <v>5</v>
          </cell>
          <cell r="C587">
            <v>0.45</v>
          </cell>
          <cell r="D587">
            <v>5.0000000000000044E-2</v>
          </cell>
          <cell r="E587">
            <v>0.08</v>
          </cell>
        </row>
        <row r="588">
          <cell r="A588">
            <v>44354</v>
          </cell>
          <cell r="B588">
            <v>1</v>
          </cell>
          <cell r="C588">
            <v>0.44500000000000001</v>
          </cell>
          <cell r="D588" t="str">
            <v>無成交</v>
          </cell>
          <cell r="E588">
            <v>7.9000000000000001E-2</v>
          </cell>
        </row>
        <row r="589">
          <cell r="A589">
            <v>44355</v>
          </cell>
          <cell r="B589">
            <v>2</v>
          </cell>
          <cell r="C589">
            <v>0.44500000000000001</v>
          </cell>
          <cell r="D589" t="str">
            <v>無成交</v>
          </cell>
          <cell r="E589">
            <v>7.8E-2</v>
          </cell>
        </row>
        <row r="590">
          <cell r="A590">
            <v>44356</v>
          </cell>
          <cell r="B590">
            <v>3</v>
          </cell>
          <cell r="C590">
            <v>0.44500000000000001</v>
          </cell>
          <cell r="D590" t="str">
            <v>無成交</v>
          </cell>
          <cell r="E590">
            <v>7.8E-2</v>
          </cell>
        </row>
        <row r="591">
          <cell r="A591">
            <v>44357</v>
          </cell>
          <cell r="B591">
            <v>4</v>
          </cell>
          <cell r="C591">
            <v>0.41899999999999998</v>
          </cell>
          <cell r="D591">
            <v>-2.6000000000000023</v>
          </cell>
          <cell r="E591">
            <v>7.8E-2</v>
          </cell>
        </row>
        <row r="592">
          <cell r="A592">
            <v>44358</v>
          </cell>
          <cell r="B592">
            <v>5</v>
          </cell>
          <cell r="C592">
            <v>0.42499999999999999</v>
          </cell>
          <cell r="D592">
            <v>0.60000000000000053</v>
          </cell>
          <cell r="E592">
            <v>0.08</v>
          </cell>
        </row>
        <row r="593">
          <cell r="A593">
            <v>44361</v>
          </cell>
          <cell r="B593">
            <v>1</v>
          </cell>
          <cell r="C593">
            <v>0.42499999999999999</v>
          </cell>
          <cell r="D593" t="str">
            <v>連假</v>
          </cell>
          <cell r="E593" t="str">
            <v>X</v>
          </cell>
        </row>
        <row r="594">
          <cell r="A594">
            <v>44362</v>
          </cell>
          <cell r="B594">
            <v>2</v>
          </cell>
          <cell r="C594">
            <v>0.433</v>
          </cell>
          <cell r="D594">
            <v>0.80000000000000071</v>
          </cell>
          <cell r="E594">
            <v>7.8E-2</v>
          </cell>
        </row>
        <row r="595">
          <cell r="A595">
            <v>44363</v>
          </cell>
          <cell r="B595">
            <v>3</v>
          </cell>
          <cell r="C595">
            <v>0.43009999999999998</v>
          </cell>
          <cell r="D595">
            <v>-0.29000000000000137</v>
          </cell>
          <cell r="E595">
            <v>7.8E-2</v>
          </cell>
        </row>
        <row r="596">
          <cell r="A596">
            <v>44364</v>
          </cell>
          <cell r="B596">
            <v>4</v>
          </cell>
          <cell r="C596">
            <v>0.44500000000000001</v>
          </cell>
          <cell r="D596">
            <v>1.4900000000000024</v>
          </cell>
          <cell r="E596">
            <v>7.8E-2</v>
          </cell>
        </row>
        <row r="597">
          <cell r="A597">
            <v>44365</v>
          </cell>
          <cell r="B597">
            <v>5</v>
          </cell>
          <cell r="C597">
            <v>0.434</v>
          </cell>
          <cell r="D597">
            <v>-1.100000000000001</v>
          </cell>
          <cell r="E597">
            <v>0.08</v>
          </cell>
        </row>
        <row r="598">
          <cell r="A598">
            <v>44368</v>
          </cell>
          <cell r="B598">
            <v>1</v>
          </cell>
          <cell r="C598">
            <v>0.41899999999999998</v>
          </cell>
          <cell r="D598">
            <v>-1.5000000000000013</v>
          </cell>
          <cell r="E598">
            <v>7.8E-2</v>
          </cell>
        </row>
        <row r="599">
          <cell r="A599">
            <v>44369</v>
          </cell>
          <cell r="B599">
            <v>2</v>
          </cell>
          <cell r="C599">
            <v>0.43419999999999997</v>
          </cell>
          <cell r="D599">
            <v>1.5199999999999991</v>
          </cell>
          <cell r="E599">
            <v>7.8E-2</v>
          </cell>
        </row>
        <row r="600">
          <cell r="A600">
            <v>44370</v>
          </cell>
          <cell r="B600">
            <v>3</v>
          </cell>
          <cell r="C600">
            <v>0.42599999999999999</v>
          </cell>
          <cell r="D600">
            <v>-0.81999999999999851</v>
          </cell>
          <cell r="E600">
            <v>7.8E-2</v>
          </cell>
        </row>
        <row r="601">
          <cell r="A601">
            <v>44371</v>
          </cell>
          <cell r="B601">
            <v>4</v>
          </cell>
          <cell r="C601">
            <v>0.42899999999999999</v>
          </cell>
          <cell r="D601">
            <v>0.30000000000000027</v>
          </cell>
          <cell r="E601">
            <v>7.8E-2</v>
          </cell>
        </row>
        <row r="602">
          <cell r="A602">
            <v>44372</v>
          </cell>
          <cell r="B602">
            <v>5</v>
          </cell>
          <cell r="C602">
            <v>0.42699999999999999</v>
          </cell>
          <cell r="D602">
            <v>-0.20000000000000018</v>
          </cell>
          <cell r="E602">
            <v>7.9000000000000001E-2</v>
          </cell>
        </row>
        <row r="603">
          <cell r="A603">
            <v>44375</v>
          </cell>
          <cell r="B603">
            <v>1</v>
          </cell>
          <cell r="C603">
            <v>0.42899999999999999</v>
          </cell>
          <cell r="D603">
            <v>0.20000000000000018</v>
          </cell>
          <cell r="E603">
            <v>7.8E-2</v>
          </cell>
        </row>
        <row r="604">
          <cell r="A604">
            <v>44376</v>
          </cell>
          <cell r="B604">
            <v>2</v>
          </cell>
          <cell r="C604">
            <v>0.42049999999999998</v>
          </cell>
          <cell r="D604">
            <v>-0.85000000000000075</v>
          </cell>
          <cell r="E604">
            <v>7.9000000000000001E-2</v>
          </cell>
        </row>
        <row r="605">
          <cell r="A605">
            <v>44377</v>
          </cell>
          <cell r="B605">
            <v>3</v>
          </cell>
          <cell r="C605">
            <v>0.41499999999999998</v>
          </cell>
          <cell r="D605">
            <v>-0.55000000000000049</v>
          </cell>
          <cell r="E605">
            <v>0.08</v>
          </cell>
        </row>
        <row r="606">
          <cell r="A606">
            <v>44378</v>
          </cell>
          <cell r="B606">
            <v>4</v>
          </cell>
          <cell r="C606">
            <v>0.41499999999999998</v>
          </cell>
          <cell r="D606">
            <v>0</v>
          </cell>
          <cell r="E606">
            <v>7.8E-2</v>
          </cell>
        </row>
        <row r="607">
          <cell r="A607">
            <v>44379</v>
          </cell>
          <cell r="B607">
            <v>5</v>
          </cell>
          <cell r="C607">
            <v>0.41499999999999998</v>
          </cell>
          <cell r="D607" t="str">
            <v>無成交</v>
          </cell>
          <cell r="E607">
            <v>0.08</v>
          </cell>
        </row>
        <row r="608">
          <cell r="A608">
            <v>44382</v>
          </cell>
          <cell r="B608">
            <v>1</v>
          </cell>
          <cell r="C608">
            <v>0.4</v>
          </cell>
          <cell r="D608">
            <v>-1.4999999999999958</v>
          </cell>
          <cell r="E608">
            <v>7.8E-2</v>
          </cell>
        </row>
        <row r="609">
          <cell r="A609">
            <v>44383</v>
          </cell>
          <cell r="B609">
            <v>2</v>
          </cell>
          <cell r="C609">
            <v>0.4</v>
          </cell>
          <cell r="D609" t="str">
            <v>無成交</v>
          </cell>
          <cell r="E609">
            <v>7.8E-2</v>
          </cell>
        </row>
        <row r="610">
          <cell r="A610">
            <v>44384</v>
          </cell>
          <cell r="B610">
            <v>3</v>
          </cell>
          <cell r="C610">
            <v>0.39</v>
          </cell>
          <cell r="D610">
            <v>-1.0000000000000009</v>
          </cell>
          <cell r="E610">
            <v>7.9000000000000001E-2</v>
          </cell>
        </row>
        <row r="611">
          <cell r="A611">
            <v>44385</v>
          </cell>
          <cell r="B611">
            <v>4</v>
          </cell>
          <cell r="C611">
            <v>0.39150000000000001</v>
          </cell>
          <cell r="D611">
            <v>0.15000000000000013</v>
          </cell>
          <cell r="E611">
            <v>7.9000000000000001E-2</v>
          </cell>
        </row>
        <row r="612">
          <cell r="A612">
            <v>44386</v>
          </cell>
          <cell r="B612">
            <v>5</v>
          </cell>
          <cell r="C612">
            <v>0.39900000000000002</v>
          </cell>
          <cell r="D612">
            <v>0.75000000000000067</v>
          </cell>
          <cell r="E612">
            <v>8.1000000000000003E-2</v>
          </cell>
        </row>
        <row r="613">
          <cell r="A613">
            <v>44389</v>
          </cell>
          <cell r="B613">
            <v>1</v>
          </cell>
          <cell r="C613">
            <v>0.4002</v>
          </cell>
          <cell r="D613">
            <v>0.11999999999999789</v>
          </cell>
          <cell r="E613">
            <v>7.8E-2</v>
          </cell>
        </row>
        <row r="614">
          <cell r="A614">
            <v>44390</v>
          </cell>
          <cell r="B614">
            <v>2</v>
          </cell>
          <cell r="C614">
            <v>0.40150000000000002</v>
          </cell>
          <cell r="D614">
            <v>0.13000000000000234</v>
          </cell>
          <cell r="E614">
            <v>7.8E-2</v>
          </cell>
        </row>
        <row r="615">
          <cell r="A615">
            <v>44391</v>
          </cell>
          <cell r="B615">
            <v>3</v>
          </cell>
          <cell r="C615">
            <v>0.40500000000000003</v>
          </cell>
          <cell r="D615">
            <v>0.35000000000000031</v>
          </cell>
          <cell r="E615">
            <v>7.9000000000000001E-2</v>
          </cell>
        </row>
        <row r="616">
          <cell r="A616">
            <v>44392</v>
          </cell>
          <cell r="B616">
            <v>4</v>
          </cell>
          <cell r="C616">
            <v>0.3967</v>
          </cell>
          <cell r="D616">
            <v>-0.83000000000000296</v>
          </cell>
          <cell r="E616">
            <v>0.08</v>
          </cell>
        </row>
        <row r="617">
          <cell r="A617">
            <v>44393</v>
          </cell>
          <cell r="B617">
            <v>5</v>
          </cell>
          <cell r="C617">
            <v>0.4</v>
          </cell>
          <cell r="D617">
            <v>0.33000000000000251</v>
          </cell>
          <cell r="E617">
            <v>0.08</v>
          </cell>
        </row>
        <row r="618">
          <cell r="A618">
            <v>44396</v>
          </cell>
          <cell r="B618">
            <v>1</v>
          </cell>
          <cell r="C618">
            <v>0.39100000000000001</v>
          </cell>
          <cell r="D618">
            <v>-0.9000000000000008</v>
          </cell>
          <cell r="E618">
            <v>7.9000000000000001E-2</v>
          </cell>
        </row>
        <row r="619">
          <cell r="A619">
            <v>44397</v>
          </cell>
          <cell r="B619">
            <v>2</v>
          </cell>
          <cell r="C619">
            <v>0.39100000000000001</v>
          </cell>
          <cell r="D619">
            <v>0</v>
          </cell>
          <cell r="E619">
            <v>0.08</v>
          </cell>
        </row>
        <row r="620">
          <cell r="A620">
            <v>44398</v>
          </cell>
          <cell r="B620">
            <v>3</v>
          </cell>
          <cell r="C620">
            <v>0.38700000000000001</v>
          </cell>
          <cell r="D620">
            <v>-0.40000000000000036</v>
          </cell>
          <cell r="E620">
            <v>7.9000000000000001E-2</v>
          </cell>
        </row>
        <row r="621">
          <cell r="A621">
            <v>44399</v>
          </cell>
          <cell r="B621">
            <v>4</v>
          </cell>
          <cell r="C621">
            <v>0.39500000000000002</v>
          </cell>
          <cell r="D621">
            <v>0.80000000000000071</v>
          </cell>
          <cell r="E621">
            <v>7.8E-2</v>
          </cell>
        </row>
        <row r="622">
          <cell r="A622">
            <v>44400</v>
          </cell>
          <cell r="B622">
            <v>5</v>
          </cell>
          <cell r="C622">
            <v>0.39</v>
          </cell>
          <cell r="D622">
            <v>-0.50000000000000044</v>
          </cell>
          <cell r="E622">
            <v>0.08</v>
          </cell>
        </row>
        <row r="623">
          <cell r="A623">
            <v>44403</v>
          </cell>
          <cell r="B623">
            <v>1</v>
          </cell>
          <cell r="C623">
            <v>0.39500000000000002</v>
          </cell>
          <cell r="D623">
            <v>0.50000000000000044</v>
          </cell>
          <cell r="E623">
            <v>7.8E-2</v>
          </cell>
        </row>
        <row r="624">
          <cell r="A624">
            <v>44404</v>
          </cell>
          <cell r="B624">
            <v>2</v>
          </cell>
          <cell r="C624">
            <v>0.40200000000000002</v>
          </cell>
          <cell r="D624">
            <v>0.70000000000000062</v>
          </cell>
          <cell r="E624">
            <v>7.8E-2</v>
          </cell>
        </row>
        <row r="625">
          <cell r="A625">
            <v>44405</v>
          </cell>
          <cell r="B625">
            <v>3</v>
          </cell>
          <cell r="C625">
            <v>0.40200000000000002</v>
          </cell>
          <cell r="D625" t="str">
            <v>無成交</v>
          </cell>
          <cell r="E625">
            <v>7.8E-2</v>
          </cell>
        </row>
        <row r="626">
          <cell r="A626">
            <v>44406</v>
          </cell>
          <cell r="B626">
            <v>4</v>
          </cell>
          <cell r="C626">
            <v>0.40200000000000002</v>
          </cell>
          <cell r="D626" t="str">
            <v>無成交</v>
          </cell>
          <cell r="E626">
            <v>7.9000000000000001E-2</v>
          </cell>
        </row>
        <row r="627">
          <cell r="A627">
            <v>44407</v>
          </cell>
          <cell r="B627">
            <v>5</v>
          </cell>
          <cell r="C627">
            <v>0.40500000000000003</v>
          </cell>
          <cell r="D627">
            <v>0.30000000000000027</v>
          </cell>
          <cell r="E627">
            <v>0.08</v>
          </cell>
        </row>
        <row r="628">
          <cell r="A628">
            <v>44410</v>
          </cell>
          <cell r="B628">
            <v>1</v>
          </cell>
          <cell r="C628">
            <v>0.39750000000000002</v>
          </cell>
          <cell r="D628">
            <v>-0.75000000000000067</v>
          </cell>
          <cell r="E628">
            <v>7.9000000000000001E-2</v>
          </cell>
        </row>
        <row r="629">
          <cell r="A629">
            <v>44411</v>
          </cell>
          <cell r="B629">
            <v>2</v>
          </cell>
          <cell r="C629">
            <v>0.39</v>
          </cell>
          <cell r="D629">
            <v>-0.75000000000000067</v>
          </cell>
          <cell r="E629">
            <v>7.8E-2</v>
          </cell>
        </row>
        <row r="630">
          <cell r="A630">
            <v>44412</v>
          </cell>
          <cell r="B630">
            <v>3</v>
          </cell>
          <cell r="C630">
            <v>0.38800000000000001</v>
          </cell>
          <cell r="D630">
            <v>-0.20000000000000018</v>
          </cell>
          <cell r="E630">
            <v>7.8E-2</v>
          </cell>
        </row>
        <row r="631">
          <cell r="A631">
            <v>44413</v>
          </cell>
          <cell r="B631">
            <v>4</v>
          </cell>
          <cell r="C631">
            <v>0.39500000000000002</v>
          </cell>
          <cell r="D631">
            <v>0.70000000000000062</v>
          </cell>
          <cell r="E631">
            <v>7.9000000000000001E-2</v>
          </cell>
        </row>
        <row r="632">
          <cell r="A632">
            <v>44414</v>
          </cell>
          <cell r="B632">
            <v>5</v>
          </cell>
          <cell r="C632">
            <v>0.39900000000000002</v>
          </cell>
          <cell r="D632">
            <v>0.40000000000000036</v>
          </cell>
          <cell r="E632">
            <v>0.08</v>
          </cell>
        </row>
        <row r="633">
          <cell r="A633">
            <v>44417</v>
          </cell>
          <cell r="B633">
            <v>1</v>
          </cell>
          <cell r="C633">
            <v>0.40500000000000003</v>
          </cell>
          <cell r="D633">
            <v>0.60000000000000053</v>
          </cell>
          <cell r="E633">
            <v>7.8E-2</v>
          </cell>
        </row>
        <row r="634">
          <cell r="A634">
            <v>44418</v>
          </cell>
          <cell r="B634">
            <v>2</v>
          </cell>
          <cell r="C634">
            <v>0.4</v>
          </cell>
          <cell r="D634">
            <v>-0.50000000000000044</v>
          </cell>
          <cell r="E634">
            <v>7.8E-2</v>
          </cell>
        </row>
        <row r="635">
          <cell r="A635">
            <v>44419</v>
          </cell>
          <cell r="B635">
            <v>3</v>
          </cell>
          <cell r="C635">
            <v>0.40500000000000003</v>
          </cell>
          <cell r="D635" t="str">
            <v>無成交</v>
          </cell>
          <cell r="E635">
            <v>7.8E-2</v>
          </cell>
        </row>
        <row r="636">
          <cell r="A636">
            <v>44420</v>
          </cell>
          <cell r="B636">
            <v>4</v>
          </cell>
          <cell r="C636">
            <v>0.40250000000000002</v>
          </cell>
          <cell r="D636" t="str">
            <v>無成交</v>
          </cell>
          <cell r="E636">
            <v>0.08</v>
          </cell>
        </row>
        <row r="637">
          <cell r="A637">
            <v>44421</v>
          </cell>
          <cell r="B637">
            <v>5</v>
          </cell>
          <cell r="C637">
            <v>0.40200000000000002</v>
          </cell>
          <cell r="D637">
            <v>-5.0000000000000044E-2</v>
          </cell>
          <cell r="E637">
            <v>0.08</v>
          </cell>
        </row>
        <row r="638">
          <cell r="A638">
            <v>44424</v>
          </cell>
          <cell r="B638">
            <v>1</v>
          </cell>
          <cell r="C638">
            <v>0.4</v>
          </cell>
          <cell r="D638" t="str">
            <v>無成交</v>
          </cell>
          <cell r="E638">
            <v>0.08</v>
          </cell>
        </row>
        <row r="639">
          <cell r="A639">
            <v>44425</v>
          </cell>
          <cell r="B639">
            <v>2</v>
          </cell>
          <cell r="C639">
            <v>0.40200000000000002</v>
          </cell>
          <cell r="D639">
            <v>0.20000000000000018</v>
          </cell>
          <cell r="E639">
            <v>7.8E-2</v>
          </cell>
        </row>
        <row r="640">
          <cell r="A640">
            <v>44426</v>
          </cell>
          <cell r="B640">
            <v>3</v>
          </cell>
          <cell r="C640">
            <v>0.42</v>
          </cell>
          <cell r="D640">
            <v>1.799999999999996</v>
          </cell>
          <cell r="E640">
            <v>7.8E-2</v>
          </cell>
        </row>
        <row r="641">
          <cell r="A641">
            <v>44427</v>
          </cell>
          <cell r="B641">
            <v>4</v>
          </cell>
          <cell r="C641">
            <v>0.41739999999999999</v>
          </cell>
          <cell r="D641">
            <v>-0.25999999999999912</v>
          </cell>
          <cell r="E641">
            <v>7.8E-2</v>
          </cell>
        </row>
        <row r="642">
          <cell r="A642">
            <v>44428</v>
          </cell>
          <cell r="B642">
            <v>5</v>
          </cell>
          <cell r="C642">
            <v>0.41499999999999998</v>
          </cell>
          <cell r="D642">
            <v>-0.24000000000000132</v>
          </cell>
          <cell r="E642">
            <v>0.08</v>
          </cell>
        </row>
        <row r="643">
          <cell r="A643">
            <v>44431</v>
          </cell>
          <cell r="B643">
            <v>1</v>
          </cell>
          <cell r="C643">
            <v>0.42499999999999999</v>
          </cell>
          <cell r="D643">
            <v>1.0000000000000009</v>
          </cell>
          <cell r="E643">
            <v>7.8E-2</v>
          </cell>
        </row>
        <row r="644">
          <cell r="A644">
            <v>44432</v>
          </cell>
          <cell r="B644">
            <v>2</v>
          </cell>
          <cell r="C644">
            <v>0.42499999999999999</v>
          </cell>
          <cell r="D644" t="str">
            <v>無成交</v>
          </cell>
          <cell r="E644">
            <v>7.9000000000000001E-2</v>
          </cell>
        </row>
        <row r="645">
          <cell r="A645">
            <v>44433</v>
          </cell>
          <cell r="B645">
            <v>3</v>
          </cell>
          <cell r="C645">
            <v>0.42499999999999999</v>
          </cell>
          <cell r="D645" t="str">
            <v>無成交</v>
          </cell>
          <cell r="E645">
            <v>7.9000000000000001E-2</v>
          </cell>
        </row>
        <row r="646">
          <cell r="A646">
            <v>44434</v>
          </cell>
          <cell r="B646">
            <v>4</v>
          </cell>
          <cell r="C646">
            <v>0.42</v>
          </cell>
          <cell r="D646">
            <v>-0.50000000000000044</v>
          </cell>
          <cell r="E646">
            <v>0.08</v>
          </cell>
        </row>
        <row r="647">
          <cell r="A647">
            <v>44435</v>
          </cell>
          <cell r="B647">
            <v>5</v>
          </cell>
          <cell r="C647">
            <v>0.42</v>
          </cell>
          <cell r="D647" t="str">
            <v>無成交</v>
          </cell>
          <cell r="E647">
            <v>8.2000000000000003E-2</v>
          </cell>
        </row>
        <row r="648">
          <cell r="A648">
            <v>44438</v>
          </cell>
          <cell r="B648">
            <v>1</v>
          </cell>
          <cell r="C648">
            <v>0.42</v>
          </cell>
          <cell r="D648" t="str">
            <v>無成交</v>
          </cell>
          <cell r="E648">
            <v>0.08</v>
          </cell>
        </row>
        <row r="649">
          <cell r="A649">
            <v>44439</v>
          </cell>
          <cell r="B649">
            <v>2</v>
          </cell>
          <cell r="C649">
            <v>0.42</v>
          </cell>
          <cell r="D649" t="str">
            <v>無成交</v>
          </cell>
          <cell r="E649">
            <v>8.1000000000000003E-2</v>
          </cell>
        </row>
        <row r="650">
          <cell r="A650">
            <v>44440</v>
          </cell>
          <cell r="B650">
            <v>3</v>
          </cell>
          <cell r="C650">
            <v>0.42</v>
          </cell>
          <cell r="D650" t="str">
            <v>無成交</v>
          </cell>
          <cell r="E650">
            <v>7.9000000000000001E-2</v>
          </cell>
        </row>
        <row r="651">
          <cell r="A651">
            <v>44441</v>
          </cell>
          <cell r="B651">
            <v>4</v>
          </cell>
          <cell r="C651">
            <v>0.42</v>
          </cell>
          <cell r="D651" t="str">
            <v>無成交</v>
          </cell>
          <cell r="E651">
            <v>7.8E-2</v>
          </cell>
        </row>
        <row r="652">
          <cell r="A652">
            <v>44442</v>
          </cell>
          <cell r="B652">
            <v>5</v>
          </cell>
          <cell r="C652">
            <v>0.42</v>
          </cell>
          <cell r="D652" t="str">
            <v>無成交</v>
          </cell>
          <cell r="E652">
            <v>7.9000000000000001E-2</v>
          </cell>
        </row>
        <row r="653">
          <cell r="A653">
            <v>44445</v>
          </cell>
          <cell r="B653">
            <v>1</v>
          </cell>
          <cell r="C653">
            <v>0.42499999999999999</v>
          </cell>
          <cell r="D653">
            <v>0.50000000000000044</v>
          </cell>
          <cell r="E653">
            <v>7.8E-2</v>
          </cell>
        </row>
        <row r="654">
          <cell r="A654">
            <v>44446</v>
          </cell>
          <cell r="B654">
            <v>2</v>
          </cell>
          <cell r="C654">
            <v>0.42249999999999999</v>
          </cell>
          <cell r="D654" t="str">
            <v>無成交</v>
          </cell>
          <cell r="E654">
            <v>7.8E-2</v>
          </cell>
        </row>
        <row r="655">
          <cell r="A655">
            <v>44447</v>
          </cell>
          <cell r="B655">
            <v>3</v>
          </cell>
          <cell r="C655">
            <v>0.42199999999999999</v>
          </cell>
          <cell r="D655">
            <v>-5.0000000000000044E-2</v>
          </cell>
          <cell r="E655">
            <v>7.9000000000000001E-2</v>
          </cell>
        </row>
        <row r="656">
          <cell r="A656">
            <v>44448</v>
          </cell>
          <cell r="B656">
            <v>4</v>
          </cell>
          <cell r="C656">
            <v>0.41849999999999998</v>
          </cell>
          <cell r="D656">
            <v>-0.35000000000000031</v>
          </cell>
          <cell r="E656">
            <v>0.08</v>
          </cell>
        </row>
        <row r="657">
          <cell r="A657">
            <v>44449</v>
          </cell>
          <cell r="B657">
            <v>5</v>
          </cell>
          <cell r="C657">
            <v>0.41849999999999998</v>
          </cell>
          <cell r="D657" t="str">
            <v>無成交</v>
          </cell>
          <cell r="E657">
            <v>8.1000000000000003E-2</v>
          </cell>
        </row>
        <row r="658">
          <cell r="A658">
            <v>44452</v>
          </cell>
          <cell r="B658">
            <v>1</v>
          </cell>
          <cell r="C658">
            <v>0.41849999999999998</v>
          </cell>
          <cell r="D658" t="str">
            <v>無成交</v>
          </cell>
          <cell r="E658">
            <v>7.9000000000000001E-2</v>
          </cell>
        </row>
        <row r="659">
          <cell r="A659">
            <v>44453</v>
          </cell>
          <cell r="B659">
            <v>2</v>
          </cell>
          <cell r="C659">
            <v>0.41849999999999998</v>
          </cell>
          <cell r="D659" t="str">
            <v>無成交</v>
          </cell>
          <cell r="E659">
            <v>0.08</v>
          </cell>
        </row>
        <row r="660">
          <cell r="A660">
            <v>44454</v>
          </cell>
          <cell r="B660">
            <v>3</v>
          </cell>
          <cell r="C660">
            <v>0.41149999999999998</v>
          </cell>
          <cell r="D660">
            <v>-0.70000000000000062</v>
          </cell>
          <cell r="E660">
            <v>0.08</v>
          </cell>
        </row>
        <row r="661">
          <cell r="A661">
            <v>44455</v>
          </cell>
          <cell r="B661">
            <v>4</v>
          </cell>
          <cell r="C661">
            <v>0.41</v>
          </cell>
          <cell r="D661">
            <v>-0.15000000000000013</v>
          </cell>
          <cell r="E661">
            <v>8.2000000000000003E-2</v>
          </cell>
        </row>
        <row r="662">
          <cell r="A662">
            <v>44456</v>
          </cell>
          <cell r="B662">
            <v>5</v>
          </cell>
          <cell r="C662">
            <v>0.41499999999999998</v>
          </cell>
          <cell r="D662" t="str">
            <v>無成交</v>
          </cell>
          <cell r="E662">
            <v>8.5000000000000006E-2</v>
          </cell>
        </row>
        <row r="663">
          <cell r="A663">
            <v>44459</v>
          </cell>
          <cell r="B663">
            <v>1</v>
          </cell>
          <cell r="C663">
            <v>0.41499999999999998</v>
          </cell>
          <cell r="D663" t="str">
            <v>連假</v>
          </cell>
          <cell r="E663" t="str">
            <v>X</v>
          </cell>
        </row>
        <row r="664">
          <cell r="A664">
            <v>44460</v>
          </cell>
          <cell r="B664">
            <v>2</v>
          </cell>
          <cell r="C664">
            <v>0.41499999999999998</v>
          </cell>
          <cell r="D664" t="str">
            <v>連假</v>
          </cell>
          <cell r="E664" t="str">
            <v>X</v>
          </cell>
        </row>
        <row r="665">
          <cell r="A665">
            <v>44461</v>
          </cell>
          <cell r="B665">
            <v>3</v>
          </cell>
          <cell r="C665">
            <v>0.41499999999999998</v>
          </cell>
          <cell r="D665" t="str">
            <v>無成交</v>
          </cell>
          <cell r="E665">
            <v>7.9000000000000001E-2</v>
          </cell>
        </row>
        <row r="666">
          <cell r="A666">
            <v>44462</v>
          </cell>
          <cell r="B666">
            <v>4</v>
          </cell>
          <cell r="C666">
            <v>0.41</v>
          </cell>
          <cell r="D666">
            <v>-0.50000000000000044</v>
          </cell>
          <cell r="E666">
            <v>7.9000000000000001E-2</v>
          </cell>
        </row>
        <row r="667">
          <cell r="A667">
            <v>44463</v>
          </cell>
          <cell r="B667">
            <v>5</v>
          </cell>
          <cell r="C667">
            <v>0.41</v>
          </cell>
          <cell r="D667" t="str">
            <v>無成交</v>
          </cell>
          <cell r="E667">
            <v>8.1000000000000003E-2</v>
          </cell>
        </row>
        <row r="668">
          <cell r="A668">
            <v>44466</v>
          </cell>
          <cell r="B668">
            <v>1</v>
          </cell>
          <cell r="C668">
            <v>0.44500000000000001</v>
          </cell>
          <cell r="D668">
            <v>3.5000000000000031</v>
          </cell>
          <cell r="E668">
            <v>0.08</v>
          </cell>
        </row>
        <row r="669">
          <cell r="A669">
            <v>44467</v>
          </cell>
          <cell r="B669">
            <v>2</v>
          </cell>
          <cell r="C669">
            <v>0.45700000000000002</v>
          </cell>
          <cell r="D669">
            <v>1.2000000000000011</v>
          </cell>
          <cell r="E669">
            <v>8.2000000000000003E-2</v>
          </cell>
        </row>
        <row r="670">
          <cell r="A670">
            <v>44468</v>
          </cell>
          <cell r="B670">
            <v>3</v>
          </cell>
          <cell r="C670">
            <v>0.45</v>
          </cell>
          <cell r="D670">
            <v>-0.70000000000000062</v>
          </cell>
          <cell r="E670">
            <v>8.4000000000000005E-2</v>
          </cell>
        </row>
        <row r="671">
          <cell r="A671">
            <v>44469</v>
          </cell>
          <cell r="B671">
            <v>4</v>
          </cell>
          <cell r="C671">
            <v>0.45</v>
          </cell>
          <cell r="D671" t="str">
            <v>無成交</v>
          </cell>
          <cell r="E671">
            <v>8.6999999999999994E-2</v>
          </cell>
        </row>
        <row r="672">
          <cell r="A672">
            <v>44470</v>
          </cell>
          <cell r="B672">
            <v>5</v>
          </cell>
          <cell r="C672">
            <v>0.44500000000000001</v>
          </cell>
          <cell r="D672" t="str">
            <v>無成交</v>
          </cell>
          <cell r="E672">
            <v>8.4000000000000005E-2</v>
          </cell>
        </row>
        <row r="673">
          <cell r="A673">
            <v>44473</v>
          </cell>
          <cell r="B673">
            <v>1</v>
          </cell>
          <cell r="C673">
            <v>0.44500000000000001</v>
          </cell>
          <cell r="D673" t="str">
            <v>無成交</v>
          </cell>
          <cell r="E673">
            <v>0.08</v>
          </cell>
        </row>
        <row r="674">
          <cell r="A674">
            <v>44474</v>
          </cell>
          <cell r="B674">
            <v>2</v>
          </cell>
          <cell r="C674">
            <v>0.44500000000000001</v>
          </cell>
          <cell r="D674" t="str">
            <v>無成交</v>
          </cell>
          <cell r="E674">
            <v>0.08</v>
          </cell>
        </row>
        <row r="675">
          <cell r="A675">
            <v>44475</v>
          </cell>
          <cell r="B675">
            <v>3</v>
          </cell>
          <cell r="C675">
            <v>0.47199999999999998</v>
          </cell>
          <cell r="D675">
            <v>2.6999999999999966</v>
          </cell>
          <cell r="E675">
            <v>7.9000000000000001E-2</v>
          </cell>
        </row>
        <row r="676">
          <cell r="A676">
            <v>44476</v>
          </cell>
          <cell r="B676">
            <v>4</v>
          </cell>
          <cell r="C676">
            <v>0.47299999999999998</v>
          </cell>
          <cell r="D676">
            <v>0.10000000000000009</v>
          </cell>
          <cell r="E676">
            <v>0.08</v>
          </cell>
        </row>
        <row r="677">
          <cell r="A677">
            <v>44477</v>
          </cell>
          <cell r="B677">
            <v>5</v>
          </cell>
          <cell r="C677">
            <v>0.48249999999999998</v>
          </cell>
          <cell r="D677">
            <v>0.95000000000000084</v>
          </cell>
          <cell r="E677">
            <v>8.3000000000000004E-2</v>
          </cell>
        </row>
        <row r="678">
          <cell r="A678">
            <v>44480</v>
          </cell>
          <cell r="B678">
            <v>1</v>
          </cell>
          <cell r="C678">
            <v>0.48249999999999998</v>
          </cell>
          <cell r="D678" t="str">
            <v>連假</v>
          </cell>
          <cell r="E678" t="str">
            <v>X</v>
          </cell>
        </row>
        <row r="679">
          <cell r="A679">
            <v>44481</v>
          </cell>
          <cell r="B679">
            <v>2</v>
          </cell>
          <cell r="C679">
            <v>0.47649999999999998</v>
          </cell>
          <cell r="D679">
            <v>-0.60000000000000053</v>
          </cell>
          <cell r="E679">
            <v>0.08</v>
          </cell>
        </row>
        <row r="680">
          <cell r="A680">
            <v>44482</v>
          </cell>
          <cell r="B680">
            <v>3</v>
          </cell>
          <cell r="C680">
            <v>0.48199999999999998</v>
          </cell>
          <cell r="D680">
            <v>0.55000000000000049</v>
          </cell>
          <cell r="E680">
            <v>0.08</v>
          </cell>
        </row>
        <row r="681">
          <cell r="A681">
            <v>44483</v>
          </cell>
          <cell r="B681">
            <v>4</v>
          </cell>
          <cell r="C681">
            <v>0.48299999999999998</v>
          </cell>
          <cell r="D681">
            <v>0.10000000000000009</v>
          </cell>
          <cell r="E681">
            <v>8.1000000000000003E-2</v>
          </cell>
        </row>
        <row r="682">
          <cell r="A682">
            <v>44484</v>
          </cell>
          <cell r="B682">
            <v>5</v>
          </cell>
          <cell r="C682">
            <v>0.48799999999999999</v>
          </cell>
          <cell r="D682">
            <v>0.50000000000000044</v>
          </cell>
          <cell r="E682">
            <v>8.1000000000000003E-2</v>
          </cell>
        </row>
        <row r="683">
          <cell r="A683">
            <v>44487</v>
          </cell>
          <cell r="B683">
            <v>1</v>
          </cell>
          <cell r="C683">
            <v>0.50700000000000001</v>
          </cell>
          <cell r="D683">
            <v>1.9000000000000017</v>
          </cell>
          <cell r="E683">
            <v>0.08</v>
          </cell>
        </row>
        <row r="684">
          <cell r="A684">
            <v>44488</v>
          </cell>
          <cell r="B684">
            <v>2</v>
          </cell>
          <cell r="C684">
            <v>0.49709999999999999</v>
          </cell>
          <cell r="D684">
            <v>-0.99000000000000199</v>
          </cell>
          <cell r="E684">
            <v>0.08</v>
          </cell>
        </row>
        <row r="685">
          <cell r="A685">
            <v>44489</v>
          </cell>
          <cell r="B685">
            <v>3</v>
          </cell>
          <cell r="C685">
            <v>0.505</v>
          </cell>
          <cell r="D685">
            <v>0.79000000000000181</v>
          </cell>
          <cell r="E685">
            <v>0.08</v>
          </cell>
        </row>
        <row r="686">
          <cell r="A686">
            <v>44490</v>
          </cell>
          <cell r="B686">
            <v>4</v>
          </cell>
          <cell r="C686">
            <v>0.52800000000000002</v>
          </cell>
          <cell r="D686">
            <v>2.300000000000002</v>
          </cell>
          <cell r="E686">
            <v>0.08</v>
          </cell>
        </row>
        <row r="687">
          <cell r="A687">
            <v>44491</v>
          </cell>
          <cell r="B687">
            <v>5</v>
          </cell>
          <cell r="C687">
            <v>0.56999999999999995</v>
          </cell>
          <cell r="D687">
            <v>4.1999999999999922</v>
          </cell>
          <cell r="E687">
            <v>7.9000000000000001E-2</v>
          </cell>
        </row>
        <row r="688">
          <cell r="A688">
            <v>44494</v>
          </cell>
          <cell r="B688">
            <v>1</v>
          </cell>
          <cell r="C688">
            <v>0.56999999999999995</v>
          </cell>
          <cell r="D688" t="str">
            <v>無成交</v>
          </cell>
          <cell r="E688">
            <v>7.9000000000000001E-2</v>
          </cell>
        </row>
        <row r="689">
          <cell r="A689">
            <v>44495</v>
          </cell>
          <cell r="B689">
            <v>2</v>
          </cell>
          <cell r="C689">
            <v>0.56999999999999995</v>
          </cell>
          <cell r="D689">
            <v>0</v>
          </cell>
          <cell r="E689">
            <v>7.8E-2</v>
          </cell>
        </row>
        <row r="690">
          <cell r="A690">
            <v>44496</v>
          </cell>
          <cell r="B690">
            <v>3</v>
          </cell>
          <cell r="C690">
            <v>0.56000000000000005</v>
          </cell>
          <cell r="D690">
            <v>-0.99999999999998979</v>
          </cell>
          <cell r="E690">
            <v>7.8E-2</v>
          </cell>
        </row>
        <row r="691">
          <cell r="A691">
            <v>44497</v>
          </cell>
          <cell r="B691">
            <v>4</v>
          </cell>
          <cell r="C691">
            <v>0.57569999999999999</v>
          </cell>
          <cell r="D691">
            <v>1.5699999999999936</v>
          </cell>
          <cell r="E691">
            <v>7.8E-2</v>
          </cell>
        </row>
        <row r="692">
          <cell r="A692">
            <v>44498</v>
          </cell>
          <cell r="B692">
            <v>5</v>
          </cell>
          <cell r="C692">
            <v>0.57999999999999996</v>
          </cell>
          <cell r="D692">
            <v>0.42999999999999705</v>
          </cell>
          <cell r="E692">
            <v>0.08</v>
          </cell>
        </row>
        <row r="693">
          <cell r="A693">
            <v>44501</v>
          </cell>
          <cell r="B693">
            <v>1</v>
          </cell>
          <cell r="C693">
            <v>0.57999999999999996</v>
          </cell>
          <cell r="D693" t="str">
            <v>無成交</v>
          </cell>
          <cell r="E693">
            <v>7.8E-2</v>
          </cell>
        </row>
        <row r="694">
          <cell r="A694">
            <v>44502</v>
          </cell>
          <cell r="B694">
            <v>2</v>
          </cell>
          <cell r="C694">
            <v>0.57999999999999996</v>
          </cell>
          <cell r="D694" t="str">
            <v>無成交</v>
          </cell>
          <cell r="E694">
            <v>7.8E-2</v>
          </cell>
        </row>
        <row r="695">
          <cell r="A695">
            <v>44503</v>
          </cell>
          <cell r="B695">
            <v>3</v>
          </cell>
          <cell r="C695">
            <v>0.56000000000000005</v>
          </cell>
          <cell r="D695">
            <v>-1.9999999999999907</v>
          </cell>
          <cell r="E695">
            <v>7.8E-2</v>
          </cell>
        </row>
        <row r="696">
          <cell r="A696">
            <v>44504</v>
          </cell>
          <cell r="B696">
            <v>4</v>
          </cell>
          <cell r="C696">
            <v>0.5655</v>
          </cell>
          <cell r="D696">
            <v>0.54999999999999494</v>
          </cell>
          <cell r="E696">
            <v>7.9000000000000001E-2</v>
          </cell>
        </row>
        <row r="697">
          <cell r="A697">
            <v>44505</v>
          </cell>
          <cell r="B697">
            <v>5</v>
          </cell>
          <cell r="C697">
            <v>0.54</v>
          </cell>
          <cell r="D697">
            <v>-2.5499999999999967</v>
          </cell>
          <cell r="E697">
            <v>0.08</v>
          </cell>
        </row>
        <row r="698">
          <cell r="A698">
            <v>44508</v>
          </cell>
          <cell r="B698">
            <v>1</v>
          </cell>
          <cell r="C698">
            <v>0.53500000000000003</v>
          </cell>
          <cell r="D698">
            <v>-0.50000000000000044</v>
          </cell>
          <cell r="E698">
            <v>7.8E-2</v>
          </cell>
        </row>
        <row r="699">
          <cell r="A699">
            <v>44509</v>
          </cell>
          <cell r="B699">
            <v>2</v>
          </cell>
          <cell r="C699">
            <v>0.56200000000000006</v>
          </cell>
          <cell r="D699">
            <v>2.7000000000000024</v>
          </cell>
          <cell r="E699">
            <v>7.8E-2</v>
          </cell>
        </row>
        <row r="700">
          <cell r="A700">
            <v>44510</v>
          </cell>
          <cell r="B700">
            <v>3</v>
          </cell>
          <cell r="C700">
            <v>0.53500000000000003</v>
          </cell>
          <cell r="D700">
            <v>-2.7000000000000024</v>
          </cell>
          <cell r="E700">
            <v>7.8E-2</v>
          </cell>
        </row>
        <row r="701">
          <cell r="A701">
            <v>44511</v>
          </cell>
          <cell r="B701">
            <v>4</v>
          </cell>
          <cell r="C701">
            <v>0.54300000000000004</v>
          </cell>
          <cell r="D701">
            <v>0.80000000000000071</v>
          </cell>
          <cell r="E701">
            <v>7.9000000000000001E-2</v>
          </cell>
        </row>
        <row r="702">
          <cell r="A702">
            <v>44512</v>
          </cell>
          <cell r="B702">
            <v>5</v>
          </cell>
          <cell r="C702">
            <v>0.54200000000000004</v>
          </cell>
          <cell r="D702">
            <v>-0.10000000000000009</v>
          </cell>
          <cell r="E702">
            <v>8.2000000000000003E-2</v>
          </cell>
        </row>
        <row r="703">
          <cell r="A703">
            <v>44515</v>
          </cell>
          <cell r="B703">
            <v>1</v>
          </cell>
          <cell r="C703">
            <v>0.56000000000000005</v>
          </cell>
          <cell r="D703" t="str">
            <v>無成交</v>
          </cell>
          <cell r="E703">
            <v>0.08</v>
          </cell>
        </row>
        <row r="704">
          <cell r="A704">
            <v>44516</v>
          </cell>
          <cell r="B704">
            <v>2</v>
          </cell>
          <cell r="C704">
            <v>0.5635</v>
          </cell>
          <cell r="D704">
            <v>0.34999999999999476</v>
          </cell>
          <cell r="E704">
            <v>7.9000000000000001E-2</v>
          </cell>
        </row>
        <row r="705">
          <cell r="A705">
            <v>44517</v>
          </cell>
          <cell r="B705">
            <v>3</v>
          </cell>
          <cell r="C705">
            <v>0.57220000000000004</v>
          </cell>
          <cell r="D705">
            <v>0.8700000000000041</v>
          </cell>
          <cell r="E705">
            <v>7.8E-2</v>
          </cell>
        </row>
        <row r="706">
          <cell r="A706">
            <v>44518</v>
          </cell>
          <cell r="B706">
            <v>4</v>
          </cell>
          <cell r="C706">
            <v>0.57889999999999997</v>
          </cell>
          <cell r="D706">
            <v>0.66999999999999282</v>
          </cell>
          <cell r="E706">
            <v>7.9000000000000001E-2</v>
          </cell>
        </row>
        <row r="707">
          <cell r="A707">
            <v>44519</v>
          </cell>
          <cell r="B707">
            <v>5</v>
          </cell>
          <cell r="C707">
            <v>0.57889999999999997</v>
          </cell>
          <cell r="D707" t="str">
            <v>無成交</v>
          </cell>
          <cell r="E707">
            <v>0.08</v>
          </cell>
        </row>
        <row r="708">
          <cell r="A708">
            <v>44522</v>
          </cell>
          <cell r="B708">
            <v>1</v>
          </cell>
          <cell r="C708">
            <v>0.5716</v>
          </cell>
          <cell r="D708">
            <v>-0.72999999999999732</v>
          </cell>
          <cell r="E708">
            <v>7.9000000000000001E-2</v>
          </cell>
        </row>
        <row r="709">
          <cell r="A709">
            <v>44523</v>
          </cell>
          <cell r="B709">
            <v>2</v>
          </cell>
          <cell r="C709">
            <v>0.57999999999999996</v>
          </cell>
          <cell r="D709">
            <v>0.83999999999999631</v>
          </cell>
          <cell r="E709">
            <v>7.8E-2</v>
          </cell>
        </row>
        <row r="710">
          <cell r="A710">
            <v>44524</v>
          </cell>
          <cell r="B710">
            <v>3</v>
          </cell>
          <cell r="C710">
            <v>0.57609999999999995</v>
          </cell>
          <cell r="D710">
            <v>-0.39000000000000146</v>
          </cell>
          <cell r="E710">
            <v>7.8E-2</v>
          </cell>
        </row>
        <row r="711">
          <cell r="A711">
            <v>44525</v>
          </cell>
          <cell r="B711">
            <v>4</v>
          </cell>
          <cell r="C711">
            <v>0.57899999999999996</v>
          </cell>
          <cell r="D711">
            <v>0.29000000000000137</v>
          </cell>
          <cell r="E711">
            <v>7.8E-2</v>
          </cell>
        </row>
        <row r="712">
          <cell r="A712">
            <v>44526</v>
          </cell>
          <cell r="B712">
            <v>5</v>
          </cell>
          <cell r="C712">
            <v>0.55600000000000005</v>
          </cell>
          <cell r="D712">
            <v>-2.2999999999999909</v>
          </cell>
          <cell r="E712">
            <v>0.08</v>
          </cell>
        </row>
        <row r="713">
          <cell r="A713">
            <v>44529</v>
          </cell>
          <cell r="B713">
            <v>1</v>
          </cell>
          <cell r="C713">
            <v>0.56200000000000006</v>
          </cell>
          <cell r="D713">
            <v>0.60000000000000053</v>
          </cell>
          <cell r="E713">
            <v>7.8E-2</v>
          </cell>
        </row>
        <row r="714">
          <cell r="A714">
            <v>44530</v>
          </cell>
          <cell r="B714">
            <v>2</v>
          </cell>
          <cell r="C714">
            <v>0.55069999999999997</v>
          </cell>
          <cell r="D714">
            <v>-1.1300000000000088</v>
          </cell>
          <cell r="E714">
            <v>7.8E-2</v>
          </cell>
        </row>
        <row r="715">
          <cell r="A715">
            <v>44531</v>
          </cell>
          <cell r="B715">
            <v>3</v>
          </cell>
          <cell r="C715">
            <v>0.55069999999999997</v>
          </cell>
          <cell r="D715" t="str">
            <v>無成交</v>
          </cell>
          <cell r="E715">
            <v>7.8E-2</v>
          </cell>
        </row>
        <row r="716">
          <cell r="A716">
            <v>44532</v>
          </cell>
          <cell r="B716">
            <v>4</v>
          </cell>
          <cell r="C716">
            <v>0.55069999999999997</v>
          </cell>
          <cell r="D716" t="str">
            <v>無成交</v>
          </cell>
          <cell r="E716">
            <v>7.8E-2</v>
          </cell>
        </row>
        <row r="717">
          <cell r="A717">
            <v>44533</v>
          </cell>
          <cell r="B717">
            <v>5</v>
          </cell>
          <cell r="C717">
            <v>0.56000000000000005</v>
          </cell>
          <cell r="D717" t="str">
            <v>無成交</v>
          </cell>
          <cell r="E717">
            <v>7.9000000000000001E-2</v>
          </cell>
        </row>
        <row r="718">
          <cell r="A718">
            <v>44536</v>
          </cell>
          <cell r="B718">
            <v>1</v>
          </cell>
          <cell r="C718">
            <v>0.54</v>
          </cell>
          <cell r="D718">
            <v>-2.0000000000000018</v>
          </cell>
          <cell r="E718">
            <v>7.9000000000000001E-2</v>
          </cell>
        </row>
        <row r="719">
          <cell r="A719">
            <v>44537</v>
          </cell>
          <cell r="B719">
            <v>2</v>
          </cell>
          <cell r="C719">
            <v>0.56000000000000005</v>
          </cell>
          <cell r="D719">
            <v>2.0000000000000018</v>
          </cell>
          <cell r="E719">
            <v>7.9000000000000001E-2</v>
          </cell>
        </row>
        <row r="720">
          <cell r="A720">
            <v>44538</v>
          </cell>
          <cell r="B720">
            <v>3</v>
          </cell>
          <cell r="C720">
            <v>0.56000000000000005</v>
          </cell>
          <cell r="D720">
            <v>0</v>
          </cell>
          <cell r="E720">
            <v>7.8E-2</v>
          </cell>
        </row>
        <row r="721">
          <cell r="A721">
            <v>44539</v>
          </cell>
          <cell r="B721">
            <v>4</v>
          </cell>
          <cell r="C721">
            <v>0.56299999999999994</v>
          </cell>
          <cell r="D721">
            <v>0.29999999999998916</v>
          </cell>
          <cell r="E721">
            <v>7.9000000000000001E-2</v>
          </cell>
        </row>
        <row r="722">
          <cell r="A722">
            <v>44540</v>
          </cell>
          <cell r="B722">
            <v>5</v>
          </cell>
          <cell r="C722">
            <v>0.57599999999999996</v>
          </cell>
          <cell r="D722">
            <v>1.3000000000000012</v>
          </cell>
          <cell r="E722">
            <v>0.08</v>
          </cell>
        </row>
        <row r="723">
          <cell r="A723">
            <v>44543</v>
          </cell>
          <cell r="B723">
            <v>1</v>
          </cell>
          <cell r="C723">
            <v>0.56999999999999995</v>
          </cell>
          <cell r="D723">
            <v>-0.60000000000000053</v>
          </cell>
          <cell r="E723">
            <v>7.9000000000000001E-2</v>
          </cell>
        </row>
        <row r="724">
          <cell r="A724">
            <v>44544</v>
          </cell>
          <cell r="B724">
            <v>2</v>
          </cell>
          <cell r="C724">
            <v>0.56999999999999995</v>
          </cell>
          <cell r="D724" t="str">
            <v>無成交</v>
          </cell>
          <cell r="E724">
            <v>7.9000000000000001E-2</v>
          </cell>
        </row>
        <row r="725">
          <cell r="A725">
            <v>44545</v>
          </cell>
          <cell r="B725">
            <v>3</v>
          </cell>
          <cell r="C725">
            <v>0.56999999999999995</v>
          </cell>
          <cell r="D725" t="str">
            <v>無成交</v>
          </cell>
          <cell r="E725">
            <v>7.9000000000000001E-2</v>
          </cell>
        </row>
        <row r="726">
          <cell r="A726">
            <v>44546</v>
          </cell>
          <cell r="B726">
            <v>4</v>
          </cell>
          <cell r="C726">
            <v>0.56999999999999995</v>
          </cell>
          <cell r="D726" t="str">
            <v>無成交</v>
          </cell>
          <cell r="E726">
            <v>7.8E-2</v>
          </cell>
        </row>
        <row r="727">
          <cell r="A727">
            <v>44547</v>
          </cell>
          <cell r="B727">
            <v>5</v>
          </cell>
          <cell r="C727">
            <v>0.58799999999999997</v>
          </cell>
          <cell r="D727">
            <v>1.8000000000000016</v>
          </cell>
          <cell r="E727">
            <v>7.8E-2</v>
          </cell>
        </row>
        <row r="728">
          <cell r="A728">
            <v>44550</v>
          </cell>
          <cell r="B728">
            <v>1</v>
          </cell>
          <cell r="C728">
            <v>0.62</v>
          </cell>
          <cell r="D728">
            <v>3.2000000000000028</v>
          </cell>
          <cell r="E728">
            <v>7.9000000000000001E-2</v>
          </cell>
        </row>
        <row r="729">
          <cell r="A729">
            <v>44551</v>
          </cell>
          <cell r="B729">
            <v>2</v>
          </cell>
          <cell r="C729">
            <v>0.62</v>
          </cell>
          <cell r="D729" t="str">
            <v>無成交</v>
          </cell>
          <cell r="E729">
            <v>7.8E-2</v>
          </cell>
        </row>
        <row r="730">
          <cell r="A730">
            <v>44552</v>
          </cell>
          <cell r="B730">
            <v>3</v>
          </cell>
          <cell r="C730">
            <v>0.64</v>
          </cell>
          <cell r="D730">
            <v>2.0000000000000018</v>
          </cell>
          <cell r="E730">
            <v>7.8E-2</v>
          </cell>
        </row>
        <row r="731">
          <cell r="A731">
            <v>44553</v>
          </cell>
          <cell r="B731">
            <v>4</v>
          </cell>
          <cell r="C731">
            <v>0.64</v>
          </cell>
          <cell r="D731" t="str">
            <v>無成交</v>
          </cell>
          <cell r="E731">
            <v>7.9000000000000001E-2</v>
          </cell>
        </row>
        <row r="732">
          <cell r="A732">
            <v>44554</v>
          </cell>
          <cell r="B732">
            <v>5</v>
          </cell>
          <cell r="C732">
            <v>0.68</v>
          </cell>
          <cell r="D732" t="str">
            <v>無成交</v>
          </cell>
          <cell r="E732">
            <v>0.08</v>
          </cell>
        </row>
        <row r="733">
          <cell r="A733">
            <v>44557</v>
          </cell>
          <cell r="B733">
            <v>1</v>
          </cell>
          <cell r="C733">
            <v>0.68</v>
          </cell>
          <cell r="D733" t="str">
            <v>無成交</v>
          </cell>
          <cell r="E733">
            <v>7.9000000000000001E-2</v>
          </cell>
        </row>
        <row r="734">
          <cell r="A734">
            <v>44558</v>
          </cell>
          <cell r="B734">
            <v>2</v>
          </cell>
          <cell r="C734">
            <v>0.71499999999999997</v>
          </cell>
          <cell r="D734">
            <v>3.499999999999992</v>
          </cell>
          <cell r="E734">
            <v>7.9000000000000001E-2</v>
          </cell>
        </row>
        <row r="735">
          <cell r="A735">
            <v>44559</v>
          </cell>
          <cell r="B735">
            <v>3</v>
          </cell>
          <cell r="C735">
            <v>0.72599999999999998</v>
          </cell>
          <cell r="D735">
            <v>1.100000000000001</v>
          </cell>
          <cell r="E735">
            <v>7.8E-2</v>
          </cell>
        </row>
        <row r="736">
          <cell r="A736">
            <v>44560</v>
          </cell>
          <cell r="B736">
            <v>4</v>
          </cell>
          <cell r="C736">
            <v>0.72250000000000003</v>
          </cell>
          <cell r="D736">
            <v>-0.34999999999999476</v>
          </cell>
          <cell r="E736">
            <v>8.5000000000000006E-2</v>
          </cell>
        </row>
        <row r="737">
          <cell r="A737">
            <v>44561</v>
          </cell>
          <cell r="B737">
            <v>5</v>
          </cell>
          <cell r="C737">
            <v>0.72250000000000003</v>
          </cell>
          <cell r="D737" t="str">
            <v>連假</v>
          </cell>
          <cell r="E737" t="str">
            <v>X</v>
          </cell>
        </row>
        <row r="738">
          <cell r="A738">
            <v>44564</v>
          </cell>
          <cell r="B738">
            <v>1</v>
          </cell>
          <cell r="C738">
            <v>0.74199999999999999</v>
          </cell>
          <cell r="D738">
            <v>1.9499999999999962</v>
          </cell>
          <cell r="E738">
            <v>7.8E-2</v>
          </cell>
        </row>
        <row r="739">
          <cell r="A739">
            <v>44565</v>
          </cell>
          <cell r="B739">
            <v>2</v>
          </cell>
          <cell r="C739">
            <v>0.77649999999999997</v>
          </cell>
          <cell r="D739">
            <v>3.4499999999999975</v>
          </cell>
          <cell r="E739">
            <v>7.8E-2</v>
          </cell>
        </row>
        <row r="740">
          <cell r="A740">
            <v>44566</v>
          </cell>
          <cell r="B740">
            <v>3</v>
          </cell>
          <cell r="C740">
            <v>0.78500000000000003</v>
          </cell>
          <cell r="D740">
            <v>0.85000000000000631</v>
          </cell>
          <cell r="E740">
            <v>7.8E-2</v>
          </cell>
        </row>
        <row r="741">
          <cell r="A741">
            <v>44567</v>
          </cell>
          <cell r="B741">
            <v>4</v>
          </cell>
          <cell r="C741">
            <v>0.79600000000000004</v>
          </cell>
          <cell r="D741">
            <v>1.100000000000001</v>
          </cell>
          <cell r="E741">
            <v>7.9000000000000001E-2</v>
          </cell>
        </row>
        <row r="742">
          <cell r="A742">
            <v>44568</v>
          </cell>
          <cell r="B742">
            <v>5</v>
          </cell>
          <cell r="C742">
            <v>0.79600000000000004</v>
          </cell>
          <cell r="D742">
            <v>0</v>
          </cell>
          <cell r="E742">
            <v>7.9000000000000001E-2</v>
          </cell>
        </row>
        <row r="743">
          <cell r="A743">
            <v>44571</v>
          </cell>
          <cell r="B743">
            <v>1</v>
          </cell>
          <cell r="C743">
            <v>0.81299999999999994</v>
          </cell>
          <cell r="D743">
            <v>1.6999999999999904</v>
          </cell>
          <cell r="E743">
            <v>7.8E-2</v>
          </cell>
        </row>
        <row r="744">
          <cell r="A744">
            <v>44572</v>
          </cell>
          <cell r="B744">
            <v>2</v>
          </cell>
          <cell r="C744">
            <v>0.78879999999999995</v>
          </cell>
          <cell r="D744">
            <v>-2.42</v>
          </cell>
          <cell r="E744">
            <v>7.8E-2</v>
          </cell>
        </row>
        <row r="745">
          <cell r="A745">
            <v>44573</v>
          </cell>
          <cell r="B745">
            <v>3</v>
          </cell>
          <cell r="C745">
            <v>0.75549999999999995</v>
          </cell>
          <cell r="D745">
            <v>-3.3299999999999996</v>
          </cell>
          <cell r="E745">
            <v>7.8E-2</v>
          </cell>
        </row>
        <row r="746">
          <cell r="A746">
            <v>44574</v>
          </cell>
          <cell r="B746">
            <v>4</v>
          </cell>
          <cell r="C746">
            <v>0.71</v>
          </cell>
          <cell r="D746">
            <v>-4.5499999999999989</v>
          </cell>
          <cell r="E746">
            <v>7.9000000000000001E-2</v>
          </cell>
        </row>
        <row r="747">
          <cell r="A747">
            <v>44575</v>
          </cell>
          <cell r="B747">
            <v>5</v>
          </cell>
          <cell r="C747">
            <v>0.68</v>
          </cell>
          <cell r="D747">
            <v>-2.9999999999999916</v>
          </cell>
          <cell r="E747">
            <v>0.08</v>
          </cell>
        </row>
        <row r="748">
          <cell r="A748">
            <v>44578</v>
          </cell>
          <cell r="B748">
            <v>1</v>
          </cell>
          <cell r="C748">
            <v>0.72</v>
          </cell>
          <cell r="D748">
            <v>3.9999999999999925</v>
          </cell>
          <cell r="E748">
            <v>7.9000000000000001E-2</v>
          </cell>
        </row>
        <row r="749">
          <cell r="A749">
            <v>44579</v>
          </cell>
          <cell r="B749">
            <v>2</v>
          </cell>
          <cell r="C749">
            <v>0.75</v>
          </cell>
          <cell r="D749">
            <v>3.0000000000000027</v>
          </cell>
          <cell r="E749">
            <v>7.8E-2</v>
          </cell>
        </row>
        <row r="750">
          <cell r="A750">
            <v>44580</v>
          </cell>
          <cell r="B750">
            <v>3</v>
          </cell>
          <cell r="C750">
            <v>0.74050000000000005</v>
          </cell>
          <cell r="D750">
            <v>-0.94999999999999529</v>
          </cell>
          <cell r="E750">
            <v>7.9000000000000001E-2</v>
          </cell>
        </row>
        <row r="751">
          <cell r="A751">
            <v>44581</v>
          </cell>
          <cell r="B751">
            <v>4</v>
          </cell>
          <cell r="C751">
            <v>0.72499999999999998</v>
          </cell>
          <cell r="D751">
            <v>-1.5500000000000069</v>
          </cell>
          <cell r="E751">
            <v>7.9000000000000001E-2</v>
          </cell>
        </row>
        <row r="752">
          <cell r="A752">
            <v>44582</v>
          </cell>
          <cell r="B752">
            <v>5</v>
          </cell>
          <cell r="C752">
            <v>0.68659999999999999</v>
          </cell>
          <cell r="D752">
            <v>-3.839999999999999</v>
          </cell>
          <cell r="E752">
            <v>7.9000000000000001E-2</v>
          </cell>
        </row>
        <row r="753">
          <cell r="A753">
            <v>44585</v>
          </cell>
          <cell r="B753">
            <v>1</v>
          </cell>
          <cell r="C753">
            <v>0.69</v>
          </cell>
          <cell r="D753">
            <v>0.33999999999999586</v>
          </cell>
          <cell r="E753">
            <v>7.9000000000000001E-2</v>
          </cell>
        </row>
        <row r="754">
          <cell r="A754">
            <v>44586</v>
          </cell>
          <cell r="B754">
            <v>2</v>
          </cell>
          <cell r="C754">
            <v>0.69</v>
          </cell>
          <cell r="D754" t="str">
            <v>無成交</v>
          </cell>
          <cell r="E754">
            <v>7.8E-2</v>
          </cell>
        </row>
        <row r="755">
          <cell r="A755">
            <v>44587</v>
          </cell>
          <cell r="B755">
            <v>3</v>
          </cell>
          <cell r="C755">
            <v>0.69</v>
          </cell>
          <cell r="D755" t="str">
            <v>無成交</v>
          </cell>
          <cell r="E755">
            <v>7.8E-2</v>
          </cell>
        </row>
        <row r="756">
          <cell r="A756">
            <v>44588</v>
          </cell>
          <cell r="B756">
            <v>4</v>
          </cell>
          <cell r="C756">
            <v>0.69</v>
          </cell>
          <cell r="D756" t="str">
            <v>封關</v>
          </cell>
          <cell r="E756">
            <v>7.9000000000000001E-2</v>
          </cell>
        </row>
        <row r="757">
          <cell r="A757">
            <v>44589</v>
          </cell>
          <cell r="B757">
            <v>5</v>
          </cell>
          <cell r="C757">
            <v>0.69</v>
          </cell>
          <cell r="D757" t="str">
            <v>封關</v>
          </cell>
          <cell r="E757">
            <v>0.09</v>
          </cell>
        </row>
        <row r="758">
          <cell r="A758">
            <v>44592</v>
          </cell>
          <cell r="B758">
            <v>1</v>
          </cell>
          <cell r="C758">
            <v>0.69</v>
          </cell>
          <cell r="D758" t="str">
            <v>年假開始</v>
          </cell>
          <cell r="E758" t="str">
            <v>X</v>
          </cell>
        </row>
        <row r="759">
          <cell r="A759">
            <v>44593</v>
          </cell>
          <cell r="B759">
            <v>2</v>
          </cell>
          <cell r="C759">
            <v>0.69</v>
          </cell>
          <cell r="D759" t="str">
            <v>休市</v>
          </cell>
          <cell r="E759" t="str">
            <v>X</v>
          </cell>
        </row>
        <row r="760">
          <cell r="A760">
            <v>44594</v>
          </cell>
          <cell r="B760">
            <v>3</v>
          </cell>
          <cell r="C760">
            <v>0.69</v>
          </cell>
          <cell r="D760" t="str">
            <v>休市</v>
          </cell>
          <cell r="E760" t="str">
            <v>X</v>
          </cell>
        </row>
        <row r="761">
          <cell r="A761">
            <v>44595</v>
          </cell>
          <cell r="B761">
            <v>4</v>
          </cell>
          <cell r="C761">
            <v>0.69</v>
          </cell>
          <cell r="D761" t="str">
            <v>休市</v>
          </cell>
          <cell r="E761" t="str">
            <v>X</v>
          </cell>
        </row>
        <row r="762">
          <cell r="A762">
            <v>44596</v>
          </cell>
          <cell r="B762">
            <v>5</v>
          </cell>
          <cell r="C762">
            <v>0.69</v>
          </cell>
          <cell r="D762" t="str">
            <v>休市</v>
          </cell>
          <cell r="E762" t="str">
            <v>X</v>
          </cell>
        </row>
        <row r="763">
          <cell r="A763">
            <v>44599</v>
          </cell>
          <cell r="B763">
            <v>1</v>
          </cell>
          <cell r="C763">
            <v>0.71319999999999995</v>
          </cell>
          <cell r="D763">
            <v>2.3199999999999998</v>
          </cell>
          <cell r="E763">
            <v>7.8E-2</v>
          </cell>
        </row>
        <row r="764">
          <cell r="A764">
            <v>44600</v>
          </cell>
          <cell r="B764">
            <v>2</v>
          </cell>
          <cell r="C764">
            <v>0.73499999999999999</v>
          </cell>
          <cell r="D764">
            <v>2.1800000000000042</v>
          </cell>
          <cell r="E764">
            <v>7.8E-2</v>
          </cell>
        </row>
        <row r="765">
          <cell r="A765">
            <v>44601</v>
          </cell>
          <cell r="B765">
            <v>3</v>
          </cell>
          <cell r="C765">
            <v>0.72099999999999997</v>
          </cell>
          <cell r="D765">
            <v>-1.4000000000000012</v>
          </cell>
          <cell r="E765">
            <v>7.8E-2</v>
          </cell>
        </row>
        <row r="766">
          <cell r="A766">
            <v>44602</v>
          </cell>
          <cell r="B766">
            <v>4</v>
          </cell>
          <cell r="C766">
            <v>0.70499999999999996</v>
          </cell>
          <cell r="D766">
            <v>-1.6000000000000014</v>
          </cell>
          <cell r="E766">
            <v>7.9000000000000001E-2</v>
          </cell>
        </row>
        <row r="767">
          <cell r="A767">
            <v>44603</v>
          </cell>
          <cell r="B767">
            <v>5</v>
          </cell>
          <cell r="C767">
            <v>0.73499999999999999</v>
          </cell>
          <cell r="D767">
            <v>3.0000000000000027</v>
          </cell>
          <cell r="E767">
            <v>0.08</v>
          </cell>
        </row>
        <row r="768">
          <cell r="A768">
            <v>44606</v>
          </cell>
          <cell r="B768">
            <v>1</v>
          </cell>
          <cell r="C768">
            <v>0.72599999999999998</v>
          </cell>
          <cell r="D768" t="str">
            <v>無成交</v>
          </cell>
          <cell r="E768">
            <v>7.9000000000000001E-2</v>
          </cell>
        </row>
        <row r="769">
          <cell r="A769">
            <v>44607</v>
          </cell>
          <cell r="B769">
            <v>2</v>
          </cell>
          <cell r="C769">
            <v>0.71</v>
          </cell>
          <cell r="D769">
            <v>-1.6000000000000014</v>
          </cell>
          <cell r="E769">
            <v>7.9000000000000001E-2</v>
          </cell>
        </row>
        <row r="770">
          <cell r="A770">
            <v>44608</v>
          </cell>
          <cell r="B770">
            <v>3</v>
          </cell>
          <cell r="C770">
            <v>0.71299999999999997</v>
          </cell>
          <cell r="D770" t="str">
            <v>無成交</v>
          </cell>
          <cell r="E770">
            <v>7.8E-2</v>
          </cell>
        </row>
        <row r="771">
          <cell r="A771">
            <v>44609</v>
          </cell>
          <cell r="B771">
            <v>4</v>
          </cell>
          <cell r="C771">
            <v>0.70850000000000002</v>
          </cell>
          <cell r="D771">
            <v>-0.44999999999999485</v>
          </cell>
          <cell r="E771">
            <v>7.8E-2</v>
          </cell>
        </row>
        <row r="772">
          <cell r="A772">
            <v>44610</v>
          </cell>
          <cell r="B772">
            <v>5</v>
          </cell>
          <cell r="C772">
            <v>0.71099999999999997</v>
          </cell>
          <cell r="D772">
            <v>0.24999999999999467</v>
          </cell>
          <cell r="E772">
            <v>0.08</v>
          </cell>
        </row>
        <row r="773">
          <cell r="A773">
            <v>44613</v>
          </cell>
          <cell r="B773">
            <v>1</v>
          </cell>
          <cell r="C773">
            <v>0.70699999999999996</v>
          </cell>
          <cell r="D773" t="str">
            <v>無成交</v>
          </cell>
          <cell r="E773">
            <v>7.8E-2</v>
          </cell>
        </row>
        <row r="774">
          <cell r="A774">
            <v>44614</v>
          </cell>
          <cell r="B774">
            <v>2</v>
          </cell>
          <cell r="C774">
            <v>0.71</v>
          </cell>
          <cell r="D774">
            <v>0.30000000000000027</v>
          </cell>
          <cell r="E774">
            <v>7.9000000000000001E-2</v>
          </cell>
        </row>
        <row r="775">
          <cell r="A775">
            <v>44615</v>
          </cell>
          <cell r="B775">
            <v>3</v>
          </cell>
          <cell r="C775">
            <v>0.72</v>
          </cell>
          <cell r="D775" t="str">
            <v>盤面無成交</v>
          </cell>
          <cell r="E775">
            <v>7.9000000000000001E-2</v>
          </cell>
        </row>
        <row r="776">
          <cell r="A776">
            <v>44616</v>
          </cell>
          <cell r="B776">
            <v>4</v>
          </cell>
          <cell r="C776">
            <v>0.72</v>
          </cell>
          <cell r="D776" t="str">
            <v>無成交</v>
          </cell>
          <cell r="E776">
            <v>7.8E-2</v>
          </cell>
        </row>
        <row r="777">
          <cell r="A777">
            <v>44617</v>
          </cell>
          <cell r="B777">
            <v>5</v>
          </cell>
          <cell r="C777">
            <v>0.72</v>
          </cell>
          <cell r="D777" t="str">
            <v>無成交</v>
          </cell>
          <cell r="E777">
            <v>0.08</v>
          </cell>
        </row>
        <row r="778">
          <cell r="A778">
            <v>44620</v>
          </cell>
          <cell r="B778">
            <v>1</v>
          </cell>
          <cell r="C778">
            <v>0.72</v>
          </cell>
          <cell r="D778" t="str">
            <v>休市</v>
          </cell>
          <cell r="E778" t="str">
            <v>X</v>
          </cell>
        </row>
        <row r="779">
          <cell r="A779">
            <v>44621</v>
          </cell>
          <cell r="B779">
            <v>2</v>
          </cell>
          <cell r="C779">
            <v>0.71499999999999997</v>
          </cell>
          <cell r="D779" t="str">
            <v>無成交</v>
          </cell>
          <cell r="E779">
            <v>7.8E-2</v>
          </cell>
        </row>
        <row r="780">
          <cell r="A780">
            <v>44622</v>
          </cell>
          <cell r="B780">
            <v>3</v>
          </cell>
          <cell r="C780">
            <v>0.69350000000000001</v>
          </cell>
          <cell r="D780">
            <v>-2.1499999999999964</v>
          </cell>
          <cell r="E780">
            <v>7.8E-2</v>
          </cell>
        </row>
        <row r="781">
          <cell r="A781">
            <v>44623</v>
          </cell>
          <cell r="B781">
            <v>4</v>
          </cell>
          <cell r="C781">
            <v>0.71</v>
          </cell>
          <cell r="D781">
            <v>1.6499999999999959</v>
          </cell>
          <cell r="E781">
            <v>7.9000000000000001E-2</v>
          </cell>
        </row>
        <row r="782">
          <cell r="A782">
            <v>44624</v>
          </cell>
          <cell r="B782">
            <v>5</v>
          </cell>
          <cell r="C782">
            <v>0.70799999999999996</v>
          </cell>
          <cell r="D782">
            <v>-0.20000000000000018</v>
          </cell>
          <cell r="E782">
            <v>0.08</v>
          </cell>
        </row>
        <row r="783">
          <cell r="A783">
            <v>44627</v>
          </cell>
          <cell r="B783">
            <v>1</v>
          </cell>
          <cell r="C783">
            <v>0.70150000000000001</v>
          </cell>
          <cell r="D783">
            <v>-0.64999999999999503</v>
          </cell>
          <cell r="E783">
            <v>7.9000000000000001E-2</v>
          </cell>
        </row>
        <row r="784">
          <cell r="A784">
            <v>44628</v>
          </cell>
          <cell r="B784">
            <v>2</v>
          </cell>
          <cell r="C784">
            <v>0.7</v>
          </cell>
          <cell r="D784">
            <v>-0.15000000000000568</v>
          </cell>
          <cell r="E784">
            <v>7.9000000000000001E-2</v>
          </cell>
        </row>
        <row r="785">
          <cell r="A785">
            <v>44629</v>
          </cell>
          <cell r="B785">
            <v>3</v>
          </cell>
          <cell r="C785">
            <v>0.72</v>
          </cell>
          <cell r="D785">
            <v>2.0000000000000018</v>
          </cell>
          <cell r="E785">
            <v>7.8E-2</v>
          </cell>
        </row>
        <row r="786">
          <cell r="A786">
            <v>44630</v>
          </cell>
          <cell r="B786">
            <v>4</v>
          </cell>
          <cell r="C786">
            <v>0.73899999999999999</v>
          </cell>
          <cell r="D786">
            <v>1.9000000000000017</v>
          </cell>
          <cell r="E786">
            <v>7.9000000000000001E-2</v>
          </cell>
        </row>
        <row r="787">
          <cell r="A787">
            <v>44631</v>
          </cell>
          <cell r="B787">
            <v>5</v>
          </cell>
          <cell r="C787">
            <v>0.73499999999999999</v>
          </cell>
          <cell r="D787">
            <v>-0.40000000000000036</v>
          </cell>
          <cell r="E787">
            <v>0.08</v>
          </cell>
        </row>
        <row r="788">
          <cell r="A788">
            <v>44634</v>
          </cell>
          <cell r="B788">
            <v>1</v>
          </cell>
          <cell r="C788">
            <v>0.72499999999999998</v>
          </cell>
          <cell r="D788">
            <v>-1.0000000000000009</v>
          </cell>
          <cell r="E788">
            <v>7.9000000000000001E-2</v>
          </cell>
        </row>
        <row r="789">
          <cell r="A789">
            <v>44635</v>
          </cell>
          <cell r="B789">
            <v>2</v>
          </cell>
          <cell r="C789">
            <v>0.76849999999999996</v>
          </cell>
          <cell r="D789">
            <v>4.3499999999999979</v>
          </cell>
          <cell r="E789">
            <v>7.8E-2</v>
          </cell>
        </row>
        <row r="790">
          <cell r="A790">
            <v>44636</v>
          </cell>
          <cell r="B790">
            <v>3</v>
          </cell>
          <cell r="C790">
            <v>0.77010000000000001</v>
          </cell>
          <cell r="D790">
            <v>0.16000000000000458</v>
          </cell>
          <cell r="E790">
            <v>7.8E-2</v>
          </cell>
        </row>
        <row r="791">
          <cell r="A791">
            <v>44637</v>
          </cell>
          <cell r="B791">
            <v>4</v>
          </cell>
          <cell r="C791">
            <v>0.77010000000000001</v>
          </cell>
          <cell r="D791">
            <v>0</v>
          </cell>
          <cell r="E791">
            <v>7.9000000000000001E-2</v>
          </cell>
        </row>
        <row r="792">
          <cell r="A792">
            <v>44638</v>
          </cell>
          <cell r="B792">
            <v>5</v>
          </cell>
          <cell r="C792">
            <v>0.83499999999999996</v>
          </cell>
          <cell r="D792">
            <v>6.4899999999999958</v>
          </cell>
          <cell r="E792">
            <v>0.18</v>
          </cell>
        </row>
        <row r="793">
          <cell r="A793">
            <v>44641</v>
          </cell>
          <cell r="B793">
            <v>1</v>
          </cell>
          <cell r="C793">
            <v>0.84499999999999997</v>
          </cell>
          <cell r="D793">
            <v>1.0000000000000009</v>
          </cell>
          <cell r="E793">
            <v>0.17899999999999999</v>
          </cell>
        </row>
        <row r="794">
          <cell r="A794">
            <v>44642</v>
          </cell>
          <cell r="B794">
            <v>2</v>
          </cell>
          <cell r="C794">
            <v>0.9</v>
          </cell>
          <cell r="D794">
            <v>5.5000000000000053</v>
          </cell>
          <cell r="E794">
            <v>0.17899999999999999</v>
          </cell>
        </row>
        <row r="795">
          <cell r="A795">
            <v>44643</v>
          </cell>
          <cell r="B795">
            <v>3</v>
          </cell>
          <cell r="C795">
            <v>0.94</v>
          </cell>
          <cell r="D795" t="str">
            <v>無成交</v>
          </cell>
          <cell r="E795">
            <v>0.17799999999999999</v>
          </cell>
        </row>
        <row r="796">
          <cell r="A796">
            <v>44644</v>
          </cell>
          <cell r="B796">
            <v>4</v>
          </cell>
          <cell r="C796">
            <v>1.0049999999999999</v>
          </cell>
          <cell r="D796">
            <v>6.4999999999999947</v>
          </cell>
          <cell r="E796">
            <v>0.17899999999999999</v>
          </cell>
        </row>
        <row r="797">
          <cell r="A797">
            <v>44645</v>
          </cell>
          <cell r="B797">
            <v>5</v>
          </cell>
          <cell r="C797">
            <v>1.0349999999999999</v>
          </cell>
          <cell r="D797">
            <v>3.0000000000000027</v>
          </cell>
          <cell r="E797">
            <v>0.18</v>
          </cell>
        </row>
        <row r="798">
          <cell r="A798">
            <v>44648</v>
          </cell>
          <cell r="B798">
            <v>1</v>
          </cell>
          <cell r="C798">
            <v>1.07</v>
          </cell>
          <cell r="D798">
            <v>3.5000000000000142</v>
          </cell>
          <cell r="E798">
            <v>0.17799999999999999</v>
          </cell>
        </row>
        <row r="799">
          <cell r="A799">
            <v>44649</v>
          </cell>
          <cell r="B799">
            <v>2</v>
          </cell>
          <cell r="C799">
            <v>1.01</v>
          </cell>
          <cell r="D799">
            <v>-6.0000000000000053</v>
          </cell>
          <cell r="E799">
            <v>0.17899999999999999</v>
          </cell>
        </row>
        <row r="800">
          <cell r="A800">
            <v>44650</v>
          </cell>
          <cell r="B800">
            <v>3</v>
          </cell>
          <cell r="C800">
            <v>0.96</v>
          </cell>
          <cell r="D800">
            <v>-5.0000000000000044</v>
          </cell>
          <cell r="E800">
            <v>0.17799999999999999</v>
          </cell>
        </row>
        <row r="801">
          <cell r="A801">
            <v>44651</v>
          </cell>
          <cell r="B801">
            <v>4</v>
          </cell>
          <cell r="C801">
            <v>0.95</v>
          </cell>
          <cell r="D801">
            <v>-1.0000000000000009</v>
          </cell>
          <cell r="E801">
            <v>0.18099999999999999</v>
          </cell>
        </row>
        <row r="802">
          <cell r="A802">
            <v>44652</v>
          </cell>
          <cell r="B802">
            <v>5</v>
          </cell>
          <cell r="C802">
            <v>1.02</v>
          </cell>
          <cell r="D802" t="str">
            <v>無成交</v>
          </cell>
          <cell r="E802">
            <v>0.18</v>
          </cell>
        </row>
        <row r="803">
          <cell r="A803">
            <v>44655</v>
          </cell>
          <cell r="B803">
            <v>1</v>
          </cell>
          <cell r="C803">
            <v>1.02</v>
          </cell>
          <cell r="D803" t="str">
            <v>連假</v>
          </cell>
          <cell r="E803" t="str">
            <v>X</v>
          </cell>
        </row>
        <row r="804">
          <cell r="A804">
            <v>44656</v>
          </cell>
          <cell r="B804">
            <v>2</v>
          </cell>
          <cell r="C804">
            <v>1.02</v>
          </cell>
          <cell r="D804" t="str">
            <v>連假</v>
          </cell>
          <cell r="E804" t="str">
            <v>X</v>
          </cell>
        </row>
        <row r="805">
          <cell r="A805">
            <v>44657</v>
          </cell>
          <cell r="B805">
            <v>3</v>
          </cell>
          <cell r="C805">
            <v>1.1000000000000001</v>
          </cell>
          <cell r="D805">
            <v>8.0000000000000071</v>
          </cell>
          <cell r="E805">
            <v>0.17799999999999999</v>
          </cell>
        </row>
        <row r="806">
          <cell r="A806">
            <v>44658</v>
          </cell>
          <cell r="B806">
            <v>4</v>
          </cell>
          <cell r="C806">
            <v>1.0900000000000001</v>
          </cell>
          <cell r="D806" t="str">
            <v>無成交</v>
          </cell>
          <cell r="E806">
            <v>0.17899999999999999</v>
          </cell>
        </row>
        <row r="807">
          <cell r="A807">
            <v>44659</v>
          </cell>
          <cell r="B807">
            <v>5</v>
          </cell>
          <cell r="C807">
            <v>1.1398999999999999</v>
          </cell>
          <cell r="D807">
            <v>4.9899999999999833</v>
          </cell>
          <cell r="E807">
            <v>0.18</v>
          </cell>
        </row>
        <row r="808">
          <cell r="A808">
            <v>44662</v>
          </cell>
          <cell r="B808">
            <v>1</v>
          </cell>
          <cell r="C808">
            <v>1.27</v>
          </cell>
          <cell r="D808">
            <v>13.01000000000001</v>
          </cell>
          <cell r="E808">
            <v>0.17899999999999999</v>
          </cell>
        </row>
        <row r="809">
          <cell r="A809">
            <v>44663</v>
          </cell>
          <cell r="B809">
            <v>2</v>
          </cell>
          <cell r="C809">
            <v>1.2849999999999999</v>
          </cell>
          <cell r="D809">
            <v>1.4999999999999902</v>
          </cell>
          <cell r="E809">
            <v>0.17799999999999999</v>
          </cell>
        </row>
        <row r="810">
          <cell r="A810">
            <v>44664</v>
          </cell>
          <cell r="B810">
            <v>3</v>
          </cell>
          <cell r="C810">
            <v>1.23</v>
          </cell>
          <cell r="D810" t="str">
            <v>無成交</v>
          </cell>
          <cell r="E810">
            <v>0.17899999999999999</v>
          </cell>
        </row>
        <row r="811">
          <cell r="A811">
            <v>44665</v>
          </cell>
          <cell r="B811">
            <v>4</v>
          </cell>
          <cell r="C811">
            <v>1.1707000000000001</v>
          </cell>
          <cell r="D811">
            <v>-5.9299999999999908</v>
          </cell>
          <cell r="E811">
            <v>0.17799999999999999</v>
          </cell>
        </row>
        <row r="812">
          <cell r="A812">
            <v>44666</v>
          </cell>
          <cell r="B812">
            <v>5</v>
          </cell>
          <cell r="C812">
            <v>1.2729999999999999</v>
          </cell>
          <cell r="D812">
            <v>10.229999999999983</v>
          </cell>
          <cell r="E812">
            <v>0.18</v>
          </cell>
        </row>
        <row r="813">
          <cell r="A813">
            <v>44669</v>
          </cell>
          <cell r="B813">
            <v>1</v>
          </cell>
          <cell r="C813">
            <v>1.2549999999999999</v>
          </cell>
          <cell r="D813">
            <v>-1.8000000000000016</v>
          </cell>
          <cell r="E813">
            <v>0.17899999999999999</v>
          </cell>
        </row>
        <row r="814">
          <cell r="A814">
            <v>44670</v>
          </cell>
          <cell r="B814">
            <v>2</v>
          </cell>
          <cell r="C814">
            <v>1.26</v>
          </cell>
          <cell r="D814">
            <v>0.50000000000001155</v>
          </cell>
          <cell r="E814">
            <v>0.17899999999999999</v>
          </cell>
        </row>
        <row r="815">
          <cell r="A815">
            <v>44671</v>
          </cell>
          <cell r="B815">
            <v>3</v>
          </cell>
          <cell r="C815">
            <v>1.3049999999999999</v>
          </cell>
          <cell r="D815">
            <v>4.4999999999999929</v>
          </cell>
          <cell r="E815">
            <v>0.17899999999999999</v>
          </cell>
        </row>
        <row r="816">
          <cell r="A816">
            <v>44672</v>
          </cell>
          <cell r="B816">
            <v>4</v>
          </cell>
          <cell r="C816">
            <v>1.2935000000000001</v>
          </cell>
          <cell r="D816">
            <v>-1.1499999999999844</v>
          </cell>
          <cell r="E816">
            <v>0.17799999999999999</v>
          </cell>
        </row>
        <row r="817">
          <cell r="A817">
            <v>44673</v>
          </cell>
          <cell r="B817">
            <v>5</v>
          </cell>
          <cell r="C817">
            <v>1.2949999999999999</v>
          </cell>
          <cell r="D817">
            <v>0.14999999999998348</v>
          </cell>
          <cell r="E817">
            <v>0.18</v>
          </cell>
        </row>
        <row r="818">
          <cell r="A818">
            <v>44676</v>
          </cell>
          <cell r="B818">
            <v>1</v>
          </cell>
          <cell r="C818">
            <v>1.25</v>
          </cell>
          <cell r="D818">
            <v>-4.4999999999999929</v>
          </cell>
          <cell r="E818">
            <v>0.17899999999999999</v>
          </cell>
        </row>
        <row r="819">
          <cell r="A819">
            <v>44677</v>
          </cell>
          <cell r="B819">
            <v>2</v>
          </cell>
          <cell r="C819">
            <v>1.24</v>
          </cell>
          <cell r="D819">
            <v>-1.0000000000000009</v>
          </cell>
          <cell r="E819">
            <v>0.17799999999999999</v>
          </cell>
        </row>
        <row r="820">
          <cell r="A820">
            <v>44678</v>
          </cell>
          <cell r="B820">
            <v>3</v>
          </cell>
          <cell r="C820">
            <v>1.22</v>
          </cell>
          <cell r="D820">
            <v>-2.0000000000000018</v>
          </cell>
          <cell r="E820">
            <v>0.18</v>
          </cell>
        </row>
        <row r="821">
          <cell r="A821">
            <v>44679</v>
          </cell>
          <cell r="B821">
            <v>4</v>
          </cell>
          <cell r="C821">
            <v>1.26</v>
          </cell>
          <cell r="D821">
            <v>4.0000000000000036</v>
          </cell>
          <cell r="E821">
            <v>0.182</v>
          </cell>
        </row>
        <row r="822">
          <cell r="A822">
            <v>44680</v>
          </cell>
          <cell r="B822">
            <v>5</v>
          </cell>
          <cell r="C822">
            <v>1.27</v>
          </cell>
          <cell r="D822">
            <v>1.0000000000000009</v>
          </cell>
          <cell r="E822">
            <v>0.188</v>
          </cell>
        </row>
        <row r="823">
          <cell r="A823">
            <v>44683</v>
          </cell>
          <cell r="B823">
            <v>1</v>
          </cell>
          <cell r="C823">
            <v>1.27</v>
          </cell>
          <cell r="D823" t="str">
            <v>連假</v>
          </cell>
          <cell r="E823" t="str">
            <v>X</v>
          </cell>
        </row>
        <row r="824">
          <cell r="A824">
            <v>44684</v>
          </cell>
          <cell r="B824">
            <v>2</v>
          </cell>
          <cell r="C824">
            <v>1.325</v>
          </cell>
          <cell r="D824">
            <v>5.4999999999999938</v>
          </cell>
          <cell r="E824">
            <v>0.17899999999999999</v>
          </cell>
        </row>
        <row r="825">
          <cell r="A825">
            <v>44685</v>
          </cell>
          <cell r="B825">
            <v>3</v>
          </cell>
          <cell r="C825">
            <v>1.34</v>
          </cell>
          <cell r="D825">
            <v>1.5000000000000124</v>
          </cell>
          <cell r="E825">
            <v>0.17899999999999999</v>
          </cell>
        </row>
        <row r="826">
          <cell r="A826">
            <v>44686</v>
          </cell>
          <cell r="B826">
            <v>4</v>
          </cell>
          <cell r="C826">
            <v>1.298</v>
          </cell>
          <cell r="D826">
            <v>-4.2000000000000037</v>
          </cell>
          <cell r="E826">
            <v>0.18</v>
          </cell>
        </row>
        <row r="827">
          <cell r="A827">
            <v>44687</v>
          </cell>
          <cell r="B827">
            <v>5</v>
          </cell>
          <cell r="C827">
            <v>1.335</v>
          </cell>
          <cell r="D827">
            <v>3.6999999999999922</v>
          </cell>
          <cell r="E827">
            <v>0.182</v>
          </cell>
        </row>
        <row r="828">
          <cell r="A828">
            <v>44690</v>
          </cell>
          <cell r="B828">
            <v>1</v>
          </cell>
          <cell r="C828">
            <v>1.3896999999999999</v>
          </cell>
          <cell r="D828">
            <v>5.4699999999999971</v>
          </cell>
          <cell r="E828">
            <v>0.17899999999999999</v>
          </cell>
        </row>
        <row r="829">
          <cell r="A829">
            <v>44691</v>
          </cell>
          <cell r="B829">
            <v>2</v>
          </cell>
          <cell r="C829">
            <v>1.3720000000000001</v>
          </cell>
          <cell r="D829">
            <v>-1.7699999999999827</v>
          </cell>
          <cell r="E829">
            <v>0.17899999999999999</v>
          </cell>
        </row>
        <row r="830">
          <cell r="A830">
            <v>44692</v>
          </cell>
          <cell r="B830">
            <v>3</v>
          </cell>
          <cell r="C830">
            <v>1.3720000000000001</v>
          </cell>
          <cell r="D830" t="str">
            <v>無成交</v>
          </cell>
          <cell r="E830">
            <v>0.17899999999999999</v>
          </cell>
        </row>
        <row r="831">
          <cell r="A831">
            <v>44693</v>
          </cell>
          <cell r="B831">
            <v>4</v>
          </cell>
          <cell r="C831">
            <v>1.4</v>
          </cell>
          <cell r="D831">
            <v>2.7999999999999803</v>
          </cell>
          <cell r="E831">
            <v>0.17799999999999999</v>
          </cell>
        </row>
        <row r="832">
          <cell r="A832">
            <v>44694</v>
          </cell>
          <cell r="B832">
            <v>5</v>
          </cell>
          <cell r="C832">
            <v>1.4650000000000001</v>
          </cell>
          <cell r="D832">
            <v>6.5000000000000169</v>
          </cell>
          <cell r="E832">
            <v>0.18</v>
          </cell>
        </row>
        <row r="833">
          <cell r="A833">
            <v>44697</v>
          </cell>
          <cell r="B833">
            <v>1</v>
          </cell>
          <cell r="C833">
            <v>1.44</v>
          </cell>
          <cell r="D833">
            <v>-2.5000000000000133</v>
          </cell>
          <cell r="E833">
            <v>0.17799999999999999</v>
          </cell>
        </row>
        <row r="834">
          <cell r="A834">
            <v>44698</v>
          </cell>
          <cell r="B834">
            <v>2</v>
          </cell>
          <cell r="C834">
            <v>1.39</v>
          </cell>
          <cell r="D834">
            <v>-5.0000000000000044</v>
          </cell>
          <cell r="E834">
            <v>0.17799999999999999</v>
          </cell>
        </row>
        <row r="835">
          <cell r="A835">
            <v>44699</v>
          </cell>
          <cell r="B835">
            <v>3</v>
          </cell>
          <cell r="C835">
            <v>1.3434999999999999</v>
          </cell>
          <cell r="D835">
            <v>-4.6499999999999986</v>
          </cell>
          <cell r="E835">
            <v>0.17899999999999999</v>
          </cell>
        </row>
        <row r="836">
          <cell r="A836">
            <v>44700</v>
          </cell>
          <cell r="B836">
            <v>4</v>
          </cell>
          <cell r="C836">
            <v>1.3225</v>
          </cell>
          <cell r="D836">
            <v>-2.0999999999999908</v>
          </cell>
          <cell r="E836">
            <v>0.17799999999999999</v>
          </cell>
        </row>
        <row r="837">
          <cell r="A837">
            <v>44701</v>
          </cell>
          <cell r="B837">
            <v>5</v>
          </cell>
          <cell r="C837">
            <v>1.27</v>
          </cell>
          <cell r="D837">
            <v>-5.2499999999999991</v>
          </cell>
          <cell r="E837">
            <v>0.18</v>
          </cell>
        </row>
        <row r="838">
          <cell r="A838">
            <v>44704</v>
          </cell>
          <cell r="B838">
            <v>1</v>
          </cell>
          <cell r="C838">
            <v>1.19</v>
          </cell>
          <cell r="D838">
            <v>-8.0000000000000071</v>
          </cell>
          <cell r="E838">
            <v>0.17899999999999999</v>
          </cell>
        </row>
        <row r="839">
          <cell r="A839">
            <v>44705</v>
          </cell>
          <cell r="B839">
            <v>2</v>
          </cell>
          <cell r="C839">
            <v>1.2</v>
          </cell>
          <cell r="D839">
            <v>1.0000000000000009</v>
          </cell>
          <cell r="E839">
            <v>0.18</v>
          </cell>
        </row>
        <row r="840">
          <cell r="A840">
            <v>44706</v>
          </cell>
          <cell r="B840">
            <v>3</v>
          </cell>
          <cell r="C840">
            <v>1.1299999999999999</v>
          </cell>
          <cell r="D840">
            <v>-7.0000000000000062</v>
          </cell>
          <cell r="E840">
            <v>0.17899999999999999</v>
          </cell>
        </row>
        <row r="841">
          <cell r="A841">
            <v>44707</v>
          </cell>
          <cell r="B841">
            <v>4</v>
          </cell>
          <cell r="C841">
            <v>1.1299999999999999</v>
          </cell>
          <cell r="D841" t="str">
            <v>無成交</v>
          </cell>
          <cell r="E841">
            <v>0.17899999999999999</v>
          </cell>
        </row>
        <row r="842">
          <cell r="A842">
            <v>44708</v>
          </cell>
          <cell r="B842">
            <v>5</v>
          </cell>
          <cell r="C842">
            <v>1.1299999999999999</v>
          </cell>
          <cell r="D842" t="str">
            <v>無成交</v>
          </cell>
          <cell r="E842">
            <v>0.18</v>
          </cell>
        </row>
        <row r="843">
          <cell r="A843">
            <v>44711</v>
          </cell>
          <cell r="B843">
            <v>1</v>
          </cell>
          <cell r="C843">
            <v>1.1655</v>
          </cell>
          <cell r="D843">
            <v>3.5500000000000087</v>
          </cell>
          <cell r="E843">
            <v>0.17899999999999999</v>
          </cell>
        </row>
        <row r="844">
          <cell r="A844">
            <v>44712</v>
          </cell>
          <cell r="B844">
            <v>2</v>
          </cell>
          <cell r="C844">
            <v>1.1655</v>
          </cell>
          <cell r="D844" t="str">
            <v>無成交</v>
          </cell>
          <cell r="E844">
            <v>0.18</v>
          </cell>
        </row>
        <row r="845">
          <cell r="A845">
            <v>44713</v>
          </cell>
          <cell r="B845">
            <v>3</v>
          </cell>
          <cell r="C845">
            <v>1.2124999999999999</v>
          </cell>
          <cell r="D845">
            <v>4.6999999999999931</v>
          </cell>
          <cell r="E845">
            <v>0.17899999999999999</v>
          </cell>
        </row>
        <row r="846">
          <cell r="A846">
            <v>44714</v>
          </cell>
          <cell r="B846">
            <v>4</v>
          </cell>
          <cell r="C846">
            <v>1.23</v>
          </cell>
          <cell r="D846">
            <v>1.7500000000000071</v>
          </cell>
          <cell r="E846">
            <v>0.18</v>
          </cell>
        </row>
        <row r="847">
          <cell r="A847">
            <v>44715</v>
          </cell>
          <cell r="B847">
            <v>5</v>
          </cell>
          <cell r="C847">
            <v>1.23</v>
          </cell>
          <cell r="D847" t="str">
            <v>連假</v>
          </cell>
          <cell r="E847" t="str">
            <v>X</v>
          </cell>
        </row>
        <row r="848">
          <cell r="A848">
            <v>44718</v>
          </cell>
          <cell r="B848">
            <v>1</v>
          </cell>
          <cell r="C848">
            <v>1.23</v>
          </cell>
          <cell r="D848" t="str">
            <v>無成交</v>
          </cell>
          <cell r="E848">
            <v>0.17899999999999999</v>
          </cell>
        </row>
        <row r="849">
          <cell r="A849">
            <v>44719</v>
          </cell>
          <cell r="B849">
            <v>2</v>
          </cell>
          <cell r="C849">
            <v>1.2889999999999999</v>
          </cell>
          <cell r="D849">
            <v>5.8999999999999941</v>
          </cell>
          <cell r="E849">
            <v>0.17899999999999999</v>
          </cell>
        </row>
        <row r="850">
          <cell r="A850">
            <v>44720</v>
          </cell>
          <cell r="B850">
            <v>3</v>
          </cell>
          <cell r="C850">
            <v>1.27</v>
          </cell>
          <cell r="D850" t="str">
            <v>無成交</v>
          </cell>
          <cell r="E850">
            <v>0.18</v>
          </cell>
        </row>
        <row r="851">
          <cell r="A851">
            <v>44721</v>
          </cell>
          <cell r="B851">
            <v>4</v>
          </cell>
          <cell r="C851">
            <v>1.2949999999999999</v>
          </cell>
          <cell r="D851">
            <v>2.4999999999999911</v>
          </cell>
          <cell r="E851">
            <v>0.18</v>
          </cell>
        </row>
        <row r="852">
          <cell r="A852">
            <v>44722</v>
          </cell>
          <cell r="B852">
            <v>5</v>
          </cell>
          <cell r="C852">
            <v>1.2749999999999999</v>
          </cell>
          <cell r="D852" t="str">
            <v>無成交</v>
          </cell>
          <cell r="E852">
            <v>0.18</v>
          </cell>
        </row>
        <row r="853">
          <cell r="A853">
            <v>44725</v>
          </cell>
          <cell r="B853">
            <v>1</v>
          </cell>
          <cell r="C853">
            <v>1.34</v>
          </cell>
          <cell r="D853" t="str">
            <v>無成交</v>
          </cell>
          <cell r="E853">
            <v>0.17899999999999999</v>
          </cell>
        </row>
        <row r="854">
          <cell r="A854">
            <v>44726</v>
          </cell>
          <cell r="B854">
            <v>2</v>
          </cell>
          <cell r="C854">
            <v>1.3514999999999999</v>
          </cell>
          <cell r="D854">
            <v>1.1499999999999844</v>
          </cell>
          <cell r="E854">
            <v>0.18</v>
          </cell>
        </row>
        <row r="855">
          <cell r="A855">
            <v>44727</v>
          </cell>
          <cell r="B855">
            <v>3</v>
          </cell>
          <cell r="C855">
            <v>1.385</v>
          </cell>
          <cell r="D855">
            <v>3.3500000000000085</v>
          </cell>
          <cell r="E855">
            <v>0.18</v>
          </cell>
        </row>
        <row r="856">
          <cell r="A856">
            <v>44728</v>
          </cell>
          <cell r="B856">
            <v>4</v>
          </cell>
          <cell r="C856">
            <v>1.335</v>
          </cell>
          <cell r="D856" t="str">
            <v>無成交</v>
          </cell>
          <cell r="E856">
            <v>0.17899999999999999</v>
          </cell>
        </row>
        <row r="857">
          <cell r="A857">
            <v>44729</v>
          </cell>
          <cell r="B857">
            <v>5</v>
          </cell>
          <cell r="C857">
            <v>1.1895</v>
          </cell>
          <cell r="D857">
            <v>-14.549999999999997</v>
          </cell>
          <cell r="E857">
            <v>0.30499999999999999</v>
          </cell>
        </row>
        <row r="858">
          <cell r="A858">
            <v>44732</v>
          </cell>
          <cell r="B858">
            <v>1</v>
          </cell>
          <cell r="C858">
            <v>1.26</v>
          </cell>
          <cell r="D858" t="str">
            <v>無成交</v>
          </cell>
          <cell r="E858">
            <v>0.30399999999999999</v>
          </cell>
        </row>
        <row r="859">
          <cell r="A859">
            <v>44733</v>
          </cell>
          <cell r="B859">
            <v>2</v>
          </cell>
          <cell r="C859">
            <v>1.25</v>
          </cell>
          <cell r="D859">
            <v>-1.0000000000000009</v>
          </cell>
          <cell r="E859">
            <v>0.30299999999999999</v>
          </cell>
        </row>
        <row r="860">
          <cell r="A860">
            <v>44734</v>
          </cell>
          <cell r="B860">
            <v>3</v>
          </cell>
          <cell r="C860">
            <v>1.21</v>
          </cell>
          <cell r="D860">
            <v>-4.0000000000000036</v>
          </cell>
          <cell r="E860">
            <v>0.30299999999999999</v>
          </cell>
        </row>
        <row r="861">
          <cell r="A861">
            <v>44735</v>
          </cell>
          <cell r="B861">
            <v>4</v>
          </cell>
          <cell r="C861">
            <v>1.21</v>
          </cell>
          <cell r="D861" t="str">
            <v>無成交</v>
          </cell>
          <cell r="E861">
            <v>0.30399999999999999</v>
          </cell>
        </row>
        <row r="862">
          <cell r="A862">
            <v>44736</v>
          </cell>
          <cell r="B862">
            <v>5</v>
          </cell>
          <cell r="C862">
            <v>1.24</v>
          </cell>
          <cell r="D862" t="str">
            <v>無成交</v>
          </cell>
          <cell r="E862">
            <v>0.30499999999999999</v>
          </cell>
        </row>
        <row r="863">
          <cell r="A863">
            <v>44739</v>
          </cell>
          <cell r="B863">
            <v>1</v>
          </cell>
          <cell r="C863">
            <v>1.2350000000000001</v>
          </cell>
          <cell r="D863">
            <v>-0.49999999999998934</v>
          </cell>
          <cell r="E863">
            <v>0.30399999999999999</v>
          </cell>
        </row>
        <row r="864">
          <cell r="A864">
            <v>44740</v>
          </cell>
          <cell r="B864">
            <v>2</v>
          </cell>
          <cell r="C864">
            <v>1.25</v>
          </cell>
          <cell r="D864">
            <v>1.4999999999999902</v>
          </cell>
          <cell r="E864">
            <v>0.30299999999999999</v>
          </cell>
        </row>
        <row r="865">
          <cell r="A865">
            <v>44741</v>
          </cell>
          <cell r="B865">
            <v>3</v>
          </cell>
          <cell r="C865">
            <v>1.22</v>
          </cell>
          <cell r="D865">
            <v>-3.0000000000000027</v>
          </cell>
          <cell r="E865">
            <v>0.30399999999999999</v>
          </cell>
        </row>
        <row r="866">
          <cell r="A866">
            <v>44742</v>
          </cell>
          <cell r="B866">
            <v>4</v>
          </cell>
          <cell r="C866">
            <v>1.2499</v>
          </cell>
          <cell r="D866">
            <v>2.9900000000000038</v>
          </cell>
          <cell r="E866">
            <v>0.31</v>
          </cell>
        </row>
        <row r="867">
          <cell r="A867">
            <v>44743</v>
          </cell>
          <cell r="B867">
            <v>5</v>
          </cell>
          <cell r="C867">
            <v>1.2</v>
          </cell>
          <cell r="D867">
            <v>-4.9900000000000055</v>
          </cell>
          <cell r="E867">
            <v>0.31</v>
          </cell>
        </row>
        <row r="868">
          <cell r="A868">
            <v>44746</v>
          </cell>
          <cell r="B868">
            <v>1</v>
          </cell>
          <cell r="C868">
            <v>1.2</v>
          </cell>
          <cell r="D868" t="str">
            <v>無成交</v>
          </cell>
          <cell r="E868">
            <v>0.30399999999999999</v>
          </cell>
        </row>
        <row r="869">
          <cell r="A869">
            <v>44747</v>
          </cell>
          <cell r="B869">
            <v>2</v>
          </cell>
          <cell r="C869">
            <v>1.2</v>
          </cell>
          <cell r="D869" t="str">
            <v>無成交</v>
          </cell>
          <cell r="E869">
            <v>0.30399999999999999</v>
          </cell>
        </row>
        <row r="870">
          <cell r="A870">
            <v>44748</v>
          </cell>
          <cell r="B870">
            <v>3</v>
          </cell>
          <cell r="C870">
            <v>1.18</v>
          </cell>
          <cell r="D870">
            <v>-2.0000000000000018</v>
          </cell>
          <cell r="E870">
            <v>0.30499999999999999</v>
          </cell>
        </row>
        <row r="871">
          <cell r="A871">
            <v>44749</v>
          </cell>
          <cell r="B871">
            <v>4</v>
          </cell>
          <cell r="C871">
            <v>1.202</v>
          </cell>
          <cell r="D871">
            <v>2.200000000000002</v>
          </cell>
          <cell r="E871">
            <v>0.30399999999999999</v>
          </cell>
        </row>
        <row r="872">
          <cell r="A872">
            <v>44750</v>
          </cell>
          <cell r="B872">
            <v>5</v>
          </cell>
          <cell r="C872">
            <v>1.18</v>
          </cell>
          <cell r="D872">
            <v>-2.200000000000002</v>
          </cell>
          <cell r="E872">
            <v>0.31</v>
          </cell>
        </row>
        <row r="873">
          <cell r="A873">
            <v>44753</v>
          </cell>
          <cell r="B873">
            <v>1</v>
          </cell>
          <cell r="C873">
            <v>1.202</v>
          </cell>
          <cell r="D873" t="str">
            <v>無成交</v>
          </cell>
          <cell r="E873">
            <v>0.30399999999999999</v>
          </cell>
        </row>
        <row r="874">
          <cell r="A874">
            <v>44754</v>
          </cell>
          <cell r="B874">
            <v>2</v>
          </cell>
          <cell r="C874">
            <v>1.202</v>
          </cell>
          <cell r="D874" t="str">
            <v>無成交</v>
          </cell>
          <cell r="E874">
            <v>0.30499999999999999</v>
          </cell>
        </row>
        <row r="875">
          <cell r="A875">
            <v>44755</v>
          </cell>
          <cell r="B875">
            <v>3</v>
          </cell>
          <cell r="C875">
            <v>1.202</v>
          </cell>
          <cell r="D875">
            <v>0</v>
          </cell>
          <cell r="E875">
            <v>0.30599999999999999</v>
          </cell>
        </row>
        <row r="876">
          <cell r="A876">
            <v>44756</v>
          </cell>
          <cell r="B876">
            <v>4</v>
          </cell>
          <cell r="C876">
            <v>1.202</v>
          </cell>
          <cell r="D876" t="str">
            <v>無成交</v>
          </cell>
          <cell r="E876">
            <v>0.30499999999999999</v>
          </cell>
        </row>
        <row r="877">
          <cell r="A877">
            <v>44757</v>
          </cell>
          <cell r="B877">
            <v>5</v>
          </cell>
          <cell r="C877">
            <v>1.202</v>
          </cell>
          <cell r="D877" t="str">
            <v>無成交</v>
          </cell>
          <cell r="E877">
            <v>0.307</v>
          </cell>
        </row>
        <row r="878">
          <cell r="A878">
            <v>44760</v>
          </cell>
          <cell r="B878">
            <v>1</v>
          </cell>
          <cell r="C878">
            <v>1.202</v>
          </cell>
          <cell r="D878" t="str">
            <v>無成交</v>
          </cell>
          <cell r="E878">
            <v>0.30499999999999999</v>
          </cell>
        </row>
        <row r="879">
          <cell r="A879">
            <v>44761</v>
          </cell>
          <cell r="B879">
            <v>2</v>
          </cell>
          <cell r="C879">
            <v>1.2255</v>
          </cell>
          <cell r="D879" t="str">
            <v>無成交</v>
          </cell>
          <cell r="E879">
            <v>0.30599999999999999</v>
          </cell>
        </row>
        <row r="880">
          <cell r="A880">
            <v>44762</v>
          </cell>
          <cell r="B880">
            <v>3</v>
          </cell>
          <cell r="C880">
            <v>1.2355</v>
          </cell>
          <cell r="D880" t="str">
            <v>無成交</v>
          </cell>
          <cell r="E880">
            <v>0.307</v>
          </cell>
        </row>
        <row r="881">
          <cell r="A881">
            <v>44763</v>
          </cell>
          <cell r="B881">
            <v>4</v>
          </cell>
          <cell r="C881">
            <v>1.2599</v>
          </cell>
          <cell r="D881">
            <v>2.4399999999999977</v>
          </cell>
          <cell r="E881">
            <v>0.30499999999999999</v>
          </cell>
        </row>
        <row r="882">
          <cell r="A882">
            <v>44764</v>
          </cell>
          <cell r="B882">
            <v>5</v>
          </cell>
          <cell r="C882">
            <v>1.2375</v>
          </cell>
          <cell r="D882">
            <v>-2.2399999999999975</v>
          </cell>
          <cell r="E882">
            <v>0.307</v>
          </cell>
        </row>
        <row r="883">
          <cell r="A883">
            <v>44767</v>
          </cell>
          <cell r="B883">
            <v>1</v>
          </cell>
          <cell r="C883">
            <v>1.19</v>
          </cell>
          <cell r="D883">
            <v>-4.7500000000000098</v>
          </cell>
          <cell r="E883">
            <v>0.30399999999999999</v>
          </cell>
        </row>
        <row r="884">
          <cell r="A884">
            <v>44768</v>
          </cell>
          <cell r="B884">
            <v>2</v>
          </cell>
          <cell r="C884">
            <v>1.1910000000000001</v>
          </cell>
          <cell r="D884">
            <v>0.10000000000001119</v>
          </cell>
          <cell r="E884">
            <v>0.30499999999999999</v>
          </cell>
        </row>
        <row r="885">
          <cell r="A885">
            <v>44769</v>
          </cell>
          <cell r="B885">
            <v>3</v>
          </cell>
          <cell r="C885">
            <v>1.196</v>
          </cell>
          <cell r="D885">
            <v>0.49999999999998934</v>
          </cell>
          <cell r="E885">
            <v>0.30499999999999999</v>
          </cell>
        </row>
        <row r="886">
          <cell r="A886">
            <v>44770</v>
          </cell>
          <cell r="B886">
            <v>4</v>
          </cell>
          <cell r="C886">
            <v>1.145</v>
          </cell>
          <cell r="D886">
            <v>-5.0999999999999934</v>
          </cell>
          <cell r="E886">
            <v>0.30399999999999999</v>
          </cell>
        </row>
        <row r="887">
          <cell r="A887">
            <v>44771</v>
          </cell>
          <cell r="B887">
            <v>5</v>
          </cell>
          <cell r="C887">
            <v>1.125</v>
          </cell>
          <cell r="D887">
            <v>-2.0000000000000018</v>
          </cell>
          <cell r="E887">
            <v>0.30499999999999999</v>
          </cell>
        </row>
        <row r="888">
          <cell r="A888">
            <v>44774</v>
          </cell>
          <cell r="B888">
            <v>1</v>
          </cell>
          <cell r="C888">
            <v>1.125</v>
          </cell>
          <cell r="D888" t="str">
            <v>無成交</v>
          </cell>
          <cell r="E888">
            <v>0.30399999999999999</v>
          </cell>
        </row>
        <row r="889">
          <cell r="A889">
            <v>44775</v>
          </cell>
          <cell r="B889">
            <v>2</v>
          </cell>
          <cell r="C889">
            <v>1.155</v>
          </cell>
          <cell r="D889">
            <v>3.0000000000000027</v>
          </cell>
          <cell r="E889">
            <v>0.30399999999999999</v>
          </cell>
        </row>
        <row r="890">
          <cell r="A890">
            <v>44776</v>
          </cell>
          <cell r="B890">
            <v>3</v>
          </cell>
          <cell r="C890">
            <v>1.155</v>
          </cell>
          <cell r="D890" t="str">
            <v>無成交</v>
          </cell>
          <cell r="E890">
            <v>0.30299999999999999</v>
          </cell>
        </row>
        <row r="891">
          <cell r="A891">
            <v>44777</v>
          </cell>
          <cell r="B891">
            <v>4</v>
          </cell>
          <cell r="C891">
            <v>1.155</v>
          </cell>
          <cell r="D891" t="str">
            <v>無成交</v>
          </cell>
          <cell r="E891">
            <v>0.30499999999999999</v>
          </cell>
        </row>
        <row r="892">
          <cell r="A892">
            <v>44778</v>
          </cell>
          <cell r="B892">
            <v>5</v>
          </cell>
          <cell r="C892">
            <v>1.1499999999999999</v>
          </cell>
          <cell r="D892">
            <v>-0.50000000000001155</v>
          </cell>
          <cell r="E892">
            <v>0.30599999999999999</v>
          </cell>
        </row>
        <row r="893">
          <cell r="A893">
            <v>44781</v>
          </cell>
          <cell r="B893">
            <v>1</v>
          </cell>
          <cell r="C893">
            <v>1.18</v>
          </cell>
          <cell r="D893" t="str">
            <v>無成交</v>
          </cell>
          <cell r="E893">
            <v>0.30499999999999999</v>
          </cell>
        </row>
        <row r="894">
          <cell r="A894">
            <v>44782</v>
          </cell>
          <cell r="B894">
            <v>2</v>
          </cell>
          <cell r="C894">
            <v>1.1975</v>
          </cell>
          <cell r="D894">
            <v>1.7500000000000071</v>
          </cell>
          <cell r="E894">
            <v>0.30399999999999999</v>
          </cell>
        </row>
        <row r="895">
          <cell r="A895">
            <v>44783</v>
          </cell>
          <cell r="B895">
            <v>3</v>
          </cell>
          <cell r="C895">
            <v>1.1930000000000001</v>
          </cell>
          <cell r="D895">
            <v>-0.44999999999999485</v>
          </cell>
          <cell r="E895">
            <v>0.30499999999999999</v>
          </cell>
        </row>
        <row r="896">
          <cell r="A896">
            <v>44784</v>
          </cell>
          <cell r="B896">
            <v>4</v>
          </cell>
          <cell r="C896">
            <v>1.1870000000000001</v>
          </cell>
          <cell r="D896">
            <v>-0.60000000000000053</v>
          </cell>
          <cell r="E896">
            <v>0.30499999999999999</v>
          </cell>
        </row>
        <row r="897">
          <cell r="A897">
            <v>44785</v>
          </cell>
          <cell r="B897">
            <v>5</v>
          </cell>
          <cell r="C897">
            <v>1.1879999999999999</v>
          </cell>
          <cell r="D897">
            <v>9.9999999999988987E-2</v>
          </cell>
          <cell r="E897">
            <v>0.307</v>
          </cell>
        </row>
        <row r="898">
          <cell r="A898">
            <v>44788</v>
          </cell>
          <cell r="B898">
            <v>1</v>
          </cell>
          <cell r="C898">
            <v>1.1950000000000001</v>
          </cell>
          <cell r="D898">
            <v>0.70000000000001172</v>
          </cell>
          <cell r="E898">
            <v>0.30499999999999999</v>
          </cell>
        </row>
        <row r="899">
          <cell r="A899">
            <v>44789</v>
          </cell>
          <cell r="B899">
            <v>2</v>
          </cell>
          <cell r="C899">
            <v>1.1938</v>
          </cell>
          <cell r="D899">
            <v>-0.12000000000000899</v>
          </cell>
          <cell r="E899">
            <v>0.30399999999999999</v>
          </cell>
        </row>
        <row r="900">
          <cell r="A900">
            <v>44790</v>
          </cell>
          <cell r="B900">
            <v>3</v>
          </cell>
          <cell r="C900">
            <v>1.21</v>
          </cell>
          <cell r="D900">
            <v>1.6199999999999992</v>
          </cell>
          <cell r="E900">
            <v>0.30399999999999999</v>
          </cell>
        </row>
        <row r="901">
          <cell r="A901">
            <v>44791</v>
          </cell>
          <cell r="B901">
            <v>4</v>
          </cell>
          <cell r="C901">
            <v>1.2175</v>
          </cell>
          <cell r="D901" t="str">
            <v>無成交</v>
          </cell>
          <cell r="E901">
            <v>0.30399999999999999</v>
          </cell>
        </row>
        <row r="902">
          <cell r="A902">
            <v>44792</v>
          </cell>
          <cell r="B902">
            <v>5</v>
          </cell>
          <cell r="C902">
            <v>1.2202</v>
          </cell>
          <cell r="D902">
            <v>0.26999999999999247</v>
          </cell>
          <cell r="E902">
            <v>0.30599999999999999</v>
          </cell>
        </row>
        <row r="903">
          <cell r="A903">
            <v>44795</v>
          </cell>
          <cell r="B903">
            <v>1</v>
          </cell>
          <cell r="C903">
            <v>1.2202</v>
          </cell>
          <cell r="D903" t="str">
            <v>無成交</v>
          </cell>
          <cell r="E903">
            <v>0.30299999999999999</v>
          </cell>
        </row>
        <row r="904">
          <cell r="A904">
            <v>44796</v>
          </cell>
          <cell r="B904">
            <v>2</v>
          </cell>
          <cell r="C904">
            <v>1.2350000000000001</v>
          </cell>
          <cell r="D904">
            <v>1.4800000000000146</v>
          </cell>
          <cell r="E904">
            <v>0.30399999999999999</v>
          </cell>
        </row>
        <row r="905">
          <cell r="A905">
            <v>44797</v>
          </cell>
          <cell r="B905">
            <v>3</v>
          </cell>
          <cell r="C905">
            <v>1.21</v>
          </cell>
          <cell r="D905">
            <v>-2.5000000000000133</v>
          </cell>
          <cell r="E905">
            <v>0.30499999999999999</v>
          </cell>
        </row>
        <row r="906">
          <cell r="A906">
            <v>44798</v>
          </cell>
          <cell r="B906">
            <v>4</v>
          </cell>
          <cell r="C906">
            <v>1.21</v>
          </cell>
          <cell r="D906">
            <v>0</v>
          </cell>
          <cell r="E906">
            <v>0.30399999999999999</v>
          </cell>
        </row>
        <row r="907">
          <cell r="A907">
            <v>44799</v>
          </cell>
          <cell r="B907">
            <v>5</v>
          </cell>
          <cell r="C907">
            <v>1.196</v>
          </cell>
          <cell r="D907">
            <v>-1.4000000000000012</v>
          </cell>
          <cell r="E907">
            <v>0.30599999999999999</v>
          </cell>
        </row>
        <row r="908">
          <cell r="A908">
            <v>44802</v>
          </cell>
          <cell r="B908">
            <v>1</v>
          </cell>
          <cell r="C908">
            <v>1.2</v>
          </cell>
          <cell r="D908" t="str">
            <v>無成交</v>
          </cell>
          <cell r="E908">
            <v>0.30399999999999999</v>
          </cell>
        </row>
        <row r="909">
          <cell r="A909">
            <v>44803</v>
          </cell>
          <cell r="B909">
            <v>2</v>
          </cell>
          <cell r="C909">
            <v>1.2070000000000001</v>
          </cell>
          <cell r="D909" t="str">
            <v>無成交</v>
          </cell>
          <cell r="E909">
            <v>0.30399999999999999</v>
          </cell>
        </row>
        <row r="910">
          <cell r="A910">
            <v>44804</v>
          </cell>
          <cell r="B910">
            <v>3</v>
          </cell>
          <cell r="C910">
            <v>1.2070000000000001</v>
          </cell>
          <cell r="D910" t="str">
            <v>無成交</v>
          </cell>
          <cell r="E910">
            <v>0.30499999999999999</v>
          </cell>
        </row>
        <row r="911">
          <cell r="A911">
            <v>44805</v>
          </cell>
          <cell r="B911">
            <v>4</v>
          </cell>
          <cell r="C911">
            <v>1.28</v>
          </cell>
          <cell r="D911">
            <v>7.2999999999999954</v>
          </cell>
          <cell r="E911">
            <v>0.30399999999999999</v>
          </cell>
        </row>
        <row r="912">
          <cell r="A912">
            <v>44806</v>
          </cell>
          <cell r="B912">
            <v>5</v>
          </cell>
          <cell r="C912">
            <v>1.32</v>
          </cell>
          <cell r="D912">
            <v>4.0000000000000036</v>
          </cell>
          <cell r="E912">
            <v>0.30499999999999999</v>
          </cell>
        </row>
        <row r="913">
          <cell r="A913">
            <v>44809</v>
          </cell>
          <cell r="B913">
            <v>1</v>
          </cell>
          <cell r="C913">
            <v>1.32</v>
          </cell>
          <cell r="D913" t="str">
            <v>無成交</v>
          </cell>
          <cell r="E913">
            <v>0.30399999999999999</v>
          </cell>
        </row>
        <row r="914">
          <cell r="A914">
            <v>44810</v>
          </cell>
          <cell r="B914">
            <v>2</v>
          </cell>
          <cell r="C914">
            <v>1.325</v>
          </cell>
          <cell r="D914">
            <v>0.49999999999998934</v>
          </cell>
          <cell r="E914">
            <v>0.30399999999999999</v>
          </cell>
        </row>
        <row r="915">
          <cell r="A915">
            <v>44811</v>
          </cell>
          <cell r="B915">
            <v>3</v>
          </cell>
          <cell r="C915">
            <v>1.35</v>
          </cell>
          <cell r="D915">
            <v>2.5000000000000133</v>
          </cell>
          <cell r="E915">
            <v>0.30499999999999999</v>
          </cell>
        </row>
        <row r="916">
          <cell r="A916">
            <v>44812</v>
          </cell>
          <cell r="B916">
            <v>4</v>
          </cell>
          <cell r="C916">
            <v>1.3</v>
          </cell>
          <cell r="D916">
            <v>-5.0000000000000044</v>
          </cell>
          <cell r="E916">
            <v>0.307</v>
          </cell>
        </row>
        <row r="917">
          <cell r="A917">
            <v>44813</v>
          </cell>
          <cell r="B917">
            <v>5</v>
          </cell>
          <cell r="C917">
            <v>1.3</v>
          </cell>
          <cell r="D917" t="str">
            <v>連假</v>
          </cell>
          <cell r="E917" t="str">
            <v>X</v>
          </cell>
        </row>
        <row r="918">
          <cell r="A918">
            <v>44816</v>
          </cell>
          <cell r="B918">
            <v>1</v>
          </cell>
          <cell r="C918">
            <v>1.3</v>
          </cell>
          <cell r="D918" t="str">
            <v>無成交</v>
          </cell>
          <cell r="E918">
            <v>0.30399999999999999</v>
          </cell>
        </row>
        <row r="919">
          <cell r="A919">
            <v>44817</v>
          </cell>
          <cell r="B919">
            <v>2</v>
          </cell>
          <cell r="C919">
            <v>1.3</v>
          </cell>
          <cell r="D919" t="str">
            <v>無成交</v>
          </cell>
          <cell r="E919">
            <v>0.30299999999999999</v>
          </cell>
        </row>
        <row r="920">
          <cell r="A920">
            <v>44818</v>
          </cell>
          <cell r="B920">
            <v>3</v>
          </cell>
          <cell r="C920">
            <v>1.325</v>
          </cell>
          <cell r="D920" t="str">
            <v>無成交</v>
          </cell>
          <cell r="E920">
            <v>0.30399999999999999</v>
          </cell>
        </row>
        <row r="921">
          <cell r="A921">
            <v>44819</v>
          </cell>
          <cell r="B921">
            <v>4</v>
          </cell>
          <cell r="C921">
            <v>1.3651</v>
          </cell>
          <cell r="D921">
            <v>4.0100000000000025</v>
          </cell>
          <cell r="E921">
            <v>0.30399999999999999</v>
          </cell>
        </row>
        <row r="922">
          <cell r="A922">
            <v>44820</v>
          </cell>
          <cell r="B922">
            <v>5</v>
          </cell>
          <cell r="C922">
            <v>1.39</v>
          </cell>
          <cell r="D922" t="str">
            <v>無成交</v>
          </cell>
          <cell r="E922">
            <v>0.30499999999999999</v>
          </cell>
        </row>
        <row r="923">
          <cell r="A923">
            <v>44823</v>
          </cell>
          <cell r="B923">
            <v>1</v>
          </cell>
          <cell r="C923">
            <v>1.39</v>
          </cell>
          <cell r="D923" t="str">
            <v>無成交</v>
          </cell>
          <cell r="E923">
            <v>0.30399999999999999</v>
          </cell>
        </row>
        <row r="924">
          <cell r="A924">
            <v>44824</v>
          </cell>
          <cell r="B924">
            <v>2</v>
          </cell>
          <cell r="C924">
            <v>1.3720000000000001</v>
          </cell>
          <cell r="D924">
            <v>-1.7999999999999794</v>
          </cell>
          <cell r="E924">
            <v>0.30399999999999999</v>
          </cell>
        </row>
        <row r="925">
          <cell r="A925">
            <v>44825</v>
          </cell>
          <cell r="B925">
            <v>3</v>
          </cell>
          <cell r="C925">
            <v>1.39</v>
          </cell>
          <cell r="D925" t="str">
            <v>無成交</v>
          </cell>
          <cell r="E925">
            <v>0.30399999999999999</v>
          </cell>
        </row>
        <row r="926">
          <cell r="A926">
            <v>44826</v>
          </cell>
          <cell r="B926">
            <v>4</v>
          </cell>
          <cell r="C926">
            <v>1.41</v>
          </cell>
          <cell r="D926" t="str">
            <v>無成交</v>
          </cell>
          <cell r="E926">
            <v>0.30399999999999999</v>
          </cell>
        </row>
        <row r="927">
          <cell r="A927">
            <v>44827</v>
          </cell>
          <cell r="B927">
            <v>5</v>
          </cell>
          <cell r="C927">
            <v>1.43</v>
          </cell>
          <cell r="D927">
            <v>2.0000000000000018</v>
          </cell>
          <cell r="E927">
            <v>0.43</v>
          </cell>
        </row>
        <row r="928">
          <cell r="A928">
            <v>44830</v>
          </cell>
          <cell r="B928">
            <v>1</v>
          </cell>
          <cell r="C928">
            <v>1.52</v>
          </cell>
          <cell r="D928">
            <v>9.0000000000000071</v>
          </cell>
          <cell r="E928">
            <v>0.43</v>
          </cell>
        </row>
        <row r="929">
          <cell r="A929">
            <v>44831</v>
          </cell>
          <cell r="B929">
            <v>2</v>
          </cell>
          <cell r="C929">
            <v>1.63</v>
          </cell>
          <cell r="D929">
            <v>10.999999999999988</v>
          </cell>
          <cell r="E929">
            <v>0.42899999999999999</v>
          </cell>
        </row>
        <row r="930">
          <cell r="A930">
            <v>44832</v>
          </cell>
          <cell r="B930">
            <v>3</v>
          </cell>
          <cell r="C930">
            <v>1.64</v>
          </cell>
          <cell r="D930" t="str">
            <v>無成交</v>
          </cell>
          <cell r="E930">
            <v>0.43</v>
          </cell>
        </row>
        <row r="931">
          <cell r="A931">
            <v>44833</v>
          </cell>
          <cell r="B931">
            <v>4</v>
          </cell>
          <cell r="C931">
            <v>1.62</v>
          </cell>
          <cell r="D931">
            <v>-1.9999999999999796</v>
          </cell>
          <cell r="E931">
            <v>0.432</v>
          </cell>
        </row>
        <row r="932">
          <cell r="A932">
            <v>44834</v>
          </cell>
          <cell r="B932">
            <v>5</v>
          </cell>
          <cell r="C932">
            <v>1.6319999999999999</v>
          </cell>
          <cell r="D932">
            <v>1.1999999999999789</v>
          </cell>
          <cell r="E932">
            <v>0.435</v>
          </cell>
        </row>
        <row r="933">
          <cell r="A933">
            <v>44837</v>
          </cell>
          <cell r="B933">
            <v>1</v>
          </cell>
          <cell r="C933">
            <v>1.71</v>
          </cell>
          <cell r="D933">
            <v>7.8000000000000069</v>
          </cell>
          <cell r="E933">
            <v>0.42899999999999999</v>
          </cell>
        </row>
        <row r="934">
          <cell r="A934">
            <v>44838</v>
          </cell>
          <cell r="B934">
            <v>2</v>
          </cell>
          <cell r="C934">
            <v>1.65</v>
          </cell>
          <cell r="D934" t="str">
            <v>無成交</v>
          </cell>
          <cell r="E934">
            <v>0.43</v>
          </cell>
        </row>
        <row r="935">
          <cell r="A935">
            <v>44839</v>
          </cell>
          <cell r="B935">
            <v>3</v>
          </cell>
          <cell r="C935">
            <v>1.65</v>
          </cell>
          <cell r="D935" t="str">
            <v>無成交</v>
          </cell>
          <cell r="E935">
            <v>0.43099999999999999</v>
          </cell>
        </row>
        <row r="936">
          <cell r="A936">
            <v>44840</v>
          </cell>
          <cell r="B936">
            <v>4</v>
          </cell>
          <cell r="C936">
            <v>1.65</v>
          </cell>
          <cell r="D936" t="str">
            <v>無成交</v>
          </cell>
          <cell r="E936">
            <v>0.43099999999999999</v>
          </cell>
        </row>
        <row r="937">
          <cell r="A937">
            <v>44841</v>
          </cell>
          <cell r="B937">
            <v>5</v>
          </cell>
          <cell r="C937">
            <v>1.66</v>
          </cell>
          <cell r="D937">
            <v>1.0000000000000009</v>
          </cell>
          <cell r="E937">
            <v>0.433</v>
          </cell>
        </row>
        <row r="938">
          <cell r="A938">
            <v>44844</v>
          </cell>
          <cell r="B938">
            <v>1</v>
          </cell>
          <cell r="C938">
            <v>1.66</v>
          </cell>
          <cell r="D938" t="str">
            <v>連假</v>
          </cell>
          <cell r="E938" t="str">
            <v>X</v>
          </cell>
        </row>
        <row r="939">
          <cell r="A939">
            <v>44845</v>
          </cell>
          <cell r="B939">
            <v>2</v>
          </cell>
          <cell r="C939">
            <v>1.7689999999999999</v>
          </cell>
          <cell r="D939">
            <v>10.899999999999999</v>
          </cell>
          <cell r="E939">
            <v>0.43</v>
          </cell>
        </row>
        <row r="940">
          <cell r="A940">
            <v>44846</v>
          </cell>
          <cell r="B940">
            <v>3</v>
          </cell>
          <cell r="C940">
            <v>1.778</v>
          </cell>
          <cell r="D940">
            <v>0.9000000000000119</v>
          </cell>
          <cell r="E940">
            <v>0.43</v>
          </cell>
        </row>
        <row r="941">
          <cell r="A941">
            <v>44847</v>
          </cell>
          <cell r="B941">
            <v>4</v>
          </cell>
          <cell r="C941">
            <v>1.778</v>
          </cell>
          <cell r="D941" t="str">
            <v>無成交</v>
          </cell>
          <cell r="E941">
            <v>0.43</v>
          </cell>
        </row>
        <row r="942">
          <cell r="A942">
            <v>44848</v>
          </cell>
          <cell r="B942">
            <v>5</v>
          </cell>
          <cell r="C942">
            <v>1.778</v>
          </cell>
          <cell r="D942" t="str">
            <v>無成交</v>
          </cell>
          <cell r="E942">
            <v>0.435</v>
          </cell>
        </row>
        <row r="943">
          <cell r="A943">
            <v>44851</v>
          </cell>
          <cell r="B943">
            <v>1</v>
          </cell>
          <cell r="C943">
            <v>1.778</v>
          </cell>
          <cell r="D943" t="str">
            <v>無成交</v>
          </cell>
          <cell r="E943">
            <v>0.43</v>
          </cell>
        </row>
        <row r="944">
          <cell r="A944">
            <v>44852</v>
          </cell>
          <cell r="B944">
            <v>2</v>
          </cell>
          <cell r="C944">
            <v>1.8</v>
          </cell>
          <cell r="D944">
            <v>2.200000000000002</v>
          </cell>
          <cell r="E944">
            <v>0.42899999999999999</v>
          </cell>
        </row>
        <row r="945">
          <cell r="A945">
            <v>44853</v>
          </cell>
          <cell r="B945">
            <v>3</v>
          </cell>
          <cell r="C945">
            <v>1.84</v>
          </cell>
          <cell r="D945">
            <v>4.0000000000000036</v>
          </cell>
          <cell r="E945">
            <v>0.42899999999999999</v>
          </cell>
        </row>
        <row r="946">
          <cell r="A946">
            <v>44854</v>
          </cell>
          <cell r="B946">
            <v>4</v>
          </cell>
          <cell r="C946">
            <v>1.92</v>
          </cell>
          <cell r="D946" t="str">
            <v>無成交</v>
          </cell>
          <cell r="E946">
            <v>0.43</v>
          </cell>
        </row>
        <row r="947">
          <cell r="A947">
            <v>44855</v>
          </cell>
          <cell r="B947">
            <v>5</v>
          </cell>
          <cell r="C947">
            <v>1.97</v>
          </cell>
          <cell r="D947" t="str">
            <v>無成交</v>
          </cell>
          <cell r="E947">
            <v>0.432</v>
          </cell>
        </row>
        <row r="948">
          <cell r="A948">
            <v>44858</v>
          </cell>
          <cell r="B948">
            <v>1</v>
          </cell>
          <cell r="C948">
            <v>1.93</v>
          </cell>
          <cell r="D948">
            <v>-4.0000000000000036</v>
          </cell>
          <cell r="E948">
            <v>0.43</v>
          </cell>
        </row>
        <row r="949">
          <cell r="A949">
            <v>44859</v>
          </cell>
          <cell r="B949">
            <v>2</v>
          </cell>
          <cell r="C949">
            <v>1.915</v>
          </cell>
          <cell r="D949">
            <v>-1.4999999999999902</v>
          </cell>
          <cell r="E949">
            <v>0.43099999999999999</v>
          </cell>
        </row>
        <row r="950">
          <cell r="A950">
            <v>44860</v>
          </cell>
          <cell r="B950">
            <v>3</v>
          </cell>
          <cell r="C950">
            <v>1.9</v>
          </cell>
          <cell r="D950" t="str">
            <v>無成交</v>
          </cell>
          <cell r="E950">
            <v>0.43099999999999999</v>
          </cell>
        </row>
        <row r="951">
          <cell r="A951">
            <v>44861</v>
          </cell>
          <cell r="B951">
            <v>4</v>
          </cell>
          <cell r="C951">
            <v>1.855</v>
          </cell>
          <cell r="D951" t="str">
            <v>無成交</v>
          </cell>
          <cell r="E951">
            <v>0.43099999999999999</v>
          </cell>
        </row>
        <row r="952">
          <cell r="A952">
            <v>44862</v>
          </cell>
          <cell r="B952">
            <v>5</v>
          </cell>
          <cell r="C952">
            <v>1.7287999999999999</v>
          </cell>
          <cell r="D952">
            <v>-12.620000000000008</v>
          </cell>
          <cell r="E952">
            <v>0.433</v>
          </cell>
        </row>
        <row r="953">
          <cell r="A953">
            <v>44865</v>
          </cell>
          <cell r="B953">
            <v>1</v>
          </cell>
          <cell r="C953">
            <v>1.77</v>
          </cell>
          <cell r="D953" t="str">
            <v>無成交</v>
          </cell>
          <cell r="E953">
            <v>0.432</v>
          </cell>
        </row>
        <row r="954">
          <cell r="A954">
            <v>44866</v>
          </cell>
          <cell r="B954">
            <v>2</v>
          </cell>
          <cell r="C954">
            <v>1.77</v>
          </cell>
          <cell r="D954" t="str">
            <v>無成交</v>
          </cell>
          <cell r="E954">
            <v>0.43</v>
          </cell>
        </row>
        <row r="955">
          <cell r="A955">
            <v>44867</v>
          </cell>
          <cell r="B955">
            <v>3</v>
          </cell>
          <cell r="C955">
            <v>1.7450000000000001</v>
          </cell>
          <cell r="D955">
            <v>-2.4999999999999911</v>
          </cell>
          <cell r="E955">
            <v>0.42899999999999999</v>
          </cell>
        </row>
        <row r="956">
          <cell r="A956">
            <v>44868</v>
          </cell>
          <cell r="B956">
            <v>4</v>
          </cell>
          <cell r="C956">
            <v>1.82</v>
          </cell>
          <cell r="D956">
            <v>7.4999999999999956</v>
          </cell>
          <cell r="E956">
            <v>0.42799999999999999</v>
          </cell>
        </row>
        <row r="957">
          <cell r="A957">
            <v>44869</v>
          </cell>
          <cell r="B957">
            <v>5</v>
          </cell>
          <cell r="C957">
            <v>1.82</v>
          </cell>
          <cell r="D957" t="str">
            <v>無成交</v>
          </cell>
          <cell r="E957">
            <v>0.432</v>
          </cell>
        </row>
        <row r="958">
          <cell r="A958">
            <v>44872</v>
          </cell>
          <cell r="B958">
            <v>1</v>
          </cell>
          <cell r="C958">
            <v>1.85</v>
          </cell>
          <cell r="D958">
            <v>3.0000000000000027</v>
          </cell>
          <cell r="E958">
            <v>0.43099999999999999</v>
          </cell>
        </row>
        <row r="959">
          <cell r="A959">
            <v>44873</v>
          </cell>
          <cell r="B959">
            <v>2</v>
          </cell>
          <cell r="C959">
            <v>1.825</v>
          </cell>
          <cell r="D959">
            <v>-2.5000000000000133</v>
          </cell>
          <cell r="E959">
            <v>0.43099999999999999</v>
          </cell>
        </row>
        <row r="960">
          <cell r="A960">
            <v>44874</v>
          </cell>
          <cell r="B960">
            <v>3</v>
          </cell>
          <cell r="C960">
            <v>1.825</v>
          </cell>
          <cell r="D960" t="str">
            <v>無成交</v>
          </cell>
          <cell r="E960">
            <v>0.43099999999999999</v>
          </cell>
        </row>
        <row r="961">
          <cell r="A961">
            <v>44875</v>
          </cell>
          <cell r="B961">
            <v>4</v>
          </cell>
          <cell r="C961">
            <v>1.825</v>
          </cell>
          <cell r="D961" t="str">
            <v>無成交</v>
          </cell>
          <cell r="E961">
            <v>0.43099999999999999</v>
          </cell>
        </row>
        <row r="962">
          <cell r="A962">
            <v>44876</v>
          </cell>
          <cell r="B962">
            <v>5</v>
          </cell>
          <cell r="C962">
            <v>1.6537999999999999</v>
          </cell>
          <cell r="D962">
            <v>-17.12</v>
          </cell>
          <cell r="E962">
            <v>0.433</v>
          </cell>
        </row>
        <row r="963">
          <cell r="A963">
            <v>44879</v>
          </cell>
          <cell r="B963">
            <v>1</v>
          </cell>
          <cell r="C963">
            <v>1.67</v>
          </cell>
          <cell r="D963">
            <v>1.6199999999999992</v>
          </cell>
          <cell r="E963">
            <v>0.43</v>
          </cell>
        </row>
        <row r="964">
          <cell r="A964">
            <v>44880</v>
          </cell>
          <cell r="B964">
            <v>2</v>
          </cell>
          <cell r="C964">
            <v>1.62</v>
          </cell>
          <cell r="D964">
            <v>-4.9999999999999822</v>
          </cell>
          <cell r="E964">
            <v>0.43</v>
          </cell>
        </row>
        <row r="965">
          <cell r="A965">
            <v>44881</v>
          </cell>
          <cell r="B965">
            <v>3</v>
          </cell>
          <cell r="C965">
            <v>1.58</v>
          </cell>
          <cell r="D965">
            <v>-4.0000000000000036</v>
          </cell>
          <cell r="E965">
            <v>0.43</v>
          </cell>
        </row>
        <row r="966">
          <cell r="A966">
            <v>44882</v>
          </cell>
          <cell r="B966">
            <v>4</v>
          </cell>
          <cell r="C966">
            <v>1.58</v>
          </cell>
          <cell r="D966">
            <v>0</v>
          </cell>
          <cell r="E966">
            <v>0.43</v>
          </cell>
        </row>
        <row r="967">
          <cell r="A967">
            <v>44883</v>
          </cell>
          <cell r="B967">
            <v>5</v>
          </cell>
          <cell r="C967">
            <v>1.58</v>
          </cell>
          <cell r="D967" t="str">
            <v>無成交</v>
          </cell>
          <cell r="E967">
            <v>0.43099999999999999</v>
          </cell>
        </row>
        <row r="968">
          <cell r="A968">
            <v>44886</v>
          </cell>
          <cell r="B968">
            <v>1</v>
          </cell>
          <cell r="C968">
            <v>1.55</v>
          </cell>
          <cell r="D968">
            <v>-3.0000000000000027</v>
          </cell>
          <cell r="E968">
            <v>0.43</v>
          </cell>
        </row>
        <row r="969">
          <cell r="A969">
            <v>44887</v>
          </cell>
          <cell r="B969">
            <v>2</v>
          </cell>
          <cell r="C969">
            <v>1.55</v>
          </cell>
          <cell r="D969">
            <v>0</v>
          </cell>
          <cell r="E969">
            <v>0.42899999999999999</v>
          </cell>
        </row>
        <row r="970">
          <cell r="A970">
            <v>44888</v>
          </cell>
          <cell r="B970">
            <v>3</v>
          </cell>
          <cell r="C970">
            <v>1.5</v>
          </cell>
          <cell r="D970">
            <v>-5.0000000000000044</v>
          </cell>
          <cell r="E970">
            <v>0.43</v>
          </cell>
        </row>
        <row r="971">
          <cell r="A971">
            <v>44889</v>
          </cell>
          <cell r="B971">
            <v>4</v>
          </cell>
          <cell r="C971">
            <v>1.5</v>
          </cell>
          <cell r="D971" t="str">
            <v>無成交</v>
          </cell>
          <cell r="E971">
            <v>0.43</v>
          </cell>
        </row>
        <row r="972">
          <cell r="A972">
            <v>44890</v>
          </cell>
          <cell r="B972">
            <v>5</v>
          </cell>
          <cell r="C972">
            <v>1.5</v>
          </cell>
          <cell r="D972">
            <v>0</v>
          </cell>
          <cell r="E972">
            <v>0.43099999999999999</v>
          </cell>
        </row>
        <row r="973">
          <cell r="A973">
            <v>44893</v>
          </cell>
          <cell r="B973">
            <v>1</v>
          </cell>
          <cell r="C973">
            <v>1.48</v>
          </cell>
          <cell r="D973">
            <v>-2.0000000000000018</v>
          </cell>
          <cell r="E973">
            <v>0.43</v>
          </cell>
        </row>
        <row r="974">
          <cell r="A974">
            <v>44894</v>
          </cell>
          <cell r="B974">
            <v>2</v>
          </cell>
          <cell r="C974">
            <v>1.48</v>
          </cell>
          <cell r="D974">
            <v>0</v>
          </cell>
          <cell r="E974">
            <v>0.43</v>
          </cell>
        </row>
        <row r="975">
          <cell r="A975">
            <v>44895</v>
          </cell>
          <cell r="B975">
            <v>3</v>
          </cell>
          <cell r="C975">
            <v>1.48</v>
          </cell>
          <cell r="D975" t="str">
            <v>無成交</v>
          </cell>
          <cell r="E975">
            <v>0.43099999999999999</v>
          </cell>
        </row>
        <row r="976">
          <cell r="A976">
            <v>44896</v>
          </cell>
          <cell r="B976">
            <v>4</v>
          </cell>
          <cell r="C976">
            <v>1.4</v>
          </cell>
          <cell r="D976">
            <v>-8.0000000000000071</v>
          </cell>
          <cell r="E976">
            <v>0.42899999999999999</v>
          </cell>
        </row>
        <row r="977">
          <cell r="A977">
            <v>44897</v>
          </cell>
          <cell r="B977">
            <v>5</v>
          </cell>
          <cell r="C977">
            <v>1.355</v>
          </cell>
          <cell r="D977">
            <v>-4.4999999999999929</v>
          </cell>
          <cell r="E977">
            <v>0.43</v>
          </cell>
        </row>
        <row r="978">
          <cell r="A978">
            <v>44900</v>
          </cell>
          <cell r="B978">
            <v>1</v>
          </cell>
          <cell r="C978">
            <v>1.355</v>
          </cell>
          <cell r="D978" t="str">
            <v>無成交</v>
          </cell>
          <cell r="E978">
            <v>0.43</v>
          </cell>
        </row>
        <row r="979">
          <cell r="A979">
            <v>44901</v>
          </cell>
          <cell r="B979">
            <v>2</v>
          </cell>
          <cell r="C979">
            <v>1.38</v>
          </cell>
          <cell r="D979">
            <v>2.4999999999999911</v>
          </cell>
          <cell r="E979">
            <v>0.42899999999999999</v>
          </cell>
        </row>
        <row r="980">
          <cell r="A980">
            <v>44902</v>
          </cell>
          <cell r="B980">
            <v>3</v>
          </cell>
          <cell r="C980">
            <v>1.3</v>
          </cell>
          <cell r="D980">
            <v>-7.9999999999999849</v>
          </cell>
          <cell r="E980">
            <v>0.43</v>
          </cell>
        </row>
        <row r="981">
          <cell r="A981">
            <v>44903</v>
          </cell>
          <cell r="B981">
            <v>4</v>
          </cell>
          <cell r="C981">
            <v>1.2749999999999999</v>
          </cell>
          <cell r="D981">
            <v>-2.5000000000000133</v>
          </cell>
          <cell r="E981">
            <v>0.43</v>
          </cell>
        </row>
        <row r="982">
          <cell r="A982">
            <v>44904</v>
          </cell>
          <cell r="B982">
            <v>5</v>
          </cell>
          <cell r="C982">
            <v>1.31</v>
          </cell>
          <cell r="D982">
            <v>3.5000000000000142</v>
          </cell>
          <cell r="E982">
            <v>0.43099999999999999</v>
          </cell>
        </row>
        <row r="983">
          <cell r="A983">
            <v>44907</v>
          </cell>
          <cell r="B983">
            <v>1</v>
          </cell>
          <cell r="C983">
            <v>1.31</v>
          </cell>
          <cell r="D983" t="str">
            <v>無成交</v>
          </cell>
          <cell r="E983">
            <v>0.43</v>
          </cell>
        </row>
        <row r="984">
          <cell r="A984">
            <v>44908</v>
          </cell>
          <cell r="B984">
            <v>2</v>
          </cell>
          <cell r="C984">
            <v>1.31</v>
          </cell>
          <cell r="D984" t="str">
            <v>無成交</v>
          </cell>
          <cell r="E984">
            <v>0.42899999999999999</v>
          </cell>
        </row>
        <row r="985">
          <cell r="A985">
            <v>44909</v>
          </cell>
          <cell r="B985">
            <v>3</v>
          </cell>
          <cell r="C985">
            <v>1.2749999999999999</v>
          </cell>
          <cell r="D985">
            <v>-3.5000000000000142</v>
          </cell>
          <cell r="E985">
            <v>0.43</v>
          </cell>
        </row>
        <row r="986">
          <cell r="A986">
            <v>44910</v>
          </cell>
          <cell r="B986">
            <v>4</v>
          </cell>
          <cell r="C986">
            <v>1.2749999999999999</v>
          </cell>
          <cell r="D986" t="str">
            <v>無成交</v>
          </cell>
          <cell r="E986">
            <v>0.43</v>
          </cell>
        </row>
        <row r="987">
          <cell r="A987">
            <v>44911</v>
          </cell>
          <cell r="B987">
            <v>5</v>
          </cell>
          <cell r="C987">
            <v>1.23</v>
          </cell>
          <cell r="D987">
            <v>-4.4999999999999929</v>
          </cell>
          <cell r="E987">
            <v>0.55500000000000005</v>
          </cell>
        </row>
        <row r="988">
          <cell r="A988">
            <v>44914</v>
          </cell>
          <cell r="B988">
            <v>1</v>
          </cell>
          <cell r="C988">
            <v>1.23</v>
          </cell>
          <cell r="D988">
            <v>0</v>
          </cell>
          <cell r="E988">
            <v>0.55400000000000005</v>
          </cell>
        </row>
        <row r="989">
          <cell r="A989">
            <v>44915</v>
          </cell>
          <cell r="B989">
            <v>2</v>
          </cell>
          <cell r="C989">
            <v>1.23</v>
          </cell>
          <cell r="D989" t="str">
            <v>無成交</v>
          </cell>
          <cell r="E989">
            <v>0.55400000000000005</v>
          </cell>
        </row>
        <row r="990">
          <cell r="A990">
            <v>44916</v>
          </cell>
          <cell r="B990">
            <v>3</v>
          </cell>
          <cell r="C990">
            <v>1.23</v>
          </cell>
          <cell r="D990" t="str">
            <v>無成交</v>
          </cell>
          <cell r="E990">
            <v>0.55300000000000005</v>
          </cell>
        </row>
        <row r="991">
          <cell r="A991">
            <v>44917</v>
          </cell>
          <cell r="B991">
            <v>4</v>
          </cell>
          <cell r="C991">
            <v>1.23</v>
          </cell>
          <cell r="D991" t="str">
            <v>無成交</v>
          </cell>
          <cell r="E991">
            <v>0.55400000000000005</v>
          </cell>
        </row>
        <row r="992">
          <cell r="A992">
            <v>44918</v>
          </cell>
          <cell r="B992">
            <v>5</v>
          </cell>
          <cell r="C992">
            <v>1.28</v>
          </cell>
          <cell r="D992">
            <v>5.0000000000000044</v>
          </cell>
          <cell r="E992">
            <v>0.55500000000000005</v>
          </cell>
        </row>
        <row r="993">
          <cell r="A993">
            <v>44921</v>
          </cell>
          <cell r="B993">
            <v>1</v>
          </cell>
          <cell r="C993">
            <v>1.2849999999999999</v>
          </cell>
          <cell r="D993" t="str">
            <v>盤面無成交</v>
          </cell>
          <cell r="E993">
            <v>0.55500000000000005</v>
          </cell>
        </row>
        <row r="994">
          <cell r="A994">
            <v>44922</v>
          </cell>
          <cell r="B994">
            <v>2</v>
          </cell>
          <cell r="C994">
            <v>1.2849999999999999</v>
          </cell>
          <cell r="D994" t="str">
            <v>無成交</v>
          </cell>
          <cell r="E994">
            <v>0.55400000000000005</v>
          </cell>
        </row>
        <row r="995">
          <cell r="A995">
            <v>44923</v>
          </cell>
          <cell r="B995">
            <v>3</v>
          </cell>
          <cell r="C995">
            <v>1.3</v>
          </cell>
          <cell r="D995" t="str">
            <v>無成交</v>
          </cell>
          <cell r="E995">
            <v>0.55400000000000005</v>
          </cell>
        </row>
        <row r="996">
          <cell r="A996">
            <v>44924</v>
          </cell>
          <cell r="B996">
            <v>4</v>
          </cell>
          <cell r="C996">
            <v>1.3</v>
          </cell>
          <cell r="D996" t="str">
            <v>無成交</v>
          </cell>
          <cell r="E996">
            <v>0.55500000000000005</v>
          </cell>
        </row>
        <row r="997">
          <cell r="A997">
            <v>44925</v>
          </cell>
          <cell r="B997">
            <v>5</v>
          </cell>
          <cell r="C997">
            <v>1.3</v>
          </cell>
          <cell r="D997" t="str">
            <v>無成交</v>
          </cell>
          <cell r="E997">
            <v>0.55700000000000005</v>
          </cell>
        </row>
        <row r="998">
          <cell r="A998">
            <v>44928</v>
          </cell>
          <cell r="B998">
            <v>1</v>
          </cell>
          <cell r="C998">
            <v>1.3</v>
          </cell>
          <cell r="D998" t="str">
            <v>連假</v>
          </cell>
          <cell r="E998" t="str">
            <v>X</v>
          </cell>
        </row>
        <row r="999">
          <cell r="A999">
            <v>44929</v>
          </cell>
          <cell r="B999">
            <v>2</v>
          </cell>
          <cell r="C999">
            <v>1.3</v>
          </cell>
          <cell r="D999" t="str">
            <v>無成交</v>
          </cell>
          <cell r="E999">
            <v>0.55400000000000005</v>
          </cell>
        </row>
        <row r="1000">
          <cell r="A1000">
            <v>44930</v>
          </cell>
          <cell r="B1000">
            <v>3</v>
          </cell>
          <cell r="C1000">
            <v>1.3</v>
          </cell>
          <cell r="D1000" t="str">
            <v>無成交</v>
          </cell>
          <cell r="E1000">
            <v>0.55500000000000005</v>
          </cell>
        </row>
        <row r="1001">
          <cell r="A1001">
            <v>44931</v>
          </cell>
          <cell r="B1001">
            <v>4</v>
          </cell>
          <cell r="C1001">
            <v>1.28</v>
          </cell>
          <cell r="D1001" t="str">
            <v>無成交</v>
          </cell>
          <cell r="E1001">
            <v>0.55400000000000005</v>
          </cell>
        </row>
        <row r="1002">
          <cell r="A1002">
            <v>44932</v>
          </cell>
          <cell r="B1002">
            <v>5</v>
          </cell>
          <cell r="C1002">
            <v>1.25</v>
          </cell>
          <cell r="D1002">
            <v>-3.0000000000000027</v>
          </cell>
          <cell r="E1002">
            <v>0.55500000000000005</v>
          </cell>
        </row>
        <row r="1003">
          <cell r="A1003">
            <v>44935</v>
          </cell>
          <cell r="B1003">
            <v>1</v>
          </cell>
          <cell r="C1003">
            <v>1.175</v>
          </cell>
          <cell r="D1003">
            <v>-7.4999999999999956</v>
          </cell>
          <cell r="E1003">
            <v>0.55400000000000005</v>
          </cell>
        </row>
        <row r="1004">
          <cell r="A1004">
            <v>44936</v>
          </cell>
          <cell r="B1004">
            <v>2</v>
          </cell>
          <cell r="C1004">
            <v>1.22</v>
          </cell>
          <cell r="D1004">
            <v>4.4999999999999929</v>
          </cell>
          <cell r="E1004">
            <v>0.55500000000000005</v>
          </cell>
        </row>
        <row r="1005">
          <cell r="A1005">
            <v>44937</v>
          </cell>
          <cell r="B1005">
            <v>3</v>
          </cell>
          <cell r="C1005">
            <v>1.22</v>
          </cell>
          <cell r="D1005">
            <v>0</v>
          </cell>
          <cell r="E1005">
            <v>0.55500000000000005</v>
          </cell>
        </row>
        <row r="1006">
          <cell r="A1006">
            <v>44938</v>
          </cell>
          <cell r="B1006">
            <v>4</v>
          </cell>
          <cell r="C1006">
            <v>1.2</v>
          </cell>
          <cell r="D1006">
            <v>-2.0000000000000018</v>
          </cell>
          <cell r="E1006">
            <v>0.55500000000000005</v>
          </cell>
        </row>
        <row r="1007">
          <cell r="A1007">
            <v>44939</v>
          </cell>
          <cell r="B1007">
            <v>5</v>
          </cell>
          <cell r="C1007">
            <v>1.1879999999999999</v>
          </cell>
          <cell r="D1007">
            <v>-1.2000000000000011</v>
          </cell>
          <cell r="E1007">
            <v>0.55600000000000005</v>
          </cell>
        </row>
        <row r="1008">
          <cell r="A1008">
            <v>44942</v>
          </cell>
          <cell r="B1008">
            <v>1</v>
          </cell>
          <cell r="C1008">
            <v>1.1879999999999999</v>
          </cell>
          <cell r="D1008" t="str">
            <v>無成交</v>
          </cell>
          <cell r="E1008">
            <v>0.55400000000000005</v>
          </cell>
        </row>
        <row r="1009">
          <cell r="A1009">
            <v>44943</v>
          </cell>
          <cell r="B1009">
            <v>2</v>
          </cell>
          <cell r="C1009">
            <v>1.21</v>
          </cell>
          <cell r="D1009">
            <v>2.200000000000002</v>
          </cell>
          <cell r="E1009">
            <v>0.55500000000000005</v>
          </cell>
        </row>
        <row r="1010">
          <cell r="A1010">
            <v>44944</v>
          </cell>
          <cell r="B1010">
            <v>3</v>
          </cell>
          <cell r="C1010">
            <v>1.21</v>
          </cell>
          <cell r="D1010" t="str">
            <v>封關</v>
          </cell>
          <cell r="E1010">
            <v>0.55600000000000005</v>
          </cell>
        </row>
        <row r="1011">
          <cell r="A1011">
            <v>44945</v>
          </cell>
          <cell r="B1011">
            <v>4</v>
          </cell>
          <cell r="C1011">
            <v>1.21</v>
          </cell>
          <cell r="D1011" t="str">
            <v>封關</v>
          </cell>
          <cell r="E1011">
            <v>0.56499999999999995</v>
          </cell>
        </row>
        <row r="1012">
          <cell r="A1012">
            <v>44946</v>
          </cell>
          <cell r="B1012">
            <v>5</v>
          </cell>
          <cell r="C1012">
            <v>1.21</v>
          </cell>
          <cell r="D1012" t="str">
            <v>年假開始</v>
          </cell>
          <cell r="E1012" t="str">
            <v>X</v>
          </cell>
        </row>
        <row r="1013">
          <cell r="A1013">
            <v>44949</v>
          </cell>
          <cell r="B1013">
            <v>1</v>
          </cell>
          <cell r="C1013">
            <v>1.21</v>
          </cell>
          <cell r="D1013" t="str">
            <v>休市</v>
          </cell>
          <cell r="E1013" t="str">
            <v>X</v>
          </cell>
        </row>
        <row r="1014">
          <cell r="A1014">
            <v>44950</v>
          </cell>
          <cell r="B1014">
            <v>2</v>
          </cell>
          <cell r="C1014">
            <v>1.21</v>
          </cell>
          <cell r="D1014" t="str">
            <v>休市</v>
          </cell>
          <cell r="E1014" t="str">
            <v>X</v>
          </cell>
        </row>
        <row r="1015">
          <cell r="A1015">
            <v>44951</v>
          </cell>
          <cell r="B1015">
            <v>3</v>
          </cell>
          <cell r="C1015">
            <v>1.21</v>
          </cell>
          <cell r="D1015" t="str">
            <v>休市</v>
          </cell>
          <cell r="E1015" t="str">
            <v>X</v>
          </cell>
        </row>
        <row r="1016">
          <cell r="A1016">
            <v>44952</v>
          </cell>
          <cell r="B1016">
            <v>4</v>
          </cell>
          <cell r="C1016">
            <v>1.21</v>
          </cell>
          <cell r="D1016" t="str">
            <v>休市</v>
          </cell>
          <cell r="E1016" t="str">
            <v>X</v>
          </cell>
        </row>
        <row r="1017">
          <cell r="A1017">
            <v>44953</v>
          </cell>
          <cell r="B1017">
            <v>5</v>
          </cell>
          <cell r="C1017">
            <v>1.21</v>
          </cell>
          <cell r="D1017" t="str">
            <v>休市</v>
          </cell>
          <cell r="E1017" t="str">
            <v>X</v>
          </cell>
        </row>
        <row r="1018">
          <cell r="A1018">
            <v>44956</v>
          </cell>
          <cell r="B1018">
            <v>1</v>
          </cell>
          <cell r="C1018">
            <v>1.21</v>
          </cell>
          <cell r="D1018" t="str">
            <v>無成交</v>
          </cell>
          <cell r="E1018">
            <v>0.55600000000000005</v>
          </cell>
        </row>
        <row r="1019">
          <cell r="A1019">
            <v>44957</v>
          </cell>
          <cell r="B1019">
            <v>2</v>
          </cell>
          <cell r="C1019">
            <v>1.21</v>
          </cell>
          <cell r="D1019" t="str">
            <v>無成交</v>
          </cell>
          <cell r="E1019">
            <v>0.55500000000000005</v>
          </cell>
        </row>
        <row r="1020">
          <cell r="A1020">
            <v>44958</v>
          </cell>
          <cell r="B1020">
            <v>3</v>
          </cell>
          <cell r="C1020">
            <v>1.21</v>
          </cell>
          <cell r="D1020" t="str">
            <v>無成交</v>
          </cell>
          <cell r="E1020">
            <v>0.55400000000000005</v>
          </cell>
        </row>
        <row r="1021">
          <cell r="A1021">
            <v>44959</v>
          </cell>
          <cell r="B1021">
            <v>4</v>
          </cell>
          <cell r="C1021">
            <v>1.165</v>
          </cell>
          <cell r="D1021">
            <v>-4.4999999999999929</v>
          </cell>
          <cell r="E1021">
            <v>0.55400000000000005</v>
          </cell>
        </row>
        <row r="1022">
          <cell r="A1022">
            <v>44960</v>
          </cell>
          <cell r="B1022">
            <v>5</v>
          </cell>
          <cell r="C1022">
            <v>1.165</v>
          </cell>
          <cell r="D1022">
            <v>0</v>
          </cell>
          <cell r="E1022">
            <v>0.55500000000000005</v>
          </cell>
        </row>
        <row r="1023">
          <cell r="A1023">
            <v>44963</v>
          </cell>
          <cell r="B1023">
            <v>1</v>
          </cell>
          <cell r="C1023">
            <v>1.165</v>
          </cell>
          <cell r="D1023" t="str">
            <v>無成交</v>
          </cell>
          <cell r="E1023">
            <v>0.55500000000000005</v>
          </cell>
        </row>
        <row r="1024">
          <cell r="A1024">
            <v>44964</v>
          </cell>
          <cell r="B1024">
            <v>2</v>
          </cell>
          <cell r="C1024">
            <v>1.19</v>
          </cell>
          <cell r="D1024">
            <v>2.4999999999999911</v>
          </cell>
          <cell r="E1024">
            <v>0.55400000000000005</v>
          </cell>
        </row>
        <row r="1025">
          <cell r="A1025">
            <v>44965</v>
          </cell>
          <cell r="B1025">
            <v>3</v>
          </cell>
          <cell r="C1025">
            <v>1.19</v>
          </cell>
          <cell r="D1025" t="str">
            <v>無成交</v>
          </cell>
          <cell r="E1025">
            <v>0.55500000000000005</v>
          </cell>
        </row>
        <row r="1026">
          <cell r="A1026">
            <v>44966</v>
          </cell>
          <cell r="B1026">
            <v>4</v>
          </cell>
          <cell r="C1026">
            <v>1.19</v>
          </cell>
          <cell r="D1026" t="str">
            <v>無成交</v>
          </cell>
          <cell r="E1026">
            <v>0.55500000000000005</v>
          </cell>
        </row>
        <row r="1027">
          <cell r="A1027">
            <v>44967</v>
          </cell>
          <cell r="B1027">
            <v>5</v>
          </cell>
          <cell r="C1027">
            <v>1.19</v>
          </cell>
          <cell r="D1027" t="str">
            <v>無成交</v>
          </cell>
          <cell r="E1027">
            <v>0.55500000000000005</v>
          </cell>
        </row>
        <row r="1028">
          <cell r="A1028">
            <v>44970</v>
          </cell>
          <cell r="B1028">
            <v>1</v>
          </cell>
          <cell r="C1028">
            <v>1.2529999999999999</v>
          </cell>
          <cell r="D1028">
            <v>6.2999999999999945</v>
          </cell>
          <cell r="E1028">
            <v>0.55400000000000005</v>
          </cell>
        </row>
        <row r="1029">
          <cell r="A1029">
            <v>44971</v>
          </cell>
          <cell r="B1029">
            <v>2</v>
          </cell>
          <cell r="C1029">
            <v>1.19</v>
          </cell>
          <cell r="D1029">
            <v>-6.2999999999999945</v>
          </cell>
          <cell r="E1029">
            <v>0.55400000000000005</v>
          </cell>
        </row>
        <row r="1030">
          <cell r="A1030">
            <v>44972</v>
          </cell>
          <cell r="B1030">
            <v>3</v>
          </cell>
          <cell r="C1030">
            <v>1.2050000000000001</v>
          </cell>
          <cell r="D1030" t="str">
            <v>無成交</v>
          </cell>
          <cell r="E1030">
            <v>0.55300000000000005</v>
          </cell>
        </row>
        <row r="1031">
          <cell r="A1031">
            <v>44973</v>
          </cell>
          <cell r="B1031">
            <v>4</v>
          </cell>
          <cell r="C1031">
            <v>1.23</v>
          </cell>
          <cell r="D1031">
            <v>2.4999999999999911</v>
          </cell>
          <cell r="E1031">
            <v>0.55400000000000005</v>
          </cell>
        </row>
        <row r="1032">
          <cell r="A1032">
            <v>44974</v>
          </cell>
          <cell r="B1032">
            <v>5</v>
          </cell>
          <cell r="C1032">
            <v>1.2350000000000001</v>
          </cell>
          <cell r="D1032" t="str">
            <v>無成交</v>
          </cell>
          <cell r="E1032">
            <v>0.55500000000000005</v>
          </cell>
        </row>
        <row r="1033">
          <cell r="A1033">
            <v>44977</v>
          </cell>
          <cell r="B1033">
            <v>1</v>
          </cell>
          <cell r="C1033">
            <v>1.25</v>
          </cell>
          <cell r="D1033" t="str">
            <v>無成交</v>
          </cell>
          <cell r="E1033">
            <v>0.55500000000000005</v>
          </cell>
        </row>
        <row r="1034">
          <cell r="A1034">
            <v>44978</v>
          </cell>
          <cell r="B1034">
            <v>2</v>
          </cell>
          <cell r="C1034">
            <v>1.2450000000000001</v>
          </cell>
          <cell r="D1034">
            <v>-0.49999999999998934</v>
          </cell>
          <cell r="E1034">
            <v>0.55500000000000005</v>
          </cell>
        </row>
        <row r="1035">
          <cell r="A1035">
            <v>44979</v>
          </cell>
          <cell r="B1035">
            <v>3</v>
          </cell>
          <cell r="C1035">
            <v>1.2450000000000001</v>
          </cell>
          <cell r="D1035" t="str">
            <v>無成交</v>
          </cell>
          <cell r="E1035">
            <v>0.55500000000000005</v>
          </cell>
        </row>
        <row r="1036">
          <cell r="A1036">
            <v>44980</v>
          </cell>
          <cell r="B1036">
            <v>4</v>
          </cell>
          <cell r="C1036">
            <v>1.2</v>
          </cell>
          <cell r="D1036">
            <v>-4.5000000000000151</v>
          </cell>
          <cell r="E1036">
            <v>0.55500000000000005</v>
          </cell>
        </row>
        <row r="1037">
          <cell r="A1037">
            <v>44981</v>
          </cell>
          <cell r="B1037">
            <v>5</v>
          </cell>
          <cell r="C1037">
            <v>1.19</v>
          </cell>
          <cell r="D1037">
            <v>-1.0000000000000009</v>
          </cell>
          <cell r="E1037">
            <v>0.55800000000000005</v>
          </cell>
        </row>
        <row r="1038">
          <cell r="A1038">
            <v>44984</v>
          </cell>
          <cell r="B1038">
            <v>1</v>
          </cell>
          <cell r="C1038">
            <v>1.19</v>
          </cell>
          <cell r="D1038" t="str">
            <v>連假</v>
          </cell>
          <cell r="E1038" t="str">
            <v>X</v>
          </cell>
        </row>
        <row r="1039">
          <cell r="A1039">
            <v>44985</v>
          </cell>
          <cell r="B1039">
            <v>2</v>
          </cell>
          <cell r="C1039">
            <v>1.19</v>
          </cell>
          <cell r="D1039" t="str">
            <v>連假</v>
          </cell>
          <cell r="E1039" t="str">
            <v>X</v>
          </cell>
        </row>
        <row r="1040">
          <cell r="A1040">
            <v>44986</v>
          </cell>
          <cell r="B1040">
            <v>3</v>
          </cell>
          <cell r="C1040">
            <v>1.2</v>
          </cell>
          <cell r="D1040" t="str">
            <v>無成交</v>
          </cell>
          <cell r="E1040">
            <v>0.55400000000000005</v>
          </cell>
        </row>
        <row r="1041">
          <cell r="A1041">
            <v>44987</v>
          </cell>
          <cell r="B1041">
            <v>4</v>
          </cell>
          <cell r="C1041">
            <v>1.25</v>
          </cell>
          <cell r="D1041" t="str">
            <v>盤面無成交</v>
          </cell>
          <cell r="E1041">
            <v>0.55400000000000005</v>
          </cell>
        </row>
        <row r="1042">
          <cell r="A1042">
            <v>44988</v>
          </cell>
          <cell r="B1042">
            <v>5</v>
          </cell>
          <cell r="C1042">
            <v>1.27</v>
          </cell>
          <cell r="D1042">
            <v>2.0000000000000018</v>
          </cell>
          <cell r="E1042">
            <v>0.55500000000000005</v>
          </cell>
        </row>
        <row r="1043">
          <cell r="A1043">
            <v>44991</v>
          </cell>
          <cell r="B1043">
            <v>1</v>
          </cell>
          <cell r="C1043">
            <v>1.2350000000000001</v>
          </cell>
          <cell r="D1043">
            <v>-3.499999999999992</v>
          </cell>
          <cell r="E1043">
            <v>0.55500000000000005</v>
          </cell>
        </row>
        <row r="1044">
          <cell r="A1044">
            <v>44992</v>
          </cell>
          <cell r="B1044">
            <v>2</v>
          </cell>
          <cell r="C1044">
            <v>1.2324999999999999</v>
          </cell>
          <cell r="D1044" t="str">
            <v>無成交</v>
          </cell>
          <cell r="E1044">
            <v>0.55500000000000005</v>
          </cell>
        </row>
        <row r="1045">
          <cell r="A1045">
            <v>44993</v>
          </cell>
          <cell r="B1045">
            <v>3</v>
          </cell>
          <cell r="C1045">
            <v>1.23</v>
          </cell>
          <cell r="D1045">
            <v>-0.24999999999999467</v>
          </cell>
          <cell r="E1045">
            <v>0.55500000000000005</v>
          </cell>
        </row>
        <row r="1046">
          <cell r="A1046">
            <v>44994</v>
          </cell>
          <cell r="B1046">
            <v>4</v>
          </cell>
          <cell r="C1046">
            <v>1.23</v>
          </cell>
          <cell r="D1046">
            <v>0</v>
          </cell>
          <cell r="E1046">
            <v>0.55500000000000005</v>
          </cell>
        </row>
        <row r="1047">
          <cell r="A1047">
            <v>44995</v>
          </cell>
          <cell r="B1047">
            <v>5</v>
          </cell>
          <cell r="C1047">
            <v>1.2</v>
          </cell>
          <cell r="D1047">
            <v>-3.0000000000000027</v>
          </cell>
          <cell r="E1047">
            <v>0.55500000000000005</v>
          </cell>
        </row>
        <row r="1048">
          <cell r="A1048">
            <v>44998</v>
          </cell>
          <cell r="B1048">
            <v>1</v>
          </cell>
          <cell r="C1048">
            <v>1.165</v>
          </cell>
          <cell r="D1048">
            <v>-3.499999999999992</v>
          </cell>
          <cell r="E1048">
            <v>0.55500000000000005</v>
          </cell>
        </row>
        <row r="1049">
          <cell r="A1049">
            <v>44999</v>
          </cell>
          <cell r="B1049">
            <v>2</v>
          </cell>
          <cell r="C1049">
            <v>1.165</v>
          </cell>
          <cell r="D1049">
            <v>0</v>
          </cell>
          <cell r="E1049">
            <v>0.55500000000000005</v>
          </cell>
        </row>
        <row r="1050">
          <cell r="A1050">
            <v>45000</v>
          </cell>
          <cell r="B1050">
            <v>3</v>
          </cell>
          <cell r="C1050">
            <v>1.18</v>
          </cell>
          <cell r="D1050">
            <v>1.4999999999999902</v>
          </cell>
          <cell r="E1050">
            <v>0.55500000000000005</v>
          </cell>
        </row>
        <row r="1051">
          <cell r="A1051">
            <v>45001</v>
          </cell>
          <cell r="B1051">
            <v>4</v>
          </cell>
          <cell r="C1051">
            <v>1.165</v>
          </cell>
          <cell r="D1051">
            <v>-1.4999999999999902</v>
          </cell>
          <cell r="E1051">
            <v>0.55500000000000005</v>
          </cell>
        </row>
        <row r="1052">
          <cell r="A1052">
            <v>45002</v>
          </cell>
          <cell r="B1052">
            <v>5</v>
          </cell>
          <cell r="C1052">
            <v>1.1775</v>
          </cell>
          <cell r="D1052">
            <v>1.2499999999999956</v>
          </cell>
          <cell r="E1052">
            <v>0.55500000000000005</v>
          </cell>
        </row>
        <row r="1053">
          <cell r="A1053">
            <v>45005</v>
          </cell>
          <cell r="B1053">
            <v>1</v>
          </cell>
          <cell r="C1053">
            <v>1.165</v>
          </cell>
          <cell r="D1053">
            <v>-1.2499999999999956</v>
          </cell>
          <cell r="E1053">
            <v>0.55500000000000005</v>
          </cell>
        </row>
        <row r="1054">
          <cell r="A1054">
            <v>45006</v>
          </cell>
          <cell r="B1054">
            <v>2</v>
          </cell>
          <cell r="C1054">
            <v>1.175</v>
          </cell>
          <cell r="D1054" t="str">
            <v>無成交</v>
          </cell>
          <cell r="E1054">
            <v>0.55500000000000005</v>
          </cell>
        </row>
        <row r="1055">
          <cell r="A1055">
            <v>45007</v>
          </cell>
          <cell r="B1055">
            <v>3</v>
          </cell>
          <cell r="C1055">
            <v>1.1950000000000001</v>
          </cell>
          <cell r="D1055" t="str">
            <v>無成交</v>
          </cell>
          <cell r="E1055">
            <v>0.55500000000000005</v>
          </cell>
        </row>
        <row r="1056">
          <cell r="A1056">
            <v>45008</v>
          </cell>
          <cell r="B1056">
            <v>4</v>
          </cell>
          <cell r="C1056">
            <v>1.17</v>
          </cell>
          <cell r="D1056">
            <v>-2.5000000000000133</v>
          </cell>
          <cell r="E1056">
            <v>0.55500000000000005</v>
          </cell>
        </row>
        <row r="1057">
          <cell r="A1057">
            <v>45009</v>
          </cell>
          <cell r="B1057">
            <v>5</v>
          </cell>
          <cell r="C1057">
            <v>1.2</v>
          </cell>
          <cell r="D1057">
            <v>3.0000000000000027</v>
          </cell>
          <cell r="E1057">
            <v>0.68</v>
          </cell>
        </row>
        <row r="1058">
          <cell r="A1058">
            <v>45012</v>
          </cell>
          <cell r="B1058">
            <v>1</v>
          </cell>
          <cell r="C1058">
            <v>1.23</v>
          </cell>
          <cell r="D1058">
            <v>3.0000000000000027</v>
          </cell>
          <cell r="E1058">
            <v>0.68</v>
          </cell>
        </row>
        <row r="1059">
          <cell r="A1059">
            <v>45013</v>
          </cell>
          <cell r="B1059">
            <v>2</v>
          </cell>
          <cell r="C1059">
            <v>1.2050000000000001</v>
          </cell>
          <cell r="D1059">
            <v>-2.4999999999999911</v>
          </cell>
          <cell r="E1059">
            <v>0.68</v>
          </cell>
        </row>
        <row r="1060">
          <cell r="A1060">
            <v>45014</v>
          </cell>
          <cell r="B1060">
            <v>3</v>
          </cell>
          <cell r="C1060">
            <v>1.2224999999999999</v>
          </cell>
          <cell r="D1060">
            <v>1.7499999999999849</v>
          </cell>
          <cell r="E1060">
            <v>0.67900000000000005</v>
          </cell>
        </row>
        <row r="1061">
          <cell r="A1061">
            <v>45015</v>
          </cell>
          <cell r="B1061">
            <v>4</v>
          </cell>
          <cell r="C1061">
            <v>1.2310000000000001</v>
          </cell>
          <cell r="D1061">
            <v>0.85000000000001741</v>
          </cell>
          <cell r="E1061">
            <v>0.67800000000000005</v>
          </cell>
        </row>
        <row r="1062">
          <cell r="A1062">
            <v>45016</v>
          </cell>
          <cell r="B1062">
            <v>5</v>
          </cell>
          <cell r="C1062">
            <v>1.23</v>
          </cell>
          <cell r="D1062">
            <v>-0.10000000000001119</v>
          </cell>
          <cell r="E1062">
            <v>0.68300000000000005</v>
          </cell>
        </row>
        <row r="1063">
          <cell r="A1063">
            <v>45019</v>
          </cell>
          <cell r="B1063">
            <v>1</v>
          </cell>
          <cell r="C1063">
            <v>1.23</v>
          </cell>
          <cell r="D1063" t="str">
            <v>連假</v>
          </cell>
          <cell r="E1063" t="str">
            <v>X</v>
          </cell>
        </row>
        <row r="1064">
          <cell r="A1064">
            <v>45020</v>
          </cell>
          <cell r="B1064">
            <v>2</v>
          </cell>
          <cell r="C1064">
            <v>1.23</v>
          </cell>
          <cell r="D1064" t="str">
            <v>連假</v>
          </cell>
          <cell r="E1064" t="str">
            <v>X</v>
          </cell>
        </row>
        <row r="1065">
          <cell r="A1065">
            <v>45021</v>
          </cell>
          <cell r="B1065">
            <v>3</v>
          </cell>
          <cell r="C1065">
            <v>1.23</v>
          </cell>
          <cell r="D1065" t="str">
            <v>連假</v>
          </cell>
          <cell r="E1065" t="str">
            <v>X</v>
          </cell>
        </row>
        <row r="1066">
          <cell r="A1066">
            <v>45022</v>
          </cell>
          <cell r="B1066">
            <v>4</v>
          </cell>
          <cell r="C1066">
            <v>1.1964999999999999</v>
          </cell>
          <cell r="D1066">
            <v>-3.3500000000000085</v>
          </cell>
          <cell r="E1066">
            <v>0.68</v>
          </cell>
        </row>
        <row r="1067">
          <cell r="A1067">
            <v>45023</v>
          </cell>
          <cell r="B1067">
            <v>5</v>
          </cell>
          <cell r="C1067">
            <v>1.2050000000000001</v>
          </cell>
          <cell r="D1067">
            <v>0.85000000000001741</v>
          </cell>
          <cell r="E1067">
            <v>0.68200000000000005</v>
          </cell>
        </row>
        <row r="1068">
          <cell r="A1068">
            <v>45026</v>
          </cell>
          <cell r="B1068">
            <v>1</v>
          </cell>
          <cell r="C1068">
            <v>1.22</v>
          </cell>
          <cell r="D1068">
            <v>1.4999999999999902</v>
          </cell>
          <cell r="E1068">
            <v>0.68</v>
          </cell>
        </row>
        <row r="1069">
          <cell r="A1069">
            <v>45027</v>
          </cell>
          <cell r="B1069">
            <v>2</v>
          </cell>
          <cell r="C1069">
            <v>1.22</v>
          </cell>
          <cell r="D1069" t="str">
            <v>無成交</v>
          </cell>
          <cell r="E1069">
            <v>0.67900000000000005</v>
          </cell>
        </row>
        <row r="1070">
          <cell r="A1070">
            <v>45028</v>
          </cell>
          <cell r="B1070">
            <v>3</v>
          </cell>
          <cell r="C1070">
            <v>1.2250000000000001</v>
          </cell>
          <cell r="D1070">
            <v>0.50000000000001155</v>
          </cell>
          <cell r="E1070">
            <v>0.67900000000000005</v>
          </cell>
        </row>
        <row r="1071">
          <cell r="A1071">
            <v>45029</v>
          </cell>
          <cell r="B1071">
            <v>4</v>
          </cell>
          <cell r="C1071">
            <v>1.22</v>
          </cell>
          <cell r="D1071">
            <v>-0.50000000000001155</v>
          </cell>
          <cell r="E1071">
            <v>0.67900000000000005</v>
          </cell>
        </row>
        <row r="1072">
          <cell r="A1072">
            <v>45030</v>
          </cell>
          <cell r="B1072">
            <v>5</v>
          </cell>
          <cell r="C1072">
            <v>1.2010000000000001</v>
          </cell>
          <cell r="D1072">
            <v>-1.8999999999999906</v>
          </cell>
          <cell r="E1072">
            <v>0.68</v>
          </cell>
        </row>
        <row r="1073">
          <cell r="A1073">
            <v>45033</v>
          </cell>
          <cell r="B1073">
            <v>1</v>
          </cell>
          <cell r="C1073">
            <v>1.1850000000000001</v>
          </cell>
          <cell r="D1073">
            <v>-1.6000000000000014</v>
          </cell>
          <cell r="E1073">
            <v>0.67800000000000005</v>
          </cell>
        </row>
        <row r="1074">
          <cell r="A1074">
            <v>45034</v>
          </cell>
          <cell r="B1074">
            <v>2</v>
          </cell>
          <cell r="C1074">
            <v>1.1850000000000001</v>
          </cell>
          <cell r="D1074" t="str">
            <v>無成交</v>
          </cell>
          <cell r="E1074">
            <v>0.67800000000000005</v>
          </cell>
        </row>
        <row r="1075">
          <cell r="A1075">
            <v>45035</v>
          </cell>
          <cell r="B1075">
            <v>3</v>
          </cell>
          <cell r="C1075">
            <v>1.1950000000000001</v>
          </cell>
          <cell r="D1075" t="str">
            <v>無成交</v>
          </cell>
          <cell r="E1075">
            <v>0.67700000000000005</v>
          </cell>
        </row>
        <row r="1076">
          <cell r="A1076">
            <v>45036</v>
          </cell>
          <cell r="B1076">
            <v>4</v>
          </cell>
          <cell r="C1076">
            <v>1.1950000000000001</v>
          </cell>
          <cell r="D1076" t="str">
            <v>無成交</v>
          </cell>
          <cell r="E1076">
            <v>0.67700000000000005</v>
          </cell>
        </row>
        <row r="1077">
          <cell r="A1077">
            <v>45037</v>
          </cell>
          <cell r="B1077">
            <v>5</v>
          </cell>
          <cell r="C1077">
            <v>1.1950000000000001</v>
          </cell>
          <cell r="D1077" t="str">
            <v>無成交</v>
          </cell>
          <cell r="E1077">
            <v>0.68</v>
          </cell>
        </row>
        <row r="1078">
          <cell r="A1078">
            <v>45040</v>
          </cell>
          <cell r="B1078">
            <v>1</v>
          </cell>
          <cell r="C1078">
            <v>1.198</v>
          </cell>
          <cell r="D1078">
            <v>0.29999999999998916</v>
          </cell>
          <cell r="E1078">
            <v>0.68</v>
          </cell>
        </row>
        <row r="1079">
          <cell r="A1079">
            <v>45041</v>
          </cell>
          <cell r="B1079">
            <v>2</v>
          </cell>
          <cell r="C1079">
            <v>1.1884999999999999</v>
          </cell>
          <cell r="D1079">
            <v>-0.95000000000000639</v>
          </cell>
          <cell r="E1079">
            <v>0.68</v>
          </cell>
        </row>
        <row r="1080">
          <cell r="A1080">
            <v>45042</v>
          </cell>
          <cell r="B1080">
            <v>3</v>
          </cell>
          <cell r="C1080">
            <v>1.1884999999999999</v>
          </cell>
          <cell r="D1080" t="str">
            <v>無成交</v>
          </cell>
          <cell r="E1080">
            <v>0.68</v>
          </cell>
        </row>
        <row r="1081">
          <cell r="A1081">
            <v>45043</v>
          </cell>
          <cell r="B1081">
            <v>4</v>
          </cell>
          <cell r="C1081">
            <v>1.19</v>
          </cell>
          <cell r="D1081">
            <v>0.15000000000000568</v>
          </cell>
          <cell r="E1081">
            <v>0.67900000000000005</v>
          </cell>
        </row>
        <row r="1082">
          <cell r="A1082">
            <v>45044</v>
          </cell>
          <cell r="B1082">
            <v>5</v>
          </cell>
          <cell r="C1082">
            <v>1.19</v>
          </cell>
          <cell r="D1082" t="str">
            <v>無成交</v>
          </cell>
          <cell r="E1082">
            <v>0.68</v>
          </cell>
        </row>
        <row r="1083">
          <cell r="A1083">
            <v>45047</v>
          </cell>
          <cell r="B1083">
            <v>1</v>
          </cell>
          <cell r="C1083">
            <v>1.19</v>
          </cell>
          <cell r="D1083" t="str">
            <v>連假</v>
          </cell>
          <cell r="E1083" t="str">
            <v>X</v>
          </cell>
        </row>
        <row r="1084">
          <cell r="A1084">
            <v>45048</v>
          </cell>
          <cell r="B1084">
            <v>2</v>
          </cell>
          <cell r="C1084">
            <v>1.1879999999999999</v>
          </cell>
          <cell r="D1084">
            <v>-0.20000000000000018</v>
          </cell>
          <cell r="E1084">
            <v>0.68</v>
          </cell>
        </row>
        <row r="1085">
          <cell r="A1085">
            <v>45049</v>
          </cell>
          <cell r="B1085">
            <v>3</v>
          </cell>
          <cell r="C1085">
            <v>1.181</v>
          </cell>
          <cell r="D1085">
            <v>-0.69999999999998952</v>
          </cell>
          <cell r="E1085">
            <v>0.67800000000000005</v>
          </cell>
        </row>
        <row r="1086">
          <cell r="A1086">
            <v>45050</v>
          </cell>
          <cell r="B1086">
            <v>4</v>
          </cell>
          <cell r="C1086">
            <v>1.165</v>
          </cell>
          <cell r="D1086">
            <v>-1.6000000000000014</v>
          </cell>
          <cell r="E1086">
            <v>0.68</v>
          </cell>
        </row>
        <row r="1087">
          <cell r="A1087">
            <v>45051</v>
          </cell>
          <cell r="B1087">
            <v>5</v>
          </cell>
          <cell r="C1087">
            <v>1.1499999999999999</v>
          </cell>
          <cell r="D1087">
            <v>-1.5000000000000124</v>
          </cell>
          <cell r="E1087">
            <v>0.68</v>
          </cell>
        </row>
        <row r="1088">
          <cell r="A1088">
            <v>45054</v>
          </cell>
          <cell r="B1088">
            <v>1</v>
          </cell>
          <cell r="C1088">
            <v>1.1499999999999999</v>
          </cell>
          <cell r="D1088" t="str">
            <v>無成交</v>
          </cell>
          <cell r="E1088">
            <v>0.67900000000000005</v>
          </cell>
        </row>
        <row r="1089">
          <cell r="A1089">
            <v>45055</v>
          </cell>
          <cell r="B1089">
            <v>2</v>
          </cell>
          <cell r="C1089">
            <v>1.1499999999999999</v>
          </cell>
          <cell r="D1089" t="str">
            <v>無成交</v>
          </cell>
          <cell r="E1089">
            <v>0.68</v>
          </cell>
        </row>
        <row r="1090">
          <cell r="A1090">
            <v>45056</v>
          </cell>
          <cell r="B1090">
            <v>3</v>
          </cell>
          <cell r="C1090">
            <v>1.1499999999999999</v>
          </cell>
          <cell r="D1090" t="str">
            <v>無成交</v>
          </cell>
          <cell r="E1090">
            <v>0.68100000000000005</v>
          </cell>
        </row>
        <row r="1091">
          <cell r="A1091">
            <v>45057</v>
          </cell>
          <cell r="B1091">
            <v>4</v>
          </cell>
          <cell r="C1091">
            <v>1.1499999999999999</v>
          </cell>
          <cell r="D1091">
            <v>0</v>
          </cell>
          <cell r="E1091">
            <v>0.68</v>
          </cell>
        </row>
        <row r="1092">
          <cell r="A1092">
            <v>45058</v>
          </cell>
          <cell r="B1092">
            <v>5</v>
          </cell>
          <cell r="C1092">
            <v>1.1399999999999999</v>
          </cell>
          <cell r="D1092">
            <v>-1.0000000000000009</v>
          </cell>
          <cell r="E1092">
            <v>0.68</v>
          </cell>
        </row>
        <row r="1093">
          <cell r="A1093">
            <v>45061</v>
          </cell>
          <cell r="B1093">
            <v>1</v>
          </cell>
          <cell r="C1093">
            <v>1.1499999999999999</v>
          </cell>
          <cell r="D1093" t="str">
            <v>無成交</v>
          </cell>
          <cell r="E1093">
            <v>0.68</v>
          </cell>
        </row>
        <row r="1094">
          <cell r="A1094">
            <v>45062</v>
          </cell>
          <cell r="B1094">
            <v>2</v>
          </cell>
          <cell r="C1094">
            <v>1.1599999999999999</v>
          </cell>
          <cell r="D1094" t="str">
            <v>無成交</v>
          </cell>
          <cell r="E1094">
            <v>0.68</v>
          </cell>
        </row>
        <row r="1095">
          <cell r="A1095">
            <v>45063</v>
          </cell>
          <cell r="B1095">
            <v>3</v>
          </cell>
          <cell r="C1095">
            <v>1.1599999999999999</v>
          </cell>
          <cell r="D1095" t="str">
            <v>無成交</v>
          </cell>
          <cell r="E1095">
            <v>0.68</v>
          </cell>
        </row>
        <row r="1096">
          <cell r="A1096">
            <v>45064</v>
          </cell>
          <cell r="B1096">
            <v>4</v>
          </cell>
          <cell r="C1096">
            <v>1.1599999999999999</v>
          </cell>
          <cell r="D1096" t="str">
            <v>無成交</v>
          </cell>
          <cell r="E1096">
            <v>0.68</v>
          </cell>
        </row>
        <row r="1097">
          <cell r="A1097">
            <v>45065</v>
          </cell>
          <cell r="B1097">
            <v>5</v>
          </cell>
          <cell r="C1097">
            <v>1.1679999999999999</v>
          </cell>
          <cell r="D1097">
            <v>0.80000000000000071</v>
          </cell>
          <cell r="E1097">
            <v>0.68100000000000005</v>
          </cell>
        </row>
        <row r="1098">
          <cell r="A1098">
            <v>45068</v>
          </cell>
          <cell r="B1098">
            <v>1</v>
          </cell>
          <cell r="C1098">
            <v>1.167</v>
          </cell>
          <cell r="D1098" t="str">
            <v>無成交</v>
          </cell>
          <cell r="E1098">
            <v>0.68</v>
          </cell>
        </row>
        <row r="1099">
          <cell r="A1099">
            <v>45069</v>
          </cell>
          <cell r="B1099">
            <v>2</v>
          </cell>
          <cell r="C1099">
            <v>1.1695</v>
          </cell>
          <cell r="D1099">
            <v>0.24999999999999467</v>
          </cell>
          <cell r="E1099">
            <v>0.68</v>
          </cell>
        </row>
        <row r="1100">
          <cell r="A1100">
            <v>45070</v>
          </cell>
          <cell r="B1100">
            <v>3</v>
          </cell>
          <cell r="C1100">
            <v>1.1725000000000001</v>
          </cell>
          <cell r="D1100">
            <v>0.30000000000001137</v>
          </cell>
          <cell r="E1100">
            <v>0.67900000000000005</v>
          </cell>
        </row>
        <row r="1101">
          <cell r="A1101">
            <v>45071</v>
          </cell>
          <cell r="B1101">
            <v>4</v>
          </cell>
          <cell r="C1101">
            <v>1.1725000000000001</v>
          </cell>
          <cell r="D1101" t="str">
            <v>無成交</v>
          </cell>
          <cell r="E1101">
            <v>0.67900000000000005</v>
          </cell>
        </row>
        <row r="1102">
          <cell r="A1102">
            <v>45072</v>
          </cell>
          <cell r="B1102">
            <v>5</v>
          </cell>
          <cell r="C1102">
            <v>1.1725000000000001</v>
          </cell>
          <cell r="D1102" t="str">
            <v>無成交</v>
          </cell>
          <cell r="E1102">
            <v>0.68</v>
          </cell>
        </row>
        <row r="1103">
          <cell r="A1103">
            <v>45075</v>
          </cell>
          <cell r="B1103">
            <v>1</v>
          </cell>
          <cell r="C1103">
            <v>1.18</v>
          </cell>
          <cell r="D1103">
            <v>0.74999999999998401</v>
          </cell>
          <cell r="E1103">
            <v>0.68100000000000005</v>
          </cell>
        </row>
        <row r="1104">
          <cell r="A1104">
            <v>45076</v>
          </cell>
          <cell r="B1104">
            <v>2</v>
          </cell>
          <cell r="C1104">
            <v>1.1850000000000001</v>
          </cell>
          <cell r="D1104">
            <v>0.50000000000001155</v>
          </cell>
          <cell r="E1104">
            <v>0.68100000000000005</v>
          </cell>
        </row>
        <row r="1105">
          <cell r="A1105">
            <v>45077</v>
          </cell>
          <cell r="B1105">
            <v>3</v>
          </cell>
          <cell r="C1105">
            <v>1.175</v>
          </cell>
          <cell r="D1105">
            <v>-1.0000000000000009</v>
          </cell>
          <cell r="E1105">
            <v>0.68500000000000005</v>
          </cell>
        </row>
        <row r="1106">
          <cell r="A1106">
            <v>45078</v>
          </cell>
          <cell r="B1106">
            <v>4</v>
          </cell>
          <cell r="C1106">
            <v>1.1850000000000001</v>
          </cell>
          <cell r="D1106" t="str">
            <v>無成交</v>
          </cell>
          <cell r="E1106">
            <v>0.68500000000000005</v>
          </cell>
        </row>
        <row r="1107">
          <cell r="A1107">
            <v>45079</v>
          </cell>
          <cell r="B1107">
            <v>5</v>
          </cell>
          <cell r="C1107">
            <v>1.1850000000000001</v>
          </cell>
          <cell r="D1107" t="str">
            <v>無成交</v>
          </cell>
          <cell r="E1107">
            <v>0.68500000000000005</v>
          </cell>
        </row>
        <row r="1108">
          <cell r="A1108">
            <v>45082</v>
          </cell>
          <cell r="B1108">
            <v>1</v>
          </cell>
          <cell r="C1108">
            <v>1.19</v>
          </cell>
          <cell r="D1108">
            <v>0.49999999999998934</v>
          </cell>
          <cell r="E1108">
            <v>0.68200000000000005</v>
          </cell>
        </row>
        <row r="1109">
          <cell r="A1109">
            <v>45083</v>
          </cell>
          <cell r="B1109">
            <v>2</v>
          </cell>
          <cell r="C1109">
            <v>1.17</v>
          </cell>
          <cell r="D1109">
            <v>-2.0000000000000018</v>
          </cell>
          <cell r="E1109">
            <v>0.68300000000000005</v>
          </cell>
        </row>
        <row r="1110">
          <cell r="A1110">
            <v>45084</v>
          </cell>
          <cell r="B1110">
            <v>3</v>
          </cell>
          <cell r="C1110">
            <v>1.1659999999999999</v>
          </cell>
          <cell r="D1110">
            <v>-0.40000000000000036</v>
          </cell>
          <cell r="E1110">
            <v>0.68300000000000005</v>
          </cell>
        </row>
        <row r="1111">
          <cell r="A1111">
            <v>45085</v>
          </cell>
          <cell r="B1111">
            <v>4</v>
          </cell>
          <cell r="C1111">
            <v>1.17</v>
          </cell>
          <cell r="D1111" t="str">
            <v>無成交</v>
          </cell>
          <cell r="E1111">
            <v>0.68300000000000005</v>
          </cell>
        </row>
        <row r="1112">
          <cell r="A1112">
            <v>45086</v>
          </cell>
          <cell r="B1112">
            <v>5</v>
          </cell>
          <cell r="C1112">
            <v>1.17</v>
          </cell>
          <cell r="D1112" t="str">
            <v>無成交</v>
          </cell>
          <cell r="E1112">
            <v>0.68500000000000005</v>
          </cell>
        </row>
        <row r="1113">
          <cell r="A1113">
            <v>45089</v>
          </cell>
          <cell r="B1113">
            <v>1</v>
          </cell>
          <cell r="C1113">
            <v>1.17</v>
          </cell>
          <cell r="D1113" t="str">
            <v>無成交</v>
          </cell>
          <cell r="E1113">
            <v>0.68200000000000005</v>
          </cell>
        </row>
        <row r="1114">
          <cell r="A1114">
            <v>45090</v>
          </cell>
          <cell r="B1114">
            <v>2</v>
          </cell>
          <cell r="C1114">
            <v>1.17</v>
          </cell>
          <cell r="D1114" t="str">
            <v>無成交</v>
          </cell>
          <cell r="E1114">
            <v>0.68200000000000005</v>
          </cell>
        </row>
        <row r="1115">
          <cell r="A1115">
            <v>45091</v>
          </cell>
          <cell r="B1115">
            <v>3</v>
          </cell>
          <cell r="C1115">
            <v>1.175</v>
          </cell>
          <cell r="D1115" t="str">
            <v>無成交</v>
          </cell>
          <cell r="E1115">
            <v>0.68200000000000005</v>
          </cell>
        </row>
        <row r="1116">
          <cell r="A1116">
            <v>45092</v>
          </cell>
          <cell r="B1116">
            <v>4</v>
          </cell>
          <cell r="C1116">
            <v>1.175</v>
          </cell>
          <cell r="D1116" t="str">
            <v>無成交</v>
          </cell>
          <cell r="E1116">
            <v>0.68200000000000005</v>
          </cell>
        </row>
        <row r="1117">
          <cell r="A1117">
            <v>45093</v>
          </cell>
          <cell r="B1117">
            <v>5</v>
          </cell>
          <cell r="C1117">
            <v>1.1599999999999999</v>
          </cell>
          <cell r="D1117">
            <v>-1.5000000000000124</v>
          </cell>
          <cell r="E1117">
            <v>0.68</v>
          </cell>
        </row>
        <row r="1118">
          <cell r="A1118">
            <v>45096</v>
          </cell>
          <cell r="B1118">
            <v>1</v>
          </cell>
          <cell r="C1118">
            <v>1.167</v>
          </cell>
          <cell r="D1118" t="str">
            <v>無成交</v>
          </cell>
          <cell r="E1118">
            <v>0.68</v>
          </cell>
        </row>
        <row r="1119">
          <cell r="A1119">
            <v>45097</v>
          </cell>
          <cell r="B1119">
            <v>2</v>
          </cell>
          <cell r="C1119">
            <v>1.167</v>
          </cell>
          <cell r="D1119" t="str">
            <v>無成交</v>
          </cell>
          <cell r="E1119">
            <v>0.68</v>
          </cell>
        </row>
        <row r="1120">
          <cell r="A1120">
            <v>45098</v>
          </cell>
          <cell r="B1120">
            <v>3</v>
          </cell>
          <cell r="C1120">
            <v>1.167</v>
          </cell>
          <cell r="D1120" t="str">
            <v>無成交</v>
          </cell>
          <cell r="E1120">
            <v>0.68500000000000005</v>
          </cell>
        </row>
        <row r="1121">
          <cell r="A1121">
            <v>45099</v>
          </cell>
          <cell r="B1121">
            <v>4</v>
          </cell>
          <cell r="C1121">
            <v>1.167</v>
          </cell>
          <cell r="D1121" t="str">
            <v>連假</v>
          </cell>
          <cell r="E1121" t="str">
            <v>X</v>
          </cell>
        </row>
        <row r="1122">
          <cell r="A1122">
            <v>45100</v>
          </cell>
          <cell r="B1122">
            <v>5</v>
          </cell>
          <cell r="C1122">
            <v>1.167</v>
          </cell>
          <cell r="D1122" t="str">
            <v>連假</v>
          </cell>
          <cell r="E1122" t="str">
            <v>X</v>
          </cell>
        </row>
        <row r="1123">
          <cell r="A1123">
            <v>45103</v>
          </cell>
          <cell r="B1123">
            <v>1</v>
          </cell>
          <cell r="C1123">
            <v>1.167</v>
          </cell>
          <cell r="D1123" t="str">
            <v>無成交</v>
          </cell>
          <cell r="E1123">
            <v>0.68</v>
          </cell>
        </row>
        <row r="1124">
          <cell r="A1124">
            <v>45104</v>
          </cell>
          <cell r="B1124">
            <v>2</v>
          </cell>
          <cell r="C1124">
            <v>1.167</v>
          </cell>
          <cell r="D1124" t="str">
            <v>無成交</v>
          </cell>
          <cell r="E1124">
            <v>0.68</v>
          </cell>
        </row>
        <row r="1125">
          <cell r="A1125">
            <v>45105</v>
          </cell>
          <cell r="B1125">
            <v>3</v>
          </cell>
          <cell r="C1125">
            <v>1.167</v>
          </cell>
          <cell r="D1125" t="str">
            <v>無成交</v>
          </cell>
          <cell r="E1125">
            <v>0.68</v>
          </cell>
        </row>
        <row r="1126">
          <cell r="A1126">
            <v>45106</v>
          </cell>
          <cell r="B1126">
            <v>4</v>
          </cell>
          <cell r="C1126">
            <v>1.167</v>
          </cell>
          <cell r="D1126" t="str">
            <v>無成交</v>
          </cell>
          <cell r="E1126">
            <v>0.67900000000000005</v>
          </cell>
        </row>
        <row r="1127">
          <cell r="A1127">
            <v>45107</v>
          </cell>
          <cell r="B1127">
            <v>5</v>
          </cell>
          <cell r="C1127">
            <v>1.167</v>
          </cell>
          <cell r="D1127" t="str">
            <v>無成交</v>
          </cell>
          <cell r="E1127">
            <v>0.68</v>
          </cell>
        </row>
        <row r="1128">
          <cell r="A1128">
            <v>45110</v>
          </cell>
          <cell r="B1128">
            <v>1</v>
          </cell>
          <cell r="C1128">
            <v>1.167</v>
          </cell>
          <cell r="D1128" t="str">
            <v>無成交</v>
          </cell>
          <cell r="E1128">
            <v>0.67900000000000005</v>
          </cell>
        </row>
        <row r="1129">
          <cell r="A1129">
            <v>45111</v>
          </cell>
          <cell r="B1129">
            <v>2</v>
          </cell>
          <cell r="C1129">
            <v>1.1679999999999999</v>
          </cell>
          <cell r="D1129">
            <v>9.9999999999988987E-2</v>
          </cell>
          <cell r="E1129">
            <v>0.68</v>
          </cell>
        </row>
        <row r="1130">
          <cell r="A1130">
            <v>45112</v>
          </cell>
          <cell r="B1130">
            <v>3</v>
          </cell>
          <cell r="C1130">
            <v>1.1585000000000001</v>
          </cell>
          <cell r="D1130">
            <v>-0.94999999999998419</v>
          </cell>
          <cell r="E1130">
            <v>0.68</v>
          </cell>
        </row>
        <row r="1131">
          <cell r="A1131">
            <v>45113</v>
          </cell>
          <cell r="B1131">
            <v>4</v>
          </cell>
          <cell r="C1131">
            <v>1.1759999999999999</v>
          </cell>
          <cell r="D1131">
            <v>1.7499999999999849</v>
          </cell>
          <cell r="E1131">
            <v>0.68</v>
          </cell>
        </row>
        <row r="1132">
          <cell r="A1132">
            <v>45114</v>
          </cell>
          <cell r="B1132">
            <v>5</v>
          </cell>
          <cell r="C1132">
            <v>1.1739999999999999</v>
          </cell>
          <cell r="D1132">
            <v>-0.20000000000000018</v>
          </cell>
          <cell r="E1132">
            <v>0.68</v>
          </cell>
        </row>
        <row r="1133">
          <cell r="A1133">
            <v>45117</v>
          </cell>
          <cell r="B1133">
            <v>1</v>
          </cell>
          <cell r="C1133">
            <v>1.1839999999999999</v>
          </cell>
          <cell r="D1133">
            <v>1.0000000000000009</v>
          </cell>
          <cell r="E1133">
            <v>0.67900000000000005</v>
          </cell>
        </row>
        <row r="1134">
          <cell r="A1134">
            <v>45118</v>
          </cell>
          <cell r="B1134">
            <v>2</v>
          </cell>
          <cell r="C1134">
            <v>1.1735</v>
          </cell>
          <cell r="D1134">
            <v>-1.0499999999999954</v>
          </cell>
          <cell r="E1134">
            <v>0.67900000000000005</v>
          </cell>
        </row>
        <row r="1135">
          <cell r="A1135">
            <v>45119</v>
          </cell>
          <cell r="B1135">
            <v>3</v>
          </cell>
          <cell r="C1135">
            <v>1.17</v>
          </cell>
          <cell r="D1135">
            <v>-0.35000000000000586</v>
          </cell>
          <cell r="E1135">
            <v>0.67900000000000005</v>
          </cell>
        </row>
        <row r="1136">
          <cell r="A1136">
            <v>45120</v>
          </cell>
          <cell r="B1136">
            <v>4</v>
          </cell>
          <cell r="C1136">
            <v>1.1579999999999999</v>
          </cell>
          <cell r="D1136">
            <v>-1.2000000000000011</v>
          </cell>
          <cell r="E1136">
            <v>0.67900000000000005</v>
          </cell>
        </row>
        <row r="1137">
          <cell r="A1137">
            <v>45121</v>
          </cell>
          <cell r="B1137">
            <v>5</v>
          </cell>
          <cell r="C1137">
            <v>1.165</v>
          </cell>
          <cell r="D1137">
            <v>0.70000000000001172</v>
          </cell>
          <cell r="E1137">
            <v>0.68</v>
          </cell>
        </row>
        <row r="1138">
          <cell r="A1138">
            <v>45124</v>
          </cell>
          <cell r="B1138">
            <v>1</v>
          </cell>
          <cell r="C1138">
            <v>1.1649</v>
          </cell>
          <cell r="D1138">
            <v>-9.9999999999988987E-3</v>
          </cell>
          <cell r="E1138">
            <v>0.67900000000000005</v>
          </cell>
        </row>
        <row r="1139">
          <cell r="A1139">
            <v>45125</v>
          </cell>
          <cell r="B1139">
            <v>2</v>
          </cell>
          <cell r="C1139">
            <v>1.1599999999999999</v>
          </cell>
          <cell r="D1139">
            <v>-0.49000000000001265</v>
          </cell>
          <cell r="E1139">
            <v>0.68</v>
          </cell>
        </row>
        <row r="1140">
          <cell r="A1140">
            <v>45126</v>
          </cell>
          <cell r="B1140">
            <v>3</v>
          </cell>
          <cell r="C1140">
            <v>1.153</v>
          </cell>
          <cell r="D1140">
            <v>-0.69999999999998952</v>
          </cell>
          <cell r="E1140">
            <v>0.68</v>
          </cell>
        </row>
        <row r="1141">
          <cell r="A1141">
            <v>45127</v>
          </cell>
          <cell r="B1141">
            <v>4</v>
          </cell>
          <cell r="C1141">
            <v>1.1555</v>
          </cell>
          <cell r="D1141">
            <v>0.24999999999999467</v>
          </cell>
          <cell r="E1141">
            <v>0.68</v>
          </cell>
        </row>
        <row r="1142">
          <cell r="A1142">
            <v>45128</v>
          </cell>
          <cell r="B1142">
            <v>5</v>
          </cell>
          <cell r="C1142">
            <v>1.1575</v>
          </cell>
          <cell r="D1142">
            <v>0.20000000000000018</v>
          </cell>
          <cell r="E1142">
            <v>0.68</v>
          </cell>
        </row>
        <row r="1143">
          <cell r="A1143">
            <v>45131</v>
          </cell>
          <cell r="B1143">
            <v>1</v>
          </cell>
          <cell r="C1143">
            <v>1.1575</v>
          </cell>
          <cell r="D1143" t="str">
            <v>無成交</v>
          </cell>
          <cell r="E1143">
            <v>0.67900000000000005</v>
          </cell>
        </row>
        <row r="1144">
          <cell r="A1144">
            <v>45132</v>
          </cell>
          <cell r="B1144">
            <v>2</v>
          </cell>
          <cell r="C1144">
            <v>1.1639999999999999</v>
          </cell>
          <cell r="D1144">
            <v>0.64999999999999503</v>
          </cell>
          <cell r="E1144">
            <v>0.68</v>
          </cell>
        </row>
        <row r="1145">
          <cell r="A1145">
            <v>45133</v>
          </cell>
          <cell r="B1145">
            <v>3</v>
          </cell>
          <cell r="C1145">
            <v>1.165</v>
          </cell>
          <cell r="D1145">
            <v>0.10000000000001119</v>
          </cell>
          <cell r="E1145">
            <v>0.68</v>
          </cell>
        </row>
        <row r="1146">
          <cell r="A1146">
            <v>45134</v>
          </cell>
          <cell r="B1146">
            <v>4</v>
          </cell>
          <cell r="C1146">
            <v>1.1560999999999999</v>
          </cell>
          <cell r="D1146">
            <v>-0.890000000000013</v>
          </cell>
          <cell r="E1146">
            <v>0.68</v>
          </cell>
        </row>
        <row r="1147">
          <cell r="A1147">
            <v>45135</v>
          </cell>
          <cell r="B1147">
            <v>5</v>
          </cell>
          <cell r="C1147">
            <v>1.1719999999999999</v>
          </cell>
          <cell r="D1147">
            <v>1.5900000000000025</v>
          </cell>
          <cell r="E1147">
            <v>0.68</v>
          </cell>
        </row>
        <row r="1148">
          <cell r="A1148">
            <v>45138</v>
          </cell>
          <cell r="B1148">
            <v>1</v>
          </cell>
          <cell r="C1148">
            <v>1.1765000000000001</v>
          </cell>
          <cell r="D1148">
            <v>0.45000000000001705</v>
          </cell>
          <cell r="E1148">
            <v>0.68</v>
          </cell>
        </row>
        <row r="1149">
          <cell r="A1149">
            <v>45139</v>
          </cell>
          <cell r="B1149">
            <v>2</v>
          </cell>
          <cell r="C1149">
            <v>1.1738</v>
          </cell>
          <cell r="D1149" t="str">
            <v>無成交</v>
          </cell>
          <cell r="E1149">
            <v>0.67900000000000005</v>
          </cell>
        </row>
        <row r="1150">
          <cell r="A1150">
            <v>45140</v>
          </cell>
          <cell r="B1150">
            <v>3</v>
          </cell>
          <cell r="C1150">
            <v>1.177</v>
          </cell>
          <cell r="D1150">
            <v>0.32000000000000917</v>
          </cell>
          <cell r="E1150">
            <v>0.67900000000000005</v>
          </cell>
        </row>
        <row r="1151">
          <cell r="A1151">
            <v>45141</v>
          </cell>
          <cell r="B1151">
            <v>4</v>
          </cell>
          <cell r="C1151">
            <v>1.177</v>
          </cell>
          <cell r="D1151" t="str">
            <v>休市</v>
          </cell>
          <cell r="E1151">
            <v>0.68</v>
          </cell>
        </row>
        <row r="1152">
          <cell r="A1152">
            <v>45142</v>
          </cell>
          <cell r="B1152">
            <v>5</v>
          </cell>
          <cell r="C1152">
            <v>1.1910000000000001</v>
          </cell>
          <cell r="D1152">
            <v>1.4000000000000012</v>
          </cell>
          <cell r="E1152">
            <v>0.68</v>
          </cell>
        </row>
        <row r="1153">
          <cell r="A1153">
            <v>45145</v>
          </cell>
          <cell r="B1153">
            <v>1</v>
          </cell>
          <cell r="C1153">
            <v>1.18</v>
          </cell>
          <cell r="D1153">
            <v>-1.1000000000000121</v>
          </cell>
          <cell r="E1153">
            <v>0.68</v>
          </cell>
        </row>
        <row r="1154">
          <cell r="A1154">
            <v>45146</v>
          </cell>
          <cell r="B1154">
            <v>2</v>
          </cell>
          <cell r="C1154">
            <v>1.177</v>
          </cell>
          <cell r="D1154">
            <v>-0.29999999999998916</v>
          </cell>
          <cell r="E1154">
            <v>0.68</v>
          </cell>
        </row>
        <row r="1155">
          <cell r="A1155">
            <v>45147</v>
          </cell>
          <cell r="B1155">
            <v>3</v>
          </cell>
          <cell r="C1155">
            <v>1.177</v>
          </cell>
          <cell r="D1155" t="str">
            <v>無成交</v>
          </cell>
          <cell r="E1155">
            <v>0.68200000000000005</v>
          </cell>
        </row>
        <row r="1156">
          <cell r="A1156">
            <v>45148</v>
          </cell>
          <cell r="B1156">
            <v>4</v>
          </cell>
          <cell r="C1156">
            <v>1.1805000000000001</v>
          </cell>
          <cell r="D1156" t="str">
            <v>無成交</v>
          </cell>
          <cell r="E1156">
            <v>0.68200000000000005</v>
          </cell>
        </row>
        <row r="1157">
          <cell r="A1157">
            <v>45149</v>
          </cell>
          <cell r="B1157">
            <v>5</v>
          </cell>
          <cell r="C1157">
            <v>1.1850000000000001</v>
          </cell>
          <cell r="D1157">
            <v>0.44999999999999485</v>
          </cell>
          <cell r="E1157">
            <v>0.68200000000000005</v>
          </cell>
        </row>
        <row r="1158">
          <cell r="A1158">
            <v>45152</v>
          </cell>
          <cell r="B1158">
            <v>1</v>
          </cell>
          <cell r="C1158">
            <v>1.19</v>
          </cell>
          <cell r="D1158">
            <v>0.49999999999998934</v>
          </cell>
          <cell r="E1158">
            <v>0.68300000000000005</v>
          </cell>
        </row>
        <row r="1159">
          <cell r="A1159">
            <v>45153</v>
          </cell>
          <cell r="B1159">
            <v>2</v>
          </cell>
          <cell r="C1159">
            <v>1.1950000000000001</v>
          </cell>
          <cell r="D1159">
            <v>0.50000000000001155</v>
          </cell>
          <cell r="E1159">
            <v>0.68</v>
          </cell>
        </row>
        <row r="1160">
          <cell r="A1160">
            <v>45154</v>
          </cell>
          <cell r="B1160">
            <v>3</v>
          </cell>
          <cell r="C1160">
            <v>1.1859999999999999</v>
          </cell>
          <cell r="D1160">
            <v>-0.9000000000000119</v>
          </cell>
          <cell r="E1160">
            <v>0.68</v>
          </cell>
        </row>
        <row r="1161">
          <cell r="A1161">
            <v>45155</v>
          </cell>
          <cell r="B1161">
            <v>4</v>
          </cell>
          <cell r="C1161">
            <v>1.1988000000000001</v>
          </cell>
          <cell r="D1161">
            <v>1.2800000000000145</v>
          </cell>
          <cell r="E1161">
            <v>0.67900000000000005</v>
          </cell>
        </row>
        <row r="1162">
          <cell r="A1162">
            <v>45156</v>
          </cell>
          <cell r="B1162">
            <v>5</v>
          </cell>
          <cell r="C1162">
            <v>1.1915</v>
          </cell>
          <cell r="D1162">
            <v>-0.73000000000000842</v>
          </cell>
          <cell r="E1162">
            <v>0.68</v>
          </cell>
        </row>
        <row r="1163">
          <cell r="A1163">
            <v>45159</v>
          </cell>
          <cell r="B1163">
            <v>1</v>
          </cell>
          <cell r="D1163" t="str">
            <v/>
          </cell>
        </row>
        <row r="1164">
          <cell r="A1164">
            <v>45160</v>
          </cell>
          <cell r="B1164">
            <v>2</v>
          </cell>
          <cell r="D1164" t="str">
            <v/>
          </cell>
        </row>
        <row r="1165">
          <cell r="A1165">
            <v>45161</v>
          </cell>
          <cell r="B1165">
            <v>3</v>
          </cell>
          <cell r="D1165" t="str">
            <v/>
          </cell>
        </row>
        <row r="1166">
          <cell r="A1166">
            <v>45162</v>
          </cell>
          <cell r="B1166">
            <v>4</v>
          </cell>
          <cell r="D1166" t="str">
            <v/>
          </cell>
        </row>
        <row r="1167">
          <cell r="A1167">
            <v>45163</v>
          </cell>
          <cell r="B1167">
            <v>5</v>
          </cell>
          <cell r="D1167" t="str">
            <v/>
          </cell>
        </row>
        <row r="1168">
          <cell r="A1168">
            <v>45166</v>
          </cell>
          <cell r="B1168">
            <v>1</v>
          </cell>
          <cell r="D1168" t="str">
            <v/>
          </cell>
        </row>
        <row r="1169">
          <cell r="A1169">
            <v>45167</v>
          </cell>
          <cell r="B1169">
            <v>2</v>
          </cell>
          <cell r="D1169" t="str">
            <v/>
          </cell>
        </row>
        <row r="1170">
          <cell r="A1170">
            <v>45168</v>
          </cell>
          <cell r="B1170">
            <v>3</v>
          </cell>
          <cell r="D1170" t="str">
            <v/>
          </cell>
        </row>
        <row r="1171">
          <cell r="A1171">
            <v>45169</v>
          </cell>
          <cell r="B1171">
            <v>4</v>
          </cell>
          <cell r="D1171" t="str">
            <v/>
          </cell>
        </row>
        <row r="1172">
          <cell r="A1172">
            <v>45170</v>
          </cell>
          <cell r="B1172">
            <v>5</v>
          </cell>
          <cell r="D1172" t="str">
            <v/>
          </cell>
        </row>
        <row r="1173">
          <cell r="A1173">
            <v>45173</v>
          </cell>
          <cell r="B1173">
            <v>1</v>
          </cell>
          <cell r="D1173" t="str">
            <v/>
          </cell>
        </row>
        <row r="1174">
          <cell r="A1174">
            <v>45174</v>
          </cell>
          <cell r="B1174">
            <v>2</v>
          </cell>
          <cell r="D1174" t="str">
            <v/>
          </cell>
        </row>
        <row r="1175">
          <cell r="A1175">
            <v>45175</v>
          </cell>
          <cell r="B1175">
            <v>3</v>
          </cell>
          <cell r="D1175" t="str">
            <v/>
          </cell>
        </row>
        <row r="1176">
          <cell r="A1176">
            <v>45176</v>
          </cell>
          <cell r="B1176">
            <v>4</v>
          </cell>
          <cell r="D1176" t="str">
            <v/>
          </cell>
        </row>
        <row r="1177">
          <cell r="A1177">
            <v>45177</v>
          </cell>
          <cell r="B1177">
            <v>5</v>
          </cell>
          <cell r="D1177" t="str">
            <v/>
          </cell>
        </row>
        <row r="1178">
          <cell r="A1178">
            <v>45180</v>
          </cell>
          <cell r="B1178">
            <v>1</v>
          </cell>
          <cell r="D1178" t="str">
            <v/>
          </cell>
        </row>
        <row r="1179">
          <cell r="A1179">
            <v>45181</v>
          </cell>
          <cell r="B1179">
            <v>2</v>
          </cell>
          <cell r="D1179" t="str">
            <v/>
          </cell>
        </row>
        <row r="1180">
          <cell r="A1180">
            <v>45182</v>
          </cell>
          <cell r="B1180">
            <v>3</v>
          </cell>
          <cell r="D1180" t="str">
            <v/>
          </cell>
        </row>
        <row r="1181">
          <cell r="A1181">
            <v>45183</v>
          </cell>
          <cell r="B1181">
            <v>4</v>
          </cell>
          <cell r="D1181" t="str">
            <v/>
          </cell>
        </row>
        <row r="1182">
          <cell r="A1182">
            <v>45184</v>
          </cell>
          <cell r="B1182">
            <v>5</v>
          </cell>
          <cell r="D1182" t="str">
            <v/>
          </cell>
        </row>
        <row r="1183">
          <cell r="A1183">
            <v>45187</v>
          </cell>
          <cell r="B1183">
            <v>1</v>
          </cell>
          <cell r="D1183" t="str">
            <v/>
          </cell>
        </row>
        <row r="1184">
          <cell r="A1184">
            <v>45188</v>
          </cell>
          <cell r="B1184">
            <v>2</v>
          </cell>
          <cell r="D1184" t="str">
            <v/>
          </cell>
        </row>
        <row r="1185">
          <cell r="A1185">
            <v>45189</v>
          </cell>
          <cell r="B1185">
            <v>3</v>
          </cell>
          <cell r="D1185" t="str">
            <v/>
          </cell>
        </row>
        <row r="1186">
          <cell r="A1186">
            <v>45190</v>
          </cell>
          <cell r="B1186">
            <v>4</v>
          </cell>
          <cell r="D1186" t="str">
            <v/>
          </cell>
        </row>
        <row r="1187">
          <cell r="A1187">
            <v>45191</v>
          </cell>
          <cell r="B1187">
            <v>5</v>
          </cell>
          <cell r="D1187" t="str">
            <v/>
          </cell>
        </row>
        <row r="1188">
          <cell r="A1188">
            <v>45194</v>
          </cell>
          <cell r="B1188">
            <v>1</v>
          </cell>
          <cell r="D1188" t="str">
            <v/>
          </cell>
        </row>
        <row r="1189">
          <cell r="A1189">
            <v>45195</v>
          </cell>
          <cell r="B1189">
            <v>2</v>
          </cell>
          <cell r="D1189" t="str">
            <v/>
          </cell>
        </row>
        <row r="1190">
          <cell r="A1190">
            <v>45196</v>
          </cell>
          <cell r="B1190">
            <v>3</v>
          </cell>
          <cell r="D1190" t="str">
            <v/>
          </cell>
        </row>
        <row r="1191">
          <cell r="A1191">
            <v>45197</v>
          </cell>
          <cell r="B1191">
            <v>4</v>
          </cell>
          <cell r="D1191" t="str">
            <v/>
          </cell>
        </row>
        <row r="1192">
          <cell r="A1192">
            <v>45198</v>
          </cell>
          <cell r="B1192">
            <v>5</v>
          </cell>
          <cell r="D1192" t="str">
            <v/>
          </cell>
        </row>
        <row r="1193">
          <cell r="A1193">
            <v>45201</v>
          </cell>
          <cell r="B1193">
            <v>1</v>
          </cell>
          <cell r="D1193" t="str">
            <v/>
          </cell>
        </row>
        <row r="1194">
          <cell r="A1194">
            <v>45202</v>
          </cell>
          <cell r="B1194">
            <v>2</v>
          </cell>
          <cell r="D1194" t="str">
            <v/>
          </cell>
        </row>
        <row r="1195">
          <cell r="A1195">
            <v>45203</v>
          </cell>
          <cell r="B1195">
            <v>3</v>
          </cell>
          <cell r="D1195" t="str">
            <v/>
          </cell>
        </row>
        <row r="1196">
          <cell r="A1196">
            <v>45204</v>
          </cell>
          <cell r="B1196">
            <v>4</v>
          </cell>
          <cell r="D1196" t="str">
            <v/>
          </cell>
        </row>
        <row r="1197">
          <cell r="A1197">
            <v>45205</v>
          </cell>
          <cell r="B1197">
            <v>5</v>
          </cell>
          <cell r="D1197" t="str">
            <v/>
          </cell>
        </row>
        <row r="1198">
          <cell r="A1198">
            <v>45208</v>
          </cell>
          <cell r="B1198">
            <v>1</v>
          </cell>
          <cell r="D1198" t="str">
            <v/>
          </cell>
        </row>
        <row r="1199">
          <cell r="A1199">
            <v>45209</v>
          </cell>
          <cell r="B1199">
            <v>2</v>
          </cell>
          <cell r="D1199" t="str">
            <v/>
          </cell>
        </row>
        <row r="1200">
          <cell r="A1200">
            <v>45210</v>
          </cell>
          <cell r="B1200">
            <v>3</v>
          </cell>
          <cell r="D1200" t="str">
            <v/>
          </cell>
        </row>
        <row r="1201">
          <cell r="A1201">
            <v>45211</v>
          </cell>
          <cell r="B1201">
            <v>4</v>
          </cell>
          <cell r="D1201" t="str">
            <v/>
          </cell>
        </row>
        <row r="1202">
          <cell r="A1202">
            <v>45212</v>
          </cell>
          <cell r="B1202">
            <v>5</v>
          </cell>
          <cell r="D1202" t="str">
            <v/>
          </cell>
        </row>
        <row r="1203">
          <cell r="A1203">
            <v>45215</v>
          </cell>
          <cell r="B1203">
            <v>1</v>
          </cell>
          <cell r="D1203" t="str">
            <v/>
          </cell>
        </row>
        <row r="1204">
          <cell r="A1204">
            <v>45216</v>
          </cell>
          <cell r="B1204">
            <v>2</v>
          </cell>
          <cell r="D1204" t="str">
            <v/>
          </cell>
        </row>
        <row r="1205">
          <cell r="A1205">
            <v>45217</v>
          </cell>
          <cell r="B1205">
            <v>3</v>
          </cell>
          <cell r="D1205" t="str">
            <v/>
          </cell>
        </row>
        <row r="1206">
          <cell r="A1206">
            <v>45218</v>
          </cell>
          <cell r="B1206">
            <v>4</v>
          </cell>
          <cell r="D1206" t="str">
            <v/>
          </cell>
        </row>
        <row r="1207">
          <cell r="A1207">
            <v>45219</v>
          </cell>
          <cell r="B1207">
            <v>5</v>
          </cell>
          <cell r="D1207" t="str">
            <v/>
          </cell>
        </row>
        <row r="1208">
          <cell r="A1208">
            <v>45222</v>
          </cell>
          <cell r="B1208">
            <v>1</v>
          </cell>
          <cell r="D1208" t="str">
            <v/>
          </cell>
        </row>
        <row r="1209">
          <cell r="A1209">
            <v>45223</v>
          </cell>
          <cell r="B1209">
            <v>2</v>
          </cell>
          <cell r="D1209" t="str">
            <v/>
          </cell>
        </row>
        <row r="1210">
          <cell r="A1210">
            <v>45224</v>
          </cell>
          <cell r="B1210">
            <v>3</v>
          </cell>
          <cell r="D1210" t="str">
            <v/>
          </cell>
        </row>
        <row r="1211">
          <cell r="A1211">
            <v>45225</v>
          </cell>
          <cell r="B1211">
            <v>4</v>
          </cell>
          <cell r="D1211" t="str">
            <v/>
          </cell>
        </row>
        <row r="1212">
          <cell r="A1212">
            <v>45226</v>
          </cell>
          <cell r="B1212">
            <v>5</v>
          </cell>
          <cell r="D1212" t="str">
            <v/>
          </cell>
        </row>
        <row r="1213">
          <cell r="A1213">
            <v>45229</v>
          </cell>
          <cell r="B1213">
            <v>1</v>
          </cell>
          <cell r="D1213" t="str">
            <v/>
          </cell>
        </row>
        <row r="1214">
          <cell r="A1214">
            <v>45230</v>
          </cell>
          <cell r="B1214">
            <v>2</v>
          </cell>
          <cell r="D1214" t="str">
            <v/>
          </cell>
        </row>
        <row r="1215">
          <cell r="A1215">
            <v>45231</v>
          </cell>
          <cell r="B1215">
            <v>3</v>
          </cell>
          <cell r="D1215" t="str">
            <v/>
          </cell>
        </row>
        <row r="1216">
          <cell r="A1216">
            <v>45232</v>
          </cell>
          <cell r="B1216">
            <v>4</v>
          </cell>
          <cell r="D1216" t="str">
            <v/>
          </cell>
        </row>
        <row r="1217">
          <cell r="A1217">
            <v>45233</v>
          </cell>
          <cell r="B1217">
            <v>5</v>
          </cell>
          <cell r="D1217" t="str">
            <v/>
          </cell>
        </row>
        <row r="1218">
          <cell r="A1218">
            <v>45236</v>
          </cell>
          <cell r="B1218">
            <v>1</v>
          </cell>
          <cell r="D1218" t="str">
            <v/>
          </cell>
        </row>
        <row r="1219">
          <cell r="A1219">
            <v>45237</v>
          </cell>
          <cell r="B1219">
            <v>2</v>
          </cell>
          <cell r="D1219" t="str">
            <v/>
          </cell>
        </row>
        <row r="1220">
          <cell r="A1220">
            <v>45238</v>
          </cell>
          <cell r="B1220">
            <v>3</v>
          </cell>
          <cell r="D1220" t="str">
            <v/>
          </cell>
        </row>
        <row r="1221">
          <cell r="A1221">
            <v>45239</v>
          </cell>
          <cell r="B1221">
            <v>4</v>
          </cell>
          <cell r="D1221" t="str">
            <v/>
          </cell>
        </row>
        <row r="1222">
          <cell r="A1222">
            <v>45240</v>
          </cell>
          <cell r="B1222">
            <v>5</v>
          </cell>
          <cell r="D1222" t="str">
            <v/>
          </cell>
        </row>
        <row r="1223">
          <cell r="A1223">
            <v>45243</v>
          </cell>
          <cell r="B1223">
            <v>1</v>
          </cell>
          <cell r="D1223" t="str">
            <v/>
          </cell>
        </row>
        <row r="1224">
          <cell r="A1224">
            <v>45244</v>
          </cell>
          <cell r="B1224">
            <v>2</v>
          </cell>
          <cell r="D1224" t="str">
            <v/>
          </cell>
        </row>
        <row r="1225">
          <cell r="A1225">
            <v>45245</v>
          </cell>
          <cell r="B1225">
            <v>3</v>
          </cell>
          <cell r="D1225" t="str">
            <v/>
          </cell>
        </row>
        <row r="1226">
          <cell r="A1226">
            <v>45246</v>
          </cell>
          <cell r="B1226">
            <v>4</v>
          </cell>
          <cell r="D1226" t="str">
            <v/>
          </cell>
        </row>
        <row r="1227">
          <cell r="A1227">
            <v>45247</v>
          </cell>
          <cell r="B1227">
            <v>5</v>
          </cell>
          <cell r="D1227" t="str">
            <v/>
          </cell>
        </row>
        <row r="1228">
          <cell r="A1228">
            <v>45250</v>
          </cell>
          <cell r="B1228">
            <v>1</v>
          </cell>
          <cell r="D1228" t="str">
            <v/>
          </cell>
        </row>
        <row r="1229">
          <cell r="A1229">
            <v>45251</v>
          </cell>
          <cell r="B1229">
            <v>2</v>
          </cell>
          <cell r="D1229" t="str">
            <v/>
          </cell>
        </row>
        <row r="1230">
          <cell r="A1230">
            <v>45252</v>
          </cell>
          <cell r="B1230">
            <v>3</v>
          </cell>
          <cell r="D1230" t="str">
            <v/>
          </cell>
        </row>
        <row r="1231">
          <cell r="A1231">
            <v>45253</v>
          </cell>
          <cell r="B1231">
            <v>4</v>
          </cell>
          <cell r="D1231" t="str">
            <v/>
          </cell>
        </row>
        <row r="1232">
          <cell r="A1232">
            <v>45254</v>
          </cell>
          <cell r="B1232">
            <v>5</v>
          </cell>
          <cell r="D1232" t="str">
            <v/>
          </cell>
        </row>
        <row r="1233">
          <cell r="A1233">
            <v>45257</v>
          </cell>
          <cell r="B1233">
            <v>1</v>
          </cell>
          <cell r="D1233" t="str">
            <v/>
          </cell>
        </row>
        <row r="1234">
          <cell r="A1234">
            <v>45258</v>
          </cell>
          <cell r="B1234">
            <v>2</v>
          </cell>
          <cell r="D1234" t="str">
            <v/>
          </cell>
        </row>
        <row r="1235">
          <cell r="A1235">
            <v>45259</v>
          </cell>
          <cell r="B1235">
            <v>3</v>
          </cell>
          <cell r="D1235" t="str">
            <v/>
          </cell>
        </row>
        <row r="1236">
          <cell r="A1236">
            <v>45260</v>
          </cell>
          <cell r="B1236">
            <v>4</v>
          </cell>
          <cell r="D1236" t="str">
            <v/>
          </cell>
        </row>
        <row r="1237">
          <cell r="A1237">
            <v>45261</v>
          </cell>
          <cell r="B1237">
            <v>5</v>
          </cell>
          <cell r="D1237" t="str">
            <v/>
          </cell>
        </row>
        <row r="1238">
          <cell r="A1238">
            <v>45264</v>
          </cell>
          <cell r="B1238">
            <v>1</v>
          </cell>
          <cell r="D1238" t="str">
            <v/>
          </cell>
        </row>
        <row r="1239">
          <cell r="A1239">
            <v>45265</v>
          </cell>
          <cell r="B1239">
            <v>2</v>
          </cell>
          <cell r="D1239" t="str">
            <v/>
          </cell>
        </row>
        <row r="1240">
          <cell r="A1240">
            <v>45266</v>
          </cell>
          <cell r="B1240">
            <v>3</v>
          </cell>
          <cell r="D1240" t="str">
            <v/>
          </cell>
        </row>
        <row r="1241">
          <cell r="A1241">
            <v>45267</v>
          </cell>
          <cell r="B1241">
            <v>4</v>
          </cell>
          <cell r="D1241" t="str">
            <v/>
          </cell>
        </row>
        <row r="1242">
          <cell r="A1242">
            <v>45268</v>
          </cell>
          <cell r="B1242">
            <v>5</v>
          </cell>
          <cell r="D1242" t="str">
            <v/>
          </cell>
        </row>
        <row r="1243">
          <cell r="A1243">
            <v>45271</v>
          </cell>
          <cell r="B1243">
            <v>1</v>
          </cell>
          <cell r="D1243" t="str">
            <v/>
          </cell>
        </row>
        <row r="1244">
          <cell r="A1244">
            <v>45272</v>
          </cell>
          <cell r="B1244">
            <v>2</v>
          </cell>
          <cell r="D1244" t="str">
            <v/>
          </cell>
        </row>
        <row r="1245">
          <cell r="A1245">
            <v>45273</v>
          </cell>
          <cell r="B1245">
            <v>3</v>
          </cell>
          <cell r="D1245" t="str">
            <v/>
          </cell>
        </row>
        <row r="1246">
          <cell r="A1246">
            <v>45274</v>
          </cell>
          <cell r="B1246">
            <v>4</v>
          </cell>
          <cell r="D1246" t="str">
            <v/>
          </cell>
        </row>
        <row r="1247">
          <cell r="A1247">
            <v>45275</v>
          </cell>
          <cell r="B1247">
            <v>5</v>
          </cell>
          <cell r="D1247" t="str">
            <v/>
          </cell>
        </row>
        <row r="1248">
          <cell r="A1248">
            <v>45278</v>
          </cell>
          <cell r="B1248">
            <v>1</v>
          </cell>
          <cell r="D1248" t="str">
            <v/>
          </cell>
        </row>
        <row r="1249">
          <cell r="A1249">
            <v>45279</v>
          </cell>
          <cell r="B1249">
            <v>2</v>
          </cell>
          <cell r="D1249" t="str">
            <v/>
          </cell>
        </row>
        <row r="1250">
          <cell r="A1250">
            <v>45280</v>
          </cell>
          <cell r="B1250">
            <v>3</v>
          </cell>
          <cell r="D1250" t="str">
            <v/>
          </cell>
        </row>
        <row r="1251">
          <cell r="A1251">
            <v>45281</v>
          </cell>
          <cell r="B1251">
            <v>4</v>
          </cell>
          <cell r="D1251" t="str">
            <v/>
          </cell>
        </row>
        <row r="1252">
          <cell r="A1252">
            <v>45282</v>
          </cell>
          <cell r="B1252">
            <v>5</v>
          </cell>
          <cell r="D1252" t="str">
            <v/>
          </cell>
        </row>
        <row r="1253">
          <cell r="A1253">
            <v>45285</v>
          </cell>
          <cell r="B1253">
            <v>1</v>
          </cell>
          <cell r="D1253" t="str">
            <v/>
          </cell>
        </row>
        <row r="1254">
          <cell r="A1254">
            <v>45286</v>
          </cell>
          <cell r="B1254">
            <v>2</v>
          </cell>
          <cell r="D1254" t="str">
            <v/>
          </cell>
        </row>
        <row r="1255">
          <cell r="A1255">
            <v>45287</v>
          </cell>
          <cell r="B1255">
            <v>3</v>
          </cell>
          <cell r="D1255" t="str">
            <v/>
          </cell>
        </row>
        <row r="1256">
          <cell r="A1256">
            <v>45288</v>
          </cell>
          <cell r="B1256">
            <v>4</v>
          </cell>
          <cell r="D1256" t="str">
            <v/>
          </cell>
        </row>
        <row r="1257">
          <cell r="A1257">
            <v>45289</v>
          </cell>
          <cell r="B1257">
            <v>5</v>
          </cell>
          <cell r="D1257" t="str">
            <v/>
          </cell>
        </row>
        <row r="1258">
          <cell r="A1258">
            <v>45292</v>
          </cell>
          <cell r="B1258">
            <v>1</v>
          </cell>
          <cell r="D1258" t="str">
            <v/>
          </cell>
        </row>
        <row r="1259">
          <cell r="A1259">
            <v>45293</v>
          </cell>
          <cell r="B1259">
            <v>2</v>
          </cell>
          <cell r="D1259" t="str">
            <v/>
          </cell>
        </row>
        <row r="1260">
          <cell r="A1260">
            <v>45294</v>
          </cell>
          <cell r="B1260">
            <v>3</v>
          </cell>
          <cell r="D1260" t="str">
            <v/>
          </cell>
        </row>
        <row r="1261">
          <cell r="A1261">
            <v>45295</v>
          </cell>
          <cell r="B1261">
            <v>4</v>
          </cell>
          <cell r="D1261" t="str">
            <v/>
          </cell>
        </row>
        <row r="1262">
          <cell r="A1262">
            <v>45296</v>
          </cell>
          <cell r="B1262">
            <v>5</v>
          </cell>
          <cell r="D1262" t="str">
            <v/>
          </cell>
        </row>
        <row r="1263">
          <cell r="A1263">
            <v>45299</v>
          </cell>
          <cell r="B1263">
            <v>1</v>
          </cell>
          <cell r="D1263" t="str">
            <v/>
          </cell>
        </row>
        <row r="1264">
          <cell r="A1264">
            <v>45300</v>
          </cell>
          <cell r="B1264">
            <v>2</v>
          </cell>
          <cell r="D1264" t="str">
            <v/>
          </cell>
        </row>
        <row r="1265">
          <cell r="A1265">
            <v>45301</v>
          </cell>
          <cell r="B1265">
            <v>3</v>
          </cell>
          <cell r="D1265" t="str">
            <v/>
          </cell>
        </row>
        <row r="1266">
          <cell r="A1266">
            <v>45302</v>
          </cell>
          <cell r="B1266">
            <v>4</v>
          </cell>
          <cell r="D1266" t="str">
            <v/>
          </cell>
        </row>
        <row r="1267">
          <cell r="A1267">
            <v>45303</v>
          </cell>
          <cell r="B1267">
            <v>5</v>
          </cell>
          <cell r="D1267" t="str">
            <v/>
          </cell>
        </row>
        <row r="1268">
          <cell r="A1268">
            <v>45306</v>
          </cell>
          <cell r="B1268">
            <v>1</v>
          </cell>
          <cell r="D1268" t="str">
            <v/>
          </cell>
        </row>
        <row r="1269">
          <cell r="A1269">
            <v>45307</v>
          </cell>
          <cell r="B1269">
            <v>2</v>
          </cell>
          <cell r="D1269" t="str">
            <v/>
          </cell>
        </row>
        <row r="1270">
          <cell r="A1270">
            <v>45308</v>
          </cell>
          <cell r="B1270">
            <v>3</v>
          </cell>
          <cell r="D1270" t="str">
            <v/>
          </cell>
        </row>
        <row r="1271">
          <cell r="A1271">
            <v>45309</v>
          </cell>
          <cell r="B1271">
            <v>4</v>
          </cell>
          <cell r="D1271" t="str">
            <v/>
          </cell>
        </row>
        <row r="1272">
          <cell r="A1272">
            <v>45310</v>
          </cell>
          <cell r="B1272">
            <v>5</v>
          </cell>
          <cell r="D1272" t="str">
            <v/>
          </cell>
        </row>
        <row r="1273">
          <cell r="A1273">
            <v>45313</v>
          </cell>
          <cell r="B1273">
            <v>1</v>
          </cell>
          <cell r="D1273" t="str">
            <v/>
          </cell>
        </row>
        <row r="1274">
          <cell r="A1274">
            <v>45314</v>
          </cell>
          <cell r="B1274">
            <v>2</v>
          </cell>
          <cell r="D1274" t="str">
            <v/>
          </cell>
        </row>
        <row r="1275">
          <cell r="A1275">
            <v>45315</v>
          </cell>
          <cell r="B1275">
            <v>3</v>
          </cell>
          <cell r="D1275" t="str">
            <v/>
          </cell>
        </row>
        <row r="1276">
          <cell r="A1276">
            <v>45316</v>
          </cell>
          <cell r="B1276">
            <v>4</v>
          </cell>
          <cell r="D1276" t="str">
            <v/>
          </cell>
        </row>
        <row r="1277">
          <cell r="A1277">
            <v>45317</v>
          </cell>
          <cell r="B1277">
            <v>5</v>
          </cell>
          <cell r="D1277" t="str">
            <v/>
          </cell>
        </row>
        <row r="1278">
          <cell r="A1278">
            <v>45320</v>
          </cell>
          <cell r="B1278">
            <v>1</v>
          </cell>
          <cell r="D1278" t="str">
            <v/>
          </cell>
        </row>
        <row r="1279">
          <cell r="A1279">
            <v>45321</v>
          </cell>
          <cell r="B1279">
            <v>2</v>
          </cell>
          <cell r="D1279" t="str">
            <v/>
          </cell>
        </row>
        <row r="1280">
          <cell r="A1280">
            <v>45322</v>
          </cell>
          <cell r="B1280">
            <v>3</v>
          </cell>
          <cell r="D1280" t="str">
            <v/>
          </cell>
        </row>
        <row r="1281">
          <cell r="A1281">
            <v>45323</v>
          </cell>
          <cell r="B1281">
            <v>4</v>
          </cell>
          <cell r="D1281" t="str">
            <v/>
          </cell>
        </row>
        <row r="1282">
          <cell r="A1282">
            <v>45324</v>
          </cell>
          <cell r="B1282">
            <v>5</v>
          </cell>
          <cell r="D1282" t="str">
            <v/>
          </cell>
        </row>
        <row r="1283">
          <cell r="A1283">
            <v>45327</v>
          </cell>
          <cell r="B1283">
            <v>1</v>
          </cell>
          <cell r="D1283" t="str">
            <v/>
          </cell>
        </row>
        <row r="1284">
          <cell r="A1284">
            <v>45328</v>
          </cell>
          <cell r="B1284">
            <v>2</v>
          </cell>
          <cell r="D1284" t="str">
            <v/>
          </cell>
        </row>
        <row r="1285">
          <cell r="A1285">
            <v>45329</v>
          </cell>
          <cell r="B1285">
            <v>3</v>
          </cell>
          <cell r="D1285" t="str">
            <v/>
          </cell>
        </row>
        <row r="1286">
          <cell r="A1286">
            <v>45330</v>
          </cell>
          <cell r="B1286">
            <v>4</v>
          </cell>
          <cell r="D1286" t="str">
            <v/>
          </cell>
        </row>
        <row r="1287">
          <cell r="A1287">
            <v>45331</v>
          </cell>
          <cell r="B1287">
            <v>5</v>
          </cell>
          <cell r="D1287" t="str">
            <v/>
          </cell>
        </row>
        <row r="1288">
          <cell r="A1288">
            <v>45334</v>
          </cell>
          <cell r="B1288">
            <v>1</v>
          </cell>
          <cell r="D1288" t="str">
            <v/>
          </cell>
        </row>
        <row r="1289">
          <cell r="A1289">
            <v>45335</v>
          </cell>
          <cell r="B1289">
            <v>2</v>
          </cell>
          <cell r="D1289" t="str">
            <v/>
          </cell>
        </row>
        <row r="1290">
          <cell r="A1290">
            <v>45336</v>
          </cell>
          <cell r="B1290">
            <v>3</v>
          </cell>
          <cell r="D1290" t="str">
            <v/>
          </cell>
        </row>
        <row r="1291">
          <cell r="A1291">
            <v>45337</v>
          </cell>
          <cell r="B1291">
            <v>4</v>
          </cell>
          <cell r="D1291" t="str">
            <v/>
          </cell>
        </row>
        <row r="1292">
          <cell r="A1292">
            <v>45338</v>
          </cell>
          <cell r="B1292">
            <v>5</v>
          </cell>
          <cell r="D1292" t="str">
            <v/>
          </cell>
        </row>
        <row r="1293">
          <cell r="A1293">
            <v>45341</v>
          </cell>
          <cell r="B1293">
            <v>1</v>
          </cell>
          <cell r="D1293" t="str">
            <v/>
          </cell>
        </row>
        <row r="1294">
          <cell r="A1294">
            <v>45342</v>
          </cell>
          <cell r="B1294">
            <v>2</v>
          </cell>
          <cell r="D1294" t="str">
            <v/>
          </cell>
        </row>
        <row r="1295">
          <cell r="A1295">
            <v>45343</v>
          </cell>
          <cell r="B1295">
            <v>3</v>
          </cell>
          <cell r="D1295" t="str">
            <v/>
          </cell>
        </row>
        <row r="1296">
          <cell r="A1296">
            <v>45344</v>
          </cell>
          <cell r="B1296">
            <v>4</v>
          </cell>
          <cell r="D1296" t="str">
            <v/>
          </cell>
        </row>
        <row r="1297">
          <cell r="A1297">
            <v>45345</v>
          </cell>
          <cell r="B1297">
            <v>5</v>
          </cell>
          <cell r="D1297" t="str">
            <v/>
          </cell>
        </row>
        <row r="1298">
          <cell r="A1298">
            <v>45348</v>
          </cell>
          <cell r="B1298">
            <v>1</v>
          </cell>
          <cell r="D1298" t="str">
            <v/>
          </cell>
        </row>
        <row r="1299">
          <cell r="A1299">
            <v>45349</v>
          </cell>
          <cell r="B1299">
            <v>2</v>
          </cell>
          <cell r="D1299" t="str">
            <v/>
          </cell>
        </row>
        <row r="1300">
          <cell r="A1300">
            <v>45350</v>
          </cell>
          <cell r="B1300">
            <v>3</v>
          </cell>
          <cell r="D1300" t="str">
            <v/>
          </cell>
        </row>
        <row r="1301">
          <cell r="A1301">
            <v>45351</v>
          </cell>
          <cell r="B1301">
            <v>4</v>
          </cell>
          <cell r="D1301" t="str">
            <v/>
          </cell>
        </row>
        <row r="1302">
          <cell r="A1302">
            <v>45352</v>
          </cell>
          <cell r="B1302">
            <v>5</v>
          </cell>
          <cell r="D1302" t="str">
            <v/>
          </cell>
        </row>
        <row r="1303">
          <cell r="A1303">
            <v>45355</v>
          </cell>
          <cell r="B1303">
            <v>1</v>
          </cell>
          <cell r="D1303" t="str">
            <v/>
          </cell>
        </row>
        <row r="1304">
          <cell r="A1304">
            <v>45356</v>
          </cell>
          <cell r="B1304">
            <v>2</v>
          </cell>
          <cell r="D1304" t="str">
            <v/>
          </cell>
        </row>
        <row r="1305">
          <cell r="A1305">
            <v>45357</v>
          </cell>
          <cell r="B1305">
            <v>3</v>
          </cell>
          <cell r="D1305" t="str">
            <v/>
          </cell>
        </row>
        <row r="1306">
          <cell r="A1306">
            <v>45358</v>
          </cell>
          <cell r="B1306">
            <v>4</v>
          </cell>
          <cell r="D1306" t="str">
            <v/>
          </cell>
        </row>
        <row r="1307">
          <cell r="A1307">
            <v>45359</v>
          </cell>
          <cell r="B1307">
            <v>5</v>
          </cell>
          <cell r="D1307" t="str">
            <v/>
          </cell>
        </row>
        <row r="1308">
          <cell r="A1308">
            <v>45362</v>
          </cell>
          <cell r="B1308">
            <v>1</v>
          </cell>
          <cell r="D1308" t="str">
            <v/>
          </cell>
        </row>
        <row r="1309">
          <cell r="A1309">
            <v>45363</v>
          </cell>
          <cell r="B1309">
            <v>2</v>
          </cell>
          <cell r="D1309" t="str">
            <v/>
          </cell>
        </row>
        <row r="1310">
          <cell r="A1310">
            <v>45364</v>
          </cell>
          <cell r="B1310">
            <v>3</v>
          </cell>
          <cell r="D1310" t="str">
            <v/>
          </cell>
        </row>
        <row r="1311">
          <cell r="A1311">
            <v>45365</v>
          </cell>
          <cell r="B1311">
            <v>4</v>
          </cell>
          <cell r="D1311" t="str">
            <v/>
          </cell>
        </row>
        <row r="1312">
          <cell r="A1312">
            <v>45366</v>
          </cell>
          <cell r="B1312">
            <v>5</v>
          </cell>
          <cell r="D1312" t="str">
            <v/>
          </cell>
        </row>
        <row r="1313">
          <cell r="A1313">
            <v>45369</v>
          </cell>
          <cell r="B1313">
            <v>1</v>
          </cell>
          <cell r="D1313" t="str">
            <v/>
          </cell>
        </row>
        <row r="1314">
          <cell r="A1314">
            <v>45370</v>
          </cell>
          <cell r="B1314">
            <v>2</v>
          </cell>
          <cell r="D1314" t="str">
            <v/>
          </cell>
        </row>
        <row r="1315">
          <cell r="A1315">
            <v>45371</v>
          </cell>
          <cell r="B1315">
            <v>3</v>
          </cell>
          <cell r="D1315" t="str">
            <v/>
          </cell>
        </row>
        <row r="1316">
          <cell r="A1316">
            <v>45372</v>
          </cell>
          <cell r="B1316">
            <v>4</v>
          </cell>
          <cell r="D1316" t="str">
            <v/>
          </cell>
        </row>
        <row r="1317">
          <cell r="A1317">
            <v>45373</v>
          </cell>
          <cell r="B1317">
            <v>5</v>
          </cell>
          <cell r="D1317" t="str">
            <v/>
          </cell>
        </row>
        <row r="1318">
          <cell r="A1318">
            <v>45376</v>
          </cell>
          <cell r="B1318">
            <v>1</v>
          </cell>
          <cell r="D1318" t="str">
            <v/>
          </cell>
        </row>
        <row r="1319">
          <cell r="A1319">
            <v>45377</v>
          </cell>
          <cell r="B1319">
            <v>2</v>
          </cell>
          <cell r="D1319" t="str">
            <v/>
          </cell>
        </row>
        <row r="1320">
          <cell r="A1320">
            <v>45378</v>
          </cell>
          <cell r="B1320">
            <v>3</v>
          </cell>
          <cell r="D1320" t="str">
            <v/>
          </cell>
        </row>
        <row r="1321">
          <cell r="A1321">
            <v>45379</v>
          </cell>
          <cell r="B1321">
            <v>4</v>
          </cell>
          <cell r="D1321" t="str">
            <v/>
          </cell>
        </row>
        <row r="1322">
          <cell r="A1322">
            <v>45380</v>
          </cell>
          <cell r="B1322">
            <v>5</v>
          </cell>
          <cell r="D1322" t="str">
            <v/>
          </cell>
        </row>
        <row r="1323">
          <cell r="A1323">
            <v>45383</v>
          </cell>
          <cell r="B1323">
            <v>1</v>
          </cell>
          <cell r="D1323" t="str">
            <v/>
          </cell>
        </row>
        <row r="1324">
          <cell r="A1324">
            <v>45384</v>
          </cell>
          <cell r="B1324">
            <v>2</v>
          </cell>
          <cell r="D1324" t="str">
            <v/>
          </cell>
        </row>
        <row r="1325">
          <cell r="A1325">
            <v>45385</v>
          </cell>
          <cell r="B1325">
            <v>3</v>
          </cell>
          <cell r="D1325" t="str">
            <v/>
          </cell>
        </row>
        <row r="1326">
          <cell r="A1326">
            <v>45386</v>
          </cell>
          <cell r="B1326">
            <v>4</v>
          </cell>
          <cell r="D1326" t="str">
            <v/>
          </cell>
        </row>
        <row r="1327">
          <cell r="A1327">
            <v>45387</v>
          </cell>
          <cell r="B1327">
            <v>5</v>
          </cell>
          <cell r="D1327" t="str">
            <v/>
          </cell>
        </row>
        <row r="1328">
          <cell r="A1328">
            <v>45390</v>
          </cell>
          <cell r="B1328">
            <v>1</v>
          </cell>
          <cell r="D1328" t="str">
            <v/>
          </cell>
        </row>
        <row r="1329">
          <cell r="A1329">
            <v>45391</v>
          </cell>
          <cell r="B1329">
            <v>2</v>
          </cell>
          <cell r="D1329" t="str">
            <v/>
          </cell>
        </row>
        <row r="1330">
          <cell r="A1330">
            <v>45392</v>
          </cell>
          <cell r="B1330">
            <v>3</v>
          </cell>
          <cell r="D1330" t="str">
            <v/>
          </cell>
        </row>
        <row r="1331">
          <cell r="A1331">
            <v>45393</v>
          </cell>
          <cell r="B1331">
            <v>4</v>
          </cell>
          <cell r="D1331" t="str">
            <v/>
          </cell>
        </row>
        <row r="1332">
          <cell r="A1332">
            <v>45394</v>
          </cell>
          <cell r="B1332">
            <v>5</v>
          </cell>
          <cell r="D1332" t="str">
            <v/>
          </cell>
        </row>
        <row r="1333">
          <cell r="A1333">
            <v>45397</v>
          </cell>
          <cell r="B1333">
            <v>1</v>
          </cell>
          <cell r="D1333" t="str">
            <v/>
          </cell>
        </row>
        <row r="1334">
          <cell r="A1334">
            <v>45398</v>
          </cell>
          <cell r="B1334">
            <v>2</v>
          </cell>
          <cell r="D1334" t="str">
            <v/>
          </cell>
        </row>
        <row r="1335">
          <cell r="A1335">
            <v>45399</v>
          </cell>
          <cell r="B1335">
            <v>3</v>
          </cell>
          <cell r="D1335" t="str">
            <v/>
          </cell>
        </row>
        <row r="1336">
          <cell r="A1336">
            <v>45400</v>
          </cell>
          <cell r="B1336">
            <v>4</v>
          </cell>
          <cell r="D1336" t="str">
            <v/>
          </cell>
        </row>
        <row r="1337">
          <cell r="A1337">
            <v>45401</v>
          </cell>
          <cell r="B1337">
            <v>5</v>
          </cell>
          <cell r="D1337" t="str">
            <v/>
          </cell>
        </row>
        <row r="1338">
          <cell r="A1338">
            <v>45404</v>
          </cell>
          <cell r="B1338">
            <v>1</v>
          </cell>
          <cell r="D1338" t="str">
            <v/>
          </cell>
        </row>
        <row r="1339">
          <cell r="A1339">
            <v>45405</v>
          </cell>
          <cell r="B1339">
            <v>2</v>
          </cell>
          <cell r="D1339" t="str">
            <v/>
          </cell>
        </row>
        <row r="1340">
          <cell r="A1340">
            <v>45406</v>
          </cell>
          <cell r="B1340">
            <v>3</v>
          </cell>
          <cell r="D1340" t="str">
            <v/>
          </cell>
        </row>
        <row r="1341">
          <cell r="A1341">
            <v>45407</v>
          </cell>
          <cell r="B1341">
            <v>4</v>
          </cell>
          <cell r="D1341" t="str">
            <v/>
          </cell>
        </row>
        <row r="1342">
          <cell r="A1342">
            <v>45408</v>
          </cell>
          <cell r="B1342">
            <v>5</v>
          </cell>
          <cell r="D1342" t="str">
            <v/>
          </cell>
        </row>
        <row r="1343">
          <cell r="A1343">
            <v>45411</v>
          </cell>
          <cell r="B1343">
            <v>1</v>
          </cell>
          <cell r="D1343" t="str">
            <v/>
          </cell>
        </row>
        <row r="1344">
          <cell r="A1344">
            <v>45412</v>
          </cell>
          <cell r="B1344">
            <v>2</v>
          </cell>
          <cell r="D1344" t="str">
            <v/>
          </cell>
        </row>
        <row r="1345">
          <cell r="A1345">
            <v>45413</v>
          </cell>
          <cell r="B1345">
            <v>3</v>
          </cell>
          <cell r="D1345" t="str">
            <v/>
          </cell>
        </row>
        <row r="1346">
          <cell r="A1346">
            <v>45414</v>
          </cell>
          <cell r="B1346">
            <v>4</v>
          </cell>
          <cell r="D1346" t="str">
            <v/>
          </cell>
        </row>
        <row r="1347">
          <cell r="A1347">
            <v>45415</v>
          </cell>
          <cell r="B1347">
            <v>5</v>
          </cell>
          <cell r="D1347" t="str">
            <v/>
          </cell>
        </row>
        <row r="1348">
          <cell r="A1348">
            <v>45418</v>
          </cell>
          <cell r="B1348">
            <v>1</v>
          </cell>
          <cell r="D1348" t="str">
            <v/>
          </cell>
        </row>
        <row r="1349">
          <cell r="A1349">
            <v>45419</v>
          </cell>
          <cell r="B1349">
            <v>2</v>
          </cell>
          <cell r="D1349" t="str">
            <v/>
          </cell>
        </row>
        <row r="1350">
          <cell r="A1350">
            <v>45420</v>
          </cell>
          <cell r="B1350">
            <v>3</v>
          </cell>
          <cell r="D1350" t="str">
            <v/>
          </cell>
        </row>
        <row r="1351">
          <cell r="A1351">
            <v>45421</v>
          </cell>
          <cell r="B1351">
            <v>4</v>
          </cell>
          <cell r="D1351" t="str">
            <v/>
          </cell>
        </row>
        <row r="1352">
          <cell r="A1352">
            <v>45422</v>
          </cell>
          <cell r="B1352">
            <v>5</v>
          </cell>
          <cell r="D1352" t="str">
            <v/>
          </cell>
        </row>
        <row r="1353">
          <cell r="A1353">
            <v>45425</v>
          </cell>
          <cell r="B1353">
            <v>1</v>
          </cell>
          <cell r="D1353" t="str">
            <v/>
          </cell>
        </row>
        <row r="1354">
          <cell r="A1354">
            <v>45426</v>
          </cell>
          <cell r="B1354">
            <v>2</v>
          </cell>
          <cell r="D1354" t="str">
            <v/>
          </cell>
        </row>
        <row r="1355">
          <cell r="A1355">
            <v>45427</v>
          </cell>
          <cell r="B1355">
            <v>3</v>
          </cell>
          <cell r="D1355" t="str">
            <v/>
          </cell>
        </row>
        <row r="1356">
          <cell r="A1356">
            <v>45428</v>
          </cell>
          <cell r="B1356">
            <v>4</v>
          </cell>
          <cell r="D1356" t="str">
            <v/>
          </cell>
        </row>
        <row r="1357">
          <cell r="A1357">
            <v>45429</v>
          </cell>
          <cell r="B1357">
            <v>5</v>
          </cell>
          <cell r="D1357" t="str">
            <v/>
          </cell>
        </row>
        <row r="1358">
          <cell r="A1358">
            <v>45432</v>
          </cell>
          <cell r="B1358">
            <v>1</v>
          </cell>
          <cell r="D1358" t="str">
            <v/>
          </cell>
        </row>
        <row r="1359">
          <cell r="A1359">
            <v>45433</v>
          </cell>
          <cell r="B1359">
            <v>2</v>
          </cell>
          <cell r="D1359" t="str">
            <v/>
          </cell>
        </row>
        <row r="1360">
          <cell r="A1360">
            <v>45434</v>
          </cell>
          <cell r="B1360">
            <v>3</v>
          </cell>
          <cell r="D1360" t="str">
            <v/>
          </cell>
        </row>
        <row r="1361">
          <cell r="A1361">
            <v>45435</v>
          </cell>
          <cell r="B1361">
            <v>4</v>
          </cell>
          <cell r="D1361" t="str">
            <v/>
          </cell>
        </row>
        <row r="1362">
          <cell r="A1362">
            <v>45436</v>
          </cell>
          <cell r="B1362">
            <v>5</v>
          </cell>
          <cell r="D1362" t="str">
            <v/>
          </cell>
        </row>
        <row r="1363">
          <cell r="A1363">
            <v>45439</v>
          </cell>
          <cell r="B1363">
            <v>1</v>
          </cell>
          <cell r="D1363" t="str">
            <v/>
          </cell>
        </row>
        <row r="1364">
          <cell r="A1364">
            <v>45440</v>
          </cell>
          <cell r="B1364">
            <v>2</v>
          </cell>
          <cell r="D1364" t="str">
            <v/>
          </cell>
        </row>
        <row r="1365">
          <cell r="A1365">
            <v>45441</v>
          </cell>
          <cell r="B1365">
            <v>3</v>
          </cell>
          <cell r="D1365" t="str">
            <v/>
          </cell>
        </row>
        <row r="1366">
          <cell r="A1366">
            <v>45442</v>
          </cell>
          <cell r="B1366">
            <v>4</v>
          </cell>
          <cell r="D1366" t="str">
            <v/>
          </cell>
        </row>
        <row r="1367">
          <cell r="A1367">
            <v>45443</v>
          </cell>
          <cell r="B1367">
            <v>5</v>
          </cell>
          <cell r="D1367" t="str">
            <v/>
          </cell>
        </row>
        <row r="1368">
          <cell r="A1368">
            <v>45446</v>
          </cell>
          <cell r="B1368">
            <v>1</v>
          </cell>
          <cell r="D1368" t="str">
            <v/>
          </cell>
        </row>
        <row r="1369">
          <cell r="A1369">
            <v>45447</v>
          </cell>
          <cell r="B1369">
            <v>2</v>
          </cell>
          <cell r="D1369" t="str">
            <v/>
          </cell>
        </row>
        <row r="1370">
          <cell r="A1370">
            <v>45448</v>
          </cell>
          <cell r="B1370">
            <v>3</v>
          </cell>
          <cell r="D1370" t="str">
            <v/>
          </cell>
        </row>
        <row r="1371">
          <cell r="A1371">
            <v>45449</v>
          </cell>
          <cell r="B1371">
            <v>4</v>
          </cell>
          <cell r="D1371" t="str">
            <v/>
          </cell>
        </row>
        <row r="1372">
          <cell r="A1372">
            <v>45450</v>
          </cell>
          <cell r="B1372">
            <v>5</v>
          </cell>
          <cell r="D1372" t="str">
            <v/>
          </cell>
        </row>
        <row r="1373">
          <cell r="A1373">
            <v>45453</v>
          </cell>
          <cell r="B1373">
            <v>1</v>
          </cell>
          <cell r="D1373" t="str">
            <v/>
          </cell>
        </row>
        <row r="1374">
          <cell r="A1374">
            <v>45454</v>
          </cell>
          <cell r="B1374">
            <v>2</v>
          </cell>
          <cell r="D1374" t="str">
            <v/>
          </cell>
        </row>
        <row r="1375">
          <cell r="A1375">
            <v>45455</v>
          </cell>
          <cell r="B1375">
            <v>3</v>
          </cell>
          <cell r="D1375" t="str">
            <v/>
          </cell>
        </row>
        <row r="1376">
          <cell r="A1376">
            <v>45456</v>
          </cell>
          <cell r="B1376">
            <v>4</v>
          </cell>
          <cell r="D1376" t="str">
            <v/>
          </cell>
        </row>
        <row r="1377">
          <cell r="A1377">
            <v>45457</v>
          </cell>
          <cell r="B1377">
            <v>5</v>
          </cell>
          <cell r="D1377" t="str">
            <v/>
          </cell>
        </row>
        <row r="1378">
          <cell r="A1378">
            <v>45460</v>
          </cell>
          <cell r="B1378">
            <v>1</v>
          </cell>
          <cell r="D1378" t="str">
            <v/>
          </cell>
        </row>
        <row r="1379">
          <cell r="A1379">
            <v>45461</v>
          </cell>
          <cell r="B1379">
            <v>2</v>
          </cell>
          <cell r="D1379" t="str">
            <v/>
          </cell>
        </row>
        <row r="1380">
          <cell r="A1380">
            <v>45462</v>
          </cell>
          <cell r="B1380">
            <v>3</v>
          </cell>
          <cell r="D1380" t="str">
            <v/>
          </cell>
        </row>
        <row r="1381">
          <cell r="A1381">
            <v>45463</v>
          </cell>
          <cell r="B1381">
            <v>4</v>
          </cell>
          <cell r="D1381" t="str">
            <v/>
          </cell>
        </row>
        <row r="1382">
          <cell r="A1382">
            <v>45464</v>
          </cell>
          <cell r="B1382">
            <v>5</v>
          </cell>
          <cell r="D1382" t="str">
            <v/>
          </cell>
        </row>
        <row r="1383">
          <cell r="A1383">
            <v>45467</v>
          </cell>
          <cell r="B1383">
            <v>1</v>
          </cell>
          <cell r="D1383" t="str">
            <v/>
          </cell>
        </row>
        <row r="1384">
          <cell r="A1384">
            <v>45468</v>
          </cell>
          <cell r="B1384">
            <v>2</v>
          </cell>
          <cell r="D1384" t="str">
            <v/>
          </cell>
        </row>
        <row r="1385">
          <cell r="A1385">
            <v>45469</v>
          </cell>
          <cell r="B1385">
            <v>3</v>
          </cell>
          <cell r="D1385" t="str">
            <v/>
          </cell>
        </row>
        <row r="1386">
          <cell r="A1386">
            <v>45470</v>
          </cell>
          <cell r="B1386">
            <v>4</v>
          </cell>
          <cell r="D1386" t="str">
            <v/>
          </cell>
        </row>
        <row r="1387">
          <cell r="A1387">
            <v>45471</v>
          </cell>
          <cell r="B1387">
            <v>5</v>
          </cell>
          <cell r="D1387" t="str">
            <v/>
          </cell>
        </row>
        <row r="1388">
          <cell r="A1388">
            <v>45474</v>
          </cell>
          <cell r="B1388">
            <v>1</v>
          </cell>
          <cell r="D1388" t="str">
            <v/>
          </cell>
        </row>
        <row r="1389">
          <cell r="A1389">
            <v>45475</v>
          </cell>
          <cell r="B1389">
            <v>2</v>
          </cell>
          <cell r="D1389" t="str">
            <v/>
          </cell>
        </row>
        <row r="1390">
          <cell r="A1390">
            <v>45476</v>
          </cell>
          <cell r="B1390">
            <v>3</v>
          </cell>
          <cell r="D1390" t="str">
            <v/>
          </cell>
        </row>
        <row r="1391">
          <cell r="A1391">
            <v>45477</v>
          </cell>
          <cell r="B1391">
            <v>4</v>
          </cell>
          <cell r="D1391" t="str">
            <v/>
          </cell>
        </row>
        <row r="1392">
          <cell r="A1392">
            <v>45478</v>
          </cell>
          <cell r="B1392">
            <v>5</v>
          </cell>
          <cell r="D1392" t="str">
            <v/>
          </cell>
        </row>
        <row r="1393">
          <cell r="A1393">
            <v>45481</v>
          </cell>
          <cell r="B1393">
            <v>1</v>
          </cell>
          <cell r="D1393" t="str">
            <v/>
          </cell>
        </row>
        <row r="1394">
          <cell r="A1394">
            <v>45482</v>
          </cell>
          <cell r="B1394">
            <v>2</v>
          </cell>
          <cell r="D1394" t="str">
            <v/>
          </cell>
        </row>
        <row r="1395">
          <cell r="A1395">
            <v>45483</v>
          </cell>
          <cell r="B1395">
            <v>3</v>
          </cell>
          <cell r="D1395" t="str">
            <v/>
          </cell>
        </row>
        <row r="1396">
          <cell r="A1396">
            <v>45484</v>
          </cell>
          <cell r="B1396">
            <v>4</v>
          </cell>
          <cell r="D1396" t="str">
            <v/>
          </cell>
        </row>
        <row r="1397">
          <cell r="A1397">
            <v>45485</v>
          </cell>
          <cell r="B1397">
            <v>5</v>
          </cell>
          <cell r="D1397" t="str">
            <v/>
          </cell>
        </row>
        <row r="1398">
          <cell r="A1398">
            <v>45488</v>
          </cell>
          <cell r="B1398">
            <v>1</v>
          </cell>
          <cell r="D1398" t="str">
            <v/>
          </cell>
        </row>
        <row r="1399">
          <cell r="A1399">
            <v>45489</v>
          </cell>
          <cell r="B1399">
            <v>2</v>
          </cell>
          <cell r="D1399" t="str">
            <v/>
          </cell>
        </row>
        <row r="1400">
          <cell r="A1400">
            <v>45490</v>
          </cell>
          <cell r="B1400">
            <v>3</v>
          </cell>
          <cell r="D1400" t="str">
            <v/>
          </cell>
        </row>
        <row r="1401">
          <cell r="A1401">
            <v>45491</v>
          </cell>
          <cell r="B1401">
            <v>4</v>
          </cell>
          <cell r="D1401" t="str">
            <v/>
          </cell>
        </row>
        <row r="1402">
          <cell r="A1402">
            <v>45492</v>
          </cell>
          <cell r="B1402">
            <v>5</v>
          </cell>
          <cell r="D1402" t="str">
            <v/>
          </cell>
        </row>
        <row r="1403">
          <cell r="A1403">
            <v>45495</v>
          </cell>
          <cell r="B1403">
            <v>1</v>
          </cell>
          <cell r="D1403" t="str">
            <v/>
          </cell>
        </row>
        <row r="1404">
          <cell r="A1404">
            <v>45496</v>
          </cell>
          <cell r="B1404">
            <v>2</v>
          </cell>
          <cell r="D1404" t="str">
            <v/>
          </cell>
        </row>
        <row r="1405">
          <cell r="A1405">
            <v>45497</v>
          </cell>
          <cell r="B1405">
            <v>3</v>
          </cell>
          <cell r="D1405" t="str">
            <v/>
          </cell>
        </row>
        <row r="1406">
          <cell r="A1406">
            <v>45498</v>
          </cell>
          <cell r="B1406">
            <v>4</v>
          </cell>
          <cell r="D1406" t="str">
            <v/>
          </cell>
        </row>
        <row r="1407">
          <cell r="A1407">
            <v>45499</v>
          </cell>
          <cell r="B1407">
            <v>5</v>
          </cell>
          <cell r="D1407" t="str">
            <v/>
          </cell>
        </row>
        <row r="1408">
          <cell r="A1408">
            <v>45502</v>
          </cell>
          <cell r="B1408">
            <v>1</v>
          </cell>
          <cell r="D1408" t="str">
            <v/>
          </cell>
        </row>
        <row r="1409">
          <cell r="A1409">
            <v>45503</v>
          </cell>
          <cell r="B1409">
            <v>2</v>
          </cell>
          <cell r="D1409" t="str">
            <v/>
          </cell>
        </row>
        <row r="1410">
          <cell r="A1410">
            <v>45504</v>
          </cell>
          <cell r="B1410">
            <v>3</v>
          </cell>
          <cell r="D1410" t="str">
            <v/>
          </cell>
        </row>
        <row r="1411">
          <cell r="A1411">
            <v>45505</v>
          </cell>
          <cell r="B1411">
            <v>4</v>
          </cell>
          <cell r="D1411" t="str">
            <v/>
          </cell>
        </row>
        <row r="1412">
          <cell r="A1412">
            <v>45506</v>
          </cell>
          <cell r="B1412">
            <v>5</v>
          </cell>
          <cell r="D1412" t="str">
            <v/>
          </cell>
        </row>
        <row r="1413">
          <cell r="A1413">
            <v>45509</v>
          </cell>
          <cell r="B1413">
            <v>1</v>
          </cell>
          <cell r="D1413" t="str">
            <v/>
          </cell>
        </row>
        <row r="1414">
          <cell r="A1414">
            <v>45510</v>
          </cell>
          <cell r="B1414">
            <v>2</v>
          </cell>
          <cell r="D1414" t="str">
            <v/>
          </cell>
        </row>
        <row r="1415">
          <cell r="A1415">
            <v>45511</v>
          </cell>
          <cell r="B1415">
            <v>3</v>
          </cell>
          <cell r="D1415" t="str">
            <v/>
          </cell>
        </row>
        <row r="1416">
          <cell r="A1416">
            <v>45512</v>
          </cell>
          <cell r="B1416">
            <v>4</v>
          </cell>
          <cell r="D1416" t="str">
            <v/>
          </cell>
        </row>
        <row r="1417">
          <cell r="A1417">
            <v>45513</v>
          </cell>
          <cell r="B1417">
            <v>5</v>
          </cell>
          <cell r="D1417" t="str">
            <v/>
          </cell>
        </row>
        <row r="1418">
          <cell r="A1418">
            <v>45516</v>
          </cell>
          <cell r="B1418">
            <v>1</v>
          </cell>
          <cell r="D1418" t="str">
            <v/>
          </cell>
        </row>
        <row r="1419">
          <cell r="A1419">
            <v>45517</v>
          </cell>
          <cell r="B1419">
            <v>2</v>
          </cell>
          <cell r="D1419" t="str">
            <v/>
          </cell>
        </row>
        <row r="1420">
          <cell r="A1420">
            <v>45518</v>
          </cell>
          <cell r="B1420">
            <v>3</v>
          </cell>
          <cell r="D1420" t="str">
            <v/>
          </cell>
        </row>
        <row r="1421">
          <cell r="A1421">
            <v>45519</v>
          </cell>
          <cell r="B1421">
            <v>4</v>
          </cell>
          <cell r="D1421" t="str">
            <v/>
          </cell>
        </row>
        <row r="1422">
          <cell r="A1422">
            <v>45520</v>
          </cell>
          <cell r="B1422">
            <v>5</v>
          </cell>
          <cell r="D1422" t="str">
            <v/>
          </cell>
        </row>
        <row r="1423">
          <cell r="A1423">
            <v>45523</v>
          </cell>
          <cell r="B1423">
            <v>1</v>
          </cell>
          <cell r="D1423" t="str">
            <v/>
          </cell>
        </row>
        <row r="1424">
          <cell r="A1424">
            <v>45524</v>
          </cell>
          <cell r="B1424">
            <v>2</v>
          </cell>
          <cell r="D1424" t="str">
            <v/>
          </cell>
        </row>
        <row r="1425">
          <cell r="A1425">
            <v>45525</v>
          </cell>
          <cell r="B1425">
            <v>3</v>
          </cell>
          <cell r="D1425" t="str">
            <v/>
          </cell>
        </row>
        <row r="1426">
          <cell r="A1426">
            <v>45526</v>
          </cell>
          <cell r="B1426">
            <v>4</v>
          </cell>
          <cell r="D1426" t="str">
            <v/>
          </cell>
        </row>
        <row r="1427">
          <cell r="A1427">
            <v>45527</v>
          </cell>
          <cell r="B1427">
            <v>5</v>
          </cell>
          <cell r="D1427" t="str">
            <v/>
          </cell>
        </row>
        <row r="1428">
          <cell r="A1428">
            <v>45530</v>
          </cell>
          <cell r="B1428">
            <v>1</v>
          </cell>
          <cell r="D1428" t="str">
            <v/>
          </cell>
        </row>
        <row r="1429">
          <cell r="A1429">
            <v>45531</v>
          </cell>
          <cell r="B1429">
            <v>2</v>
          </cell>
          <cell r="D1429" t="str">
            <v/>
          </cell>
        </row>
        <row r="1430">
          <cell r="A1430">
            <v>45532</v>
          </cell>
          <cell r="B1430">
            <v>3</v>
          </cell>
          <cell r="D1430" t="str">
            <v/>
          </cell>
        </row>
        <row r="1431">
          <cell r="A1431">
            <v>45533</v>
          </cell>
          <cell r="B1431">
            <v>4</v>
          </cell>
          <cell r="D1431" t="str">
            <v/>
          </cell>
        </row>
        <row r="1432">
          <cell r="A1432">
            <v>45534</v>
          </cell>
          <cell r="B1432">
            <v>5</v>
          </cell>
          <cell r="D1432" t="str">
            <v/>
          </cell>
        </row>
        <row r="1433">
          <cell r="A1433">
            <v>45537</v>
          </cell>
          <cell r="B1433">
            <v>1</v>
          </cell>
          <cell r="D1433" t="str">
            <v/>
          </cell>
        </row>
        <row r="1434">
          <cell r="A1434">
            <v>45538</v>
          </cell>
          <cell r="B1434">
            <v>2</v>
          </cell>
          <cell r="D1434" t="str">
            <v/>
          </cell>
        </row>
        <row r="1435">
          <cell r="A1435">
            <v>45539</v>
          </cell>
          <cell r="B1435">
            <v>3</v>
          </cell>
          <cell r="D1435" t="str">
            <v/>
          </cell>
        </row>
        <row r="1436">
          <cell r="A1436">
            <v>45540</v>
          </cell>
          <cell r="B1436">
            <v>4</v>
          </cell>
          <cell r="D1436" t="str">
            <v/>
          </cell>
        </row>
        <row r="1437">
          <cell r="A1437">
            <v>45541</v>
          </cell>
          <cell r="B1437">
            <v>5</v>
          </cell>
          <cell r="D1437" t="str">
            <v/>
          </cell>
        </row>
        <row r="1438">
          <cell r="A1438">
            <v>45544</v>
          </cell>
          <cell r="B1438">
            <v>1</v>
          </cell>
          <cell r="D1438" t="str">
            <v/>
          </cell>
        </row>
        <row r="1439">
          <cell r="A1439">
            <v>45545</v>
          </cell>
          <cell r="B1439">
            <v>2</v>
          </cell>
          <cell r="D1439" t="str">
            <v/>
          </cell>
        </row>
        <row r="1440">
          <cell r="A1440">
            <v>45546</v>
          </cell>
          <cell r="B1440">
            <v>3</v>
          </cell>
          <cell r="D1440" t="str">
            <v/>
          </cell>
        </row>
        <row r="1441">
          <cell r="A1441">
            <v>45547</v>
          </cell>
          <cell r="B1441">
            <v>4</v>
          </cell>
          <cell r="D1441" t="str">
            <v/>
          </cell>
        </row>
        <row r="1442">
          <cell r="A1442">
            <v>45548</v>
          </cell>
          <cell r="B1442">
            <v>5</v>
          </cell>
          <cell r="D1442" t="str">
            <v/>
          </cell>
        </row>
        <row r="1443">
          <cell r="A1443">
            <v>45551</v>
          </cell>
          <cell r="B1443">
            <v>1</v>
          </cell>
          <cell r="D1443" t="str">
            <v/>
          </cell>
        </row>
        <row r="1444">
          <cell r="A1444">
            <v>45552</v>
          </cell>
          <cell r="B1444">
            <v>2</v>
          </cell>
          <cell r="D1444" t="str">
            <v/>
          </cell>
        </row>
        <row r="1445">
          <cell r="A1445">
            <v>45553</v>
          </cell>
          <cell r="B1445">
            <v>3</v>
          </cell>
          <cell r="D1445" t="str">
            <v/>
          </cell>
        </row>
        <row r="1446">
          <cell r="A1446">
            <v>45554</v>
          </cell>
          <cell r="B1446">
            <v>4</v>
          </cell>
          <cell r="D1446" t="str">
            <v/>
          </cell>
        </row>
        <row r="1447">
          <cell r="A1447">
            <v>45555</v>
          </cell>
          <cell r="B1447">
            <v>5</v>
          </cell>
          <cell r="D1447" t="str">
            <v/>
          </cell>
        </row>
        <row r="1448">
          <cell r="A1448">
            <v>45558</v>
          </cell>
          <cell r="B1448">
            <v>1</v>
          </cell>
          <cell r="D1448" t="str">
            <v/>
          </cell>
        </row>
        <row r="1449">
          <cell r="A1449">
            <v>45559</v>
          </cell>
          <cell r="B1449">
            <v>2</v>
          </cell>
          <cell r="D1449" t="str">
            <v/>
          </cell>
        </row>
        <row r="1450">
          <cell r="A1450">
            <v>45560</v>
          </cell>
          <cell r="B1450">
            <v>3</v>
          </cell>
          <cell r="D1450" t="str">
            <v/>
          </cell>
        </row>
        <row r="1451">
          <cell r="A1451">
            <v>45561</v>
          </cell>
          <cell r="B1451">
            <v>4</v>
          </cell>
          <cell r="D1451" t="str">
            <v/>
          </cell>
        </row>
        <row r="1452">
          <cell r="A1452">
            <v>45562</v>
          </cell>
          <cell r="B1452">
            <v>5</v>
          </cell>
          <cell r="D1452" t="str">
            <v/>
          </cell>
        </row>
        <row r="1453">
          <cell r="A1453">
            <v>45565</v>
          </cell>
          <cell r="B1453">
            <v>1</v>
          </cell>
          <cell r="D1453" t="str">
            <v/>
          </cell>
        </row>
        <row r="1454">
          <cell r="A1454">
            <v>45566</v>
          </cell>
          <cell r="B1454">
            <v>2</v>
          </cell>
          <cell r="D1454" t="str">
            <v/>
          </cell>
        </row>
        <row r="1455">
          <cell r="A1455">
            <v>45567</v>
          </cell>
          <cell r="B1455">
            <v>3</v>
          </cell>
          <cell r="D1455" t="str">
            <v/>
          </cell>
        </row>
        <row r="1456">
          <cell r="A1456">
            <v>45568</v>
          </cell>
          <cell r="B1456">
            <v>4</v>
          </cell>
          <cell r="D1456" t="str">
            <v/>
          </cell>
        </row>
        <row r="1457">
          <cell r="A1457">
            <v>45569</v>
          </cell>
          <cell r="B1457">
            <v>5</v>
          </cell>
          <cell r="D1457" t="str">
            <v/>
          </cell>
        </row>
        <row r="1458">
          <cell r="A1458">
            <v>45572</v>
          </cell>
          <cell r="B1458">
            <v>1</v>
          </cell>
          <cell r="D1458" t="str">
            <v/>
          </cell>
        </row>
        <row r="1459">
          <cell r="A1459">
            <v>45573</v>
          </cell>
          <cell r="B1459">
            <v>2</v>
          </cell>
          <cell r="D1459" t="str">
            <v/>
          </cell>
        </row>
        <row r="1460">
          <cell r="A1460">
            <v>45574</v>
          </cell>
          <cell r="B1460">
            <v>3</v>
          </cell>
          <cell r="D1460" t="str">
            <v/>
          </cell>
        </row>
        <row r="1461">
          <cell r="A1461">
            <v>45575</v>
          </cell>
          <cell r="B1461">
            <v>4</v>
          </cell>
          <cell r="D1461" t="str">
            <v/>
          </cell>
        </row>
        <row r="1462">
          <cell r="A1462">
            <v>45576</v>
          </cell>
          <cell r="B1462">
            <v>5</v>
          </cell>
          <cell r="D1462" t="str">
            <v/>
          </cell>
        </row>
        <row r="1463">
          <cell r="A1463">
            <v>45579</v>
          </cell>
          <cell r="B1463">
            <v>1</v>
          </cell>
          <cell r="D1463" t="str">
            <v/>
          </cell>
        </row>
        <row r="1464">
          <cell r="A1464">
            <v>45580</v>
          </cell>
          <cell r="B1464">
            <v>2</v>
          </cell>
          <cell r="D1464" t="str">
            <v/>
          </cell>
        </row>
        <row r="1465">
          <cell r="A1465">
            <v>45581</v>
          </cell>
          <cell r="B1465">
            <v>3</v>
          </cell>
          <cell r="D1465" t="str">
            <v/>
          </cell>
        </row>
        <row r="1466">
          <cell r="A1466">
            <v>45582</v>
          </cell>
          <cell r="B1466">
            <v>4</v>
          </cell>
          <cell r="D1466" t="str">
            <v/>
          </cell>
        </row>
        <row r="1467">
          <cell r="A1467">
            <v>45583</v>
          </cell>
          <cell r="B1467">
            <v>5</v>
          </cell>
          <cell r="D1467" t="str">
            <v/>
          </cell>
        </row>
        <row r="1468">
          <cell r="A1468">
            <v>45586</v>
          </cell>
          <cell r="B1468">
            <v>1</v>
          </cell>
          <cell r="D1468" t="str">
            <v/>
          </cell>
        </row>
        <row r="1469">
          <cell r="A1469">
            <v>45587</v>
          </cell>
          <cell r="B1469">
            <v>2</v>
          </cell>
          <cell r="D1469" t="str">
            <v/>
          </cell>
        </row>
        <row r="1470">
          <cell r="A1470">
            <v>45588</v>
          </cell>
          <cell r="B1470">
            <v>3</v>
          </cell>
          <cell r="D1470" t="str">
            <v/>
          </cell>
        </row>
        <row r="1471">
          <cell r="A1471">
            <v>45589</v>
          </cell>
          <cell r="B1471">
            <v>4</v>
          </cell>
          <cell r="D1471" t="str">
            <v/>
          </cell>
        </row>
        <row r="1472">
          <cell r="A1472">
            <v>45590</v>
          </cell>
          <cell r="B1472">
            <v>5</v>
          </cell>
          <cell r="D1472" t="str">
            <v/>
          </cell>
        </row>
        <row r="1473">
          <cell r="A1473">
            <v>45593</v>
          </cell>
          <cell r="B1473">
            <v>1</v>
          </cell>
          <cell r="D1473" t="str">
            <v/>
          </cell>
        </row>
        <row r="1474">
          <cell r="A1474">
            <v>45594</v>
          </cell>
          <cell r="B1474">
            <v>2</v>
          </cell>
          <cell r="D1474" t="str">
            <v/>
          </cell>
        </row>
        <row r="1475">
          <cell r="A1475">
            <v>45595</v>
          </cell>
          <cell r="B1475">
            <v>3</v>
          </cell>
          <cell r="D1475" t="str">
            <v/>
          </cell>
        </row>
        <row r="1476">
          <cell r="A1476">
            <v>45596</v>
          </cell>
          <cell r="B1476">
            <v>4</v>
          </cell>
          <cell r="D1476" t="str">
            <v/>
          </cell>
        </row>
        <row r="1477">
          <cell r="A1477">
            <v>45597</v>
          </cell>
          <cell r="B1477">
            <v>5</v>
          </cell>
          <cell r="D1477" t="str">
            <v/>
          </cell>
        </row>
        <row r="1478">
          <cell r="A1478">
            <v>45600</v>
          </cell>
          <cell r="B1478">
            <v>1</v>
          </cell>
          <cell r="D1478" t="str">
            <v/>
          </cell>
        </row>
        <row r="1479">
          <cell r="A1479">
            <v>45601</v>
          </cell>
          <cell r="B1479">
            <v>2</v>
          </cell>
          <cell r="D1479" t="str">
            <v/>
          </cell>
        </row>
        <row r="1480">
          <cell r="A1480">
            <v>45602</v>
          </cell>
          <cell r="B1480">
            <v>3</v>
          </cell>
          <cell r="D1480" t="str">
            <v/>
          </cell>
        </row>
        <row r="1481">
          <cell r="A1481">
            <v>45603</v>
          </cell>
          <cell r="B1481">
            <v>4</v>
          </cell>
          <cell r="D1481" t="str">
            <v/>
          </cell>
        </row>
        <row r="1482">
          <cell r="A1482">
            <v>45604</v>
          </cell>
          <cell r="B1482">
            <v>5</v>
          </cell>
          <cell r="D1482" t="str">
            <v/>
          </cell>
        </row>
        <row r="1483">
          <cell r="A1483">
            <v>45607</v>
          </cell>
          <cell r="B1483">
            <v>1</v>
          </cell>
          <cell r="D1483" t="str">
            <v/>
          </cell>
        </row>
        <row r="1484">
          <cell r="A1484">
            <v>45608</v>
          </cell>
          <cell r="B1484">
            <v>2</v>
          </cell>
          <cell r="D1484" t="str">
            <v/>
          </cell>
        </row>
        <row r="1485">
          <cell r="A1485">
            <v>45609</v>
          </cell>
          <cell r="B1485">
            <v>3</v>
          </cell>
          <cell r="D1485" t="str">
            <v/>
          </cell>
        </row>
        <row r="1486">
          <cell r="A1486">
            <v>45610</v>
          </cell>
          <cell r="B1486">
            <v>4</v>
          </cell>
          <cell r="D1486" t="str">
            <v/>
          </cell>
        </row>
        <row r="1487">
          <cell r="A1487">
            <v>45611</v>
          </cell>
          <cell r="B1487">
            <v>5</v>
          </cell>
          <cell r="D1487" t="str">
            <v/>
          </cell>
        </row>
        <row r="1488">
          <cell r="A1488">
            <v>45614</v>
          </cell>
          <cell r="B1488">
            <v>1</v>
          </cell>
          <cell r="D1488" t="str">
            <v/>
          </cell>
        </row>
        <row r="1489">
          <cell r="A1489">
            <v>45615</v>
          </cell>
          <cell r="B1489">
            <v>2</v>
          </cell>
          <cell r="D1489" t="str">
            <v/>
          </cell>
        </row>
        <row r="1490">
          <cell r="A1490">
            <v>45616</v>
          </cell>
          <cell r="B1490">
            <v>3</v>
          </cell>
          <cell r="D1490" t="str">
            <v/>
          </cell>
        </row>
        <row r="1491">
          <cell r="A1491">
            <v>45617</v>
          </cell>
          <cell r="B1491">
            <v>4</v>
          </cell>
          <cell r="D1491" t="str">
            <v/>
          </cell>
        </row>
        <row r="1492">
          <cell r="A1492">
            <v>45618</v>
          </cell>
          <cell r="B1492">
            <v>5</v>
          </cell>
          <cell r="D1492" t="str">
            <v/>
          </cell>
        </row>
        <row r="1493">
          <cell r="A1493">
            <v>45621</v>
          </cell>
          <cell r="B1493">
            <v>1</v>
          </cell>
          <cell r="D1493" t="str">
            <v/>
          </cell>
        </row>
        <row r="1494">
          <cell r="A1494">
            <v>45622</v>
          </cell>
          <cell r="B1494">
            <v>2</v>
          </cell>
          <cell r="D1494" t="str">
            <v/>
          </cell>
        </row>
        <row r="1495">
          <cell r="A1495">
            <v>45623</v>
          </cell>
          <cell r="B1495">
            <v>3</v>
          </cell>
          <cell r="D1495" t="str">
            <v/>
          </cell>
        </row>
        <row r="1496">
          <cell r="A1496">
            <v>45624</v>
          </cell>
          <cell r="B1496">
            <v>4</v>
          </cell>
          <cell r="D1496" t="str">
            <v/>
          </cell>
        </row>
        <row r="1497">
          <cell r="A1497">
            <v>45625</v>
          </cell>
          <cell r="B1497">
            <v>5</v>
          </cell>
          <cell r="D1497" t="str">
            <v/>
          </cell>
        </row>
        <row r="1498">
          <cell r="A1498">
            <v>45628</v>
          </cell>
          <cell r="B1498">
            <v>1</v>
          </cell>
          <cell r="D1498" t="str">
            <v/>
          </cell>
        </row>
        <row r="1499">
          <cell r="A1499">
            <v>45629</v>
          </cell>
          <cell r="B1499">
            <v>2</v>
          </cell>
          <cell r="D1499" t="str">
            <v/>
          </cell>
        </row>
        <row r="1500">
          <cell r="A1500">
            <v>45630</v>
          </cell>
          <cell r="B1500">
            <v>3</v>
          </cell>
          <cell r="D1500" t="str">
            <v/>
          </cell>
        </row>
        <row r="1501">
          <cell r="A1501">
            <v>45631</v>
          </cell>
          <cell r="B1501">
            <v>4</v>
          </cell>
          <cell r="D1501" t="str">
            <v/>
          </cell>
        </row>
        <row r="1502">
          <cell r="A1502">
            <v>45632</v>
          </cell>
          <cell r="B1502">
            <v>5</v>
          </cell>
          <cell r="D1502" t="str">
            <v/>
          </cell>
        </row>
        <row r="1503">
          <cell r="A1503">
            <v>45635</v>
          </cell>
          <cell r="B1503">
            <v>1</v>
          </cell>
          <cell r="D1503" t="str">
            <v/>
          </cell>
        </row>
        <row r="1504">
          <cell r="A1504">
            <v>45636</v>
          </cell>
          <cell r="B1504">
            <v>2</v>
          </cell>
          <cell r="D1504" t="str">
            <v/>
          </cell>
        </row>
        <row r="1505">
          <cell r="A1505">
            <v>45637</v>
          </cell>
          <cell r="B1505">
            <v>3</v>
          </cell>
          <cell r="D1505" t="str">
            <v/>
          </cell>
        </row>
        <row r="1506">
          <cell r="A1506">
            <v>45638</v>
          </cell>
          <cell r="B1506">
            <v>4</v>
          </cell>
          <cell r="D1506" t="str">
            <v/>
          </cell>
        </row>
        <row r="1507">
          <cell r="A1507">
            <v>45639</v>
          </cell>
          <cell r="B1507">
            <v>5</v>
          </cell>
          <cell r="D1507" t="str">
            <v/>
          </cell>
        </row>
        <row r="1508">
          <cell r="A1508">
            <v>45642</v>
          </cell>
          <cell r="B1508">
            <v>1</v>
          </cell>
          <cell r="D1508" t="str">
            <v/>
          </cell>
        </row>
        <row r="1509">
          <cell r="A1509">
            <v>45643</v>
          </cell>
          <cell r="B1509">
            <v>2</v>
          </cell>
          <cell r="D1509" t="str">
            <v/>
          </cell>
        </row>
        <row r="1510">
          <cell r="A1510">
            <v>45644</v>
          </cell>
          <cell r="B1510">
            <v>3</v>
          </cell>
          <cell r="D1510" t="str">
            <v/>
          </cell>
        </row>
        <row r="1511">
          <cell r="A1511">
            <v>45645</v>
          </cell>
          <cell r="B1511">
            <v>4</v>
          </cell>
          <cell r="D1511" t="str">
            <v/>
          </cell>
        </row>
        <row r="1512">
          <cell r="A1512">
            <v>45646</v>
          </cell>
          <cell r="B1512">
            <v>5</v>
          </cell>
          <cell r="D1512" t="str">
            <v/>
          </cell>
        </row>
        <row r="1513">
          <cell r="A1513">
            <v>45649</v>
          </cell>
          <cell r="B1513">
            <v>1</v>
          </cell>
          <cell r="D1513" t="str">
            <v/>
          </cell>
        </row>
        <row r="1514">
          <cell r="A1514">
            <v>45650</v>
          </cell>
          <cell r="B1514">
            <v>2</v>
          </cell>
          <cell r="D1514" t="str">
            <v/>
          </cell>
        </row>
        <row r="1515">
          <cell r="A1515">
            <v>45651</v>
          </cell>
          <cell r="B1515">
            <v>3</v>
          </cell>
          <cell r="D1515" t="str">
            <v/>
          </cell>
        </row>
        <row r="1516">
          <cell r="A1516">
            <v>45652</v>
          </cell>
          <cell r="B1516">
            <v>4</v>
          </cell>
          <cell r="D1516" t="str">
            <v/>
          </cell>
        </row>
        <row r="1517">
          <cell r="A1517">
            <v>45653</v>
          </cell>
          <cell r="B1517">
            <v>5</v>
          </cell>
          <cell r="D1517" t="str">
            <v/>
          </cell>
        </row>
        <row r="1518">
          <cell r="A1518">
            <v>45656</v>
          </cell>
          <cell r="B1518">
            <v>1</v>
          </cell>
          <cell r="D1518" t="str">
            <v/>
          </cell>
        </row>
        <row r="1519">
          <cell r="A1519">
            <v>45657</v>
          </cell>
          <cell r="B1519">
            <v>2</v>
          </cell>
          <cell r="D1519" t="str">
            <v/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0817"/>
    </sheetNames>
    <sheetDataSet>
      <sheetData sheetId="0">
        <row r="4">
          <cell r="A4" t="str">
            <v>A10109</v>
          </cell>
          <cell r="B4" t="str">
            <v>112/08/26</v>
          </cell>
          <cell r="C4">
            <v>0.25</v>
          </cell>
          <cell r="D4">
            <v>0.01</v>
          </cell>
          <cell r="E4">
            <v>0.02</v>
          </cell>
          <cell r="F4" t="str">
            <v/>
          </cell>
          <cell r="G4" t="str">
            <v/>
          </cell>
          <cell r="H4" t="str">
            <v/>
          </cell>
          <cell r="I4" t="str">
            <v/>
          </cell>
          <cell r="J4" t="str">
            <v/>
          </cell>
          <cell r="K4" t="str">
            <v/>
          </cell>
          <cell r="L4" t="str">
            <v/>
          </cell>
          <cell r="M4" t="str">
            <v/>
          </cell>
          <cell r="N4" t="str">
            <v/>
          </cell>
          <cell r="O4">
            <v>1.0864</v>
          </cell>
        </row>
        <row r="5">
          <cell r="A5" t="str">
            <v>A02110</v>
          </cell>
          <cell r="B5" t="str">
            <v>112/09/18</v>
          </cell>
          <cell r="C5">
            <v>1.75</v>
          </cell>
          <cell r="D5">
            <v>0.08</v>
          </cell>
          <cell r="E5">
            <v>0.08</v>
          </cell>
          <cell r="F5" t="str">
            <v/>
          </cell>
          <cell r="G5" t="str">
            <v/>
          </cell>
          <cell r="H5" t="str">
            <v/>
          </cell>
          <cell r="I5" t="str">
            <v/>
          </cell>
          <cell r="J5" t="str">
            <v/>
          </cell>
          <cell r="K5" t="str">
            <v/>
          </cell>
          <cell r="L5" t="str">
            <v/>
          </cell>
          <cell r="M5" t="str">
            <v/>
          </cell>
          <cell r="N5" t="str">
            <v/>
          </cell>
          <cell r="O5">
            <v>0.99990000000000001</v>
          </cell>
        </row>
        <row r="6">
          <cell r="A6" t="str">
            <v>A07111</v>
          </cell>
          <cell r="B6" t="str">
            <v>112/11/23</v>
          </cell>
          <cell r="C6">
            <v>0.75</v>
          </cell>
          <cell r="D6">
            <v>0.26</v>
          </cell>
          <cell r="E6">
            <v>0.26</v>
          </cell>
          <cell r="F6" t="str">
            <v/>
          </cell>
          <cell r="G6" t="str">
            <v/>
          </cell>
          <cell r="H6" t="str">
            <v/>
          </cell>
          <cell r="I6" t="str">
            <v/>
          </cell>
          <cell r="J6" t="str">
            <v/>
          </cell>
          <cell r="K6" t="str">
            <v/>
          </cell>
          <cell r="L6" t="str">
            <v/>
          </cell>
          <cell r="M6" t="str">
            <v/>
          </cell>
          <cell r="N6" t="str">
            <v/>
          </cell>
          <cell r="O6">
            <v>0.98709999999999998</v>
          </cell>
        </row>
        <row r="7">
          <cell r="A7" t="str">
            <v>A08101</v>
          </cell>
          <cell r="B7" t="str">
            <v>113/01/14</v>
          </cell>
          <cell r="C7">
            <v>0.625</v>
          </cell>
          <cell r="D7">
            <v>0.4</v>
          </cell>
          <cell r="E7">
            <v>0.41</v>
          </cell>
          <cell r="F7" t="str">
            <v/>
          </cell>
          <cell r="G7" t="str">
            <v/>
          </cell>
          <cell r="H7" t="str">
            <v/>
          </cell>
          <cell r="I7" t="str">
            <v/>
          </cell>
          <cell r="J7" t="str">
            <v/>
          </cell>
          <cell r="K7" t="str">
            <v/>
          </cell>
          <cell r="L7" t="str">
            <v/>
          </cell>
          <cell r="M7" t="str">
            <v/>
          </cell>
          <cell r="N7" t="str">
            <v/>
          </cell>
          <cell r="O7">
            <v>0.98560000000000003</v>
          </cell>
        </row>
        <row r="8">
          <cell r="A8" t="str">
            <v>A93103</v>
          </cell>
          <cell r="B8" t="str">
            <v>113/02/10</v>
          </cell>
          <cell r="C8">
            <v>3</v>
          </cell>
          <cell r="D8">
            <v>0.47</v>
          </cell>
          <cell r="E8">
            <v>0.48</v>
          </cell>
          <cell r="F8" t="str">
            <v/>
          </cell>
          <cell r="G8" t="str">
            <v/>
          </cell>
          <cell r="H8" t="str">
            <v/>
          </cell>
          <cell r="I8" t="str">
            <v/>
          </cell>
          <cell r="J8" t="str">
            <v/>
          </cell>
          <cell r="K8" t="str">
            <v/>
          </cell>
          <cell r="L8" t="str">
            <v/>
          </cell>
          <cell r="M8" t="str">
            <v/>
          </cell>
          <cell r="N8" t="str">
            <v/>
          </cell>
          <cell r="O8">
            <v>0.98519999999999996</v>
          </cell>
        </row>
        <row r="9">
          <cell r="A9" t="str">
            <v>A03106</v>
          </cell>
          <cell r="B9" t="str">
            <v>113/03/03</v>
          </cell>
          <cell r="C9">
            <v>1.5</v>
          </cell>
          <cell r="D9">
            <v>0.53</v>
          </cell>
          <cell r="E9">
            <v>0.54</v>
          </cell>
          <cell r="F9" t="str">
            <v/>
          </cell>
          <cell r="G9" t="str">
            <v/>
          </cell>
          <cell r="H9" t="str">
            <v/>
          </cell>
          <cell r="I9" t="str">
            <v/>
          </cell>
          <cell r="J9" t="str">
            <v/>
          </cell>
          <cell r="K9" t="str">
            <v/>
          </cell>
          <cell r="L9" t="str">
            <v/>
          </cell>
          <cell r="M9" t="str">
            <v/>
          </cell>
          <cell r="N9" t="str">
            <v/>
          </cell>
          <cell r="O9">
            <v>0.9849</v>
          </cell>
        </row>
        <row r="10">
          <cell r="A10" t="str">
            <v>A11202</v>
          </cell>
          <cell r="B10" t="str">
            <v>113/03/31</v>
          </cell>
          <cell r="C10">
            <v>0.75</v>
          </cell>
          <cell r="D10">
            <v>0.6</v>
          </cell>
          <cell r="E10">
            <v>0.62</v>
          </cell>
          <cell r="F10" t="str">
            <v/>
          </cell>
          <cell r="G10" t="str">
            <v/>
          </cell>
          <cell r="H10" t="str">
            <v/>
          </cell>
          <cell r="I10" t="str">
            <v/>
          </cell>
          <cell r="J10" t="str">
            <v/>
          </cell>
          <cell r="K10" t="str">
            <v/>
          </cell>
          <cell r="L10" t="str">
            <v/>
          </cell>
          <cell r="M10" t="str">
            <v/>
          </cell>
          <cell r="N10" t="str">
            <v/>
          </cell>
          <cell r="O10">
            <v>0.98440000000000005</v>
          </cell>
        </row>
        <row r="11">
          <cell r="A11" t="str">
            <v>A08107</v>
          </cell>
          <cell r="B11" t="str">
            <v>113/07/17</v>
          </cell>
          <cell r="C11">
            <v>0.5</v>
          </cell>
          <cell r="D11">
            <v>0.9</v>
          </cell>
          <cell r="E11">
            <v>0.91</v>
          </cell>
          <cell r="F11" t="str">
            <v/>
          </cell>
          <cell r="G11" t="str">
            <v/>
          </cell>
          <cell r="H11" t="str">
            <v/>
          </cell>
          <cell r="I11" t="str">
            <v/>
          </cell>
          <cell r="J11" t="str">
            <v/>
          </cell>
          <cell r="K11" t="str">
            <v/>
          </cell>
          <cell r="L11" t="str">
            <v/>
          </cell>
          <cell r="M11" t="str">
            <v/>
          </cell>
          <cell r="N11" t="str">
            <v/>
          </cell>
          <cell r="O11">
            <v>0.98199999999999998</v>
          </cell>
        </row>
        <row r="12">
          <cell r="A12" t="str">
            <v>A03113</v>
          </cell>
          <cell r="B12" t="str">
            <v>113/09/26</v>
          </cell>
          <cell r="C12">
            <v>1.625</v>
          </cell>
          <cell r="D12">
            <v>1.07</v>
          </cell>
          <cell r="E12">
            <v>1.1100000000000001</v>
          </cell>
          <cell r="F12" t="str">
            <v/>
          </cell>
          <cell r="G12" t="str">
            <v/>
          </cell>
          <cell r="H12" t="str">
            <v/>
          </cell>
          <cell r="I12" t="str">
            <v/>
          </cell>
          <cell r="J12" t="str">
            <v/>
          </cell>
          <cell r="K12" t="str">
            <v/>
          </cell>
          <cell r="L12" t="str">
            <v/>
          </cell>
          <cell r="M12" t="str">
            <v/>
          </cell>
          <cell r="N12" t="str">
            <v/>
          </cell>
          <cell r="O12">
            <v>0.97940000000000005</v>
          </cell>
        </row>
        <row r="13">
          <cell r="A13" t="str">
            <v>A93109</v>
          </cell>
          <cell r="B13" t="str">
            <v>113/11/18</v>
          </cell>
          <cell r="C13">
            <v>3</v>
          </cell>
          <cell r="D13">
            <v>1.2</v>
          </cell>
          <cell r="E13">
            <v>1.25</v>
          </cell>
          <cell r="F13" t="str">
            <v/>
          </cell>
          <cell r="G13" t="str">
            <v/>
          </cell>
          <cell r="H13" t="str">
            <v/>
          </cell>
          <cell r="I13" t="str">
            <v/>
          </cell>
          <cell r="J13" t="str">
            <v/>
          </cell>
          <cell r="K13" t="str">
            <v/>
          </cell>
          <cell r="L13" t="str">
            <v/>
          </cell>
          <cell r="M13" t="str">
            <v/>
          </cell>
          <cell r="N13" t="str">
            <v/>
          </cell>
          <cell r="O13">
            <v>0.97760000000000002</v>
          </cell>
        </row>
        <row r="14">
          <cell r="A14" t="str">
            <v>A09101</v>
          </cell>
          <cell r="B14" t="str">
            <v>114/01/10</v>
          </cell>
          <cell r="C14">
            <v>0.5</v>
          </cell>
          <cell r="D14">
            <v>1.37</v>
          </cell>
          <cell r="E14">
            <v>1.4</v>
          </cell>
          <cell r="F14" t="str">
            <v/>
          </cell>
          <cell r="G14" t="str">
            <v/>
          </cell>
          <cell r="H14" t="str">
            <v/>
          </cell>
          <cell r="I14" t="str">
            <v/>
          </cell>
          <cell r="J14" t="str">
            <v/>
          </cell>
          <cell r="K14" t="str">
            <v/>
          </cell>
          <cell r="L14" t="str">
            <v/>
          </cell>
          <cell r="M14" t="str">
            <v/>
          </cell>
          <cell r="N14" t="str">
            <v/>
          </cell>
          <cell r="O14">
            <v>0.97599999999999998</v>
          </cell>
        </row>
        <row r="15">
          <cell r="A15" t="str">
            <v>A94103</v>
          </cell>
          <cell r="B15" t="str">
            <v>114/02/25</v>
          </cell>
          <cell r="C15">
            <v>2.375</v>
          </cell>
          <cell r="D15">
            <v>1.48</v>
          </cell>
          <cell r="E15">
            <v>1.52</v>
          </cell>
          <cell r="F15" t="str">
            <v/>
          </cell>
          <cell r="G15" t="str">
            <v/>
          </cell>
          <cell r="H15" t="str">
            <v/>
          </cell>
          <cell r="I15" t="str">
            <v/>
          </cell>
          <cell r="J15" t="str">
            <v/>
          </cell>
          <cell r="K15" t="str">
            <v/>
          </cell>
          <cell r="L15" t="str">
            <v/>
          </cell>
          <cell r="M15" t="str">
            <v/>
          </cell>
          <cell r="N15" t="str">
            <v/>
          </cell>
          <cell r="O15">
            <v>0.97540000000000004</v>
          </cell>
        </row>
        <row r="16">
          <cell r="A16" t="str">
            <v>A12103</v>
          </cell>
          <cell r="B16" t="str">
            <v>114/02/23</v>
          </cell>
          <cell r="C16">
            <v>1</v>
          </cell>
          <cell r="D16">
            <v>1.49</v>
          </cell>
          <cell r="E16">
            <v>1.52</v>
          </cell>
          <cell r="F16" t="str">
            <v/>
          </cell>
          <cell r="G16" t="str">
            <v/>
          </cell>
          <cell r="H16" t="str">
            <v/>
          </cell>
          <cell r="I16" t="str">
            <v/>
          </cell>
          <cell r="J16" t="str">
            <v/>
          </cell>
          <cell r="K16" t="str">
            <v/>
          </cell>
          <cell r="L16" t="str">
            <v/>
          </cell>
          <cell r="M16" t="str">
            <v/>
          </cell>
          <cell r="N16" t="str">
            <v/>
          </cell>
          <cell r="O16">
            <v>0.97540000000000004</v>
          </cell>
        </row>
        <row r="17">
          <cell r="A17" t="str">
            <v>A04105</v>
          </cell>
          <cell r="B17" t="str">
            <v>114/03/13</v>
          </cell>
          <cell r="C17">
            <v>1.625</v>
          </cell>
          <cell r="D17">
            <v>1.53</v>
          </cell>
          <cell r="E17">
            <v>1.57</v>
          </cell>
          <cell r="F17" t="str">
            <v/>
          </cell>
          <cell r="G17" t="str">
            <v/>
          </cell>
          <cell r="H17" t="str">
            <v/>
          </cell>
          <cell r="I17" t="str">
            <v/>
          </cell>
          <cell r="J17" t="str">
            <v/>
          </cell>
          <cell r="K17" t="str">
            <v/>
          </cell>
          <cell r="L17" t="str">
            <v/>
          </cell>
          <cell r="M17" t="str">
            <v/>
          </cell>
          <cell r="N17" t="str">
            <v/>
          </cell>
          <cell r="O17">
            <v>0.97540000000000004</v>
          </cell>
        </row>
        <row r="18">
          <cell r="A18" t="str">
            <v>A09107</v>
          </cell>
          <cell r="B18" t="str">
            <v>114/07/17</v>
          </cell>
          <cell r="C18">
            <v>0.25</v>
          </cell>
          <cell r="D18">
            <v>1.88</v>
          </cell>
          <cell r="E18">
            <v>1.91</v>
          </cell>
          <cell r="F18" t="str">
            <v/>
          </cell>
          <cell r="G18" t="str">
            <v/>
          </cell>
          <cell r="H18" t="str">
            <v/>
          </cell>
          <cell r="I18" t="str">
            <v/>
          </cell>
          <cell r="J18" t="str">
            <v/>
          </cell>
          <cell r="K18" t="str">
            <v/>
          </cell>
          <cell r="L18" t="str">
            <v/>
          </cell>
          <cell r="M18" t="str">
            <v/>
          </cell>
          <cell r="N18" t="str">
            <v/>
          </cell>
          <cell r="O18">
            <v>0.97789999999999999</v>
          </cell>
        </row>
        <row r="19">
          <cell r="A19" t="str">
            <v>A04112</v>
          </cell>
          <cell r="B19" t="str">
            <v>114/09/11</v>
          </cell>
          <cell r="C19">
            <v>1.125</v>
          </cell>
          <cell r="D19">
            <v>2</v>
          </cell>
          <cell r="E19">
            <v>2.06</v>
          </cell>
          <cell r="F19" t="str">
            <v/>
          </cell>
          <cell r="G19" t="str">
            <v/>
          </cell>
          <cell r="H19" t="str">
            <v/>
          </cell>
          <cell r="I19" t="str">
            <v/>
          </cell>
          <cell r="J19" t="str">
            <v/>
          </cell>
          <cell r="K19" t="str">
            <v/>
          </cell>
          <cell r="L19" t="str">
            <v/>
          </cell>
          <cell r="M19" t="str">
            <v/>
          </cell>
          <cell r="N19" t="str">
            <v/>
          </cell>
          <cell r="O19">
            <v>0.98119999999999996</v>
          </cell>
        </row>
        <row r="20">
          <cell r="A20" t="str">
            <v>A09112</v>
          </cell>
          <cell r="B20" t="str">
            <v>114/12/08</v>
          </cell>
          <cell r="C20">
            <v>0.125</v>
          </cell>
          <cell r="D20">
            <v>2.27</v>
          </cell>
          <cell r="E20">
            <v>2.31</v>
          </cell>
          <cell r="F20" t="str">
            <v/>
          </cell>
          <cell r="G20" t="str">
            <v/>
          </cell>
          <cell r="H20" t="str">
            <v/>
          </cell>
          <cell r="I20" t="str">
            <v/>
          </cell>
          <cell r="J20" t="str">
            <v/>
          </cell>
          <cell r="K20" t="str">
            <v/>
          </cell>
          <cell r="L20" t="str">
            <v/>
          </cell>
          <cell r="M20" t="str">
            <v/>
          </cell>
          <cell r="N20" t="str">
            <v/>
          </cell>
          <cell r="O20">
            <v>0.98919999999999997</v>
          </cell>
        </row>
        <row r="21">
          <cell r="A21" t="str">
            <v>A10101</v>
          </cell>
          <cell r="B21" t="str">
            <v>115/01/13</v>
          </cell>
          <cell r="C21">
            <v>0.25</v>
          </cell>
          <cell r="D21">
            <v>2.37</v>
          </cell>
          <cell r="E21">
            <v>2.4</v>
          </cell>
          <cell r="F21" t="str">
            <v/>
          </cell>
          <cell r="G21" t="str">
            <v/>
          </cell>
          <cell r="H21" t="str">
            <v/>
          </cell>
          <cell r="I21" t="str">
            <v/>
          </cell>
          <cell r="J21" t="str">
            <v/>
          </cell>
          <cell r="K21" t="str">
            <v/>
          </cell>
          <cell r="L21" t="str">
            <v/>
          </cell>
          <cell r="M21" t="str">
            <v/>
          </cell>
          <cell r="N21" t="str">
            <v/>
          </cell>
          <cell r="O21">
            <v>0.99339999999999995</v>
          </cell>
        </row>
        <row r="22">
          <cell r="A22" t="str">
            <v>A95102</v>
          </cell>
          <cell r="B22" t="str">
            <v>115/02/24</v>
          </cell>
          <cell r="C22">
            <v>1.875</v>
          </cell>
          <cell r="D22">
            <v>2.4300000000000002</v>
          </cell>
          <cell r="E22">
            <v>2.52</v>
          </cell>
          <cell r="F22" t="str">
            <v/>
          </cell>
          <cell r="G22" t="str">
            <v/>
          </cell>
          <cell r="H22" t="str">
            <v/>
          </cell>
          <cell r="I22" t="str">
            <v/>
          </cell>
          <cell r="J22" t="str">
            <v/>
          </cell>
          <cell r="K22" t="str">
            <v/>
          </cell>
          <cell r="L22" t="str">
            <v/>
          </cell>
          <cell r="M22" t="str">
            <v/>
          </cell>
          <cell r="N22" t="str">
            <v/>
          </cell>
          <cell r="O22">
            <v>0.99890000000000001</v>
          </cell>
        </row>
        <row r="23">
          <cell r="A23" t="str">
            <v>A05104</v>
          </cell>
          <cell r="B23" t="str">
            <v>115/03/04</v>
          </cell>
          <cell r="C23">
            <v>0.75</v>
          </cell>
          <cell r="D23">
            <v>2.4900000000000002</v>
          </cell>
          <cell r="E23">
            <v>2.54</v>
          </cell>
          <cell r="F23" t="str">
            <v/>
          </cell>
          <cell r="G23" t="str">
            <v/>
          </cell>
          <cell r="H23" t="str">
            <v/>
          </cell>
          <cell r="I23" t="str">
            <v/>
          </cell>
          <cell r="J23" t="str">
            <v/>
          </cell>
          <cell r="K23" t="str">
            <v/>
          </cell>
          <cell r="L23" t="str">
            <v/>
          </cell>
          <cell r="M23" t="str">
            <v/>
          </cell>
          <cell r="N23" t="str">
            <v/>
          </cell>
          <cell r="O23">
            <v>1.0004</v>
          </cell>
        </row>
        <row r="24">
          <cell r="A24" t="str">
            <v>A10108</v>
          </cell>
          <cell r="B24" t="str">
            <v>115/07/29</v>
          </cell>
          <cell r="C24">
            <v>0.25</v>
          </cell>
          <cell r="D24">
            <v>2.9</v>
          </cell>
          <cell r="E24">
            <v>2.94</v>
          </cell>
          <cell r="F24" t="str">
            <v/>
          </cell>
          <cell r="G24" t="str">
            <v/>
          </cell>
          <cell r="H24" t="str">
            <v/>
          </cell>
          <cell r="I24" t="str">
            <v/>
          </cell>
          <cell r="J24" t="str">
            <v/>
          </cell>
          <cell r="K24" t="str">
            <v/>
          </cell>
          <cell r="L24" t="str">
            <v/>
          </cell>
          <cell r="M24" t="str">
            <v/>
          </cell>
          <cell r="N24" t="str">
            <v/>
          </cell>
          <cell r="O24">
            <v>1.0246</v>
          </cell>
        </row>
        <row r="25">
          <cell r="A25" t="str">
            <v>A05111</v>
          </cell>
          <cell r="B25" t="str">
            <v>115/09/07</v>
          </cell>
          <cell r="C25">
            <v>0.625</v>
          </cell>
          <cell r="D25">
            <v>2.98</v>
          </cell>
          <cell r="E25">
            <v>3.05</v>
          </cell>
          <cell r="F25" t="str">
            <v/>
          </cell>
          <cell r="G25" t="str">
            <v/>
          </cell>
          <cell r="H25" t="str">
            <v/>
          </cell>
          <cell r="I25" t="str">
            <v/>
          </cell>
          <cell r="J25" t="str">
            <v/>
          </cell>
          <cell r="K25" t="str">
            <v/>
          </cell>
          <cell r="L25" t="str">
            <v/>
          </cell>
          <cell r="M25" t="str">
            <v/>
          </cell>
          <cell r="N25" t="str">
            <v/>
          </cell>
          <cell r="O25">
            <v>1.0313000000000001</v>
          </cell>
        </row>
        <row r="26">
          <cell r="A26" t="str">
            <v>A95107</v>
          </cell>
          <cell r="B26" t="str">
            <v>115/11/10</v>
          </cell>
          <cell r="C26">
            <v>2.125</v>
          </cell>
          <cell r="D26">
            <v>3.07</v>
          </cell>
          <cell r="E26">
            <v>3.23</v>
          </cell>
          <cell r="F26" t="str">
            <v/>
          </cell>
          <cell r="G26" t="str">
            <v/>
          </cell>
          <cell r="H26" t="str">
            <v/>
          </cell>
          <cell r="I26" t="str">
            <v/>
          </cell>
          <cell r="J26" t="str">
            <v/>
          </cell>
          <cell r="K26" t="str">
            <v/>
          </cell>
          <cell r="L26" t="str">
            <v/>
          </cell>
          <cell r="M26" t="str">
            <v/>
          </cell>
          <cell r="N26" t="str">
            <v/>
          </cell>
          <cell r="O26">
            <v>1.0408999999999999</v>
          </cell>
        </row>
        <row r="27">
          <cell r="A27" t="str">
            <v>A96102</v>
          </cell>
          <cell r="B27" t="str">
            <v>116/02/14</v>
          </cell>
          <cell r="C27">
            <v>2</v>
          </cell>
          <cell r="D27">
            <v>3.34</v>
          </cell>
          <cell r="E27">
            <v>3.49</v>
          </cell>
          <cell r="F27" t="str">
            <v/>
          </cell>
          <cell r="G27" t="str">
            <v/>
          </cell>
          <cell r="H27" t="str">
            <v/>
          </cell>
          <cell r="I27" t="str">
            <v/>
          </cell>
          <cell r="J27" t="str">
            <v/>
          </cell>
          <cell r="K27" t="str">
            <v/>
          </cell>
          <cell r="L27" t="str">
            <v/>
          </cell>
          <cell r="M27" t="str">
            <v/>
          </cell>
          <cell r="N27" t="str">
            <v/>
          </cell>
          <cell r="O27">
            <v>1.0555000000000001</v>
          </cell>
        </row>
        <row r="28">
          <cell r="A28" t="str">
            <v>A06104</v>
          </cell>
          <cell r="B28" t="str">
            <v>116/03/01</v>
          </cell>
          <cell r="C28">
            <v>1.125</v>
          </cell>
          <cell r="D28">
            <v>3.42</v>
          </cell>
          <cell r="E28">
            <v>3.53</v>
          </cell>
          <cell r="F28">
            <v>1.0649999999999999</v>
          </cell>
          <cell r="G28">
            <v>1.0649999999999999</v>
          </cell>
          <cell r="H28">
            <v>1.0649999999999999</v>
          </cell>
          <cell r="I28">
            <v>4</v>
          </cell>
          <cell r="J28">
            <v>1.06</v>
          </cell>
          <cell r="K28">
            <v>1.06</v>
          </cell>
          <cell r="L28">
            <v>1.06</v>
          </cell>
          <cell r="M28">
            <v>1</v>
          </cell>
          <cell r="N28">
            <v>4</v>
          </cell>
          <cell r="O28">
            <v>1.0584</v>
          </cell>
        </row>
        <row r="29">
          <cell r="A29" t="str">
            <v>A11103</v>
          </cell>
          <cell r="B29" t="str">
            <v>116/02/24</v>
          </cell>
          <cell r="C29">
            <v>0.5</v>
          </cell>
          <cell r="D29">
            <v>3.45</v>
          </cell>
          <cell r="E29">
            <v>3.52</v>
          </cell>
          <cell r="F29" t="str">
            <v/>
          </cell>
          <cell r="G29" t="str">
            <v/>
          </cell>
          <cell r="H29" t="str">
            <v/>
          </cell>
          <cell r="I29" t="str">
            <v/>
          </cell>
          <cell r="J29" t="str">
            <v/>
          </cell>
          <cell r="K29" t="str">
            <v/>
          </cell>
          <cell r="L29" t="str">
            <v/>
          </cell>
          <cell r="M29" t="str">
            <v/>
          </cell>
          <cell r="N29" t="str">
            <v/>
          </cell>
          <cell r="O29">
            <v>1.0582</v>
          </cell>
        </row>
        <row r="30">
          <cell r="A30" t="str">
            <v>A11106</v>
          </cell>
          <cell r="B30" t="str">
            <v>116/06/23</v>
          </cell>
          <cell r="C30">
            <v>1</v>
          </cell>
          <cell r="D30">
            <v>3.74</v>
          </cell>
          <cell r="E30">
            <v>3.84</v>
          </cell>
          <cell r="F30" t="str">
            <v/>
          </cell>
          <cell r="G30" t="str">
            <v/>
          </cell>
          <cell r="H30" t="str">
            <v/>
          </cell>
          <cell r="I30" t="str">
            <v/>
          </cell>
          <cell r="J30" t="str">
            <v/>
          </cell>
          <cell r="K30" t="str">
            <v/>
          </cell>
          <cell r="L30" t="str">
            <v/>
          </cell>
          <cell r="M30" t="str">
            <v/>
          </cell>
          <cell r="N30" t="str">
            <v/>
          </cell>
          <cell r="O30">
            <v>1.0723</v>
          </cell>
        </row>
        <row r="31">
          <cell r="A31" t="str">
            <v>A11108</v>
          </cell>
          <cell r="B31" t="str">
            <v>116/09/23</v>
          </cell>
          <cell r="C31">
            <v>1.25</v>
          </cell>
          <cell r="D31">
            <v>3.93</v>
          </cell>
          <cell r="E31">
            <v>4.0999999999999996</v>
          </cell>
          <cell r="F31" t="str">
            <v/>
          </cell>
          <cell r="G31" t="str">
            <v/>
          </cell>
          <cell r="H31" t="str">
            <v/>
          </cell>
          <cell r="I31" t="str">
            <v/>
          </cell>
          <cell r="J31" t="str">
            <v/>
          </cell>
          <cell r="K31" t="str">
            <v/>
          </cell>
          <cell r="L31" t="str">
            <v/>
          </cell>
          <cell r="M31" t="str">
            <v/>
          </cell>
          <cell r="N31" t="str">
            <v/>
          </cell>
          <cell r="O31">
            <v>1.0802</v>
          </cell>
        </row>
        <row r="32">
          <cell r="A32" t="str">
            <v>A96107</v>
          </cell>
          <cell r="B32" t="str">
            <v>116/11/16</v>
          </cell>
          <cell r="C32">
            <v>3</v>
          </cell>
          <cell r="D32">
            <v>3.93</v>
          </cell>
          <cell r="E32">
            <v>4.24</v>
          </cell>
          <cell r="F32" t="str">
            <v/>
          </cell>
          <cell r="G32" t="str">
            <v/>
          </cell>
          <cell r="H32" t="str">
            <v/>
          </cell>
          <cell r="I32" t="str">
            <v/>
          </cell>
          <cell r="J32" t="str">
            <v/>
          </cell>
          <cell r="K32" t="str">
            <v/>
          </cell>
          <cell r="L32" t="str">
            <v/>
          </cell>
          <cell r="M32" t="str">
            <v/>
          </cell>
          <cell r="N32" t="str">
            <v/>
          </cell>
          <cell r="O32">
            <v>1.0819000000000001</v>
          </cell>
        </row>
        <row r="33">
          <cell r="A33" t="str">
            <v>A06109</v>
          </cell>
          <cell r="B33" t="str">
            <v>116/09/20</v>
          </cell>
          <cell r="C33">
            <v>1</v>
          </cell>
          <cell r="D33">
            <v>3.94</v>
          </cell>
          <cell r="E33">
            <v>4.09</v>
          </cell>
          <cell r="F33" t="str">
            <v/>
          </cell>
          <cell r="G33" t="str">
            <v/>
          </cell>
          <cell r="H33" t="str">
            <v/>
          </cell>
          <cell r="I33" t="str">
            <v/>
          </cell>
          <cell r="J33" t="str">
            <v/>
          </cell>
          <cell r="K33" t="str">
            <v/>
          </cell>
          <cell r="L33" t="str">
            <v/>
          </cell>
          <cell r="M33" t="str">
            <v/>
          </cell>
          <cell r="N33" t="str">
            <v/>
          </cell>
          <cell r="O33">
            <v>1.0803</v>
          </cell>
        </row>
        <row r="34">
          <cell r="A34" t="str">
            <v>A02101</v>
          </cell>
          <cell r="B34" t="str">
            <v>117/01/09</v>
          </cell>
          <cell r="C34">
            <v>1.375</v>
          </cell>
          <cell r="D34">
            <v>4.21</v>
          </cell>
          <cell r="E34">
            <v>4.3899999999999997</v>
          </cell>
          <cell r="F34" t="str">
            <v/>
          </cell>
          <cell r="G34" t="str">
            <v/>
          </cell>
          <cell r="H34" t="str">
            <v/>
          </cell>
          <cell r="I34" t="str">
            <v/>
          </cell>
          <cell r="J34" t="str">
            <v/>
          </cell>
          <cell r="K34" t="str">
            <v/>
          </cell>
          <cell r="L34" t="str">
            <v/>
          </cell>
          <cell r="M34" t="str">
            <v/>
          </cell>
          <cell r="N34" t="str">
            <v/>
          </cell>
          <cell r="O34">
            <v>1.0866</v>
          </cell>
        </row>
        <row r="35">
          <cell r="A35" t="str">
            <v>A97102</v>
          </cell>
          <cell r="B35" t="str">
            <v>117/02/14</v>
          </cell>
          <cell r="C35">
            <v>2.5</v>
          </cell>
          <cell r="D35">
            <v>4.21</v>
          </cell>
          <cell r="E35">
            <v>4.49</v>
          </cell>
          <cell r="F35" t="str">
            <v/>
          </cell>
          <cell r="G35" t="str">
            <v/>
          </cell>
          <cell r="H35" t="str">
            <v/>
          </cell>
          <cell r="I35" t="str">
            <v/>
          </cell>
          <cell r="J35" t="str">
            <v/>
          </cell>
          <cell r="K35" t="str">
            <v/>
          </cell>
          <cell r="L35" t="str">
            <v/>
          </cell>
          <cell r="M35" t="str">
            <v/>
          </cell>
          <cell r="N35" t="str">
            <v/>
          </cell>
          <cell r="O35">
            <v>1.087</v>
          </cell>
        </row>
        <row r="36">
          <cell r="A36" t="str">
            <v>A12101</v>
          </cell>
          <cell r="B36" t="str">
            <v>117/01/17</v>
          </cell>
          <cell r="C36">
            <v>1</v>
          </cell>
          <cell r="D36">
            <v>4.26</v>
          </cell>
          <cell r="E36">
            <v>4.41</v>
          </cell>
          <cell r="F36" t="str">
            <v/>
          </cell>
          <cell r="G36" t="str">
            <v/>
          </cell>
          <cell r="H36" t="str">
            <v/>
          </cell>
          <cell r="I36" t="str">
            <v/>
          </cell>
          <cell r="J36" t="str">
            <v/>
          </cell>
          <cell r="K36" t="str">
            <v/>
          </cell>
          <cell r="L36" t="str">
            <v/>
          </cell>
          <cell r="M36" t="str">
            <v/>
          </cell>
          <cell r="N36" t="str">
            <v/>
          </cell>
          <cell r="O36">
            <v>1.0874999999999999</v>
          </cell>
        </row>
        <row r="37">
          <cell r="A37" t="str">
            <v>A07102</v>
          </cell>
          <cell r="B37" t="str">
            <v>117/02/08</v>
          </cell>
          <cell r="C37">
            <v>1</v>
          </cell>
          <cell r="D37">
            <v>4.32</v>
          </cell>
          <cell r="E37">
            <v>4.47</v>
          </cell>
          <cell r="F37" t="str">
            <v/>
          </cell>
          <cell r="G37" t="str">
            <v/>
          </cell>
          <cell r="H37" t="str">
            <v/>
          </cell>
          <cell r="I37" t="str">
            <v/>
          </cell>
          <cell r="J37" t="str">
            <v/>
          </cell>
          <cell r="K37" t="str">
            <v/>
          </cell>
          <cell r="L37" t="str">
            <v/>
          </cell>
          <cell r="M37" t="str">
            <v/>
          </cell>
          <cell r="N37" t="str">
            <v/>
          </cell>
          <cell r="O37">
            <v>1.0884</v>
          </cell>
        </row>
        <row r="38">
          <cell r="A38" t="str">
            <v>A97105</v>
          </cell>
          <cell r="B38" t="str">
            <v>117/08/14</v>
          </cell>
          <cell r="C38">
            <v>2.625</v>
          </cell>
          <cell r="D38">
            <v>4.6900000000000004</v>
          </cell>
          <cell r="E38">
            <v>4.99</v>
          </cell>
          <cell r="F38" t="str">
            <v/>
          </cell>
          <cell r="G38" t="str">
            <v/>
          </cell>
          <cell r="H38" t="str">
            <v/>
          </cell>
          <cell r="I38" t="str">
            <v/>
          </cell>
          <cell r="J38" t="str">
            <v/>
          </cell>
          <cell r="K38" t="str">
            <v/>
          </cell>
          <cell r="L38" t="str">
            <v/>
          </cell>
          <cell r="M38" t="str">
            <v/>
          </cell>
          <cell r="N38" t="str">
            <v/>
          </cell>
          <cell r="O38">
            <v>1.0939000000000001</v>
          </cell>
        </row>
        <row r="39">
          <cell r="A39" t="str">
            <v>A12106</v>
          </cell>
          <cell r="B39" t="str">
            <v>117/05/26</v>
          </cell>
          <cell r="C39">
            <v>1</v>
          </cell>
          <cell r="D39">
            <v>4.6100000000000003</v>
          </cell>
          <cell r="E39">
            <v>4.7699999999999996</v>
          </cell>
          <cell r="F39">
            <v>1.0974999999999999</v>
          </cell>
          <cell r="G39">
            <v>1.0974999999999999</v>
          </cell>
          <cell r="H39">
            <v>1.0974999999999999</v>
          </cell>
          <cell r="I39">
            <v>1</v>
          </cell>
          <cell r="J39" t="str">
            <v/>
          </cell>
          <cell r="K39" t="str">
            <v/>
          </cell>
          <cell r="L39" t="str">
            <v/>
          </cell>
          <cell r="M39" t="str">
            <v/>
          </cell>
          <cell r="N39" t="str">
            <v/>
          </cell>
          <cell r="O39">
            <v>1.0929</v>
          </cell>
        </row>
        <row r="40">
          <cell r="A40" t="str">
            <v>A07105</v>
          </cell>
          <cell r="B40" t="str">
            <v>117/06/08</v>
          </cell>
          <cell r="C40">
            <v>0.875</v>
          </cell>
          <cell r="D40">
            <v>4.66</v>
          </cell>
          <cell r="E40">
            <v>4.8099999999999996</v>
          </cell>
          <cell r="F40" t="str">
            <v/>
          </cell>
          <cell r="G40" t="str">
            <v/>
          </cell>
          <cell r="H40" t="str">
            <v/>
          </cell>
          <cell r="I40" t="str">
            <v/>
          </cell>
          <cell r="J40" t="str">
            <v/>
          </cell>
          <cell r="K40" t="str">
            <v/>
          </cell>
          <cell r="L40" t="str">
            <v/>
          </cell>
          <cell r="M40" t="str">
            <v/>
          </cell>
          <cell r="N40" t="str">
            <v/>
          </cell>
          <cell r="O40">
            <v>1.0935999999999999</v>
          </cell>
        </row>
        <row r="41">
          <cell r="A41" t="str">
            <v>A12108</v>
          </cell>
          <cell r="B41" t="str">
            <v>117/09/15</v>
          </cell>
          <cell r="C41">
            <v>1</v>
          </cell>
          <cell r="D41">
            <v>4.8499999999999996</v>
          </cell>
          <cell r="E41">
            <v>5</v>
          </cell>
          <cell r="F41">
            <v>1.1000000000000001</v>
          </cell>
          <cell r="G41">
            <v>1.1000000000000001</v>
          </cell>
          <cell r="H41">
            <v>1.1000000000000001</v>
          </cell>
          <cell r="I41">
            <v>0.5</v>
          </cell>
          <cell r="J41" t="str">
            <v/>
          </cell>
          <cell r="K41" t="str">
            <v/>
          </cell>
          <cell r="L41" t="str">
            <v/>
          </cell>
          <cell r="M41" t="str">
            <v/>
          </cell>
          <cell r="N41" t="str">
            <v/>
          </cell>
          <cell r="O41">
            <v>1.0961000000000001</v>
          </cell>
        </row>
        <row r="42">
          <cell r="A42" t="str">
            <v>A10202</v>
          </cell>
          <cell r="B42" t="str">
            <v>117/08/20</v>
          </cell>
          <cell r="C42">
            <v>0.25</v>
          </cell>
          <cell r="D42">
            <v>4.92</v>
          </cell>
          <cell r="E42">
            <v>5.01</v>
          </cell>
          <cell r="F42" t="str">
            <v/>
          </cell>
          <cell r="G42" t="str">
            <v/>
          </cell>
          <cell r="H42" t="str">
            <v/>
          </cell>
          <cell r="I42" t="str">
            <v/>
          </cell>
          <cell r="J42" t="str">
            <v/>
          </cell>
          <cell r="K42" t="str">
            <v/>
          </cell>
          <cell r="L42" t="str">
            <v/>
          </cell>
          <cell r="M42" t="str">
            <v/>
          </cell>
          <cell r="N42" t="str">
            <v/>
          </cell>
          <cell r="O42">
            <v>1.097</v>
          </cell>
        </row>
        <row r="43">
          <cell r="A43" t="str">
            <v>A07109</v>
          </cell>
          <cell r="B43" t="str">
            <v>117/10/17</v>
          </cell>
          <cell r="C43">
            <v>0.875</v>
          </cell>
          <cell r="D43">
            <v>4.97</v>
          </cell>
          <cell r="E43">
            <v>5.16</v>
          </cell>
          <cell r="F43" t="str">
            <v/>
          </cell>
          <cell r="G43" t="str">
            <v/>
          </cell>
          <cell r="H43" t="str">
            <v/>
          </cell>
          <cell r="I43" t="str">
            <v/>
          </cell>
          <cell r="J43" t="str">
            <v/>
          </cell>
          <cell r="K43" t="str">
            <v/>
          </cell>
          <cell r="L43" t="str">
            <v/>
          </cell>
          <cell r="M43" t="str">
            <v/>
          </cell>
          <cell r="N43" t="str">
            <v/>
          </cell>
          <cell r="O43">
            <v>1.0984</v>
          </cell>
        </row>
        <row r="44">
          <cell r="A44" t="str">
            <v>A98102</v>
          </cell>
          <cell r="B44" t="str">
            <v>118/02/16</v>
          </cell>
          <cell r="C44">
            <v>2.125</v>
          </cell>
          <cell r="D44">
            <v>5.14</v>
          </cell>
          <cell r="E44">
            <v>5.5</v>
          </cell>
          <cell r="F44" t="str">
            <v/>
          </cell>
          <cell r="G44" t="str">
            <v/>
          </cell>
          <cell r="H44" t="str">
            <v/>
          </cell>
          <cell r="I44" t="str">
            <v/>
          </cell>
          <cell r="J44" t="str">
            <v/>
          </cell>
          <cell r="K44" t="str">
            <v/>
          </cell>
          <cell r="L44" t="str">
            <v/>
          </cell>
          <cell r="M44" t="str">
            <v/>
          </cell>
          <cell r="N44" t="str">
            <v/>
          </cell>
          <cell r="O44">
            <v>1.1016999999999999</v>
          </cell>
        </row>
        <row r="45">
          <cell r="A45" t="str">
            <v>A08103</v>
          </cell>
          <cell r="B45" t="str">
            <v>118/02/13</v>
          </cell>
          <cell r="C45">
            <v>0.75</v>
          </cell>
          <cell r="D45">
            <v>5.31</v>
          </cell>
          <cell r="E45">
            <v>5.49</v>
          </cell>
          <cell r="F45" t="str">
            <v/>
          </cell>
          <cell r="G45" t="str">
            <v/>
          </cell>
          <cell r="H45" t="str">
            <v/>
          </cell>
          <cell r="I45" t="str">
            <v/>
          </cell>
          <cell r="J45" t="str">
            <v/>
          </cell>
          <cell r="K45" t="str">
            <v/>
          </cell>
          <cell r="L45" t="str">
            <v/>
          </cell>
          <cell r="M45" t="str">
            <v/>
          </cell>
          <cell r="N45" t="str">
            <v/>
          </cell>
          <cell r="O45">
            <v>1.1032999999999999</v>
          </cell>
        </row>
        <row r="46">
          <cell r="A46" t="str">
            <v>A98105</v>
          </cell>
          <cell r="B46" t="str">
            <v>118/08/13</v>
          </cell>
          <cell r="C46">
            <v>2.125</v>
          </cell>
          <cell r="D46">
            <v>5.62</v>
          </cell>
          <cell r="E46">
            <v>5.99</v>
          </cell>
          <cell r="F46" t="str">
            <v/>
          </cell>
          <cell r="G46" t="str">
            <v/>
          </cell>
          <cell r="H46" t="str">
            <v/>
          </cell>
          <cell r="I46" t="str">
            <v/>
          </cell>
          <cell r="J46" t="str">
            <v/>
          </cell>
          <cell r="K46" t="str">
            <v/>
          </cell>
          <cell r="L46" t="str">
            <v/>
          </cell>
          <cell r="M46" t="str">
            <v/>
          </cell>
          <cell r="N46" t="str">
            <v/>
          </cell>
          <cell r="O46">
            <v>1.1100000000000001</v>
          </cell>
        </row>
        <row r="47">
          <cell r="A47" t="str">
            <v>A08106</v>
          </cell>
          <cell r="B47" t="str">
            <v>118/06/26</v>
          </cell>
          <cell r="C47">
            <v>0.625</v>
          </cell>
          <cell r="D47">
            <v>5.69</v>
          </cell>
          <cell r="E47">
            <v>5.85</v>
          </cell>
          <cell r="F47" t="str">
            <v/>
          </cell>
          <cell r="G47" t="str">
            <v/>
          </cell>
          <cell r="H47" t="str">
            <v/>
          </cell>
          <cell r="I47" t="str">
            <v/>
          </cell>
          <cell r="J47" t="str">
            <v/>
          </cell>
          <cell r="K47" t="str">
            <v/>
          </cell>
          <cell r="L47" t="str">
            <v/>
          </cell>
          <cell r="M47" t="str">
            <v/>
          </cell>
          <cell r="N47" t="str">
            <v/>
          </cell>
          <cell r="O47">
            <v>1.1095999999999999</v>
          </cell>
        </row>
        <row r="48">
          <cell r="A48" t="str">
            <v>A08109</v>
          </cell>
          <cell r="B48" t="str">
            <v>118/10/14</v>
          </cell>
          <cell r="C48">
            <v>0.625</v>
          </cell>
          <cell r="D48">
            <v>5.95</v>
          </cell>
          <cell r="E48">
            <v>6.16</v>
          </cell>
          <cell r="F48" t="str">
            <v/>
          </cell>
          <cell r="G48" t="str">
            <v/>
          </cell>
          <cell r="H48" t="str">
            <v/>
          </cell>
          <cell r="I48" t="str">
            <v/>
          </cell>
          <cell r="J48" t="str">
            <v/>
          </cell>
          <cell r="K48" t="str">
            <v/>
          </cell>
          <cell r="L48" t="str">
            <v/>
          </cell>
          <cell r="M48" t="str">
            <v/>
          </cell>
          <cell r="N48" t="str">
            <v/>
          </cell>
          <cell r="O48">
            <v>1.1153999999999999</v>
          </cell>
        </row>
        <row r="49">
          <cell r="A49" t="str">
            <v>A99104</v>
          </cell>
          <cell r="B49" t="str">
            <v>119/02/22</v>
          </cell>
          <cell r="C49">
            <v>1.875</v>
          </cell>
          <cell r="D49">
            <v>6.07</v>
          </cell>
          <cell r="E49">
            <v>6.51</v>
          </cell>
          <cell r="F49" t="str">
            <v/>
          </cell>
          <cell r="G49" t="str">
            <v/>
          </cell>
          <cell r="H49" t="str">
            <v/>
          </cell>
          <cell r="I49" t="str">
            <v/>
          </cell>
          <cell r="J49" t="str">
            <v/>
          </cell>
          <cell r="K49" t="str">
            <v/>
          </cell>
          <cell r="L49" t="str">
            <v/>
          </cell>
          <cell r="M49" t="str">
            <v/>
          </cell>
          <cell r="N49" t="str">
            <v/>
          </cell>
          <cell r="O49">
            <v>1.1214</v>
          </cell>
        </row>
        <row r="50">
          <cell r="A50" t="str">
            <v>A09103</v>
          </cell>
          <cell r="B50" t="str">
            <v>119/02/21</v>
          </cell>
          <cell r="C50">
            <v>0.5</v>
          </cell>
          <cell r="D50">
            <v>6.33</v>
          </cell>
          <cell r="E50">
            <v>6.51</v>
          </cell>
          <cell r="F50" t="str">
            <v/>
          </cell>
          <cell r="G50" t="str">
            <v/>
          </cell>
          <cell r="H50" t="str">
            <v/>
          </cell>
          <cell r="I50" t="str">
            <v/>
          </cell>
          <cell r="J50" t="str">
            <v/>
          </cell>
          <cell r="K50" t="str">
            <v/>
          </cell>
          <cell r="L50" t="str">
            <v/>
          </cell>
          <cell r="M50" t="str">
            <v/>
          </cell>
          <cell r="N50" t="str">
            <v/>
          </cell>
          <cell r="O50">
            <v>1.1234999999999999</v>
          </cell>
        </row>
        <row r="51">
          <cell r="A51" t="str">
            <v>A99107</v>
          </cell>
          <cell r="B51" t="str">
            <v>119/08/12</v>
          </cell>
          <cell r="C51">
            <v>1.75</v>
          </cell>
          <cell r="D51">
            <v>6.56</v>
          </cell>
          <cell r="E51">
            <v>6.98</v>
          </cell>
          <cell r="F51" t="str">
            <v/>
          </cell>
          <cell r="G51" t="str">
            <v/>
          </cell>
          <cell r="H51" t="str">
            <v/>
          </cell>
          <cell r="I51" t="str">
            <v/>
          </cell>
          <cell r="J51" t="str">
            <v/>
          </cell>
          <cell r="K51" t="str">
            <v/>
          </cell>
          <cell r="L51" t="str">
            <v/>
          </cell>
          <cell r="M51" t="str">
            <v/>
          </cell>
          <cell r="N51" t="str">
            <v/>
          </cell>
          <cell r="O51">
            <v>1.1335999999999999</v>
          </cell>
        </row>
        <row r="52">
          <cell r="A52" t="str">
            <v>A09106</v>
          </cell>
          <cell r="B52" t="str">
            <v>119/06/11</v>
          </cell>
          <cell r="C52">
            <v>0.375</v>
          </cell>
          <cell r="D52">
            <v>6.65</v>
          </cell>
          <cell r="E52">
            <v>6.81</v>
          </cell>
          <cell r="F52" t="str">
            <v/>
          </cell>
          <cell r="G52" t="str">
            <v/>
          </cell>
          <cell r="H52" t="str">
            <v/>
          </cell>
          <cell r="I52" t="str">
            <v/>
          </cell>
          <cell r="J52" t="str">
            <v/>
          </cell>
          <cell r="K52" t="str">
            <v/>
          </cell>
          <cell r="L52" t="str">
            <v/>
          </cell>
          <cell r="M52" t="str">
            <v/>
          </cell>
          <cell r="N52" t="str">
            <v/>
          </cell>
          <cell r="O52">
            <v>1.1315</v>
          </cell>
        </row>
        <row r="53">
          <cell r="A53" t="str">
            <v>A00102</v>
          </cell>
          <cell r="B53" t="str">
            <v>120/01/13</v>
          </cell>
          <cell r="C53">
            <v>2.125</v>
          </cell>
          <cell r="D53">
            <v>6.78</v>
          </cell>
          <cell r="E53">
            <v>7.4</v>
          </cell>
          <cell r="F53" t="str">
            <v/>
          </cell>
          <cell r="G53" t="str">
            <v/>
          </cell>
          <cell r="H53" t="str">
            <v/>
          </cell>
          <cell r="I53" t="str">
            <v/>
          </cell>
          <cell r="J53" t="str">
            <v/>
          </cell>
          <cell r="K53" t="str">
            <v/>
          </cell>
          <cell r="L53" t="str">
            <v/>
          </cell>
          <cell r="M53" t="str">
            <v/>
          </cell>
          <cell r="N53" t="str">
            <v/>
          </cell>
          <cell r="O53">
            <v>1.1452</v>
          </cell>
        </row>
        <row r="54">
          <cell r="A54" t="str">
            <v>A09109</v>
          </cell>
          <cell r="B54" t="str">
            <v>119/10/14</v>
          </cell>
          <cell r="C54">
            <v>0.25</v>
          </cell>
          <cell r="D54">
            <v>7</v>
          </cell>
          <cell r="E54">
            <v>7.15</v>
          </cell>
          <cell r="F54" t="str">
            <v/>
          </cell>
          <cell r="G54" t="str">
            <v/>
          </cell>
          <cell r="H54" t="str">
            <v/>
          </cell>
          <cell r="I54" t="str">
            <v/>
          </cell>
          <cell r="J54" t="str">
            <v/>
          </cell>
          <cell r="K54" t="str">
            <v/>
          </cell>
          <cell r="L54" t="str">
            <v/>
          </cell>
          <cell r="M54" t="str">
            <v/>
          </cell>
          <cell r="N54" t="str">
            <v/>
          </cell>
          <cell r="O54">
            <v>1.1415999999999999</v>
          </cell>
        </row>
        <row r="55">
          <cell r="A55" t="str">
            <v>A90105</v>
          </cell>
          <cell r="B55" t="str">
            <v>120/07/17</v>
          </cell>
          <cell r="C55">
            <v>3.625</v>
          </cell>
          <cell r="D55">
            <v>7</v>
          </cell>
          <cell r="E55">
            <v>7.91</v>
          </cell>
          <cell r="F55" t="str">
            <v/>
          </cell>
          <cell r="G55" t="str">
            <v/>
          </cell>
          <cell r="H55" t="str">
            <v/>
          </cell>
          <cell r="I55" t="str">
            <v/>
          </cell>
          <cell r="J55" t="str">
            <v/>
          </cell>
          <cell r="K55" t="str">
            <v/>
          </cell>
          <cell r="L55" t="str">
            <v/>
          </cell>
          <cell r="M55" t="str">
            <v/>
          </cell>
          <cell r="N55" t="str">
            <v/>
          </cell>
          <cell r="O55">
            <v>1.1572</v>
          </cell>
        </row>
        <row r="56">
          <cell r="A56" t="str">
            <v>A00201</v>
          </cell>
          <cell r="B56" t="str">
            <v>120/05/26</v>
          </cell>
          <cell r="C56">
            <v>1.75</v>
          </cell>
          <cell r="D56">
            <v>7.23</v>
          </cell>
          <cell r="E56">
            <v>7.77</v>
          </cell>
          <cell r="F56" t="str">
            <v/>
          </cell>
          <cell r="G56" t="str">
            <v/>
          </cell>
          <cell r="H56" t="str">
            <v/>
          </cell>
          <cell r="I56" t="str">
            <v/>
          </cell>
          <cell r="J56" t="str">
            <v/>
          </cell>
          <cell r="K56" t="str">
            <v/>
          </cell>
          <cell r="L56" t="str">
            <v/>
          </cell>
          <cell r="M56" t="str">
            <v/>
          </cell>
          <cell r="N56" t="str">
            <v/>
          </cell>
          <cell r="O56">
            <v>1.1572</v>
          </cell>
        </row>
        <row r="57">
          <cell r="A57" t="str">
            <v>A00107</v>
          </cell>
          <cell r="B57" t="str">
            <v>120/08/02</v>
          </cell>
          <cell r="C57">
            <v>1.875</v>
          </cell>
          <cell r="D57">
            <v>7.38</v>
          </cell>
          <cell r="E57">
            <v>7.95</v>
          </cell>
          <cell r="F57" t="str">
            <v/>
          </cell>
          <cell r="G57" t="str">
            <v/>
          </cell>
          <cell r="H57" t="str">
            <v/>
          </cell>
          <cell r="I57" t="str">
            <v/>
          </cell>
          <cell r="J57" t="str">
            <v/>
          </cell>
          <cell r="K57" t="str">
            <v/>
          </cell>
          <cell r="L57" t="str">
            <v/>
          </cell>
          <cell r="M57" t="str">
            <v/>
          </cell>
          <cell r="N57" t="str">
            <v/>
          </cell>
          <cell r="O57">
            <v>1.1625000000000001</v>
          </cell>
        </row>
        <row r="58">
          <cell r="A58" t="str">
            <v>A10103</v>
          </cell>
          <cell r="B58" t="str">
            <v>120/02/22</v>
          </cell>
          <cell r="C58">
            <v>0.25</v>
          </cell>
          <cell r="D58">
            <v>7.35</v>
          </cell>
          <cell r="E58">
            <v>7.51</v>
          </cell>
          <cell r="F58" t="str">
            <v/>
          </cell>
          <cell r="G58" t="str">
            <v/>
          </cell>
          <cell r="H58" t="str">
            <v/>
          </cell>
          <cell r="I58" t="str">
            <v/>
          </cell>
          <cell r="J58" t="str">
            <v/>
          </cell>
          <cell r="K58" t="str">
            <v/>
          </cell>
          <cell r="L58" t="str">
            <v/>
          </cell>
          <cell r="M58" t="str">
            <v/>
          </cell>
          <cell r="N58" t="str">
            <v/>
          </cell>
          <cell r="O58">
            <v>1.1529</v>
          </cell>
        </row>
        <row r="59">
          <cell r="A59" t="str">
            <v>A10201</v>
          </cell>
          <cell r="B59" t="str">
            <v>120/05/07</v>
          </cell>
          <cell r="C59">
            <v>0.375</v>
          </cell>
          <cell r="D59">
            <v>7.52</v>
          </cell>
          <cell r="E59">
            <v>7.72</v>
          </cell>
          <cell r="F59" t="str">
            <v/>
          </cell>
          <cell r="G59" t="str">
            <v/>
          </cell>
          <cell r="H59" t="str">
            <v/>
          </cell>
          <cell r="I59" t="str">
            <v/>
          </cell>
          <cell r="J59" t="str">
            <v/>
          </cell>
          <cell r="K59" t="str">
            <v/>
          </cell>
          <cell r="L59" t="str">
            <v/>
          </cell>
          <cell r="M59" t="str">
            <v/>
          </cell>
          <cell r="N59" t="str">
            <v/>
          </cell>
          <cell r="O59">
            <v>1.1591</v>
          </cell>
        </row>
        <row r="60">
          <cell r="A60" t="str">
            <v>A10107</v>
          </cell>
          <cell r="B60" t="str">
            <v>120/06/23</v>
          </cell>
          <cell r="C60">
            <v>0.375</v>
          </cell>
          <cell r="D60">
            <v>7.64</v>
          </cell>
          <cell r="E60">
            <v>7.84</v>
          </cell>
          <cell r="F60" t="str">
            <v/>
          </cell>
          <cell r="G60" t="str">
            <v/>
          </cell>
          <cell r="H60" t="str">
            <v/>
          </cell>
          <cell r="I60" t="str">
            <v/>
          </cell>
          <cell r="J60" t="str">
            <v/>
          </cell>
          <cell r="K60" t="str">
            <v/>
          </cell>
          <cell r="L60" t="str">
            <v/>
          </cell>
          <cell r="M60" t="str">
            <v/>
          </cell>
          <cell r="N60" t="str">
            <v/>
          </cell>
          <cell r="O60">
            <v>1.1632</v>
          </cell>
        </row>
        <row r="61">
          <cell r="A61" t="str">
            <v>A01102</v>
          </cell>
          <cell r="B61" t="str">
            <v>121/01/20</v>
          </cell>
          <cell r="C61">
            <v>1.625</v>
          </cell>
          <cell r="D61">
            <v>7.78</v>
          </cell>
          <cell r="E61">
            <v>8.42</v>
          </cell>
          <cell r="F61" t="str">
            <v/>
          </cell>
          <cell r="G61" t="str">
            <v/>
          </cell>
          <cell r="H61" t="str">
            <v/>
          </cell>
          <cell r="I61" t="str">
            <v/>
          </cell>
          <cell r="J61" t="str">
            <v/>
          </cell>
          <cell r="K61" t="str">
            <v/>
          </cell>
          <cell r="L61" t="str">
            <v/>
          </cell>
          <cell r="M61" t="str">
            <v/>
          </cell>
          <cell r="N61" t="str">
            <v/>
          </cell>
          <cell r="O61">
            <v>1.1756</v>
          </cell>
        </row>
        <row r="62">
          <cell r="A62" t="str">
            <v>A10111</v>
          </cell>
          <cell r="B62" t="str">
            <v>120/10/22</v>
          </cell>
          <cell r="C62">
            <v>0.5</v>
          </cell>
          <cell r="D62">
            <v>7.89</v>
          </cell>
          <cell r="E62">
            <v>8.18</v>
          </cell>
          <cell r="F62" t="str">
            <v/>
          </cell>
          <cell r="G62" t="str">
            <v/>
          </cell>
          <cell r="H62" t="str">
            <v/>
          </cell>
          <cell r="I62" t="str">
            <v/>
          </cell>
          <cell r="J62" t="str">
            <v/>
          </cell>
          <cell r="K62" t="str">
            <v/>
          </cell>
          <cell r="L62" t="str">
            <v/>
          </cell>
          <cell r="M62" t="str">
            <v/>
          </cell>
          <cell r="N62" t="str">
            <v/>
          </cell>
          <cell r="O62">
            <v>1.1726000000000001</v>
          </cell>
        </row>
        <row r="63">
          <cell r="A63" t="str">
            <v>A01201</v>
          </cell>
          <cell r="B63" t="str">
            <v>121/03/16</v>
          </cell>
          <cell r="C63">
            <v>1.625</v>
          </cell>
          <cell r="D63">
            <v>7.93</v>
          </cell>
          <cell r="E63">
            <v>8.58</v>
          </cell>
          <cell r="F63" t="str">
            <v/>
          </cell>
          <cell r="G63" t="str">
            <v/>
          </cell>
          <cell r="H63" t="str">
            <v/>
          </cell>
          <cell r="I63" t="str">
            <v/>
          </cell>
          <cell r="J63" t="str">
            <v/>
          </cell>
          <cell r="K63" t="str">
            <v/>
          </cell>
          <cell r="L63" t="str">
            <v/>
          </cell>
          <cell r="M63" t="str">
            <v/>
          </cell>
          <cell r="N63" t="str">
            <v/>
          </cell>
          <cell r="O63">
            <v>1.179</v>
          </cell>
        </row>
        <row r="64">
          <cell r="A64" t="str">
            <v>A11201</v>
          </cell>
          <cell r="B64" t="str">
            <v>121/01/10</v>
          </cell>
          <cell r="C64">
            <v>0.75</v>
          </cell>
          <cell r="D64">
            <v>8.0299999999999994</v>
          </cell>
          <cell r="E64">
            <v>8.39</v>
          </cell>
          <cell r="F64" t="str">
            <v/>
          </cell>
          <cell r="G64" t="str">
            <v/>
          </cell>
          <cell r="H64" t="str">
            <v/>
          </cell>
          <cell r="I64" t="str">
            <v/>
          </cell>
          <cell r="J64" t="str">
            <v/>
          </cell>
          <cell r="K64" t="str">
            <v/>
          </cell>
          <cell r="L64" t="str">
            <v/>
          </cell>
          <cell r="M64" t="str">
            <v/>
          </cell>
          <cell r="N64" t="str">
            <v/>
          </cell>
          <cell r="O64">
            <v>1.1776</v>
          </cell>
        </row>
        <row r="65">
          <cell r="A65" t="str">
            <v>A11102</v>
          </cell>
          <cell r="B65" t="str">
            <v>121/02/18</v>
          </cell>
          <cell r="C65">
            <v>0.625</v>
          </cell>
          <cell r="D65">
            <v>8.17</v>
          </cell>
          <cell r="E65">
            <v>8.5</v>
          </cell>
          <cell r="F65" t="str">
            <v/>
          </cell>
          <cell r="G65" t="str">
            <v/>
          </cell>
          <cell r="H65" t="str">
            <v/>
          </cell>
          <cell r="I65" t="str">
            <v/>
          </cell>
          <cell r="J65" t="str">
            <v/>
          </cell>
          <cell r="K65" t="str">
            <v/>
          </cell>
          <cell r="L65" t="str">
            <v/>
          </cell>
          <cell r="M65" t="str">
            <v/>
          </cell>
          <cell r="N65" t="str">
            <v/>
          </cell>
          <cell r="O65">
            <v>1.1805000000000001</v>
          </cell>
        </row>
        <row r="66">
          <cell r="A66" t="str">
            <v>A01107</v>
          </cell>
          <cell r="B66" t="str">
            <v>121/08/10</v>
          </cell>
          <cell r="C66">
            <v>1.5</v>
          </cell>
          <cell r="D66">
            <v>8.36</v>
          </cell>
          <cell r="E66">
            <v>8.98</v>
          </cell>
          <cell r="F66" t="str">
            <v/>
          </cell>
          <cell r="G66" t="str">
            <v/>
          </cell>
          <cell r="H66" t="str">
            <v/>
          </cell>
          <cell r="I66" t="str">
            <v/>
          </cell>
          <cell r="J66" t="str">
            <v/>
          </cell>
          <cell r="K66" t="str">
            <v/>
          </cell>
          <cell r="L66" t="str">
            <v/>
          </cell>
          <cell r="M66" t="str">
            <v/>
          </cell>
          <cell r="N66" t="str">
            <v/>
          </cell>
          <cell r="O66">
            <v>1.1870000000000001</v>
          </cell>
        </row>
        <row r="67">
          <cell r="A67" t="str">
            <v>A11107</v>
          </cell>
          <cell r="B67" t="str">
            <v>121/06/30</v>
          </cell>
          <cell r="C67">
            <v>1.25</v>
          </cell>
          <cell r="D67">
            <v>8.33</v>
          </cell>
          <cell r="E67">
            <v>8.8699999999999992</v>
          </cell>
          <cell r="F67" t="str">
            <v/>
          </cell>
          <cell r="G67" t="str">
            <v/>
          </cell>
          <cell r="H67" t="str">
            <v/>
          </cell>
          <cell r="I67" t="str">
            <v/>
          </cell>
          <cell r="J67" t="str">
            <v/>
          </cell>
          <cell r="K67" t="str">
            <v/>
          </cell>
          <cell r="L67" t="str">
            <v/>
          </cell>
          <cell r="M67" t="str">
            <v/>
          </cell>
          <cell r="N67" t="str">
            <v/>
          </cell>
          <cell r="O67">
            <v>1.1859</v>
          </cell>
        </row>
        <row r="68">
          <cell r="A68" t="str">
            <v>A11110</v>
          </cell>
          <cell r="B68" t="str">
            <v>121/10/17</v>
          </cell>
          <cell r="C68">
            <v>1.75</v>
          </cell>
          <cell r="D68">
            <v>8.34</v>
          </cell>
          <cell r="E68">
            <v>9.16</v>
          </cell>
          <cell r="F68" t="str">
            <v/>
          </cell>
          <cell r="G68" t="str">
            <v/>
          </cell>
          <cell r="H68" t="str">
            <v/>
          </cell>
          <cell r="I68" t="str">
            <v/>
          </cell>
          <cell r="J68" t="str">
            <v/>
          </cell>
          <cell r="K68" t="str">
            <v/>
          </cell>
          <cell r="L68" t="str">
            <v/>
          </cell>
          <cell r="M68" t="str">
            <v/>
          </cell>
          <cell r="N68" t="str">
            <v/>
          </cell>
          <cell r="O68">
            <v>1.1891</v>
          </cell>
        </row>
        <row r="69">
          <cell r="A69" t="str">
            <v>A02103</v>
          </cell>
          <cell r="B69" t="str">
            <v>122/01/28</v>
          </cell>
          <cell r="C69">
            <v>1.5</v>
          </cell>
          <cell r="D69">
            <v>8.7100000000000009</v>
          </cell>
          <cell r="E69">
            <v>9.4499999999999993</v>
          </cell>
          <cell r="F69" t="str">
            <v/>
          </cell>
          <cell r="G69" t="str">
            <v/>
          </cell>
          <cell r="H69" t="str">
            <v/>
          </cell>
          <cell r="I69" t="str">
            <v/>
          </cell>
          <cell r="J69" t="str">
            <v/>
          </cell>
          <cell r="K69" t="str">
            <v/>
          </cell>
          <cell r="L69" t="str">
            <v/>
          </cell>
          <cell r="M69" t="str">
            <v/>
          </cell>
          <cell r="N69" t="str">
            <v/>
          </cell>
          <cell r="O69">
            <v>1.194</v>
          </cell>
        </row>
        <row r="70">
          <cell r="A70" t="str">
            <v>A12201</v>
          </cell>
          <cell r="B70" t="str">
            <v>122/01/10</v>
          </cell>
          <cell r="C70">
            <v>1.25</v>
          </cell>
          <cell r="D70">
            <v>8.75</v>
          </cell>
          <cell r="E70">
            <v>9.4</v>
          </cell>
          <cell r="F70" t="str">
            <v/>
          </cell>
          <cell r="G70" t="str">
            <v/>
          </cell>
          <cell r="H70" t="str">
            <v/>
          </cell>
          <cell r="I70" t="str">
            <v/>
          </cell>
          <cell r="J70" t="str">
            <v/>
          </cell>
          <cell r="K70" t="str">
            <v/>
          </cell>
          <cell r="L70" t="str">
            <v/>
          </cell>
          <cell r="M70" t="str">
            <v/>
          </cell>
          <cell r="N70" t="str">
            <v/>
          </cell>
          <cell r="O70">
            <v>1.1941999999999999</v>
          </cell>
        </row>
        <row r="71">
          <cell r="A71" t="str">
            <v>A02201</v>
          </cell>
          <cell r="B71" t="str">
            <v>122/03/21</v>
          </cell>
          <cell r="C71">
            <v>1.75</v>
          </cell>
          <cell r="D71">
            <v>8.76</v>
          </cell>
          <cell r="E71">
            <v>9.59</v>
          </cell>
          <cell r="F71" t="str">
            <v/>
          </cell>
          <cell r="G71" t="str">
            <v/>
          </cell>
          <cell r="H71" t="str">
            <v/>
          </cell>
          <cell r="I71" t="str">
            <v/>
          </cell>
          <cell r="J71" t="str">
            <v/>
          </cell>
          <cell r="K71" t="str">
            <v/>
          </cell>
          <cell r="L71" t="str">
            <v/>
          </cell>
          <cell r="M71" t="str">
            <v/>
          </cell>
          <cell r="N71" t="str">
            <v/>
          </cell>
          <cell r="O71">
            <v>1.1953</v>
          </cell>
        </row>
        <row r="72">
          <cell r="A72" t="str">
            <v>A02108</v>
          </cell>
          <cell r="B72" t="str">
            <v>122/07/26</v>
          </cell>
          <cell r="C72">
            <v>2</v>
          </cell>
          <cell r="D72">
            <v>9.02</v>
          </cell>
          <cell r="E72">
            <v>9.94</v>
          </cell>
          <cell r="F72" t="str">
            <v/>
          </cell>
          <cell r="G72" t="str">
            <v/>
          </cell>
          <cell r="H72" t="str">
            <v/>
          </cell>
          <cell r="I72" t="str">
            <v/>
          </cell>
          <cell r="J72" t="str">
            <v/>
          </cell>
          <cell r="K72" t="str">
            <v/>
          </cell>
          <cell r="L72" t="str">
            <v/>
          </cell>
          <cell r="M72" t="str">
            <v/>
          </cell>
          <cell r="N72" t="str">
            <v/>
          </cell>
          <cell r="O72">
            <v>1.1995</v>
          </cell>
        </row>
        <row r="73">
          <cell r="A73" t="str">
            <v>A12102</v>
          </cell>
          <cell r="B73" t="str">
            <v>122/02/17</v>
          </cell>
          <cell r="C73">
            <v>1.125</v>
          </cell>
          <cell r="D73">
            <v>8.9</v>
          </cell>
          <cell r="E73">
            <v>9.5</v>
          </cell>
          <cell r="F73">
            <v>1.1910000000000001</v>
          </cell>
          <cell r="G73">
            <v>1.19</v>
          </cell>
          <cell r="H73">
            <v>1.1906000000000001</v>
          </cell>
          <cell r="I73">
            <v>9.5</v>
          </cell>
          <cell r="J73" t="str">
            <v/>
          </cell>
          <cell r="K73" t="str">
            <v/>
          </cell>
          <cell r="L73" t="str">
            <v/>
          </cell>
          <cell r="M73" t="str">
            <v/>
          </cell>
          <cell r="N73" t="str">
            <v/>
          </cell>
          <cell r="O73">
            <v>1.1960999999999999</v>
          </cell>
        </row>
        <row r="74">
          <cell r="A74" t="str">
            <v>A93106</v>
          </cell>
          <cell r="B74" t="str">
            <v>123/05/27</v>
          </cell>
          <cell r="C74">
            <v>3.875</v>
          </cell>
          <cell r="D74">
            <v>9.06</v>
          </cell>
          <cell r="E74">
            <v>10.77</v>
          </cell>
          <cell r="F74" t="str">
            <v/>
          </cell>
          <cell r="G74" t="str">
            <v/>
          </cell>
          <cell r="H74" t="str">
            <v/>
          </cell>
          <cell r="I74" t="str">
            <v/>
          </cell>
          <cell r="J74" t="str">
            <v/>
          </cell>
          <cell r="K74" t="str">
            <v/>
          </cell>
          <cell r="L74" t="str">
            <v/>
          </cell>
          <cell r="M74" t="str">
            <v/>
          </cell>
          <cell r="N74" t="str">
            <v/>
          </cell>
          <cell r="O74">
            <v>1.206</v>
          </cell>
        </row>
        <row r="75">
          <cell r="A75" t="str">
            <v>A12107R</v>
          </cell>
          <cell r="B75" t="str">
            <v>122/06/09</v>
          </cell>
          <cell r="C75">
            <v>1.125</v>
          </cell>
          <cell r="D75">
            <v>9.19</v>
          </cell>
          <cell r="E75">
            <v>9.81</v>
          </cell>
          <cell r="F75">
            <v>1.1988000000000001</v>
          </cell>
          <cell r="G75">
            <v>1.1950000000000001</v>
          </cell>
          <cell r="H75">
            <v>1.1962999999999999</v>
          </cell>
          <cell r="I75">
            <v>2.5</v>
          </cell>
          <cell r="J75">
            <v>1.1952</v>
          </cell>
          <cell r="K75">
            <v>1.1952</v>
          </cell>
          <cell r="L75">
            <v>1.1952</v>
          </cell>
          <cell r="M75">
            <v>1</v>
          </cell>
          <cell r="N75">
            <v>1</v>
          </cell>
          <cell r="O75">
            <v>1.2003999999999999</v>
          </cell>
        </row>
        <row r="76">
          <cell r="A76" t="str">
            <v>A12107</v>
          </cell>
          <cell r="B76" t="str">
            <v>122/06/09</v>
          </cell>
          <cell r="C76">
            <v>1.125</v>
          </cell>
          <cell r="D76">
            <v>9.1999999999999993</v>
          </cell>
          <cell r="E76">
            <v>9.81</v>
          </cell>
          <cell r="F76" t="str">
            <v/>
          </cell>
          <cell r="G76" t="str">
            <v/>
          </cell>
          <cell r="H76" t="str">
            <v/>
          </cell>
          <cell r="I76" t="str">
            <v/>
          </cell>
          <cell r="J76" t="str">
            <v/>
          </cell>
          <cell r="K76" t="str">
            <v/>
          </cell>
          <cell r="L76" t="str">
            <v/>
          </cell>
          <cell r="M76" t="str">
            <v/>
          </cell>
          <cell r="N76" t="str">
            <v/>
          </cell>
          <cell r="O76">
            <v>1.2004999999999999</v>
          </cell>
        </row>
        <row r="77">
          <cell r="A77" t="str">
            <v>A03103</v>
          </cell>
          <cell r="B77" t="str">
            <v>123/01/29</v>
          </cell>
          <cell r="C77">
            <v>2</v>
          </cell>
          <cell r="D77">
            <v>9.36</v>
          </cell>
          <cell r="E77">
            <v>10.45</v>
          </cell>
          <cell r="F77" t="str">
            <v/>
          </cell>
          <cell r="G77" t="str">
            <v/>
          </cell>
          <cell r="H77" t="str">
            <v/>
          </cell>
          <cell r="I77" t="str">
            <v/>
          </cell>
          <cell r="J77" t="str">
            <v/>
          </cell>
          <cell r="K77" t="str">
            <v/>
          </cell>
          <cell r="L77" t="str">
            <v/>
          </cell>
          <cell r="M77" t="str">
            <v/>
          </cell>
          <cell r="N77" t="str">
            <v/>
          </cell>
          <cell r="O77">
            <v>1.2070000000000001</v>
          </cell>
        </row>
        <row r="78">
          <cell r="A78" t="str">
            <v>A03111</v>
          </cell>
          <cell r="B78" t="str">
            <v>123/07/31</v>
          </cell>
          <cell r="C78">
            <v>2.125</v>
          </cell>
          <cell r="D78">
            <v>9.8000000000000007</v>
          </cell>
          <cell r="E78">
            <v>10.95</v>
          </cell>
          <cell r="F78" t="str">
            <v/>
          </cell>
          <cell r="G78" t="str">
            <v/>
          </cell>
          <cell r="H78" t="str">
            <v/>
          </cell>
          <cell r="I78" t="str">
            <v/>
          </cell>
          <cell r="J78" t="str">
            <v/>
          </cell>
          <cell r="K78" t="str">
            <v/>
          </cell>
          <cell r="L78" t="str">
            <v/>
          </cell>
          <cell r="M78" t="str">
            <v/>
          </cell>
          <cell r="N78" t="str">
            <v/>
          </cell>
          <cell r="O78">
            <v>1.2144999999999999</v>
          </cell>
        </row>
        <row r="79">
          <cell r="A79" t="str">
            <v>A03107</v>
          </cell>
          <cell r="B79" t="str">
            <v>123/04/25</v>
          </cell>
          <cell r="C79">
            <v>1.875</v>
          </cell>
          <cell r="D79">
            <v>9.64</v>
          </cell>
          <cell r="E79">
            <v>10.68</v>
          </cell>
          <cell r="F79" t="str">
            <v/>
          </cell>
          <cell r="G79" t="str">
            <v/>
          </cell>
          <cell r="H79" t="str">
            <v/>
          </cell>
          <cell r="I79" t="str">
            <v/>
          </cell>
          <cell r="J79" t="str">
            <v/>
          </cell>
          <cell r="K79" t="str">
            <v/>
          </cell>
          <cell r="L79" t="str">
            <v/>
          </cell>
          <cell r="M79" t="str">
            <v/>
          </cell>
          <cell r="N79" t="str">
            <v/>
          </cell>
          <cell r="O79">
            <v>1.2111000000000001</v>
          </cell>
        </row>
        <row r="80">
          <cell r="A80" t="str">
            <v>A03114</v>
          </cell>
          <cell r="B80" t="str">
            <v>123/10/02</v>
          </cell>
          <cell r="C80">
            <v>2.25</v>
          </cell>
          <cell r="D80">
            <v>9.73</v>
          </cell>
          <cell r="E80">
            <v>11.12</v>
          </cell>
          <cell r="F80" t="str">
            <v/>
          </cell>
          <cell r="G80" t="str">
            <v/>
          </cell>
          <cell r="H80" t="str">
            <v/>
          </cell>
          <cell r="I80" t="str">
            <v/>
          </cell>
          <cell r="J80" t="str">
            <v/>
          </cell>
          <cell r="K80" t="str">
            <v/>
          </cell>
          <cell r="L80" t="str">
            <v/>
          </cell>
          <cell r="M80" t="str">
            <v/>
          </cell>
          <cell r="N80" t="str">
            <v/>
          </cell>
          <cell r="O80">
            <v>1.2168000000000001</v>
          </cell>
        </row>
        <row r="81">
          <cell r="A81" t="str">
            <v>A04102</v>
          </cell>
          <cell r="B81" t="str">
            <v>124/01/23</v>
          </cell>
          <cell r="C81">
            <v>2</v>
          </cell>
          <cell r="D81">
            <v>10.15</v>
          </cell>
          <cell r="E81">
            <v>11.43</v>
          </cell>
          <cell r="F81" t="str">
            <v/>
          </cell>
          <cell r="G81" t="str">
            <v/>
          </cell>
          <cell r="H81" t="str">
            <v/>
          </cell>
          <cell r="I81" t="str">
            <v/>
          </cell>
          <cell r="J81" t="str">
            <v/>
          </cell>
          <cell r="K81" t="str">
            <v/>
          </cell>
          <cell r="L81" t="str">
            <v/>
          </cell>
          <cell r="M81" t="str">
            <v/>
          </cell>
          <cell r="N81" t="str">
            <v/>
          </cell>
          <cell r="O81">
            <v>1.2226999999999999</v>
          </cell>
        </row>
        <row r="82">
          <cell r="A82" t="str">
            <v>A04107</v>
          </cell>
          <cell r="B82" t="str">
            <v>124/04/15</v>
          </cell>
          <cell r="C82">
            <v>2.125</v>
          </cell>
          <cell r="D82">
            <v>10.31</v>
          </cell>
          <cell r="E82">
            <v>11.66</v>
          </cell>
          <cell r="F82" t="str">
            <v/>
          </cell>
          <cell r="G82" t="str">
            <v/>
          </cell>
          <cell r="H82" t="str">
            <v/>
          </cell>
          <cell r="I82" t="str">
            <v/>
          </cell>
          <cell r="J82" t="str">
            <v/>
          </cell>
          <cell r="K82" t="str">
            <v/>
          </cell>
          <cell r="L82" t="str">
            <v/>
          </cell>
          <cell r="M82" t="str">
            <v/>
          </cell>
          <cell r="N82" t="str">
            <v/>
          </cell>
          <cell r="O82">
            <v>1.2261</v>
          </cell>
        </row>
        <row r="83">
          <cell r="A83" t="str">
            <v>A04114</v>
          </cell>
          <cell r="B83" t="str">
            <v>124/10/26</v>
          </cell>
          <cell r="C83">
            <v>1.75</v>
          </cell>
          <cell r="D83">
            <v>10.83</v>
          </cell>
          <cell r="E83">
            <v>12.19</v>
          </cell>
          <cell r="F83" t="str">
            <v/>
          </cell>
          <cell r="G83" t="str">
            <v/>
          </cell>
          <cell r="H83" t="str">
            <v/>
          </cell>
          <cell r="I83" t="str">
            <v/>
          </cell>
          <cell r="J83" t="str">
            <v/>
          </cell>
          <cell r="K83" t="str">
            <v/>
          </cell>
          <cell r="L83" t="str">
            <v/>
          </cell>
          <cell r="M83" t="str">
            <v/>
          </cell>
          <cell r="N83" t="str">
            <v/>
          </cell>
          <cell r="O83">
            <v>1.2366999999999999</v>
          </cell>
        </row>
        <row r="84">
          <cell r="A84" t="str">
            <v>A05102</v>
          </cell>
          <cell r="B84" t="str">
            <v>125/01/22</v>
          </cell>
          <cell r="C84">
            <v>1.375</v>
          </cell>
          <cell r="D84">
            <v>11.28</v>
          </cell>
          <cell r="E84">
            <v>12.43</v>
          </cell>
          <cell r="F84" t="str">
            <v/>
          </cell>
          <cell r="G84" t="str">
            <v/>
          </cell>
          <cell r="H84" t="str">
            <v/>
          </cell>
          <cell r="I84" t="str">
            <v/>
          </cell>
          <cell r="J84" t="str">
            <v/>
          </cell>
          <cell r="K84" t="str">
            <v/>
          </cell>
          <cell r="L84" t="str">
            <v/>
          </cell>
          <cell r="M84" t="str">
            <v/>
          </cell>
          <cell r="N84" t="str">
            <v/>
          </cell>
          <cell r="O84">
            <v>1.2426999999999999</v>
          </cell>
        </row>
        <row r="85">
          <cell r="A85" t="str">
            <v>A05106</v>
          </cell>
          <cell r="B85" t="str">
            <v>125/04/08</v>
          </cell>
          <cell r="C85">
            <v>1.25</v>
          </cell>
          <cell r="D85">
            <v>11.57</v>
          </cell>
          <cell r="E85">
            <v>12.64</v>
          </cell>
          <cell r="F85" t="str">
            <v/>
          </cell>
          <cell r="G85" t="str">
            <v/>
          </cell>
          <cell r="H85" t="str">
            <v/>
          </cell>
          <cell r="I85" t="str">
            <v/>
          </cell>
          <cell r="J85" t="str">
            <v/>
          </cell>
          <cell r="K85" t="str">
            <v/>
          </cell>
          <cell r="L85" t="str">
            <v/>
          </cell>
          <cell r="M85" t="str">
            <v/>
          </cell>
          <cell r="N85" t="str">
            <v/>
          </cell>
          <cell r="O85">
            <v>1.2471000000000001</v>
          </cell>
        </row>
        <row r="86">
          <cell r="A86" t="str">
            <v>A05109</v>
          </cell>
          <cell r="B86" t="str">
            <v>125/07/19</v>
          </cell>
          <cell r="C86">
            <v>1.125</v>
          </cell>
          <cell r="D86">
            <v>11.92</v>
          </cell>
          <cell r="E86">
            <v>12.92</v>
          </cell>
          <cell r="F86" t="str">
            <v/>
          </cell>
          <cell r="G86" t="str">
            <v/>
          </cell>
          <cell r="H86" t="str">
            <v/>
          </cell>
          <cell r="I86" t="str">
            <v/>
          </cell>
          <cell r="J86" t="str">
            <v/>
          </cell>
          <cell r="K86" t="str">
            <v/>
          </cell>
          <cell r="L86" t="str">
            <v/>
          </cell>
          <cell r="M86" t="str">
            <v/>
          </cell>
          <cell r="N86" t="str">
            <v/>
          </cell>
          <cell r="O86">
            <v>1.2528999999999999</v>
          </cell>
        </row>
        <row r="87">
          <cell r="A87" t="str">
            <v>A06103</v>
          </cell>
          <cell r="B87" t="str">
            <v>126/02/20</v>
          </cell>
          <cell r="C87">
            <v>1.75</v>
          </cell>
          <cell r="D87">
            <v>11.94</v>
          </cell>
          <cell r="E87">
            <v>13.51</v>
          </cell>
          <cell r="F87" t="str">
            <v/>
          </cell>
          <cell r="G87" t="str">
            <v/>
          </cell>
          <cell r="H87" t="str">
            <v/>
          </cell>
          <cell r="I87" t="str">
            <v/>
          </cell>
          <cell r="J87" t="str">
            <v/>
          </cell>
          <cell r="K87" t="str">
            <v/>
          </cell>
          <cell r="L87" t="str">
            <v/>
          </cell>
          <cell r="M87" t="str">
            <v/>
          </cell>
          <cell r="N87" t="str">
            <v/>
          </cell>
          <cell r="O87">
            <v>1.2604</v>
          </cell>
        </row>
        <row r="88">
          <cell r="A88" t="str">
            <v>A06108</v>
          </cell>
          <cell r="B88" t="str">
            <v>126/08/18</v>
          </cell>
          <cell r="C88">
            <v>1.5</v>
          </cell>
          <cell r="D88">
            <v>12.59</v>
          </cell>
          <cell r="E88">
            <v>14</v>
          </cell>
          <cell r="F88" t="str">
            <v/>
          </cell>
          <cell r="G88" t="str">
            <v/>
          </cell>
          <cell r="H88" t="str">
            <v/>
          </cell>
          <cell r="I88" t="str">
            <v/>
          </cell>
          <cell r="J88" t="str">
            <v/>
          </cell>
          <cell r="K88" t="str">
            <v/>
          </cell>
          <cell r="L88" t="str">
            <v/>
          </cell>
          <cell r="M88" t="str">
            <v/>
          </cell>
          <cell r="N88" t="str">
            <v/>
          </cell>
          <cell r="O88">
            <v>1.2709999999999999</v>
          </cell>
        </row>
        <row r="89">
          <cell r="A89" t="str">
            <v>A07103</v>
          </cell>
          <cell r="B89" t="str">
            <v>127/03/13</v>
          </cell>
          <cell r="C89">
            <v>1.375</v>
          </cell>
          <cell r="D89">
            <v>13.06</v>
          </cell>
          <cell r="E89">
            <v>14.57</v>
          </cell>
          <cell r="F89" t="str">
            <v/>
          </cell>
          <cell r="G89" t="str">
            <v/>
          </cell>
          <cell r="H89" t="str">
            <v/>
          </cell>
          <cell r="I89" t="str">
            <v/>
          </cell>
          <cell r="J89" t="str">
            <v/>
          </cell>
          <cell r="K89" t="str">
            <v/>
          </cell>
          <cell r="L89" t="str">
            <v/>
          </cell>
          <cell r="M89" t="str">
            <v/>
          </cell>
          <cell r="N89" t="str">
            <v/>
          </cell>
          <cell r="O89">
            <v>1.2826</v>
          </cell>
        </row>
        <row r="90">
          <cell r="A90" t="str">
            <v>A07108</v>
          </cell>
          <cell r="B90" t="str">
            <v>127/09/21</v>
          </cell>
          <cell r="C90">
            <v>1.125</v>
          </cell>
          <cell r="D90">
            <v>13.62</v>
          </cell>
          <cell r="E90">
            <v>15.09</v>
          </cell>
          <cell r="F90" t="str">
            <v/>
          </cell>
          <cell r="G90" t="str">
            <v/>
          </cell>
          <cell r="H90" t="str">
            <v/>
          </cell>
          <cell r="I90" t="str">
            <v/>
          </cell>
          <cell r="J90" t="str">
            <v/>
          </cell>
          <cell r="K90" t="str">
            <v/>
          </cell>
          <cell r="L90" t="str">
            <v/>
          </cell>
          <cell r="M90" t="str">
            <v/>
          </cell>
          <cell r="N90" t="str">
            <v/>
          </cell>
          <cell r="O90">
            <v>1.2945</v>
          </cell>
        </row>
        <row r="91">
          <cell r="A91" t="str">
            <v>A99102</v>
          </cell>
          <cell r="B91" t="str">
            <v>129/01/28</v>
          </cell>
          <cell r="C91">
            <v>2.25</v>
          </cell>
          <cell r="D91">
            <v>13.78</v>
          </cell>
          <cell r="E91">
            <v>16.440000000000001</v>
          </cell>
          <cell r="F91" t="str">
            <v/>
          </cell>
          <cell r="G91" t="str">
            <v/>
          </cell>
          <cell r="H91" t="str">
            <v/>
          </cell>
          <cell r="I91" t="str">
            <v/>
          </cell>
          <cell r="J91" t="str">
            <v/>
          </cell>
          <cell r="K91" t="str">
            <v/>
          </cell>
          <cell r="L91" t="str">
            <v/>
          </cell>
          <cell r="M91" t="str">
            <v/>
          </cell>
          <cell r="N91" t="str">
            <v/>
          </cell>
          <cell r="O91">
            <v>1.3125</v>
          </cell>
        </row>
        <row r="92">
          <cell r="A92" t="str">
            <v>A08102</v>
          </cell>
          <cell r="B92" t="str">
            <v>128/01/28</v>
          </cell>
          <cell r="C92">
            <v>1.125</v>
          </cell>
          <cell r="D92">
            <v>13.97</v>
          </cell>
          <cell r="E92">
            <v>15.44</v>
          </cell>
          <cell r="F92" t="str">
            <v/>
          </cell>
          <cell r="G92" t="str">
            <v/>
          </cell>
          <cell r="H92" t="str">
            <v/>
          </cell>
          <cell r="I92" t="str">
            <v/>
          </cell>
          <cell r="J92" t="str">
            <v/>
          </cell>
          <cell r="K92" t="str">
            <v/>
          </cell>
          <cell r="L92" t="str">
            <v/>
          </cell>
          <cell r="M92" t="str">
            <v/>
          </cell>
          <cell r="N92" t="str">
            <v/>
          </cell>
          <cell r="O92">
            <v>1.3013999999999999</v>
          </cell>
        </row>
        <row r="93">
          <cell r="A93" t="str">
            <v>A08104</v>
          </cell>
          <cell r="B93" t="str">
            <v>128/03/04</v>
          </cell>
          <cell r="C93">
            <v>1.125</v>
          </cell>
          <cell r="D93">
            <v>14.06</v>
          </cell>
          <cell r="E93">
            <v>15.54</v>
          </cell>
          <cell r="F93" t="str">
            <v/>
          </cell>
          <cell r="G93" t="str">
            <v/>
          </cell>
          <cell r="H93" t="str">
            <v/>
          </cell>
          <cell r="I93" t="str">
            <v/>
          </cell>
          <cell r="J93" t="str">
            <v/>
          </cell>
          <cell r="K93" t="str">
            <v/>
          </cell>
          <cell r="L93" t="str">
            <v/>
          </cell>
          <cell r="M93" t="str">
            <v/>
          </cell>
          <cell r="N93" t="str">
            <v/>
          </cell>
          <cell r="O93">
            <v>1.3032999999999999</v>
          </cell>
        </row>
        <row r="94">
          <cell r="A94" t="str">
            <v>A99109</v>
          </cell>
          <cell r="B94" t="str">
            <v>129/12/28</v>
          </cell>
          <cell r="C94">
            <v>2.125</v>
          </cell>
          <cell r="D94">
            <v>14.5</v>
          </cell>
          <cell r="E94">
            <v>17.36</v>
          </cell>
          <cell r="F94">
            <v>1.345</v>
          </cell>
          <cell r="G94">
            <v>1.345</v>
          </cell>
          <cell r="H94">
            <v>1.345</v>
          </cell>
          <cell r="I94">
            <v>6</v>
          </cell>
          <cell r="J94">
            <v>1.3460000000000001</v>
          </cell>
          <cell r="K94">
            <v>1.345</v>
          </cell>
          <cell r="L94">
            <v>1.3458000000000001</v>
          </cell>
          <cell r="M94">
            <v>2</v>
          </cell>
          <cell r="N94">
            <v>10</v>
          </cell>
          <cell r="O94">
            <v>1.3307</v>
          </cell>
        </row>
        <row r="95">
          <cell r="A95" t="str">
            <v>A00104</v>
          </cell>
          <cell r="B95" t="str">
            <v>130/02/22</v>
          </cell>
          <cell r="C95">
            <v>2</v>
          </cell>
          <cell r="D95">
            <v>14.76</v>
          </cell>
          <cell r="E95">
            <v>17.510000000000002</v>
          </cell>
          <cell r="F95" t="str">
            <v/>
          </cell>
          <cell r="G95" t="str">
            <v/>
          </cell>
          <cell r="H95" t="str">
            <v/>
          </cell>
          <cell r="I95" t="str">
            <v/>
          </cell>
          <cell r="J95" t="str">
            <v/>
          </cell>
          <cell r="K95" t="str">
            <v/>
          </cell>
          <cell r="L95" t="str">
            <v/>
          </cell>
          <cell r="M95" t="str">
            <v/>
          </cell>
          <cell r="N95" t="str">
            <v/>
          </cell>
          <cell r="O95">
            <v>1.3346</v>
          </cell>
        </row>
        <row r="96">
          <cell r="A96" t="str">
            <v>A08108</v>
          </cell>
          <cell r="B96" t="str">
            <v>128/09/06</v>
          </cell>
          <cell r="C96">
            <v>0.75</v>
          </cell>
          <cell r="D96">
            <v>14.82</v>
          </cell>
          <cell r="E96">
            <v>16.05</v>
          </cell>
          <cell r="F96" t="str">
            <v/>
          </cell>
          <cell r="G96" t="str">
            <v/>
          </cell>
          <cell r="H96" t="str">
            <v/>
          </cell>
          <cell r="I96" t="str">
            <v/>
          </cell>
          <cell r="J96" t="str">
            <v/>
          </cell>
          <cell r="K96" t="str">
            <v/>
          </cell>
          <cell r="L96" t="str">
            <v/>
          </cell>
          <cell r="M96" t="str">
            <v/>
          </cell>
          <cell r="N96" t="str">
            <v/>
          </cell>
          <cell r="O96">
            <v>1.3165</v>
          </cell>
        </row>
        <row r="97">
          <cell r="A97" t="str">
            <v>A00108</v>
          </cell>
          <cell r="B97" t="str">
            <v>130/08/22</v>
          </cell>
          <cell r="C97">
            <v>1.875</v>
          </cell>
          <cell r="D97">
            <v>15.1</v>
          </cell>
          <cell r="E97">
            <v>18.010000000000002</v>
          </cell>
          <cell r="F97" t="str">
            <v/>
          </cell>
          <cell r="G97" t="str">
            <v/>
          </cell>
          <cell r="H97" t="str">
            <v/>
          </cell>
          <cell r="I97" t="str">
            <v/>
          </cell>
          <cell r="J97" t="str">
            <v/>
          </cell>
          <cell r="K97" t="str">
            <v/>
          </cell>
          <cell r="L97" t="str">
            <v/>
          </cell>
          <cell r="M97" t="str">
            <v/>
          </cell>
          <cell r="N97" t="str">
            <v/>
          </cell>
          <cell r="O97">
            <v>1.3452999999999999</v>
          </cell>
        </row>
        <row r="98">
          <cell r="A98" t="str">
            <v>A09102</v>
          </cell>
          <cell r="B98" t="str">
            <v>129/01/17</v>
          </cell>
          <cell r="C98">
            <v>0.75</v>
          </cell>
          <cell r="D98">
            <v>15.17</v>
          </cell>
          <cell r="E98">
            <v>16.41</v>
          </cell>
          <cell r="F98" t="str">
            <v/>
          </cell>
          <cell r="G98" t="str">
            <v/>
          </cell>
          <cell r="H98" t="str">
            <v/>
          </cell>
          <cell r="I98" t="str">
            <v/>
          </cell>
          <cell r="J98" t="str">
            <v/>
          </cell>
          <cell r="K98" t="str">
            <v/>
          </cell>
          <cell r="L98" t="str">
            <v/>
          </cell>
          <cell r="M98" t="str">
            <v/>
          </cell>
          <cell r="N98" t="str">
            <v/>
          </cell>
          <cell r="O98">
            <v>1.3238000000000001</v>
          </cell>
        </row>
        <row r="99">
          <cell r="A99" t="str">
            <v>A09104</v>
          </cell>
          <cell r="B99" t="str">
            <v>129/03/09</v>
          </cell>
          <cell r="C99">
            <v>0.5</v>
          </cell>
          <cell r="D99">
            <v>15.62</v>
          </cell>
          <cell r="E99">
            <v>16.559999999999999</v>
          </cell>
          <cell r="F99" t="str">
            <v/>
          </cell>
          <cell r="G99" t="str">
            <v/>
          </cell>
          <cell r="H99" t="str">
            <v/>
          </cell>
          <cell r="I99" t="str">
            <v/>
          </cell>
          <cell r="J99" t="str">
            <v/>
          </cell>
          <cell r="K99" t="str">
            <v/>
          </cell>
          <cell r="L99" t="str">
            <v/>
          </cell>
          <cell r="M99" t="str">
            <v/>
          </cell>
          <cell r="N99" t="str">
            <v/>
          </cell>
          <cell r="O99">
            <v>1.329</v>
          </cell>
        </row>
        <row r="100">
          <cell r="A100" t="str">
            <v>A01104</v>
          </cell>
          <cell r="B100" t="str">
            <v>131/02/13</v>
          </cell>
          <cell r="C100">
            <v>1.75</v>
          </cell>
          <cell r="D100">
            <v>15.7</v>
          </cell>
          <cell r="E100">
            <v>18.489999999999998</v>
          </cell>
          <cell r="F100" t="str">
            <v/>
          </cell>
          <cell r="G100" t="str">
            <v/>
          </cell>
          <cell r="H100" t="str">
            <v/>
          </cell>
          <cell r="I100" t="str">
            <v/>
          </cell>
          <cell r="J100" t="str">
            <v/>
          </cell>
          <cell r="K100" t="str">
            <v/>
          </cell>
          <cell r="L100" t="str">
            <v/>
          </cell>
          <cell r="M100" t="str">
            <v/>
          </cell>
          <cell r="N100" t="str">
            <v/>
          </cell>
          <cell r="O100">
            <v>1.3555999999999999</v>
          </cell>
        </row>
        <row r="101">
          <cell r="A101" t="str">
            <v>A02109</v>
          </cell>
          <cell r="B101" t="str">
            <v>132/08/02</v>
          </cell>
          <cell r="C101">
            <v>2.5</v>
          </cell>
          <cell r="D101">
            <v>16.11</v>
          </cell>
          <cell r="E101">
            <v>19.95</v>
          </cell>
          <cell r="F101">
            <v>1.3859999999999999</v>
          </cell>
          <cell r="G101">
            <v>1.3851</v>
          </cell>
          <cell r="H101">
            <v>1.3856999999999999</v>
          </cell>
          <cell r="I101">
            <v>3</v>
          </cell>
          <cell r="J101">
            <v>1.385</v>
          </cell>
          <cell r="K101">
            <v>1.385</v>
          </cell>
          <cell r="L101">
            <v>1.385</v>
          </cell>
          <cell r="M101">
            <v>1</v>
          </cell>
          <cell r="N101">
            <v>1</v>
          </cell>
          <cell r="O101">
            <v>1.3758999999999999</v>
          </cell>
        </row>
        <row r="102">
          <cell r="A102" t="str">
            <v>A11109</v>
          </cell>
          <cell r="B102" t="str">
            <v>131/09/30</v>
          </cell>
          <cell r="C102">
            <v>1.875</v>
          </cell>
          <cell r="D102">
            <v>15.91</v>
          </cell>
          <cell r="E102">
            <v>19.12</v>
          </cell>
          <cell r="F102" t="str">
            <v/>
          </cell>
          <cell r="G102" t="str">
            <v/>
          </cell>
          <cell r="H102" t="str">
            <v/>
          </cell>
          <cell r="I102" t="str">
            <v/>
          </cell>
          <cell r="J102" t="str">
            <v/>
          </cell>
          <cell r="K102" t="str">
            <v/>
          </cell>
          <cell r="L102" t="str">
            <v/>
          </cell>
          <cell r="M102" t="str">
            <v/>
          </cell>
          <cell r="N102" t="str">
            <v/>
          </cell>
          <cell r="O102">
            <v>1.3664000000000001</v>
          </cell>
        </row>
        <row r="103">
          <cell r="A103" t="str">
            <v>A09108</v>
          </cell>
          <cell r="B103" t="str">
            <v>129/09/18</v>
          </cell>
          <cell r="C103">
            <v>0.5</v>
          </cell>
          <cell r="D103">
            <v>16.05</v>
          </cell>
          <cell r="E103">
            <v>17.079999999999998</v>
          </cell>
          <cell r="F103" t="str">
            <v/>
          </cell>
          <cell r="G103" t="str">
            <v/>
          </cell>
          <cell r="H103" t="str">
            <v/>
          </cell>
          <cell r="I103" t="str">
            <v/>
          </cell>
          <cell r="J103" t="str">
            <v/>
          </cell>
          <cell r="K103" t="str">
            <v/>
          </cell>
          <cell r="L103" t="str">
            <v/>
          </cell>
          <cell r="M103" t="str">
            <v/>
          </cell>
          <cell r="N103" t="str">
            <v/>
          </cell>
          <cell r="O103">
            <v>1.3399000000000001</v>
          </cell>
        </row>
        <row r="104">
          <cell r="A104" t="str">
            <v>A01108</v>
          </cell>
          <cell r="B104" t="str">
            <v>131/08/24</v>
          </cell>
          <cell r="C104">
            <v>1.625</v>
          </cell>
          <cell r="D104">
            <v>16.100000000000001</v>
          </cell>
          <cell r="E104">
            <v>19.010000000000002</v>
          </cell>
          <cell r="F104">
            <v>1.3751</v>
          </cell>
          <cell r="G104">
            <v>1.375</v>
          </cell>
          <cell r="H104">
            <v>1.375</v>
          </cell>
          <cell r="I104">
            <v>7</v>
          </cell>
          <cell r="J104">
            <v>1.3759999999999999</v>
          </cell>
          <cell r="K104">
            <v>1.375</v>
          </cell>
          <cell r="L104">
            <v>1.3756999999999999</v>
          </cell>
          <cell r="M104">
            <v>5</v>
          </cell>
          <cell r="N104">
            <v>11</v>
          </cell>
          <cell r="O104">
            <v>1.367</v>
          </cell>
        </row>
        <row r="105">
          <cell r="A105" t="str">
            <v>A10102</v>
          </cell>
          <cell r="B105" t="str">
            <v>130/01/29</v>
          </cell>
          <cell r="C105">
            <v>0.5</v>
          </cell>
          <cell r="D105">
            <v>16.41</v>
          </cell>
          <cell r="E105">
            <v>17.45</v>
          </cell>
          <cell r="F105" t="str">
            <v/>
          </cell>
          <cell r="G105" t="str">
            <v/>
          </cell>
          <cell r="H105" t="str">
            <v/>
          </cell>
          <cell r="I105" t="str">
            <v/>
          </cell>
          <cell r="J105" t="str">
            <v/>
          </cell>
          <cell r="K105" t="str">
            <v/>
          </cell>
          <cell r="L105" t="str">
            <v/>
          </cell>
          <cell r="M105" t="str">
            <v/>
          </cell>
          <cell r="N105" t="str">
            <v/>
          </cell>
          <cell r="O105">
            <v>1.3474999999999999</v>
          </cell>
        </row>
        <row r="106">
          <cell r="A106" t="str">
            <v>A02105</v>
          </cell>
          <cell r="B106" t="str">
            <v>132/02/26</v>
          </cell>
          <cell r="C106">
            <v>1.75</v>
          </cell>
          <cell r="D106">
            <v>16.45</v>
          </cell>
          <cell r="E106">
            <v>19.52</v>
          </cell>
          <cell r="F106" t="str">
            <v/>
          </cell>
          <cell r="G106" t="str">
            <v/>
          </cell>
          <cell r="H106" t="str">
            <v/>
          </cell>
          <cell r="I106" t="str">
            <v/>
          </cell>
          <cell r="J106" t="str">
            <v/>
          </cell>
          <cell r="K106" t="str">
            <v/>
          </cell>
          <cell r="L106" t="str">
            <v/>
          </cell>
          <cell r="M106" t="str">
            <v/>
          </cell>
          <cell r="N106" t="str">
            <v/>
          </cell>
          <cell r="O106">
            <v>1.3754</v>
          </cell>
        </row>
        <row r="107">
          <cell r="A107" t="str">
            <v>A09113</v>
          </cell>
          <cell r="B107" t="str">
            <v>129/12/29</v>
          </cell>
          <cell r="C107">
            <v>0.375</v>
          </cell>
          <cell r="D107">
            <v>16.510000000000002</v>
          </cell>
          <cell r="E107">
            <v>17.36</v>
          </cell>
          <cell r="F107" t="str">
            <v/>
          </cell>
          <cell r="G107" t="str">
            <v/>
          </cell>
          <cell r="H107" t="str">
            <v/>
          </cell>
          <cell r="I107" t="str">
            <v/>
          </cell>
          <cell r="J107" t="str">
            <v/>
          </cell>
          <cell r="K107" t="str">
            <v/>
          </cell>
          <cell r="L107" t="str">
            <v/>
          </cell>
          <cell r="M107" t="str">
            <v/>
          </cell>
          <cell r="N107" t="str">
            <v/>
          </cell>
          <cell r="O107">
            <v>1.3471</v>
          </cell>
        </row>
        <row r="108">
          <cell r="A108" t="str">
            <v>A11101</v>
          </cell>
          <cell r="B108" t="str">
            <v>131/01/18</v>
          </cell>
          <cell r="C108">
            <v>1</v>
          </cell>
          <cell r="D108">
            <v>16.52</v>
          </cell>
          <cell r="E108">
            <v>18.420000000000002</v>
          </cell>
          <cell r="F108" t="str">
            <v/>
          </cell>
          <cell r="G108" t="str">
            <v/>
          </cell>
          <cell r="H108" t="str">
            <v/>
          </cell>
          <cell r="I108" t="str">
            <v/>
          </cell>
          <cell r="J108" t="str">
            <v/>
          </cell>
          <cell r="K108" t="str">
            <v/>
          </cell>
          <cell r="L108" t="str">
            <v/>
          </cell>
          <cell r="M108" t="str">
            <v/>
          </cell>
          <cell r="N108" t="str">
            <v/>
          </cell>
          <cell r="O108">
            <v>1.3619000000000001</v>
          </cell>
        </row>
        <row r="109">
          <cell r="A109" t="str">
            <v>A10105</v>
          </cell>
          <cell r="B109" t="str">
            <v>130/05/21</v>
          </cell>
          <cell r="C109">
            <v>0.625</v>
          </cell>
          <cell r="D109">
            <v>16.53</v>
          </cell>
          <cell r="E109">
            <v>17.760000000000002</v>
          </cell>
          <cell r="F109" t="str">
            <v/>
          </cell>
          <cell r="G109" t="str">
            <v/>
          </cell>
          <cell r="H109" t="str">
            <v/>
          </cell>
          <cell r="I109" t="str">
            <v/>
          </cell>
          <cell r="J109" t="str">
            <v/>
          </cell>
          <cell r="K109" t="str">
            <v/>
          </cell>
          <cell r="L109" t="str">
            <v/>
          </cell>
          <cell r="M109" t="str">
            <v/>
          </cell>
          <cell r="N109" t="str">
            <v/>
          </cell>
          <cell r="O109">
            <v>1.3525</v>
          </cell>
        </row>
        <row r="110">
          <cell r="A110" t="str">
            <v>A03112</v>
          </cell>
          <cell r="B110" t="str">
            <v>133/08/04</v>
          </cell>
          <cell r="C110">
            <v>2.25</v>
          </cell>
          <cell r="D110">
            <v>17.010000000000002</v>
          </cell>
          <cell r="E110">
            <v>20.96</v>
          </cell>
          <cell r="F110" t="str">
            <v/>
          </cell>
          <cell r="G110" t="str">
            <v/>
          </cell>
          <cell r="H110" t="str">
            <v/>
          </cell>
          <cell r="I110" t="str">
            <v/>
          </cell>
          <cell r="J110" t="str">
            <v/>
          </cell>
          <cell r="K110" t="str">
            <v/>
          </cell>
          <cell r="L110" t="str">
            <v/>
          </cell>
          <cell r="M110" t="str">
            <v/>
          </cell>
          <cell r="N110" t="str">
            <v/>
          </cell>
          <cell r="O110">
            <v>1.3969</v>
          </cell>
        </row>
        <row r="111">
          <cell r="A111" t="str">
            <v>A03105</v>
          </cell>
          <cell r="B111" t="str">
            <v>133/02/26</v>
          </cell>
          <cell r="C111">
            <v>2.125</v>
          </cell>
          <cell r="D111">
            <v>16.72</v>
          </cell>
          <cell r="E111">
            <v>20.52</v>
          </cell>
          <cell r="F111" t="str">
            <v/>
          </cell>
          <cell r="G111" t="str">
            <v/>
          </cell>
          <cell r="H111" t="str">
            <v/>
          </cell>
          <cell r="I111" t="str">
            <v/>
          </cell>
          <cell r="J111" t="str">
            <v/>
          </cell>
          <cell r="K111" t="str">
            <v/>
          </cell>
          <cell r="L111" t="str">
            <v/>
          </cell>
          <cell r="M111" t="str">
            <v/>
          </cell>
          <cell r="N111" t="str">
            <v/>
          </cell>
          <cell r="O111">
            <v>1.3902000000000001</v>
          </cell>
        </row>
        <row r="112">
          <cell r="A112" t="str">
            <v>A11104</v>
          </cell>
          <cell r="B112" t="str">
            <v>131/03/04</v>
          </cell>
          <cell r="C112">
            <v>0.875</v>
          </cell>
          <cell r="D112">
            <v>16.809999999999999</v>
          </cell>
          <cell r="E112">
            <v>18.54</v>
          </cell>
          <cell r="F112" t="str">
            <v/>
          </cell>
          <cell r="G112" t="str">
            <v/>
          </cell>
          <cell r="H112" t="str">
            <v/>
          </cell>
          <cell r="I112" t="str">
            <v/>
          </cell>
          <cell r="J112" t="str">
            <v/>
          </cell>
          <cell r="K112" t="str">
            <v/>
          </cell>
          <cell r="L112" t="str">
            <v/>
          </cell>
          <cell r="M112" t="str">
            <v/>
          </cell>
          <cell r="N112" t="str">
            <v/>
          </cell>
          <cell r="O112">
            <v>1.3656999999999999</v>
          </cell>
        </row>
        <row r="113">
          <cell r="A113" t="str">
            <v>A10112</v>
          </cell>
          <cell r="B113" t="str">
            <v>130/11/12</v>
          </cell>
          <cell r="C113">
            <v>0.625</v>
          </cell>
          <cell r="D113">
            <v>16.88</v>
          </cell>
          <cell r="E113">
            <v>18.23</v>
          </cell>
          <cell r="F113" t="str">
            <v/>
          </cell>
          <cell r="G113" t="str">
            <v/>
          </cell>
          <cell r="H113" t="str">
            <v/>
          </cell>
          <cell r="I113" t="str">
            <v/>
          </cell>
          <cell r="J113" t="str">
            <v/>
          </cell>
          <cell r="K113" t="str">
            <v/>
          </cell>
          <cell r="L113" t="str">
            <v/>
          </cell>
          <cell r="M113" t="str">
            <v/>
          </cell>
          <cell r="N113" t="str">
            <v/>
          </cell>
          <cell r="O113">
            <v>1.3623000000000001</v>
          </cell>
        </row>
        <row r="114">
          <cell r="A114" t="str">
            <v>A12104</v>
          </cell>
          <cell r="B114" t="str">
            <v>132/03/03</v>
          </cell>
          <cell r="C114">
            <v>1.375</v>
          </cell>
          <cell r="D114">
            <v>16.920000000000002</v>
          </cell>
          <cell r="E114">
            <v>19.54</v>
          </cell>
          <cell r="F114">
            <v>1.381</v>
          </cell>
          <cell r="G114">
            <v>1.381</v>
          </cell>
          <cell r="H114">
            <v>1.381</v>
          </cell>
          <cell r="I114">
            <v>0.5</v>
          </cell>
          <cell r="J114">
            <v>1.38</v>
          </cell>
          <cell r="K114">
            <v>1.38</v>
          </cell>
          <cell r="L114">
            <v>1.38</v>
          </cell>
          <cell r="M114">
            <v>1</v>
          </cell>
          <cell r="N114">
            <v>0.5</v>
          </cell>
          <cell r="O114">
            <v>1.3798999999999999</v>
          </cell>
        </row>
        <row r="115">
          <cell r="A115" t="str">
            <v>A10110</v>
          </cell>
          <cell r="B115" t="str">
            <v>130/09/29</v>
          </cell>
          <cell r="C115">
            <v>0.5</v>
          </cell>
          <cell r="D115">
            <v>16.96</v>
          </cell>
          <cell r="E115">
            <v>18.11</v>
          </cell>
          <cell r="F115" t="str">
            <v/>
          </cell>
          <cell r="G115" t="str">
            <v/>
          </cell>
          <cell r="H115" t="str">
            <v/>
          </cell>
          <cell r="I115" t="str">
            <v/>
          </cell>
          <cell r="J115" t="str">
            <v/>
          </cell>
          <cell r="K115" t="str">
            <v/>
          </cell>
          <cell r="L115" t="str">
            <v/>
          </cell>
          <cell r="M115" t="str">
            <v/>
          </cell>
          <cell r="N115" t="str">
            <v/>
          </cell>
          <cell r="O115">
            <v>1.3613</v>
          </cell>
        </row>
        <row r="116">
          <cell r="A116" t="str">
            <v>A03116</v>
          </cell>
          <cell r="B116" t="str">
            <v>133/11/26</v>
          </cell>
          <cell r="C116">
            <v>2.25</v>
          </cell>
          <cell r="D116">
            <v>16.989999999999998</v>
          </cell>
          <cell r="E116">
            <v>21.27</v>
          </cell>
          <cell r="F116" t="str">
            <v/>
          </cell>
          <cell r="G116" t="str">
            <v/>
          </cell>
          <cell r="H116" t="str">
            <v/>
          </cell>
          <cell r="I116" t="str">
            <v/>
          </cell>
          <cell r="J116" t="str">
            <v/>
          </cell>
          <cell r="K116" t="str">
            <v/>
          </cell>
          <cell r="L116" t="str">
            <v/>
          </cell>
          <cell r="M116" t="str">
            <v/>
          </cell>
          <cell r="N116" t="str">
            <v/>
          </cell>
          <cell r="O116">
            <v>1.4025000000000001</v>
          </cell>
        </row>
        <row r="117">
          <cell r="A117" t="str">
            <v>A04104</v>
          </cell>
          <cell r="B117" t="str">
            <v>134/02/13</v>
          </cell>
          <cell r="C117">
            <v>2.375</v>
          </cell>
          <cell r="D117">
            <v>17.059999999999999</v>
          </cell>
          <cell r="E117">
            <v>21.49</v>
          </cell>
          <cell r="F117" t="str">
            <v/>
          </cell>
          <cell r="G117" t="str">
            <v/>
          </cell>
          <cell r="H117" t="str">
            <v/>
          </cell>
          <cell r="I117" t="str">
            <v/>
          </cell>
          <cell r="J117" t="str">
            <v/>
          </cell>
          <cell r="K117" t="str">
            <v/>
          </cell>
          <cell r="L117" t="str">
            <v/>
          </cell>
          <cell r="M117" t="str">
            <v/>
          </cell>
          <cell r="N117" t="str">
            <v/>
          </cell>
          <cell r="O117">
            <v>1.405</v>
          </cell>
        </row>
        <row r="118">
          <cell r="A118" t="str">
            <v>A03108</v>
          </cell>
          <cell r="B118" t="str">
            <v>133/05/28</v>
          </cell>
          <cell r="C118">
            <v>2</v>
          </cell>
          <cell r="D118">
            <v>17.100000000000001</v>
          </cell>
          <cell r="E118">
            <v>20.78</v>
          </cell>
          <cell r="F118" t="str">
            <v/>
          </cell>
          <cell r="G118" t="str">
            <v/>
          </cell>
          <cell r="H118" t="str">
            <v/>
          </cell>
          <cell r="I118" t="str">
            <v/>
          </cell>
          <cell r="J118" t="str">
            <v/>
          </cell>
          <cell r="K118" t="str">
            <v/>
          </cell>
          <cell r="L118" t="str">
            <v/>
          </cell>
          <cell r="M118" t="str">
            <v/>
          </cell>
          <cell r="N118" t="str">
            <v/>
          </cell>
          <cell r="O118">
            <v>1.3962000000000001</v>
          </cell>
        </row>
        <row r="119">
          <cell r="A119" t="str">
            <v>A12109</v>
          </cell>
          <cell r="B119" t="str">
            <v>132/09/22</v>
          </cell>
          <cell r="C119">
            <v>1.375</v>
          </cell>
          <cell r="D119">
            <v>17.38</v>
          </cell>
          <cell r="E119">
            <v>20</v>
          </cell>
          <cell r="F119" t="str">
            <v/>
          </cell>
          <cell r="G119" t="str">
            <v/>
          </cell>
          <cell r="H119" t="str">
            <v/>
          </cell>
          <cell r="I119" t="str">
            <v/>
          </cell>
          <cell r="J119" t="str">
            <v/>
          </cell>
          <cell r="K119" t="str">
            <v/>
          </cell>
          <cell r="L119" t="str">
            <v/>
          </cell>
          <cell r="M119" t="str">
            <v/>
          </cell>
          <cell r="N119" t="str">
            <v/>
          </cell>
          <cell r="O119">
            <v>1.389</v>
          </cell>
        </row>
        <row r="120">
          <cell r="A120" t="str">
            <v>A04108</v>
          </cell>
          <cell r="B120" t="str">
            <v>134/05/15</v>
          </cell>
          <cell r="C120">
            <v>2.375</v>
          </cell>
          <cell r="D120">
            <v>17.309999999999999</v>
          </cell>
          <cell r="E120">
            <v>21.74</v>
          </cell>
          <cell r="F120" t="str">
            <v/>
          </cell>
          <cell r="G120" t="str">
            <v/>
          </cell>
          <cell r="H120" t="str">
            <v/>
          </cell>
          <cell r="I120" t="str">
            <v/>
          </cell>
          <cell r="J120" t="str">
            <v/>
          </cell>
          <cell r="K120" t="str">
            <v/>
          </cell>
          <cell r="L120" t="str">
            <v/>
          </cell>
          <cell r="M120" t="str">
            <v/>
          </cell>
          <cell r="N120" t="str">
            <v/>
          </cell>
          <cell r="O120">
            <v>1.4095</v>
          </cell>
        </row>
        <row r="121">
          <cell r="A121" t="str">
            <v>A04111</v>
          </cell>
          <cell r="B121" t="str">
            <v>134/08/10</v>
          </cell>
          <cell r="C121">
            <v>2.25</v>
          </cell>
          <cell r="D121">
            <v>17.68</v>
          </cell>
          <cell r="E121">
            <v>21.98</v>
          </cell>
          <cell r="F121" t="str">
            <v/>
          </cell>
          <cell r="G121" t="str">
            <v/>
          </cell>
          <cell r="H121" t="str">
            <v/>
          </cell>
          <cell r="I121" t="str">
            <v/>
          </cell>
          <cell r="J121" t="str">
            <v/>
          </cell>
          <cell r="K121" t="str">
            <v/>
          </cell>
          <cell r="L121" t="str">
            <v/>
          </cell>
          <cell r="M121" t="str">
            <v/>
          </cell>
          <cell r="N121" t="str">
            <v/>
          </cell>
          <cell r="O121">
            <v>1.4153</v>
          </cell>
        </row>
        <row r="122">
          <cell r="A122" t="str">
            <v>A05114</v>
          </cell>
          <cell r="B122" t="str">
            <v>135/11/25</v>
          </cell>
          <cell r="C122">
            <v>2</v>
          </cell>
          <cell r="D122">
            <v>18.579999999999998</v>
          </cell>
          <cell r="E122">
            <v>23.27</v>
          </cell>
          <cell r="F122" t="str">
            <v/>
          </cell>
          <cell r="G122" t="str">
            <v/>
          </cell>
          <cell r="H122" t="str">
            <v/>
          </cell>
          <cell r="I122" t="str">
            <v/>
          </cell>
          <cell r="J122" t="str">
            <v/>
          </cell>
          <cell r="K122" t="str">
            <v/>
          </cell>
          <cell r="L122" t="str">
            <v/>
          </cell>
          <cell r="M122" t="str">
            <v/>
          </cell>
          <cell r="N122" t="str">
            <v/>
          </cell>
          <cell r="O122">
            <v>1.4417</v>
          </cell>
        </row>
        <row r="123">
          <cell r="A123" t="str">
            <v>A05107</v>
          </cell>
          <cell r="B123" t="str">
            <v>135/05/20</v>
          </cell>
          <cell r="C123">
            <v>1.625</v>
          </cell>
          <cell r="D123">
            <v>18.93</v>
          </cell>
          <cell r="E123">
            <v>22.75</v>
          </cell>
          <cell r="F123" t="str">
            <v/>
          </cell>
          <cell r="G123" t="str">
            <v/>
          </cell>
          <cell r="H123" t="str">
            <v/>
          </cell>
          <cell r="I123" t="str">
            <v/>
          </cell>
          <cell r="J123" t="str">
            <v/>
          </cell>
          <cell r="K123" t="str">
            <v/>
          </cell>
          <cell r="L123" t="str">
            <v/>
          </cell>
          <cell r="M123" t="str">
            <v/>
          </cell>
          <cell r="N123" t="str">
            <v/>
          </cell>
          <cell r="O123">
            <v>1.4377</v>
          </cell>
        </row>
        <row r="124">
          <cell r="A124" t="str">
            <v>A06106</v>
          </cell>
          <cell r="B124" t="str">
            <v>136/05/26</v>
          </cell>
          <cell r="C124">
            <v>1.875</v>
          </cell>
          <cell r="D124">
            <v>19.239999999999998</v>
          </cell>
          <cell r="E124">
            <v>23.77</v>
          </cell>
          <cell r="F124" t="str">
            <v/>
          </cell>
          <cell r="G124" t="str">
            <v/>
          </cell>
          <cell r="H124" t="str">
            <v/>
          </cell>
          <cell r="I124" t="str">
            <v/>
          </cell>
          <cell r="J124" t="str">
            <v/>
          </cell>
          <cell r="K124" t="str">
            <v/>
          </cell>
          <cell r="L124" t="str">
            <v/>
          </cell>
          <cell r="M124" t="str">
            <v/>
          </cell>
          <cell r="N124" t="str">
            <v/>
          </cell>
          <cell r="O124">
            <v>1.4523999999999999</v>
          </cell>
        </row>
        <row r="125">
          <cell r="A125" t="str">
            <v>A05110</v>
          </cell>
          <cell r="B125" t="str">
            <v>135/08/05</v>
          </cell>
          <cell r="C125">
            <v>1.375</v>
          </cell>
          <cell r="D125">
            <v>19.52</v>
          </cell>
          <cell r="E125">
            <v>22.96</v>
          </cell>
          <cell r="F125" t="str">
            <v/>
          </cell>
          <cell r="G125" t="str">
            <v/>
          </cell>
          <cell r="H125" t="str">
            <v/>
          </cell>
          <cell r="I125" t="str">
            <v/>
          </cell>
          <cell r="J125" t="str">
            <v/>
          </cell>
          <cell r="K125" t="str">
            <v/>
          </cell>
          <cell r="L125" t="str">
            <v/>
          </cell>
          <cell r="M125" t="str">
            <v/>
          </cell>
          <cell r="N125" t="str">
            <v/>
          </cell>
          <cell r="O125">
            <v>1.4454</v>
          </cell>
        </row>
        <row r="126">
          <cell r="A126" t="str">
            <v>A06111</v>
          </cell>
          <cell r="B126" t="str">
            <v>136/11/24</v>
          </cell>
          <cell r="C126">
            <v>1.625</v>
          </cell>
          <cell r="D126">
            <v>19.8</v>
          </cell>
          <cell r="E126">
            <v>24.27</v>
          </cell>
          <cell r="F126" t="str">
            <v/>
          </cell>
          <cell r="G126" t="str">
            <v/>
          </cell>
          <cell r="H126" t="str">
            <v/>
          </cell>
          <cell r="I126" t="str">
            <v/>
          </cell>
          <cell r="J126" t="str">
            <v/>
          </cell>
          <cell r="K126" t="str">
            <v/>
          </cell>
          <cell r="L126" t="str">
            <v/>
          </cell>
          <cell r="M126" t="str">
            <v/>
          </cell>
          <cell r="N126" t="str">
            <v/>
          </cell>
          <cell r="O126">
            <v>1.4651000000000001</v>
          </cell>
        </row>
        <row r="127">
          <cell r="A127" t="str">
            <v>A07104</v>
          </cell>
          <cell r="B127" t="str">
            <v>137/05/18</v>
          </cell>
          <cell r="C127">
            <v>1.5</v>
          </cell>
          <cell r="D127">
            <v>20.48</v>
          </cell>
          <cell r="E127">
            <v>24.75</v>
          </cell>
          <cell r="F127" t="str">
            <v/>
          </cell>
          <cell r="G127" t="str">
            <v/>
          </cell>
          <cell r="H127" t="str">
            <v/>
          </cell>
          <cell r="I127" t="str">
            <v/>
          </cell>
          <cell r="J127" t="str">
            <v/>
          </cell>
          <cell r="K127" t="str">
            <v/>
          </cell>
          <cell r="L127" t="str">
            <v/>
          </cell>
          <cell r="M127" t="str">
            <v/>
          </cell>
          <cell r="N127" t="str">
            <v/>
          </cell>
          <cell r="O127">
            <v>1.4757</v>
          </cell>
        </row>
        <row r="128">
          <cell r="A128" t="str">
            <v>A07110</v>
          </cell>
          <cell r="B128" t="str">
            <v>137/11/09</v>
          </cell>
          <cell r="C128">
            <v>1.375</v>
          </cell>
          <cell r="D128">
            <v>20.88</v>
          </cell>
          <cell r="E128">
            <v>25.23</v>
          </cell>
          <cell r="F128" t="str">
            <v/>
          </cell>
          <cell r="G128" t="str">
            <v/>
          </cell>
          <cell r="H128" t="str">
            <v/>
          </cell>
          <cell r="I128" t="str">
            <v/>
          </cell>
          <cell r="J128" t="str">
            <v/>
          </cell>
          <cell r="K128" t="str">
            <v/>
          </cell>
          <cell r="L128" t="str">
            <v/>
          </cell>
          <cell r="M128" t="str">
            <v/>
          </cell>
          <cell r="N128" t="str">
            <v/>
          </cell>
          <cell r="O128">
            <v>1.4864999999999999</v>
          </cell>
        </row>
        <row r="129">
          <cell r="A129" t="str">
            <v>A11111</v>
          </cell>
          <cell r="B129" t="str">
            <v>141/11/11</v>
          </cell>
          <cell r="C129">
            <v>2.375</v>
          </cell>
          <cell r="D129">
            <v>21.51</v>
          </cell>
          <cell r="E129">
            <v>29.23</v>
          </cell>
          <cell r="F129" t="str">
            <v/>
          </cell>
          <cell r="G129" t="str">
            <v/>
          </cell>
          <cell r="H129" t="str">
            <v/>
          </cell>
          <cell r="I129" t="str">
            <v/>
          </cell>
          <cell r="J129" t="str">
            <v/>
          </cell>
          <cell r="K129" t="str">
            <v/>
          </cell>
          <cell r="L129" t="str">
            <v/>
          </cell>
          <cell r="M129" t="str">
            <v/>
          </cell>
          <cell r="N129" t="str">
            <v/>
          </cell>
          <cell r="O129">
            <v>1.5326</v>
          </cell>
        </row>
        <row r="130">
          <cell r="A130" t="str">
            <v>A08105</v>
          </cell>
          <cell r="B130" t="str">
            <v>138/05/17</v>
          </cell>
          <cell r="C130">
            <v>1.125</v>
          </cell>
          <cell r="D130">
            <v>21.92</v>
          </cell>
          <cell r="E130">
            <v>25.74</v>
          </cell>
          <cell r="F130" t="str">
            <v/>
          </cell>
          <cell r="G130" t="str">
            <v/>
          </cell>
          <cell r="H130" t="str">
            <v/>
          </cell>
          <cell r="I130" t="str">
            <v/>
          </cell>
          <cell r="J130" t="str">
            <v/>
          </cell>
          <cell r="K130" t="str">
            <v/>
          </cell>
          <cell r="L130" t="str">
            <v/>
          </cell>
          <cell r="M130" t="str">
            <v/>
          </cell>
          <cell r="N130" t="str">
            <v/>
          </cell>
          <cell r="O130">
            <v>1.5006999999999999</v>
          </cell>
        </row>
        <row r="131">
          <cell r="A131" t="str">
            <v>A11105</v>
          </cell>
          <cell r="B131" t="str">
            <v>141/05/20</v>
          </cell>
          <cell r="C131">
            <v>2</v>
          </cell>
          <cell r="D131">
            <v>22.09</v>
          </cell>
          <cell r="E131">
            <v>28.75</v>
          </cell>
          <cell r="F131" t="str">
            <v/>
          </cell>
          <cell r="G131" t="str">
            <v/>
          </cell>
          <cell r="H131" t="str">
            <v/>
          </cell>
          <cell r="I131" t="str">
            <v/>
          </cell>
          <cell r="J131" t="str">
            <v/>
          </cell>
          <cell r="K131" t="str">
            <v/>
          </cell>
          <cell r="L131" t="str">
            <v/>
          </cell>
          <cell r="M131" t="str">
            <v/>
          </cell>
          <cell r="N131" t="str">
            <v/>
          </cell>
          <cell r="O131">
            <v>1.5326</v>
          </cell>
        </row>
        <row r="132">
          <cell r="A132" t="str">
            <v>A08110</v>
          </cell>
          <cell r="B132" t="str">
            <v>138/11/08</v>
          </cell>
          <cell r="C132">
            <v>1</v>
          </cell>
          <cell r="D132">
            <v>22.42</v>
          </cell>
          <cell r="E132">
            <v>26.22</v>
          </cell>
          <cell r="F132" t="str">
            <v/>
          </cell>
          <cell r="G132" t="str">
            <v/>
          </cell>
          <cell r="H132" t="str">
            <v/>
          </cell>
          <cell r="I132" t="str">
            <v/>
          </cell>
          <cell r="J132" t="str">
            <v/>
          </cell>
          <cell r="K132" t="str">
            <v/>
          </cell>
          <cell r="L132" t="str">
            <v/>
          </cell>
          <cell r="M132" t="str">
            <v/>
          </cell>
          <cell r="N132" t="str">
            <v/>
          </cell>
          <cell r="O132">
            <v>1.5119</v>
          </cell>
        </row>
        <row r="133">
          <cell r="A133" t="str">
            <v>A09105</v>
          </cell>
          <cell r="B133" t="str">
            <v>139/05/12</v>
          </cell>
          <cell r="C133">
            <v>0.75</v>
          </cell>
          <cell r="D133">
            <v>23.6</v>
          </cell>
          <cell r="E133">
            <v>26.73</v>
          </cell>
          <cell r="F133" t="str">
            <v/>
          </cell>
          <cell r="G133" t="str">
            <v/>
          </cell>
          <cell r="H133" t="str">
            <v/>
          </cell>
          <cell r="I133" t="str">
            <v/>
          </cell>
          <cell r="J133" t="str">
            <v/>
          </cell>
          <cell r="K133" t="str">
            <v/>
          </cell>
          <cell r="L133" t="str">
            <v/>
          </cell>
          <cell r="M133" t="str">
            <v/>
          </cell>
          <cell r="N133" t="str">
            <v/>
          </cell>
          <cell r="O133">
            <v>1.5266999999999999</v>
          </cell>
        </row>
        <row r="134">
          <cell r="A134" t="str">
            <v>A10113</v>
          </cell>
          <cell r="B134" t="str">
            <v>140/12/23</v>
          </cell>
          <cell r="C134">
            <v>1.125</v>
          </cell>
          <cell r="D134">
            <v>23.61</v>
          </cell>
          <cell r="E134">
            <v>28.35</v>
          </cell>
          <cell r="F134" t="str">
            <v/>
          </cell>
          <cell r="G134" t="str">
            <v/>
          </cell>
          <cell r="H134" t="str">
            <v/>
          </cell>
          <cell r="I134" t="str">
            <v/>
          </cell>
          <cell r="J134" t="str">
            <v/>
          </cell>
          <cell r="K134" t="str">
            <v/>
          </cell>
          <cell r="L134" t="str">
            <v/>
          </cell>
          <cell r="M134" t="str">
            <v/>
          </cell>
          <cell r="N134" t="str">
            <v/>
          </cell>
          <cell r="O134">
            <v>1.5454000000000001</v>
          </cell>
        </row>
        <row r="135">
          <cell r="A135" t="str">
            <v>A12105</v>
          </cell>
          <cell r="B135" t="str">
            <v>142/05/12</v>
          </cell>
          <cell r="C135">
            <v>1.5</v>
          </cell>
          <cell r="D135">
            <v>23.68</v>
          </cell>
          <cell r="E135">
            <v>29.73</v>
          </cell>
          <cell r="F135" t="str">
            <v/>
          </cell>
          <cell r="G135" t="str">
            <v/>
          </cell>
          <cell r="H135" t="str">
            <v/>
          </cell>
          <cell r="I135" t="str">
            <v/>
          </cell>
          <cell r="J135" t="str">
            <v/>
          </cell>
          <cell r="K135" t="str">
            <v/>
          </cell>
          <cell r="L135" t="str">
            <v/>
          </cell>
          <cell r="M135" t="str">
            <v/>
          </cell>
          <cell r="N135" t="str">
            <v/>
          </cell>
          <cell r="O135">
            <v>1.5582</v>
          </cell>
        </row>
        <row r="136">
          <cell r="A136" t="str">
            <v>A10104</v>
          </cell>
          <cell r="B136" t="str">
            <v>140/02/25</v>
          </cell>
          <cell r="C136">
            <v>0.625</v>
          </cell>
          <cell r="D136">
            <v>24.55</v>
          </cell>
          <cell r="E136">
            <v>27.52</v>
          </cell>
          <cell r="F136" t="str">
            <v/>
          </cell>
          <cell r="G136" t="str">
            <v/>
          </cell>
          <cell r="H136" t="str">
            <v/>
          </cell>
          <cell r="I136" t="str">
            <v/>
          </cell>
          <cell r="J136" t="str">
            <v/>
          </cell>
          <cell r="K136" t="str">
            <v/>
          </cell>
          <cell r="L136" t="str">
            <v/>
          </cell>
          <cell r="M136" t="str">
            <v/>
          </cell>
          <cell r="N136" t="str">
            <v/>
          </cell>
          <cell r="O136">
            <v>1.5441</v>
          </cell>
        </row>
        <row r="137">
          <cell r="A137" t="str">
            <v>A09111</v>
          </cell>
          <cell r="B137" t="str">
            <v>139/11/27</v>
          </cell>
          <cell r="C137">
            <v>0.375</v>
          </cell>
          <cell r="D137">
            <v>25.21</v>
          </cell>
          <cell r="E137">
            <v>27.27</v>
          </cell>
          <cell r="F137" t="str">
            <v/>
          </cell>
          <cell r="G137" t="str">
            <v/>
          </cell>
          <cell r="H137" t="str">
            <v/>
          </cell>
          <cell r="I137" t="str">
            <v/>
          </cell>
          <cell r="J137" t="str">
            <v/>
          </cell>
          <cell r="K137" t="str">
            <v/>
          </cell>
          <cell r="L137" t="str">
            <v/>
          </cell>
          <cell r="M137" t="str">
            <v/>
          </cell>
          <cell r="N137" t="str">
            <v/>
          </cell>
          <cell r="O137">
            <v>1.5466</v>
          </cell>
        </row>
        <row r="138">
          <cell r="A138" t="str">
            <v>B6A307</v>
          </cell>
          <cell r="B138" t="str">
            <v>P12台達電4</v>
          </cell>
          <cell r="C138">
            <v>2.71</v>
          </cell>
          <cell r="D138">
            <v>2.8</v>
          </cell>
          <cell r="E138"/>
          <cell r="F138">
            <v>1.486</v>
          </cell>
          <cell r="G138">
            <v>1.486</v>
          </cell>
          <cell r="H138">
            <v>1.486</v>
          </cell>
          <cell r="I138">
            <v>3</v>
          </cell>
          <cell r="J138" t="str">
            <v/>
          </cell>
          <cell r="K138" t="str">
            <v/>
          </cell>
          <cell r="L138" t="str">
            <v/>
          </cell>
          <cell r="M138" t="str">
            <v/>
          </cell>
          <cell r="N138" t="str">
            <v/>
          </cell>
          <cell r="O138" t="e">
            <v>#N/A</v>
          </cell>
        </row>
        <row r="139">
          <cell r="A139" t="str">
            <v>B97868</v>
          </cell>
          <cell r="B139" t="str">
            <v>P12富邦金2</v>
          </cell>
          <cell r="C139">
            <v>4.13</v>
          </cell>
          <cell r="D139">
            <v>4.4000000000000004</v>
          </cell>
          <cell r="E139"/>
          <cell r="F139">
            <v>1.6020000000000001</v>
          </cell>
          <cell r="G139">
            <v>1.6</v>
          </cell>
          <cell r="H139">
            <v>1.601</v>
          </cell>
          <cell r="I139">
            <v>3</v>
          </cell>
          <cell r="J139" t="str">
            <v/>
          </cell>
          <cell r="K139" t="str">
            <v/>
          </cell>
          <cell r="L139" t="str">
            <v/>
          </cell>
          <cell r="M139" t="str">
            <v/>
          </cell>
          <cell r="N139" t="str">
            <v/>
          </cell>
          <cell r="O139" t="e">
            <v>#N/A</v>
          </cell>
        </row>
        <row r="140">
          <cell r="A140" t="str">
            <v>B50166</v>
          </cell>
          <cell r="B140" t="str">
            <v>P09遠東新5</v>
          </cell>
          <cell r="C140" t="str">
            <v>TWD</v>
          </cell>
          <cell r="D140">
            <v>2.29</v>
          </cell>
          <cell r="E140">
            <v>2.34</v>
          </cell>
          <cell r="F140">
            <v>1.58</v>
          </cell>
          <cell r="G140">
            <v>1.58</v>
          </cell>
          <cell r="H140">
            <v>1.58</v>
          </cell>
          <cell r="I140">
            <v>1</v>
          </cell>
          <cell r="J140">
            <v>1.585</v>
          </cell>
          <cell r="K140">
            <v>1.585</v>
          </cell>
          <cell r="L140">
            <v>1.585</v>
          </cell>
          <cell r="M140">
            <v>1</v>
          </cell>
          <cell r="N140">
            <v>1</v>
          </cell>
          <cell r="O140" t="e">
            <v>#N/A</v>
          </cell>
        </row>
        <row r="141">
          <cell r="A141" t="str">
            <v>B618DN</v>
          </cell>
          <cell r="B141" t="str">
            <v>P12台積4A</v>
          </cell>
          <cell r="C141" t="str">
            <v>TWD</v>
          </cell>
          <cell r="D141">
            <v>4.7699999999999996</v>
          </cell>
          <cell r="E141">
            <v>4.99</v>
          </cell>
          <cell r="F141" t="str">
            <v/>
          </cell>
          <cell r="G141" t="str">
            <v/>
          </cell>
          <cell r="H141" t="str">
            <v/>
          </cell>
          <cell r="I141" t="str">
            <v/>
          </cell>
          <cell r="J141">
            <v>1.6</v>
          </cell>
          <cell r="K141">
            <v>1.6</v>
          </cell>
          <cell r="L141">
            <v>1.6</v>
          </cell>
          <cell r="M141">
            <v>1</v>
          </cell>
          <cell r="N141">
            <v>5</v>
          </cell>
          <cell r="O141" t="e">
            <v>#N/A</v>
          </cell>
        </row>
        <row r="142">
          <cell r="A142" t="str">
            <v>B618DP</v>
          </cell>
          <cell r="B142" t="str">
            <v>P12台積4B</v>
          </cell>
          <cell r="C142" t="str">
            <v>TWD</v>
          </cell>
          <cell r="D142">
            <v>6.56</v>
          </cell>
          <cell r="E142">
            <v>6.99</v>
          </cell>
          <cell r="F142" t="str">
            <v/>
          </cell>
          <cell r="G142" t="str">
            <v/>
          </cell>
          <cell r="H142" t="str">
            <v/>
          </cell>
          <cell r="I142" t="str">
            <v/>
          </cell>
          <cell r="J142">
            <v>1.65</v>
          </cell>
          <cell r="K142">
            <v>1.65</v>
          </cell>
          <cell r="L142">
            <v>1.65</v>
          </cell>
          <cell r="M142">
            <v>1</v>
          </cell>
          <cell r="N142">
            <v>2</v>
          </cell>
          <cell r="O142" t="e">
            <v>#N/A</v>
          </cell>
        </row>
        <row r="143">
          <cell r="A143" t="str">
            <v>B903YK</v>
          </cell>
          <cell r="B143" t="str">
            <v>P11台電5C</v>
          </cell>
          <cell r="C143" t="str">
            <v>TWD</v>
          </cell>
          <cell r="D143">
            <v>8.24</v>
          </cell>
          <cell r="E143">
            <v>9.17</v>
          </cell>
          <cell r="F143" t="str">
            <v/>
          </cell>
          <cell r="G143" t="str">
            <v/>
          </cell>
          <cell r="H143" t="str">
            <v/>
          </cell>
          <cell r="I143" t="str">
            <v/>
          </cell>
          <cell r="J143">
            <v>1.7150000000000001</v>
          </cell>
          <cell r="K143">
            <v>1.712</v>
          </cell>
          <cell r="L143">
            <v>1.7135</v>
          </cell>
          <cell r="M143">
            <v>3</v>
          </cell>
          <cell r="N143">
            <v>10</v>
          </cell>
          <cell r="O143" t="e">
            <v>#N/A</v>
          </cell>
        </row>
        <row r="144">
          <cell r="A144" t="str">
            <v>B903Z8</v>
          </cell>
          <cell r="B144" t="str">
            <v>P12台電4D</v>
          </cell>
          <cell r="C144" t="str">
            <v>TWD</v>
          </cell>
          <cell r="D144">
            <v>9.11</v>
          </cell>
          <cell r="E144">
            <v>9.99</v>
          </cell>
          <cell r="F144" t="str">
            <v/>
          </cell>
          <cell r="G144" t="str">
            <v/>
          </cell>
          <cell r="H144" t="str">
            <v/>
          </cell>
          <cell r="I144" t="str">
            <v/>
          </cell>
          <cell r="J144">
            <v>1.72</v>
          </cell>
          <cell r="K144">
            <v>1.72</v>
          </cell>
          <cell r="L144">
            <v>1.72</v>
          </cell>
          <cell r="M144">
            <v>1</v>
          </cell>
          <cell r="N144">
            <v>2</v>
          </cell>
          <cell r="O144" t="e">
            <v>#N/A</v>
          </cell>
        </row>
        <row r="145">
          <cell r="A145" t="str">
            <v>B9AD05</v>
          </cell>
          <cell r="B145" t="str">
            <v>P10合庫金2</v>
          </cell>
          <cell r="C145" t="str">
            <v>TWD</v>
          </cell>
          <cell r="D145">
            <v>4.7699999999999996</v>
          </cell>
          <cell r="E145">
            <v>4.9000000000000004</v>
          </cell>
          <cell r="F145" t="str">
            <v/>
          </cell>
          <cell r="G145" t="str">
            <v/>
          </cell>
          <cell r="H145" t="str">
            <v/>
          </cell>
          <cell r="I145" t="str">
            <v/>
          </cell>
          <cell r="J145">
            <v>1.615</v>
          </cell>
          <cell r="K145">
            <v>1.61</v>
          </cell>
          <cell r="L145">
            <v>1.6115999999999999</v>
          </cell>
          <cell r="M145">
            <v>3</v>
          </cell>
          <cell r="N145">
            <v>9</v>
          </cell>
          <cell r="O145" t="e">
            <v>#N/A</v>
          </cell>
        </row>
        <row r="146">
          <cell r="A146"/>
          <cell r="B146"/>
          <cell r="C146"/>
          <cell r="D146"/>
          <cell r="E146"/>
          <cell r="F146" t="str">
            <v/>
          </cell>
          <cell r="G146" t="str">
            <v/>
          </cell>
          <cell r="H146" t="str">
            <v/>
          </cell>
          <cell r="I146" t="str">
            <v/>
          </cell>
          <cell r="J146" t="str">
            <v/>
          </cell>
          <cell r="K146" t="str">
            <v/>
          </cell>
          <cell r="L146" t="str">
            <v/>
          </cell>
          <cell r="M146" t="str">
            <v/>
          </cell>
          <cell r="N146" t="str">
            <v/>
          </cell>
          <cell r="O146" t="e">
            <v>#N/A</v>
          </cell>
        </row>
        <row r="147">
          <cell r="A147"/>
          <cell r="B147"/>
          <cell r="C147"/>
          <cell r="D147"/>
          <cell r="E147"/>
          <cell r="F147" t="str">
            <v/>
          </cell>
          <cell r="G147" t="str">
            <v/>
          </cell>
          <cell r="H147" t="str">
            <v/>
          </cell>
          <cell r="I147" t="str">
            <v/>
          </cell>
          <cell r="J147" t="str">
            <v/>
          </cell>
          <cell r="K147" t="str">
            <v/>
          </cell>
          <cell r="L147" t="str">
            <v/>
          </cell>
          <cell r="M147" t="str">
            <v/>
          </cell>
          <cell r="N147" t="str">
            <v/>
          </cell>
          <cell r="O147" t="e">
            <v>#N/A</v>
          </cell>
        </row>
        <row r="148">
          <cell r="A148"/>
          <cell r="B148"/>
          <cell r="C148"/>
          <cell r="D148"/>
          <cell r="E148"/>
          <cell r="F148" t="str">
            <v/>
          </cell>
          <cell r="G148" t="str">
            <v/>
          </cell>
          <cell r="H148" t="str">
            <v/>
          </cell>
          <cell r="I148" t="str">
            <v/>
          </cell>
          <cell r="J148" t="str">
            <v/>
          </cell>
          <cell r="K148" t="str">
            <v/>
          </cell>
          <cell r="L148" t="str">
            <v/>
          </cell>
          <cell r="M148" t="str">
            <v/>
          </cell>
          <cell r="N148" t="str">
            <v/>
          </cell>
          <cell r="O148" t="e">
            <v>#N/A</v>
          </cell>
        </row>
        <row r="149">
          <cell r="A149"/>
          <cell r="B149"/>
          <cell r="C149"/>
          <cell r="D149"/>
          <cell r="E149"/>
          <cell r="F149" t="str">
            <v/>
          </cell>
          <cell r="G149" t="str">
            <v/>
          </cell>
          <cell r="H149" t="str">
            <v/>
          </cell>
          <cell r="I149" t="str">
            <v/>
          </cell>
          <cell r="J149" t="str">
            <v/>
          </cell>
          <cell r="K149" t="str">
            <v/>
          </cell>
          <cell r="L149" t="str">
            <v/>
          </cell>
          <cell r="M149" t="str">
            <v/>
          </cell>
          <cell r="N149" t="str">
            <v/>
          </cell>
          <cell r="O149" t="e">
            <v>#N/A</v>
          </cell>
        </row>
        <row r="150">
          <cell r="A150"/>
          <cell r="B150"/>
          <cell r="C150"/>
          <cell r="D150"/>
          <cell r="E150"/>
          <cell r="F150" t="str">
            <v/>
          </cell>
          <cell r="G150" t="str">
            <v/>
          </cell>
          <cell r="H150" t="str">
            <v/>
          </cell>
          <cell r="I150" t="str">
            <v/>
          </cell>
          <cell r="J150" t="str">
            <v/>
          </cell>
          <cell r="K150" t="str">
            <v/>
          </cell>
          <cell r="L150" t="str">
            <v/>
          </cell>
          <cell r="M150" t="str">
            <v/>
          </cell>
          <cell r="N150" t="str">
            <v/>
          </cell>
          <cell r="O150" t="e">
            <v>#N/A</v>
          </cell>
        </row>
      </sheetData>
    </sheetDataSet>
  </externalBook>
</externalLink>
</file>

<file path=xl/externalLinks/externalLink1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0808"/>
    </sheetNames>
    <sheetDataSet>
      <sheetData sheetId="0">
        <row r="4">
          <cell r="A4" t="str">
            <v>A10109</v>
          </cell>
          <cell r="B4" t="str">
            <v>112/08/26</v>
          </cell>
          <cell r="C4">
            <v>0.25</v>
          </cell>
          <cell r="D4">
            <v>0.04</v>
          </cell>
          <cell r="E4">
            <v>0.04</v>
          </cell>
          <cell r="F4">
            <v>0.77</v>
          </cell>
          <cell r="G4">
            <v>0.75</v>
          </cell>
          <cell r="H4">
            <v>0.76</v>
          </cell>
          <cell r="I4">
            <v>22</v>
          </cell>
          <cell r="J4">
            <v>0.85</v>
          </cell>
          <cell r="K4">
            <v>0.85</v>
          </cell>
          <cell r="L4">
            <v>0.85</v>
          </cell>
          <cell r="M4">
            <v>1</v>
          </cell>
          <cell r="N4">
            <v>9</v>
          </cell>
          <cell r="O4">
            <v>0.95350000000000001</v>
          </cell>
        </row>
        <row r="5">
          <cell r="A5" t="str">
            <v>A02110</v>
          </cell>
          <cell r="B5" t="str">
            <v>112/09/18</v>
          </cell>
          <cell r="C5">
            <v>1.75</v>
          </cell>
          <cell r="D5">
            <v>0.11</v>
          </cell>
          <cell r="E5">
            <v>0.11</v>
          </cell>
          <cell r="F5" t="str">
            <v/>
          </cell>
          <cell r="G5" t="str">
            <v/>
          </cell>
          <cell r="H5" t="str">
            <v/>
          </cell>
          <cell r="I5" t="str">
            <v/>
          </cell>
          <cell r="J5" t="str">
            <v/>
          </cell>
          <cell r="K5" t="str">
            <v/>
          </cell>
          <cell r="L5" t="str">
            <v/>
          </cell>
          <cell r="M5" t="str">
            <v/>
          </cell>
          <cell r="N5" t="str">
            <v/>
          </cell>
          <cell r="O5">
            <v>0.93940000000000001</v>
          </cell>
        </row>
        <row r="6">
          <cell r="A6" t="str">
            <v>A07111</v>
          </cell>
          <cell r="B6" t="str">
            <v>112/11/23</v>
          </cell>
          <cell r="C6">
            <v>0.75</v>
          </cell>
          <cell r="D6">
            <v>0.28999999999999998</v>
          </cell>
          <cell r="E6">
            <v>0.28999999999999998</v>
          </cell>
          <cell r="F6" t="str">
            <v/>
          </cell>
          <cell r="G6" t="str">
            <v/>
          </cell>
          <cell r="H6" t="str">
            <v/>
          </cell>
          <cell r="I6" t="str">
            <v/>
          </cell>
          <cell r="J6" t="str">
            <v/>
          </cell>
          <cell r="K6" t="str">
            <v/>
          </cell>
          <cell r="L6" t="str">
            <v/>
          </cell>
          <cell r="M6" t="str">
            <v/>
          </cell>
          <cell r="N6" t="str">
            <v/>
          </cell>
          <cell r="O6">
            <v>0.93820000000000003</v>
          </cell>
        </row>
        <row r="7">
          <cell r="A7" t="str">
            <v>A08101</v>
          </cell>
          <cell r="B7" t="str">
            <v>113/01/14</v>
          </cell>
          <cell r="C7">
            <v>0.625</v>
          </cell>
          <cell r="D7">
            <v>0.43</v>
          </cell>
          <cell r="E7">
            <v>0.43</v>
          </cell>
          <cell r="F7" t="str">
            <v/>
          </cell>
          <cell r="G7" t="str">
            <v/>
          </cell>
          <cell r="H7" t="str">
            <v/>
          </cell>
          <cell r="I7" t="str">
            <v/>
          </cell>
          <cell r="J7" t="str">
            <v/>
          </cell>
          <cell r="K7" t="str">
            <v/>
          </cell>
          <cell r="L7" t="str">
            <v/>
          </cell>
          <cell r="M7" t="str">
            <v/>
          </cell>
          <cell r="N7" t="str">
            <v/>
          </cell>
          <cell r="O7">
            <v>0.94130000000000003</v>
          </cell>
        </row>
        <row r="8">
          <cell r="A8" t="str">
            <v>A93103</v>
          </cell>
          <cell r="B8" t="str">
            <v>113/02/10</v>
          </cell>
          <cell r="C8">
            <v>3</v>
          </cell>
          <cell r="D8">
            <v>0.5</v>
          </cell>
          <cell r="E8">
            <v>0.5</v>
          </cell>
          <cell r="F8">
            <v>0.95</v>
          </cell>
          <cell r="G8">
            <v>0.94499999999999995</v>
          </cell>
          <cell r="H8">
            <v>0.94750000000000001</v>
          </cell>
          <cell r="I8">
            <v>9</v>
          </cell>
          <cell r="J8" t="str">
            <v/>
          </cell>
          <cell r="K8" t="str">
            <v/>
          </cell>
          <cell r="L8" t="str">
            <v/>
          </cell>
          <cell r="M8" t="str">
            <v/>
          </cell>
          <cell r="N8" t="str">
            <v/>
          </cell>
          <cell r="O8">
            <v>0.94320000000000004</v>
          </cell>
        </row>
        <row r="9">
          <cell r="A9" t="str">
            <v>A03106</v>
          </cell>
          <cell r="B9" t="str">
            <v>113/03/03</v>
          </cell>
          <cell r="C9">
            <v>1.5</v>
          </cell>
          <cell r="D9">
            <v>0.56000000000000005</v>
          </cell>
          <cell r="E9">
            <v>0.56000000000000005</v>
          </cell>
          <cell r="F9" t="str">
            <v/>
          </cell>
          <cell r="G9" t="str">
            <v/>
          </cell>
          <cell r="H9" t="str">
            <v/>
          </cell>
          <cell r="I9" t="str">
            <v/>
          </cell>
          <cell r="J9" t="str">
            <v/>
          </cell>
          <cell r="K9" t="str">
            <v/>
          </cell>
          <cell r="L9" t="str">
            <v/>
          </cell>
          <cell r="M9" t="str">
            <v/>
          </cell>
          <cell r="N9" t="str">
            <v/>
          </cell>
          <cell r="O9">
            <v>0.94469999999999998</v>
          </cell>
        </row>
        <row r="10">
          <cell r="A10" t="str">
            <v>A11202</v>
          </cell>
          <cell r="B10" t="str">
            <v>113/03/31</v>
          </cell>
          <cell r="C10">
            <v>0.75</v>
          </cell>
          <cell r="D10">
            <v>0.63</v>
          </cell>
          <cell r="E10">
            <v>0.64</v>
          </cell>
          <cell r="F10" t="str">
            <v/>
          </cell>
          <cell r="G10" t="str">
            <v/>
          </cell>
          <cell r="H10" t="str">
            <v/>
          </cell>
          <cell r="I10" t="str">
            <v/>
          </cell>
          <cell r="J10" t="str">
            <v/>
          </cell>
          <cell r="K10" t="str">
            <v/>
          </cell>
          <cell r="L10" t="str">
            <v/>
          </cell>
          <cell r="M10" t="str">
            <v/>
          </cell>
          <cell r="N10" t="str">
            <v/>
          </cell>
          <cell r="O10">
            <v>0.9466</v>
          </cell>
        </row>
        <row r="11">
          <cell r="A11" t="str">
            <v>A08107</v>
          </cell>
          <cell r="B11" t="str">
            <v>113/07/17</v>
          </cell>
          <cell r="C11">
            <v>0.5</v>
          </cell>
          <cell r="D11">
            <v>0.93</v>
          </cell>
          <cell r="E11">
            <v>0.94</v>
          </cell>
          <cell r="F11" t="str">
            <v/>
          </cell>
          <cell r="G11" t="str">
            <v/>
          </cell>
          <cell r="H11" t="str">
            <v/>
          </cell>
          <cell r="I11" t="str">
            <v/>
          </cell>
          <cell r="J11">
            <v>0.91</v>
          </cell>
          <cell r="K11">
            <v>0.91</v>
          </cell>
          <cell r="L11">
            <v>0.91</v>
          </cell>
          <cell r="M11">
            <v>1</v>
          </cell>
          <cell r="N11">
            <v>5</v>
          </cell>
          <cell r="O11">
            <v>0.95350000000000001</v>
          </cell>
        </row>
        <row r="12">
          <cell r="A12" t="str">
            <v>A03113</v>
          </cell>
          <cell r="B12" t="str">
            <v>113/09/26</v>
          </cell>
          <cell r="C12">
            <v>1.625</v>
          </cell>
          <cell r="D12">
            <v>1.1000000000000001</v>
          </cell>
          <cell r="E12">
            <v>1.1299999999999999</v>
          </cell>
          <cell r="F12" t="str">
            <v/>
          </cell>
          <cell r="G12" t="str">
            <v/>
          </cell>
          <cell r="H12" t="str">
            <v/>
          </cell>
          <cell r="I12" t="str">
            <v/>
          </cell>
          <cell r="J12" t="str">
            <v/>
          </cell>
          <cell r="K12" t="str">
            <v/>
          </cell>
          <cell r="L12" t="str">
            <v/>
          </cell>
          <cell r="M12" t="str">
            <v/>
          </cell>
          <cell r="N12" t="str">
            <v/>
          </cell>
          <cell r="O12">
            <v>0.95750000000000002</v>
          </cell>
        </row>
        <row r="13">
          <cell r="A13" t="str">
            <v>A93109</v>
          </cell>
          <cell r="B13" t="str">
            <v>113/11/18</v>
          </cell>
          <cell r="C13">
            <v>3</v>
          </cell>
          <cell r="D13">
            <v>1.23</v>
          </cell>
          <cell r="E13">
            <v>1.28</v>
          </cell>
          <cell r="F13" t="str">
            <v/>
          </cell>
          <cell r="G13" t="str">
            <v/>
          </cell>
          <cell r="H13" t="str">
            <v/>
          </cell>
          <cell r="I13" t="str">
            <v/>
          </cell>
          <cell r="J13" t="str">
            <v/>
          </cell>
          <cell r="K13" t="str">
            <v/>
          </cell>
          <cell r="L13" t="str">
            <v/>
          </cell>
          <cell r="M13" t="str">
            <v/>
          </cell>
          <cell r="N13" t="str">
            <v/>
          </cell>
          <cell r="O13">
            <v>0.96030000000000004</v>
          </cell>
        </row>
        <row r="14">
          <cell r="A14" t="str">
            <v>A09101</v>
          </cell>
          <cell r="B14" t="str">
            <v>114/01/10</v>
          </cell>
          <cell r="C14">
            <v>0.5</v>
          </cell>
          <cell r="D14">
            <v>1.4</v>
          </cell>
          <cell r="E14">
            <v>1.42</v>
          </cell>
          <cell r="F14">
            <v>0.97799999999999998</v>
          </cell>
          <cell r="G14">
            <v>0.97399999999999998</v>
          </cell>
          <cell r="H14">
            <v>0.97570000000000001</v>
          </cell>
          <cell r="I14">
            <v>14</v>
          </cell>
          <cell r="J14">
            <v>0.95</v>
          </cell>
          <cell r="K14">
            <v>0.95</v>
          </cell>
          <cell r="L14">
            <v>0.95</v>
          </cell>
          <cell r="M14">
            <v>1</v>
          </cell>
          <cell r="N14">
            <v>4</v>
          </cell>
          <cell r="O14">
            <v>0.96340000000000003</v>
          </cell>
        </row>
        <row r="15">
          <cell r="A15" t="str">
            <v>A94103</v>
          </cell>
          <cell r="B15" t="str">
            <v>114/02/25</v>
          </cell>
          <cell r="C15">
            <v>2.375</v>
          </cell>
          <cell r="D15">
            <v>1.51</v>
          </cell>
          <cell r="E15">
            <v>1.55</v>
          </cell>
          <cell r="F15" t="str">
            <v/>
          </cell>
          <cell r="G15" t="str">
            <v/>
          </cell>
          <cell r="H15" t="str">
            <v/>
          </cell>
          <cell r="I15" t="str">
            <v/>
          </cell>
          <cell r="J15" t="str">
            <v/>
          </cell>
          <cell r="K15" t="str">
            <v/>
          </cell>
          <cell r="L15" t="str">
            <v/>
          </cell>
          <cell r="M15" t="str">
            <v/>
          </cell>
          <cell r="N15" t="str">
            <v/>
          </cell>
          <cell r="O15">
            <v>0.96609999999999996</v>
          </cell>
        </row>
        <row r="16">
          <cell r="A16" t="str">
            <v>A12103</v>
          </cell>
          <cell r="B16" t="str">
            <v>114/02/23</v>
          </cell>
          <cell r="C16">
            <v>1</v>
          </cell>
          <cell r="D16">
            <v>1.52</v>
          </cell>
          <cell r="E16">
            <v>1.54</v>
          </cell>
          <cell r="F16">
            <v>1</v>
          </cell>
          <cell r="G16">
            <v>1</v>
          </cell>
          <cell r="H16">
            <v>1</v>
          </cell>
          <cell r="I16">
            <v>1</v>
          </cell>
          <cell r="J16" t="str">
            <v/>
          </cell>
          <cell r="K16" t="str">
            <v/>
          </cell>
          <cell r="L16" t="str">
            <v/>
          </cell>
          <cell r="M16" t="str">
            <v/>
          </cell>
          <cell r="N16" t="str">
            <v/>
          </cell>
          <cell r="O16">
            <v>0.96609999999999996</v>
          </cell>
        </row>
        <row r="17">
          <cell r="A17" t="str">
            <v>A04105</v>
          </cell>
          <cell r="B17" t="str">
            <v>114/03/13</v>
          </cell>
          <cell r="C17">
            <v>1.625</v>
          </cell>
          <cell r="D17">
            <v>1.56</v>
          </cell>
          <cell r="E17">
            <v>1.59</v>
          </cell>
          <cell r="F17" t="str">
            <v/>
          </cell>
          <cell r="G17" t="str">
            <v/>
          </cell>
          <cell r="H17" t="str">
            <v/>
          </cell>
          <cell r="I17" t="str">
            <v/>
          </cell>
          <cell r="J17" t="str">
            <v/>
          </cell>
          <cell r="K17" t="str">
            <v/>
          </cell>
          <cell r="L17" t="str">
            <v/>
          </cell>
          <cell r="M17" t="str">
            <v/>
          </cell>
          <cell r="N17" t="str">
            <v/>
          </cell>
          <cell r="O17">
            <v>0.96730000000000005</v>
          </cell>
        </row>
        <row r="18">
          <cell r="A18" t="str">
            <v>A09107</v>
          </cell>
          <cell r="B18" t="str">
            <v>114/07/17</v>
          </cell>
          <cell r="C18">
            <v>0.25</v>
          </cell>
          <cell r="D18">
            <v>1.91</v>
          </cell>
          <cell r="E18">
            <v>1.94</v>
          </cell>
          <cell r="F18" t="str">
            <v/>
          </cell>
          <cell r="G18" t="str">
            <v/>
          </cell>
          <cell r="H18" t="str">
            <v/>
          </cell>
          <cell r="I18" t="str">
            <v/>
          </cell>
          <cell r="J18" t="str">
            <v/>
          </cell>
          <cell r="K18" t="str">
            <v/>
          </cell>
          <cell r="L18" t="str">
            <v/>
          </cell>
          <cell r="M18" t="str">
            <v/>
          </cell>
          <cell r="N18" t="str">
            <v/>
          </cell>
          <cell r="O18">
            <v>0.97689999999999999</v>
          </cell>
        </row>
        <row r="19">
          <cell r="A19" t="str">
            <v>A04112</v>
          </cell>
          <cell r="B19" t="str">
            <v>114/09/11</v>
          </cell>
          <cell r="C19">
            <v>1.125</v>
          </cell>
          <cell r="D19">
            <v>2.0299999999999998</v>
          </cell>
          <cell r="E19">
            <v>2.09</v>
          </cell>
          <cell r="F19" t="str">
            <v/>
          </cell>
          <cell r="G19" t="str">
            <v/>
          </cell>
          <cell r="H19" t="str">
            <v/>
          </cell>
          <cell r="I19" t="str">
            <v/>
          </cell>
          <cell r="J19" t="str">
            <v/>
          </cell>
          <cell r="K19" t="str">
            <v/>
          </cell>
          <cell r="L19" t="str">
            <v/>
          </cell>
          <cell r="M19" t="str">
            <v/>
          </cell>
          <cell r="N19" t="str">
            <v/>
          </cell>
          <cell r="O19">
            <v>0.98180000000000001</v>
          </cell>
        </row>
        <row r="20">
          <cell r="A20" t="str">
            <v>A09112</v>
          </cell>
          <cell r="B20" t="str">
            <v>114/12/08</v>
          </cell>
          <cell r="C20">
            <v>0.125</v>
          </cell>
          <cell r="D20">
            <v>2.2999999999999998</v>
          </cell>
          <cell r="E20">
            <v>2.33</v>
          </cell>
          <cell r="F20" t="str">
            <v/>
          </cell>
          <cell r="G20" t="str">
            <v/>
          </cell>
          <cell r="H20" t="str">
            <v/>
          </cell>
          <cell r="I20" t="str">
            <v/>
          </cell>
          <cell r="J20" t="str">
            <v/>
          </cell>
          <cell r="K20" t="str">
            <v/>
          </cell>
          <cell r="L20" t="str">
            <v/>
          </cell>
          <cell r="M20" t="str">
            <v/>
          </cell>
          <cell r="N20" t="str">
            <v/>
          </cell>
          <cell r="O20">
            <v>0.99099999999999999</v>
          </cell>
        </row>
        <row r="21">
          <cell r="A21" t="str">
            <v>A10101</v>
          </cell>
          <cell r="B21" t="str">
            <v>115/01/13</v>
          </cell>
          <cell r="C21">
            <v>0.25</v>
          </cell>
          <cell r="D21">
            <v>2.4</v>
          </cell>
          <cell r="E21">
            <v>2.4300000000000002</v>
          </cell>
          <cell r="F21" t="str">
            <v/>
          </cell>
          <cell r="G21" t="str">
            <v/>
          </cell>
          <cell r="H21" t="str">
            <v/>
          </cell>
          <cell r="I21" t="str">
            <v/>
          </cell>
          <cell r="J21" t="str">
            <v/>
          </cell>
          <cell r="K21" t="str">
            <v/>
          </cell>
          <cell r="L21" t="str">
            <v/>
          </cell>
          <cell r="M21" t="str">
            <v/>
          </cell>
          <cell r="N21" t="str">
            <v/>
          </cell>
          <cell r="O21">
            <v>0.995</v>
          </cell>
        </row>
        <row r="22">
          <cell r="A22" t="str">
            <v>A95102</v>
          </cell>
          <cell r="B22" t="str">
            <v>115/02/24</v>
          </cell>
          <cell r="C22">
            <v>1.875</v>
          </cell>
          <cell r="D22">
            <v>2.46</v>
          </cell>
          <cell r="E22">
            <v>2.54</v>
          </cell>
          <cell r="F22" t="str">
            <v/>
          </cell>
          <cell r="G22" t="str">
            <v/>
          </cell>
          <cell r="H22" t="str">
            <v/>
          </cell>
          <cell r="I22" t="str">
            <v/>
          </cell>
          <cell r="J22" t="str">
            <v/>
          </cell>
          <cell r="K22" t="str">
            <v/>
          </cell>
          <cell r="L22" t="str">
            <v/>
          </cell>
          <cell r="M22" t="str">
            <v/>
          </cell>
          <cell r="N22" t="str">
            <v/>
          </cell>
          <cell r="O22">
            <v>0.99960000000000004</v>
          </cell>
        </row>
        <row r="23">
          <cell r="A23" t="str">
            <v>A05104</v>
          </cell>
          <cell r="B23" t="str">
            <v>115/03/04</v>
          </cell>
          <cell r="C23">
            <v>0.75</v>
          </cell>
          <cell r="D23">
            <v>2.52</v>
          </cell>
          <cell r="E23">
            <v>2.57</v>
          </cell>
          <cell r="F23" t="str">
            <v/>
          </cell>
          <cell r="G23" t="str">
            <v/>
          </cell>
          <cell r="H23" t="str">
            <v/>
          </cell>
          <cell r="I23" t="str">
            <v/>
          </cell>
          <cell r="J23" t="str">
            <v/>
          </cell>
          <cell r="K23" t="str">
            <v/>
          </cell>
          <cell r="L23" t="str">
            <v/>
          </cell>
          <cell r="M23" t="str">
            <v/>
          </cell>
          <cell r="N23" t="str">
            <v/>
          </cell>
          <cell r="O23">
            <v>1.0011000000000001</v>
          </cell>
        </row>
        <row r="24">
          <cell r="A24" t="str">
            <v>A10108</v>
          </cell>
          <cell r="B24" t="str">
            <v>115/07/29</v>
          </cell>
          <cell r="C24">
            <v>0.25</v>
          </cell>
          <cell r="D24">
            <v>2.93</v>
          </cell>
          <cell r="E24">
            <v>2.97</v>
          </cell>
          <cell r="F24">
            <v>1.0349999999999999</v>
          </cell>
          <cell r="G24">
            <v>1.03</v>
          </cell>
          <cell r="H24">
            <v>1.0325</v>
          </cell>
          <cell r="I24">
            <v>2</v>
          </cell>
          <cell r="J24" t="str">
            <v/>
          </cell>
          <cell r="K24" t="str">
            <v/>
          </cell>
          <cell r="L24" t="str">
            <v/>
          </cell>
          <cell r="M24" t="str">
            <v/>
          </cell>
          <cell r="N24" t="str">
            <v/>
          </cell>
          <cell r="O24">
            <v>1.0204</v>
          </cell>
        </row>
        <row r="25">
          <cell r="A25" t="str">
            <v>A05111</v>
          </cell>
          <cell r="B25" t="str">
            <v>115/09/07</v>
          </cell>
          <cell r="C25">
            <v>0.625</v>
          </cell>
          <cell r="D25">
            <v>3.01</v>
          </cell>
          <cell r="E25">
            <v>3.08</v>
          </cell>
          <cell r="F25" t="str">
            <v/>
          </cell>
          <cell r="G25" t="str">
            <v/>
          </cell>
          <cell r="H25" t="str">
            <v/>
          </cell>
          <cell r="I25" t="str">
            <v/>
          </cell>
          <cell r="J25" t="str">
            <v/>
          </cell>
          <cell r="K25" t="str">
            <v/>
          </cell>
          <cell r="L25" t="str">
            <v/>
          </cell>
          <cell r="M25" t="str">
            <v/>
          </cell>
          <cell r="N25" t="str">
            <v/>
          </cell>
          <cell r="O25">
            <v>1.0255000000000001</v>
          </cell>
        </row>
        <row r="26">
          <cell r="A26" t="str">
            <v>A95107</v>
          </cell>
          <cell r="B26" t="str">
            <v>115/11/10</v>
          </cell>
          <cell r="C26">
            <v>2.125</v>
          </cell>
          <cell r="D26">
            <v>3.1</v>
          </cell>
          <cell r="E26">
            <v>3.25</v>
          </cell>
          <cell r="F26" t="str">
            <v/>
          </cell>
          <cell r="G26" t="str">
            <v/>
          </cell>
          <cell r="H26" t="str">
            <v/>
          </cell>
          <cell r="I26" t="str">
            <v/>
          </cell>
          <cell r="J26" t="str">
            <v/>
          </cell>
          <cell r="K26" t="str">
            <v/>
          </cell>
          <cell r="L26" t="str">
            <v/>
          </cell>
          <cell r="M26" t="str">
            <v/>
          </cell>
          <cell r="N26" t="str">
            <v/>
          </cell>
          <cell r="O26">
            <v>1.0330999999999999</v>
          </cell>
        </row>
        <row r="27">
          <cell r="A27" t="str">
            <v>A96102</v>
          </cell>
          <cell r="B27" t="str">
            <v>116/02/14</v>
          </cell>
          <cell r="C27">
            <v>2</v>
          </cell>
          <cell r="D27">
            <v>3.37</v>
          </cell>
          <cell r="E27">
            <v>3.52</v>
          </cell>
          <cell r="F27" t="str">
            <v/>
          </cell>
          <cell r="G27" t="str">
            <v/>
          </cell>
          <cell r="H27" t="str">
            <v/>
          </cell>
          <cell r="I27" t="str">
            <v/>
          </cell>
          <cell r="J27" t="str">
            <v/>
          </cell>
          <cell r="K27" t="str">
            <v/>
          </cell>
          <cell r="L27" t="str">
            <v/>
          </cell>
          <cell r="M27" t="str">
            <v/>
          </cell>
          <cell r="N27" t="str">
            <v/>
          </cell>
          <cell r="O27">
            <v>1.0452999999999999</v>
          </cell>
        </row>
        <row r="28">
          <cell r="A28" t="str">
            <v>A06104</v>
          </cell>
          <cell r="B28" t="str">
            <v>116/03/01</v>
          </cell>
          <cell r="C28">
            <v>1.125</v>
          </cell>
          <cell r="D28">
            <v>3.46</v>
          </cell>
          <cell r="E28">
            <v>3.56</v>
          </cell>
          <cell r="F28" t="str">
            <v/>
          </cell>
          <cell r="G28" t="str">
            <v/>
          </cell>
          <cell r="H28" t="str">
            <v/>
          </cell>
          <cell r="I28" t="str">
            <v/>
          </cell>
          <cell r="J28" t="str">
            <v/>
          </cell>
          <cell r="K28" t="str">
            <v/>
          </cell>
          <cell r="L28" t="str">
            <v/>
          </cell>
          <cell r="M28" t="str">
            <v/>
          </cell>
          <cell r="N28" t="str">
            <v/>
          </cell>
          <cell r="O28">
            <v>1.0478000000000001</v>
          </cell>
        </row>
        <row r="29">
          <cell r="A29" t="str">
            <v>A11103</v>
          </cell>
          <cell r="B29" t="str">
            <v>116/02/24</v>
          </cell>
          <cell r="C29">
            <v>0.5</v>
          </cell>
          <cell r="D29">
            <v>3.48</v>
          </cell>
          <cell r="E29">
            <v>3.54</v>
          </cell>
          <cell r="F29" t="str">
            <v/>
          </cell>
          <cell r="G29" t="str">
            <v/>
          </cell>
          <cell r="H29" t="str">
            <v/>
          </cell>
          <cell r="I29" t="str">
            <v/>
          </cell>
          <cell r="J29" t="str">
            <v/>
          </cell>
          <cell r="K29" t="str">
            <v/>
          </cell>
          <cell r="L29" t="str">
            <v/>
          </cell>
          <cell r="M29" t="str">
            <v/>
          </cell>
          <cell r="N29" t="str">
            <v/>
          </cell>
          <cell r="O29">
            <v>1.0477000000000001</v>
          </cell>
        </row>
        <row r="30">
          <cell r="A30" t="str">
            <v>A11106</v>
          </cell>
          <cell r="B30" t="str">
            <v>116/06/23</v>
          </cell>
          <cell r="C30">
            <v>1</v>
          </cell>
          <cell r="D30">
            <v>3.77</v>
          </cell>
          <cell r="E30">
            <v>3.87</v>
          </cell>
          <cell r="F30" t="str">
            <v/>
          </cell>
          <cell r="G30" t="str">
            <v/>
          </cell>
          <cell r="H30" t="str">
            <v/>
          </cell>
          <cell r="I30" t="str">
            <v/>
          </cell>
          <cell r="J30" t="str">
            <v/>
          </cell>
          <cell r="K30" t="str">
            <v/>
          </cell>
          <cell r="L30" t="str">
            <v/>
          </cell>
          <cell r="M30" t="str">
            <v/>
          </cell>
          <cell r="N30" t="str">
            <v/>
          </cell>
          <cell r="O30">
            <v>1.0612999999999999</v>
          </cell>
        </row>
        <row r="31">
          <cell r="A31" t="str">
            <v>A11108</v>
          </cell>
          <cell r="B31" t="str">
            <v>116/09/23</v>
          </cell>
          <cell r="C31">
            <v>1.25</v>
          </cell>
          <cell r="D31">
            <v>3.96</v>
          </cell>
          <cell r="E31">
            <v>4.12</v>
          </cell>
          <cell r="F31" t="str">
            <v/>
          </cell>
          <cell r="G31" t="str">
            <v/>
          </cell>
          <cell r="H31" t="str">
            <v/>
          </cell>
          <cell r="I31" t="str">
            <v/>
          </cell>
          <cell r="J31" t="str">
            <v/>
          </cell>
          <cell r="K31" t="str">
            <v/>
          </cell>
          <cell r="L31" t="str">
            <v/>
          </cell>
          <cell r="M31" t="str">
            <v/>
          </cell>
          <cell r="N31" t="str">
            <v/>
          </cell>
          <cell r="O31">
            <v>1.0707</v>
          </cell>
        </row>
        <row r="32">
          <cell r="A32" t="str">
            <v>A96107</v>
          </cell>
          <cell r="B32" t="str">
            <v>116/11/16</v>
          </cell>
          <cell r="C32">
            <v>3</v>
          </cell>
          <cell r="D32">
            <v>3.96</v>
          </cell>
          <cell r="E32">
            <v>4.2699999999999996</v>
          </cell>
          <cell r="F32" t="str">
            <v/>
          </cell>
          <cell r="G32" t="str">
            <v/>
          </cell>
          <cell r="H32" t="str">
            <v/>
          </cell>
          <cell r="I32" t="str">
            <v/>
          </cell>
          <cell r="J32" t="str">
            <v/>
          </cell>
          <cell r="K32" t="str">
            <v/>
          </cell>
          <cell r="L32" t="str">
            <v/>
          </cell>
          <cell r="M32" t="str">
            <v/>
          </cell>
          <cell r="N32" t="str">
            <v/>
          </cell>
          <cell r="O32">
            <v>1.0737000000000001</v>
          </cell>
        </row>
        <row r="33">
          <cell r="A33" t="str">
            <v>A06109</v>
          </cell>
          <cell r="B33" t="str">
            <v>116/09/20</v>
          </cell>
          <cell r="C33">
            <v>1</v>
          </cell>
          <cell r="D33">
            <v>3.97</v>
          </cell>
          <cell r="E33">
            <v>4.1100000000000003</v>
          </cell>
          <cell r="F33" t="str">
            <v/>
          </cell>
          <cell r="G33" t="str">
            <v/>
          </cell>
          <cell r="H33" t="str">
            <v/>
          </cell>
          <cell r="I33" t="str">
            <v/>
          </cell>
          <cell r="J33" t="str">
            <v/>
          </cell>
          <cell r="K33" t="str">
            <v/>
          </cell>
          <cell r="L33" t="str">
            <v/>
          </cell>
          <cell r="M33" t="str">
            <v/>
          </cell>
          <cell r="N33" t="str">
            <v/>
          </cell>
          <cell r="O33">
            <v>1.0706</v>
          </cell>
        </row>
        <row r="34">
          <cell r="A34" t="str">
            <v>A02101</v>
          </cell>
          <cell r="B34" t="str">
            <v>117/01/09</v>
          </cell>
          <cell r="C34">
            <v>1.375</v>
          </cell>
          <cell r="D34">
            <v>4.24</v>
          </cell>
          <cell r="E34">
            <v>4.42</v>
          </cell>
          <cell r="F34" t="str">
            <v/>
          </cell>
          <cell r="G34" t="str">
            <v/>
          </cell>
          <cell r="H34" t="str">
            <v/>
          </cell>
          <cell r="I34" t="str">
            <v/>
          </cell>
          <cell r="J34" t="str">
            <v/>
          </cell>
          <cell r="K34" t="str">
            <v/>
          </cell>
          <cell r="L34" t="str">
            <v/>
          </cell>
          <cell r="M34" t="str">
            <v/>
          </cell>
          <cell r="N34" t="str">
            <v/>
          </cell>
          <cell r="O34">
            <v>1.08</v>
          </cell>
        </row>
        <row r="35">
          <cell r="A35" t="str">
            <v>A97102</v>
          </cell>
          <cell r="B35" t="str">
            <v>117/02/14</v>
          </cell>
          <cell r="C35">
            <v>2.5</v>
          </cell>
          <cell r="D35">
            <v>4.24</v>
          </cell>
          <cell r="E35">
            <v>4.5199999999999996</v>
          </cell>
          <cell r="F35" t="str">
            <v/>
          </cell>
          <cell r="G35" t="str">
            <v/>
          </cell>
          <cell r="H35" t="str">
            <v/>
          </cell>
          <cell r="I35" t="str">
            <v/>
          </cell>
          <cell r="J35" t="str">
            <v/>
          </cell>
          <cell r="K35" t="str">
            <v/>
          </cell>
          <cell r="L35" t="str">
            <v/>
          </cell>
          <cell r="M35" t="str">
            <v/>
          </cell>
          <cell r="N35" t="str">
            <v/>
          </cell>
          <cell r="O35">
            <v>1.0814999999999999</v>
          </cell>
        </row>
        <row r="36">
          <cell r="A36" t="str">
            <v>A12101</v>
          </cell>
          <cell r="B36" t="str">
            <v>117/01/17</v>
          </cell>
          <cell r="C36">
            <v>1</v>
          </cell>
          <cell r="D36">
            <v>4.29</v>
          </cell>
          <cell r="E36">
            <v>4.4400000000000004</v>
          </cell>
          <cell r="F36" t="str">
            <v/>
          </cell>
          <cell r="G36" t="str">
            <v/>
          </cell>
          <cell r="H36" t="str">
            <v/>
          </cell>
          <cell r="I36" t="str">
            <v/>
          </cell>
          <cell r="J36" t="str">
            <v/>
          </cell>
          <cell r="K36" t="str">
            <v/>
          </cell>
          <cell r="L36" t="str">
            <v/>
          </cell>
          <cell r="M36" t="str">
            <v/>
          </cell>
          <cell r="N36" t="str">
            <v/>
          </cell>
          <cell r="O36">
            <v>1.0811999999999999</v>
          </cell>
        </row>
        <row r="37">
          <cell r="A37" t="str">
            <v>A07102</v>
          </cell>
          <cell r="B37" t="str">
            <v>117/02/08</v>
          </cell>
          <cell r="C37">
            <v>1</v>
          </cell>
          <cell r="D37">
            <v>4.3499999999999996</v>
          </cell>
          <cell r="E37">
            <v>4.5</v>
          </cell>
          <cell r="F37" t="str">
            <v/>
          </cell>
          <cell r="G37" t="str">
            <v/>
          </cell>
          <cell r="H37" t="str">
            <v/>
          </cell>
          <cell r="I37" t="str">
            <v/>
          </cell>
          <cell r="J37" t="str">
            <v/>
          </cell>
          <cell r="K37" t="str">
            <v/>
          </cell>
          <cell r="L37" t="str">
            <v/>
          </cell>
          <cell r="M37" t="str">
            <v/>
          </cell>
          <cell r="N37" t="str">
            <v/>
          </cell>
          <cell r="O37">
            <v>1.0829</v>
          </cell>
        </row>
        <row r="38">
          <cell r="A38" t="str">
            <v>A97105</v>
          </cell>
          <cell r="B38" t="str">
            <v>117/08/14</v>
          </cell>
          <cell r="C38">
            <v>2.625</v>
          </cell>
          <cell r="D38">
            <v>4.6100000000000003</v>
          </cell>
          <cell r="E38">
            <v>5.01</v>
          </cell>
          <cell r="F38" t="str">
            <v/>
          </cell>
          <cell r="G38" t="str">
            <v/>
          </cell>
          <cell r="H38" t="str">
            <v/>
          </cell>
          <cell r="I38" t="str">
            <v/>
          </cell>
          <cell r="J38" t="str">
            <v/>
          </cell>
          <cell r="K38" t="str">
            <v/>
          </cell>
          <cell r="L38" t="str">
            <v/>
          </cell>
          <cell r="M38" t="str">
            <v/>
          </cell>
          <cell r="N38" t="str">
            <v/>
          </cell>
          <cell r="O38">
            <v>1.0912999999999999</v>
          </cell>
        </row>
        <row r="39">
          <cell r="A39" t="str">
            <v>A12106</v>
          </cell>
          <cell r="B39" t="str">
            <v>117/05/26</v>
          </cell>
          <cell r="C39">
            <v>1</v>
          </cell>
          <cell r="D39">
            <v>4.6399999999999997</v>
          </cell>
          <cell r="E39">
            <v>4.79</v>
          </cell>
          <cell r="F39" t="str">
            <v/>
          </cell>
          <cell r="G39" t="str">
            <v/>
          </cell>
          <cell r="H39" t="str">
            <v/>
          </cell>
          <cell r="I39" t="str">
            <v/>
          </cell>
          <cell r="J39" t="str">
            <v/>
          </cell>
          <cell r="K39" t="str">
            <v/>
          </cell>
          <cell r="L39" t="str">
            <v/>
          </cell>
          <cell r="M39" t="str">
            <v/>
          </cell>
          <cell r="N39" t="str">
            <v/>
          </cell>
          <cell r="O39">
            <v>1.0898000000000001</v>
          </cell>
        </row>
        <row r="40">
          <cell r="A40" t="str">
            <v>A07105</v>
          </cell>
          <cell r="B40" t="str">
            <v>117/06/08</v>
          </cell>
          <cell r="C40">
            <v>0.875</v>
          </cell>
          <cell r="D40">
            <v>4.6900000000000004</v>
          </cell>
          <cell r="E40">
            <v>4.83</v>
          </cell>
          <cell r="F40" t="str">
            <v/>
          </cell>
          <cell r="G40" t="str">
            <v/>
          </cell>
          <cell r="H40" t="str">
            <v/>
          </cell>
          <cell r="I40" t="str">
            <v/>
          </cell>
          <cell r="J40" t="str">
            <v/>
          </cell>
          <cell r="K40" t="str">
            <v/>
          </cell>
          <cell r="L40" t="str">
            <v/>
          </cell>
          <cell r="M40" t="str">
            <v/>
          </cell>
          <cell r="N40" t="str">
            <v/>
          </cell>
          <cell r="O40">
            <v>1.0907</v>
          </cell>
        </row>
        <row r="41">
          <cell r="A41" t="str">
            <v>A12108</v>
          </cell>
          <cell r="B41" t="str">
            <v>117/09/15</v>
          </cell>
          <cell r="C41">
            <v>1</v>
          </cell>
          <cell r="D41">
            <v>4.8499999999999996</v>
          </cell>
          <cell r="E41">
            <v>5</v>
          </cell>
          <cell r="F41" t="str">
            <v/>
          </cell>
          <cell r="G41" t="str">
            <v/>
          </cell>
          <cell r="H41" t="str">
            <v/>
          </cell>
          <cell r="I41" t="str">
            <v/>
          </cell>
          <cell r="J41" t="str">
            <v/>
          </cell>
          <cell r="K41" t="str">
            <v/>
          </cell>
          <cell r="L41" t="str">
            <v/>
          </cell>
          <cell r="M41" t="str">
            <v/>
          </cell>
          <cell r="N41" t="str">
            <v/>
          </cell>
          <cell r="O41">
            <v>1.0931999999999999</v>
          </cell>
        </row>
        <row r="42">
          <cell r="A42" t="str">
            <v>A10202</v>
          </cell>
          <cell r="B42" t="str">
            <v>117/08/20</v>
          </cell>
          <cell r="C42">
            <v>0.25</v>
          </cell>
          <cell r="D42">
            <v>4.93</v>
          </cell>
          <cell r="E42">
            <v>5.03</v>
          </cell>
          <cell r="F42" t="str">
            <v/>
          </cell>
          <cell r="G42" t="str">
            <v/>
          </cell>
          <cell r="H42" t="str">
            <v/>
          </cell>
          <cell r="I42" t="str">
            <v/>
          </cell>
          <cell r="J42" t="str">
            <v/>
          </cell>
          <cell r="K42" t="str">
            <v/>
          </cell>
          <cell r="L42" t="str">
            <v/>
          </cell>
          <cell r="M42" t="str">
            <v/>
          </cell>
          <cell r="N42" t="str">
            <v/>
          </cell>
          <cell r="O42">
            <v>1.0946</v>
          </cell>
        </row>
        <row r="43">
          <cell r="A43" t="str">
            <v>A07109</v>
          </cell>
          <cell r="B43" t="str">
            <v>117/10/17</v>
          </cell>
          <cell r="C43">
            <v>0.875</v>
          </cell>
          <cell r="D43">
            <v>5</v>
          </cell>
          <cell r="E43">
            <v>5.19</v>
          </cell>
          <cell r="F43" t="str">
            <v/>
          </cell>
          <cell r="G43" t="str">
            <v/>
          </cell>
          <cell r="H43" t="str">
            <v/>
          </cell>
          <cell r="I43" t="str">
            <v/>
          </cell>
          <cell r="J43" t="str">
            <v/>
          </cell>
          <cell r="K43" t="str">
            <v/>
          </cell>
          <cell r="L43" t="str">
            <v/>
          </cell>
          <cell r="M43" t="str">
            <v/>
          </cell>
          <cell r="N43" t="str">
            <v/>
          </cell>
          <cell r="O43">
            <v>1.0953999999999999</v>
          </cell>
        </row>
        <row r="44">
          <cell r="A44" t="str">
            <v>A98102</v>
          </cell>
          <cell r="B44" t="str">
            <v>118/02/16</v>
          </cell>
          <cell r="C44">
            <v>2.125</v>
          </cell>
          <cell r="D44">
            <v>5.17</v>
          </cell>
          <cell r="E44">
            <v>5.52</v>
          </cell>
          <cell r="F44" t="str">
            <v/>
          </cell>
          <cell r="G44" t="str">
            <v/>
          </cell>
          <cell r="H44" t="str">
            <v/>
          </cell>
          <cell r="I44" t="str">
            <v/>
          </cell>
          <cell r="J44" t="str">
            <v/>
          </cell>
          <cell r="K44" t="str">
            <v/>
          </cell>
          <cell r="L44" t="str">
            <v/>
          </cell>
          <cell r="M44" t="str">
            <v/>
          </cell>
          <cell r="N44" t="str">
            <v/>
          </cell>
          <cell r="O44">
            <v>1.0953999999999999</v>
          </cell>
        </row>
        <row r="45">
          <cell r="A45" t="str">
            <v>A08103</v>
          </cell>
          <cell r="B45" t="str">
            <v>118/02/13</v>
          </cell>
          <cell r="C45">
            <v>0.75</v>
          </cell>
          <cell r="D45">
            <v>5.34</v>
          </cell>
          <cell r="E45">
            <v>5.51</v>
          </cell>
          <cell r="F45" t="str">
            <v/>
          </cell>
          <cell r="G45" t="str">
            <v/>
          </cell>
          <cell r="H45" t="str">
            <v/>
          </cell>
          <cell r="I45" t="str">
            <v/>
          </cell>
          <cell r="J45" t="str">
            <v/>
          </cell>
          <cell r="K45" t="str">
            <v/>
          </cell>
          <cell r="L45" t="str">
            <v/>
          </cell>
          <cell r="M45" t="str">
            <v/>
          </cell>
          <cell r="N45" t="str">
            <v/>
          </cell>
          <cell r="O45">
            <v>1.0971</v>
          </cell>
        </row>
        <row r="46">
          <cell r="A46" t="str">
            <v>A98105</v>
          </cell>
          <cell r="B46" t="str">
            <v>118/08/13</v>
          </cell>
          <cell r="C46">
            <v>2.125</v>
          </cell>
          <cell r="D46">
            <v>5.54</v>
          </cell>
          <cell r="E46">
            <v>6.01</v>
          </cell>
          <cell r="F46" t="str">
            <v/>
          </cell>
          <cell r="G46" t="str">
            <v/>
          </cell>
          <cell r="H46" t="str">
            <v/>
          </cell>
          <cell r="I46" t="str">
            <v/>
          </cell>
          <cell r="J46" t="str">
            <v/>
          </cell>
          <cell r="K46" t="str">
            <v/>
          </cell>
          <cell r="L46" t="str">
            <v/>
          </cell>
          <cell r="M46" t="str">
            <v/>
          </cell>
          <cell r="N46" t="str">
            <v/>
          </cell>
          <cell r="O46">
            <v>1.0971</v>
          </cell>
        </row>
        <row r="47">
          <cell r="A47" t="str">
            <v>A08106</v>
          </cell>
          <cell r="B47" t="str">
            <v>118/06/26</v>
          </cell>
          <cell r="C47">
            <v>0.625</v>
          </cell>
          <cell r="D47">
            <v>5.72</v>
          </cell>
          <cell r="E47">
            <v>5.88</v>
          </cell>
          <cell r="F47" t="str">
            <v/>
          </cell>
          <cell r="G47" t="str">
            <v/>
          </cell>
          <cell r="H47" t="str">
            <v/>
          </cell>
          <cell r="I47" t="str">
            <v/>
          </cell>
          <cell r="J47" t="str">
            <v/>
          </cell>
          <cell r="K47" t="str">
            <v/>
          </cell>
          <cell r="L47" t="str">
            <v/>
          </cell>
          <cell r="M47" t="str">
            <v/>
          </cell>
          <cell r="N47" t="str">
            <v/>
          </cell>
          <cell r="O47">
            <v>1.0983000000000001</v>
          </cell>
        </row>
        <row r="48">
          <cell r="A48" t="str">
            <v>A08109</v>
          </cell>
          <cell r="B48" t="str">
            <v>118/10/14</v>
          </cell>
          <cell r="C48">
            <v>0.625</v>
          </cell>
          <cell r="D48">
            <v>5.98</v>
          </cell>
          <cell r="E48">
            <v>6.18</v>
          </cell>
          <cell r="F48" t="str">
            <v/>
          </cell>
          <cell r="G48" t="str">
            <v/>
          </cell>
          <cell r="H48" t="str">
            <v/>
          </cell>
          <cell r="I48" t="str">
            <v/>
          </cell>
          <cell r="J48" t="str">
            <v/>
          </cell>
          <cell r="K48" t="str">
            <v/>
          </cell>
          <cell r="L48" t="str">
            <v/>
          </cell>
          <cell r="M48" t="str">
            <v/>
          </cell>
          <cell r="N48" t="str">
            <v/>
          </cell>
          <cell r="O48">
            <v>1.0999000000000001</v>
          </cell>
        </row>
        <row r="49">
          <cell r="A49" t="str">
            <v>A99104</v>
          </cell>
          <cell r="B49" t="str">
            <v>119/02/22</v>
          </cell>
          <cell r="C49">
            <v>1.875</v>
          </cell>
          <cell r="D49">
            <v>6.11</v>
          </cell>
          <cell r="E49">
            <v>6.54</v>
          </cell>
          <cell r="F49" t="str">
            <v/>
          </cell>
          <cell r="G49" t="str">
            <v/>
          </cell>
          <cell r="H49" t="str">
            <v/>
          </cell>
          <cell r="I49" t="str">
            <v/>
          </cell>
          <cell r="J49" t="str">
            <v/>
          </cell>
          <cell r="K49" t="str">
            <v/>
          </cell>
          <cell r="L49" t="str">
            <v/>
          </cell>
          <cell r="M49" t="str">
            <v/>
          </cell>
          <cell r="N49" t="str">
            <v/>
          </cell>
          <cell r="O49">
            <v>1.1026</v>
          </cell>
        </row>
        <row r="50">
          <cell r="A50" t="str">
            <v>A09103</v>
          </cell>
          <cell r="B50" t="str">
            <v>119/02/21</v>
          </cell>
          <cell r="C50">
            <v>0.5</v>
          </cell>
          <cell r="D50">
            <v>6.36</v>
          </cell>
          <cell r="E50">
            <v>6.54</v>
          </cell>
          <cell r="F50" t="str">
            <v/>
          </cell>
          <cell r="G50" t="str">
            <v/>
          </cell>
          <cell r="H50" t="str">
            <v/>
          </cell>
          <cell r="I50" t="str">
            <v/>
          </cell>
          <cell r="J50" t="str">
            <v/>
          </cell>
          <cell r="K50" t="str">
            <v/>
          </cell>
          <cell r="L50" t="str">
            <v/>
          </cell>
          <cell r="M50" t="str">
            <v/>
          </cell>
          <cell r="N50" t="str">
            <v/>
          </cell>
          <cell r="O50">
            <v>1.1044</v>
          </cell>
        </row>
        <row r="51">
          <cell r="A51" t="str">
            <v>A99107</v>
          </cell>
          <cell r="B51" t="str">
            <v>119/08/12</v>
          </cell>
          <cell r="C51">
            <v>1.75</v>
          </cell>
          <cell r="D51">
            <v>6.48</v>
          </cell>
          <cell r="E51">
            <v>7.01</v>
          </cell>
          <cell r="F51" t="str">
            <v/>
          </cell>
          <cell r="G51" t="str">
            <v/>
          </cell>
          <cell r="H51" t="str">
            <v/>
          </cell>
          <cell r="I51" t="str">
            <v/>
          </cell>
          <cell r="J51" t="str">
            <v/>
          </cell>
          <cell r="K51" t="str">
            <v/>
          </cell>
          <cell r="L51" t="str">
            <v/>
          </cell>
          <cell r="M51" t="str">
            <v/>
          </cell>
          <cell r="N51" t="str">
            <v/>
          </cell>
          <cell r="O51">
            <v>1.1143000000000001</v>
          </cell>
        </row>
        <row r="52">
          <cell r="A52" t="str">
            <v>A09106</v>
          </cell>
          <cell r="B52" t="str">
            <v>119/06/11</v>
          </cell>
          <cell r="C52">
            <v>0.375</v>
          </cell>
          <cell r="D52">
            <v>6.68</v>
          </cell>
          <cell r="E52">
            <v>6.84</v>
          </cell>
          <cell r="F52" t="str">
            <v/>
          </cell>
          <cell r="G52" t="str">
            <v/>
          </cell>
          <cell r="H52" t="str">
            <v/>
          </cell>
          <cell r="I52" t="str">
            <v/>
          </cell>
          <cell r="J52" t="str">
            <v/>
          </cell>
          <cell r="K52" t="str">
            <v/>
          </cell>
          <cell r="L52" t="str">
            <v/>
          </cell>
          <cell r="M52" t="str">
            <v/>
          </cell>
          <cell r="N52" t="str">
            <v/>
          </cell>
          <cell r="O52">
            <v>1.1112</v>
          </cell>
        </row>
        <row r="53">
          <cell r="A53" t="str">
            <v>A00102</v>
          </cell>
          <cell r="B53" t="str">
            <v>120/01/13</v>
          </cell>
          <cell r="C53">
            <v>2.125</v>
          </cell>
          <cell r="D53">
            <v>6.82</v>
          </cell>
          <cell r="E53">
            <v>7.43</v>
          </cell>
          <cell r="F53" t="str">
            <v/>
          </cell>
          <cell r="G53" t="str">
            <v/>
          </cell>
          <cell r="H53" t="str">
            <v/>
          </cell>
          <cell r="I53" t="str">
            <v/>
          </cell>
          <cell r="J53" t="str">
            <v/>
          </cell>
          <cell r="K53" t="str">
            <v/>
          </cell>
          <cell r="L53" t="str">
            <v/>
          </cell>
          <cell r="M53" t="str">
            <v/>
          </cell>
          <cell r="N53" t="str">
            <v/>
          </cell>
          <cell r="O53">
            <v>1.1309</v>
          </cell>
        </row>
        <row r="54">
          <cell r="A54" t="str">
            <v>A90105</v>
          </cell>
          <cell r="B54" t="str">
            <v>120/07/17</v>
          </cell>
          <cell r="C54">
            <v>3.625</v>
          </cell>
          <cell r="D54">
            <v>7.03</v>
          </cell>
          <cell r="E54">
            <v>7.93</v>
          </cell>
          <cell r="F54" t="str">
            <v/>
          </cell>
          <cell r="G54" t="str">
            <v/>
          </cell>
          <cell r="H54" t="str">
            <v/>
          </cell>
          <cell r="I54" t="str">
            <v/>
          </cell>
          <cell r="J54" t="str">
            <v/>
          </cell>
          <cell r="K54" t="str">
            <v/>
          </cell>
          <cell r="L54" t="str">
            <v/>
          </cell>
          <cell r="M54" t="str">
            <v/>
          </cell>
          <cell r="N54" t="str">
            <v/>
          </cell>
          <cell r="O54">
            <v>1.1516999999999999</v>
          </cell>
        </row>
        <row r="55">
          <cell r="A55" t="str">
            <v>A09109</v>
          </cell>
          <cell r="B55" t="str">
            <v>119/10/14</v>
          </cell>
          <cell r="C55">
            <v>0.25</v>
          </cell>
          <cell r="D55">
            <v>7.03</v>
          </cell>
          <cell r="E55">
            <v>7.18</v>
          </cell>
          <cell r="F55" t="str">
            <v/>
          </cell>
          <cell r="G55" t="str">
            <v/>
          </cell>
          <cell r="H55" t="str">
            <v/>
          </cell>
          <cell r="I55" t="str">
            <v/>
          </cell>
          <cell r="J55" t="str">
            <v/>
          </cell>
          <cell r="K55" t="str">
            <v/>
          </cell>
          <cell r="L55" t="str">
            <v/>
          </cell>
          <cell r="M55" t="str">
            <v/>
          </cell>
          <cell r="N55" t="str">
            <v/>
          </cell>
          <cell r="O55">
            <v>1.1233</v>
          </cell>
        </row>
        <row r="56">
          <cell r="A56" t="str">
            <v>A00201</v>
          </cell>
          <cell r="B56" t="str">
            <v>120/05/26</v>
          </cell>
          <cell r="C56">
            <v>1.75</v>
          </cell>
          <cell r="D56">
            <v>7.26</v>
          </cell>
          <cell r="E56">
            <v>7.79</v>
          </cell>
          <cell r="F56" t="str">
            <v/>
          </cell>
          <cell r="G56" t="str">
            <v/>
          </cell>
          <cell r="H56" t="str">
            <v/>
          </cell>
          <cell r="I56" t="str">
            <v/>
          </cell>
          <cell r="J56" t="str">
            <v/>
          </cell>
          <cell r="K56" t="str">
            <v/>
          </cell>
          <cell r="L56" t="str">
            <v/>
          </cell>
          <cell r="M56" t="str">
            <v/>
          </cell>
          <cell r="N56" t="str">
            <v/>
          </cell>
          <cell r="O56">
            <v>1.1496</v>
          </cell>
        </row>
        <row r="57">
          <cell r="A57" t="str">
            <v>A00107</v>
          </cell>
          <cell r="B57" t="str">
            <v>120/08/02</v>
          </cell>
          <cell r="C57">
            <v>1.875</v>
          </cell>
          <cell r="D57">
            <v>7.41</v>
          </cell>
          <cell r="E57">
            <v>7.98</v>
          </cell>
          <cell r="F57" t="str">
            <v/>
          </cell>
          <cell r="G57" t="str">
            <v/>
          </cell>
          <cell r="H57" t="str">
            <v/>
          </cell>
          <cell r="I57" t="str">
            <v/>
          </cell>
          <cell r="J57" t="str">
            <v/>
          </cell>
          <cell r="K57" t="str">
            <v/>
          </cell>
          <cell r="L57" t="str">
            <v/>
          </cell>
          <cell r="M57" t="str">
            <v/>
          </cell>
          <cell r="N57" t="str">
            <v/>
          </cell>
          <cell r="O57">
            <v>1.1580999999999999</v>
          </cell>
        </row>
        <row r="58">
          <cell r="A58" t="str">
            <v>A10103</v>
          </cell>
          <cell r="B58" t="str">
            <v>120/02/22</v>
          </cell>
          <cell r="C58">
            <v>0.25</v>
          </cell>
          <cell r="D58">
            <v>7.38</v>
          </cell>
          <cell r="E58">
            <v>7.54</v>
          </cell>
          <cell r="F58" t="str">
            <v/>
          </cell>
          <cell r="G58" t="str">
            <v/>
          </cell>
          <cell r="H58" t="str">
            <v/>
          </cell>
          <cell r="I58" t="str">
            <v/>
          </cell>
          <cell r="J58" t="str">
            <v/>
          </cell>
          <cell r="K58" t="str">
            <v/>
          </cell>
          <cell r="L58" t="str">
            <v/>
          </cell>
          <cell r="M58" t="str">
            <v/>
          </cell>
          <cell r="N58" t="str">
            <v/>
          </cell>
          <cell r="O58">
            <v>1.1404000000000001</v>
          </cell>
        </row>
        <row r="59">
          <cell r="A59" t="str">
            <v>A10201</v>
          </cell>
          <cell r="B59" t="str">
            <v>120/05/07</v>
          </cell>
          <cell r="C59">
            <v>0.375</v>
          </cell>
          <cell r="D59">
            <v>7.55</v>
          </cell>
          <cell r="E59">
            <v>7.74</v>
          </cell>
          <cell r="F59" t="str">
            <v/>
          </cell>
          <cell r="G59" t="str">
            <v/>
          </cell>
          <cell r="H59" t="str">
            <v/>
          </cell>
          <cell r="I59" t="str">
            <v/>
          </cell>
          <cell r="J59" t="str">
            <v/>
          </cell>
          <cell r="K59" t="str">
            <v/>
          </cell>
          <cell r="L59" t="str">
            <v/>
          </cell>
          <cell r="M59" t="str">
            <v/>
          </cell>
          <cell r="N59" t="str">
            <v/>
          </cell>
          <cell r="O59">
            <v>1.1506000000000001</v>
          </cell>
        </row>
        <row r="60">
          <cell r="A60" t="str">
            <v>A10107</v>
          </cell>
          <cell r="B60" t="str">
            <v>120/06/23</v>
          </cell>
          <cell r="C60">
            <v>0.375</v>
          </cell>
          <cell r="D60">
            <v>7.67</v>
          </cell>
          <cell r="E60">
            <v>7.87</v>
          </cell>
          <cell r="F60" t="str">
            <v/>
          </cell>
          <cell r="G60" t="str">
            <v/>
          </cell>
          <cell r="H60" t="str">
            <v/>
          </cell>
          <cell r="I60" t="str">
            <v/>
          </cell>
          <cell r="J60" t="str">
            <v/>
          </cell>
          <cell r="K60" t="str">
            <v/>
          </cell>
          <cell r="L60" t="str">
            <v/>
          </cell>
          <cell r="M60" t="str">
            <v/>
          </cell>
          <cell r="N60" t="str">
            <v/>
          </cell>
          <cell r="O60">
            <v>1.1571</v>
          </cell>
        </row>
        <row r="61">
          <cell r="A61" t="str">
            <v>A01102</v>
          </cell>
          <cell r="B61" t="str">
            <v>121/01/20</v>
          </cell>
          <cell r="C61">
            <v>1.625</v>
          </cell>
          <cell r="D61">
            <v>7.81</v>
          </cell>
          <cell r="E61">
            <v>8.4499999999999993</v>
          </cell>
          <cell r="F61" t="str">
            <v/>
          </cell>
          <cell r="G61" t="str">
            <v/>
          </cell>
          <cell r="H61" t="str">
            <v/>
          </cell>
          <cell r="I61" t="str">
            <v/>
          </cell>
          <cell r="J61" t="str">
            <v/>
          </cell>
          <cell r="K61" t="str">
            <v/>
          </cell>
          <cell r="L61" t="str">
            <v/>
          </cell>
          <cell r="M61" t="str">
            <v/>
          </cell>
          <cell r="N61" t="str">
            <v/>
          </cell>
          <cell r="O61">
            <v>1.1772</v>
          </cell>
        </row>
        <row r="62">
          <cell r="A62" t="str">
            <v>A10111</v>
          </cell>
          <cell r="B62" t="str">
            <v>120/10/22</v>
          </cell>
          <cell r="C62">
            <v>0.5</v>
          </cell>
          <cell r="D62">
            <v>7.92</v>
          </cell>
          <cell r="E62">
            <v>8.1999999999999993</v>
          </cell>
          <cell r="F62" t="str">
            <v/>
          </cell>
          <cell r="G62" t="str">
            <v/>
          </cell>
          <cell r="H62" t="str">
            <v/>
          </cell>
          <cell r="I62" t="str">
            <v/>
          </cell>
          <cell r="J62" t="str">
            <v/>
          </cell>
          <cell r="K62" t="str">
            <v/>
          </cell>
          <cell r="L62" t="str">
            <v/>
          </cell>
          <cell r="M62" t="str">
            <v/>
          </cell>
          <cell r="N62" t="str">
            <v/>
          </cell>
          <cell r="O62">
            <v>1.1720999999999999</v>
          </cell>
        </row>
        <row r="63">
          <cell r="A63" t="str">
            <v>A01201</v>
          </cell>
          <cell r="B63" t="str">
            <v>121/03/16</v>
          </cell>
          <cell r="C63">
            <v>1.625</v>
          </cell>
          <cell r="D63">
            <v>7.96</v>
          </cell>
          <cell r="E63">
            <v>8.6</v>
          </cell>
          <cell r="F63" t="str">
            <v/>
          </cell>
          <cell r="G63" t="str">
            <v/>
          </cell>
          <cell r="H63" t="str">
            <v/>
          </cell>
          <cell r="I63" t="str">
            <v/>
          </cell>
          <cell r="J63" t="str">
            <v/>
          </cell>
          <cell r="K63" t="str">
            <v/>
          </cell>
          <cell r="L63" t="str">
            <v/>
          </cell>
          <cell r="M63" t="str">
            <v/>
          </cell>
          <cell r="N63" t="str">
            <v/>
          </cell>
          <cell r="O63">
            <v>1.1813</v>
          </cell>
        </row>
        <row r="64">
          <cell r="A64" t="str">
            <v>A11201</v>
          </cell>
          <cell r="B64" t="str">
            <v>121/01/10</v>
          </cell>
          <cell r="C64">
            <v>0.75</v>
          </cell>
          <cell r="D64">
            <v>8.0500000000000007</v>
          </cell>
          <cell r="E64">
            <v>8.42</v>
          </cell>
          <cell r="F64" t="str">
            <v/>
          </cell>
          <cell r="G64" t="str">
            <v/>
          </cell>
          <cell r="H64" t="str">
            <v/>
          </cell>
          <cell r="I64" t="str">
            <v/>
          </cell>
          <cell r="J64" t="str">
            <v/>
          </cell>
          <cell r="K64" t="str">
            <v/>
          </cell>
          <cell r="L64" t="str">
            <v/>
          </cell>
          <cell r="M64" t="str">
            <v/>
          </cell>
          <cell r="N64" t="str">
            <v/>
          </cell>
          <cell r="O64">
            <v>1.1794</v>
          </cell>
        </row>
        <row r="65">
          <cell r="A65" t="str">
            <v>A11102</v>
          </cell>
          <cell r="B65" t="str">
            <v>121/02/18</v>
          </cell>
          <cell r="C65">
            <v>0.625</v>
          </cell>
          <cell r="D65">
            <v>8.1999999999999993</v>
          </cell>
          <cell r="E65">
            <v>8.5299999999999994</v>
          </cell>
          <cell r="F65" t="str">
            <v/>
          </cell>
          <cell r="G65" t="str">
            <v/>
          </cell>
          <cell r="H65" t="str">
            <v/>
          </cell>
          <cell r="I65" t="str">
            <v/>
          </cell>
          <cell r="J65" t="str">
            <v/>
          </cell>
          <cell r="K65" t="str">
            <v/>
          </cell>
          <cell r="L65" t="str">
            <v/>
          </cell>
          <cell r="M65" t="str">
            <v/>
          </cell>
          <cell r="N65" t="str">
            <v/>
          </cell>
          <cell r="O65">
            <v>1.1831</v>
          </cell>
        </row>
        <row r="66">
          <cell r="A66" t="str">
            <v>A01107</v>
          </cell>
          <cell r="B66" t="str">
            <v>121/08/10</v>
          </cell>
          <cell r="C66">
            <v>1.5</v>
          </cell>
          <cell r="D66">
            <v>8.39</v>
          </cell>
          <cell r="E66">
            <v>9</v>
          </cell>
          <cell r="F66" t="str">
            <v/>
          </cell>
          <cell r="G66" t="str">
            <v/>
          </cell>
          <cell r="H66" t="str">
            <v/>
          </cell>
          <cell r="I66" t="str">
            <v/>
          </cell>
          <cell r="J66" t="str">
            <v/>
          </cell>
          <cell r="K66" t="str">
            <v/>
          </cell>
          <cell r="L66" t="str">
            <v/>
          </cell>
          <cell r="M66" t="str">
            <v/>
          </cell>
          <cell r="N66" t="str">
            <v xml:space="preserve">  </v>
          </cell>
          <cell r="O66">
            <v>1.1882999999999999</v>
          </cell>
        </row>
        <row r="67">
          <cell r="A67" t="str">
            <v>A11107</v>
          </cell>
          <cell r="B67" t="str">
            <v>121/06/30</v>
          </cell>
          <cell r="C67">
            <v>1.25</v>
          </cell>
          <cell r="D67">
            <v>8.36</v>
          </cell>
          <cell r="E67">
            <v>8.89</v>
          </cell>
          <cell r="F67" t="str">
            <v/>
          </cell>
          <cell r="G67" t="str">
            <v/>
          </cell>
          <cell r="H67" t="str">
            <v/>
          </cell>
          <cell r="I67" t="str">
            <v/>
          </cell>
          <cell r="J67" t="str">
            <v/>
          </cell>
          <cell r="K67" t="str">
            <v/>
          </cell>
          <cell r="L67" t="str">
            <v/>
          </cell>
          <cell r="M67" t="str">
            <v/>
          </cell>
          <cell r="N67" t="str">
            <v/>
          </cell>
          <cell r="O67">
            <v>1.1879</v>
          </cell>
        </row>
        <row r="68">
          <cell r="A68" t="str">
            <v>A11110</v>
          </cell>
          <cell r="B68" t="str">
            <v>121/10/17</v>
          </cell>
          <cell r="C68">
            <v>1.75</v>
          </cell>
          <cell r="D68">
            <v>8.3699999999999992</v>
          </cell>
          <cell r="E68">
            <v>9.19</v>
          </cell>
          <cell r="F68" t="str">
            <v/>
          </cell>
          <cell r="G68" t="str">
            <v/>
          </cell>
          <cell r="H68" t="str">
            <v/>
          </cell>
          <cell r="I68" t="str">
            <v/>
          </cell>
          <cell r="J68" t="str">
            <v/>
          </cell>
          <cell r="K68" t="str">
            <v/>
          </cell>
          <cell r="L68" t="str">
            <v/>
          </cell>
          <cell r="M68" t="str">
            <v/>
          </cell>
          <cell r="N68" t="str">
            <v/>
          </cell>
          <cell r="O68">
            <v>1.1888000000000001</v>
          </cell>
        </row>
        <row r="69">
          <cell r="A69" t="str">
            <v>A02103</v>
          </cell>
          <cell r="B69" t="str">
            <v>122/01/28</v>
          </cell>
          <cell r="C69">
            <v>1.5</v>
          </cell>
          <cell r="D69">
            <v>8.74</v>
          </cell>
          <cell r="E69">
            <v>9.4700000000000006</v>
          </cell>
          <cell r="F69" t="str">
            <v/>
          </cell>
          <cell r="G69" t="str">
            <v/>
          </cell>
          <cell r="H69" t="str">
            <v/>
          </cell>
          <cell r="I69" t="str">
            <v/>
          </cell>
          <cell r="J69" t="str">
            <v/>
          </cell>
          <cell r="K69" t="str">
            <v/>
          </cell>
          <cell r="L69" t="str">
            <v/>
          </cell>
          <cell r="M69" t="str">
            <v/>
          </cell>
          <cell r="N69" t="str">
            <v/>
          </cell>
          <cell r="O69">
            <v>1.1910000000000001</v>
          </cell>
        </row>
        <row r="70">
          <cell r="A70" t="str">
            <v>A12201</v>
          </cell>
          <cell r="B70" t="str">
            <v>122/01/10</v>
          </cell>
          <cell r="C70">
            <v>1.25</v>
          </cell>
          <cell r="D70">
            <v>8.7799999999999994</v>
          </cell>
          <cell r="E70">
            <v>9.42</v>
          </cell>
          <cell r="F70" t="str">
            <v/>
          </cell>
          <cell r="G70" t="str">
            <v/>
          </cell>
          <cell r="H70" t="str">
            <v/>
          </cell>
          <cell r="I70" t="str">
            <v/>
          </cell>
          <cell r="J70" t="str">
            <v/>
          </cell>
          <cell r="K70" t="str">
            <v/>
          </cell>
          <cell r="L70" t="str">
            <v/>
          </cell>
          <cell r="M70" t="str">
            <v/>
          </cell>
          <cell r="N70" t="str">
            <v/>
          </cell>
          <cell r="O70">
            <v>1.1917</v>
          </cell>
        </row>
        <row r="71">
          <cell r="A71" t="str">
            <v>A02201</v>
          </cell>
          <cell r="B71" t="str">
            <v>122/03/21</v>
          </cell>
          <cell r="C71">
            <v>1.75</v>
          </cell>
          <cell r="D71">
            <v>8.7899999999999991</v>
          </cell>
          <cell r="E71">
            <v>9.61</v>
          </cell>
          <cell r="F71" t="str">
            <v/>
          </cell>
          <cell r="G71" t="str">
            <v/>
          </cell>
          <cell r="H71" t="str">
            <v/>
          </cell>
          <cell r="I71" t="str">
            <v/>
          </cell>
          <cell r="J71" t="str">
            <v/>
          </cell>
          <cell r="K71" t="str">
            <v/>
          </cell>
          <cell r="L71" t="str">
            <v/>
          </cell>
          <cell r="M71" t="str">
            <v/>
          </cell>
          <cell r="N71" t="str">
            <v/>
          </cell>
          <cell r="O71">
            <v>1.1904999999999999</v>
          </cell>
        </row>
        <row r="72">
          <cell r="A72" t="str">
            <v>A02108</v>
          </cell>
          <cell r="B72" t="str">
            <v>122/07/26</v>
          </cell>
          <cell r="C72">
            <v>2</v>
          </cell>
          <cell r="D72">
            <v>9.0500000000000007</v>
          </cell>
          <cell r="E72">
            <v>9.9600000000000009</v>
          </cell>
          <cell r="F72" t="str">
            <v/>
          </cell>
          <cell r="G72" t="str">
            <v/>
          </cell>
          <cell r="H72" t="str">
            <v/>
          </cell>
          <cell r="I72" t="str">
            <v/>
          </cell>
          <cell r="J72" t="str">
            <v/>
          </cell>
          <cell r="K72" t="str">
            <v/>
          </cell>
          <cell r="L72" t="str">
            <v/>
          </cell>
          <cell r="M72" t="str">
            <v/>
          </cell>
          <cell r="N72" t="str">
            <v/>
          </cell>
          <cell r="O72">
            <v>1.1908000000000001</v>
          </cell>
        </row>
        <row r="73">
          <cell r="A73" t="str">
            <v>A12102</v>
          </cell>
          <cell r="B73" t="str">
            <v>122/02/17</v>
          </cell>
          <cell r="C73">
            <v>1.125</v>
          </cell>
          <cell r="D73">
            <v>8.93</v>
          </cell>
          <cell r="E73">
            <v>9.5299999999999994</v>
          </cell>
          <cell r="F73" t="str">
            <v/>
          </cell>
          <cell r="G73" t="str">
            <v/>
          </cell>
          <cell r="H73" t="str">
            <v/>
          </cell>
          <cell r="I73" t="str">
            <v/>
          </cell>
          <cell r="J73" t="str">
            <v/>
          </cell>
          <cell r="K73" t="str">
            <v/>
          </cell>
          <cell r="L73" t="str">
            <v/>
          </cell>
          <cell r="M73" t="str">
            <v/>
          </cell>
          <cell r="N73" t="str">
            <v/>
          </cell>
          <cell r="O73">
            <v>1.1923999999999999</v>
          </cell>
        </row>
        <row r="74">
          <cell r="A74" t="str">
            <v>A12107R</v>
          </cell>
          <cell r="B74" t="str">
            <v>122/06/09</v>
          </cell>
          <cell r="C74">
            <v>1.125</v>
          </cell>
          <cell r="D74">
            <v>9.19</v>
          </cell>
          <cell r="E74">
            <v>9.83</v>
          </cell>
          <cell r="F74" t="str">
            <v/>
          </cell>
          <cell r="G74" t="str">
            <v/>
          </cell>
          <cell r="H74" t="str">
            <v/>
          </cell>
          <cell r="I74" t="str">
            <v/>
          </cell>
          <cell r="J74" t="str">
            <v/>
          </cell>
          <cell r="K74" t="str">
            <v/>
          </cell>
          <cell r="L74" t="str">
            <v/>
          </cell>
          <cell r="M74" t="str">
            <v/>
          </cell>
          <cell r="N74" t="str">
            <v/>
          </cell>
          <cell r="O74">
            <v>1.1931</v>
          </cell>
        </row>
        <row r="75">
          <cell r="A75" t="str">
            <v>A93106</v>
          </cell>
          <cell r="B75" t="str">
            <v>123/05/27</v>
          </cell>
          <cell r="C75">
            <v>3.875</v>
          </cell>
          <cell r="D75">
            <v>9.09</v>
          </cell>
          <cell r="E75">
            <v>10.8</v>
          </cell>
          <cell r="F75" t="str">
            <v/>
          </cell>
          <cell r="G75" t="str">
            <v/>
          </cell>
          <cell r="H75" t="str">
            <v/>
          </cell>
          <cell r="I75" t="str">
            <v/>
          </cell>
          <cell r="J75" t="str">
            <v/>
          </cell>
          <cell r="K75" t="str">
            <v/>
          </cell>
          <cell r="L75" t="str">
            <v/>
          </cell>
          <cell r="M75" t="str">
            <v/>
          </cell>
          <cell r="N75" t="str">
            <v/>
          </cell>
          <cell r="O75">
            <v>1.1912</v>
          </cell>
        </row>
        <row r="76">
          <cell r="A76" t="str">
            <v>A12107</v>
          </cell>
          <cell r="B76" t="str">
            <v>122/06/09</v>
          </cell>
          <cell r="C76">
            <v>1.125</v>
          </cell>
          <cell r="D76">
            <v>9.23</v>
          </cell>
          <cell r="E76">
            <v>9.83</v>
          </cell>
          <cell r="F76" t="str">
            <v/>
          </cell>
          <cell r="G76" t="str">
            <v/>
          </cell>
          <cell r="H76" t="str">
            <v/>
          </cell>
          <cell r="I76" t="str">
            <v/>
          </cell>
          <cell r="J76" t="str">
            <v/>
          </cell>
          <cell r="K76" t="str">
            <v/>
          </cell>
          <cell r="L76" t="str">
            <v/>
          </cell>
          <cell r="M76" t="str">
            <v/>
          </cell>
          <cell r="N76" t="str">
            <v/>
          </cell>
          <cell r="O76">
            <v>1.1933</v>
          </cell>
        </row>
        <row r="77">
          <cell r="A77" t="str">
            <v>A03103</v>
          </cell>
          <cell r="B77" t="str">
            <v>123/01/29</v>
          </cell>
          <cell r="C77">
            <v>2</v>
          </cell>
          <cell r="D77">
            <v>9.39</v>
          </cell>
          <cell r="E77">
            <v>10.47</v>
          </cell>
          <cell r="F77" t="str">
            <v/>
          </cell>
          <cell r="G77" t="str">
            <v/>
          </cell>
          <cell r="H77" t="str">
            <v/>
          </cell>
          <cell r="I77" t="str">
            <v/>
          </cell>
          <cell r="J77" t="str">
            <v/>
          </cell>
          <cell r="K77" t="str">
            <v/>
          </cell>
          <cell r="L77" t="str">
            <v/>
          </cell>
          <cell r="M77" t="str">
            <v/>
          </cell>
          <cell r="N77" t="str">
            <v/>
          </cell>
          <cell r="O77">
            <v>1.1939</v>
          </cell>
        </row>
        <row r="78">
          <cell r="A78" t="str">
            <v>A03111</v>
          </cell>
          <cell r="B78" t="str">
            <v>123/07/31</v>
          </cell>
          <cell r="C78">
            <v>2.125</v>
          </cell>
          <cell r="D78">
            <v>9.84</v>
          </cell>
          <cell r="E78">
            <v>10.97</v>
          </cell>
          <cell r="F78" t="str">
            <v/>
          </cell>
          <cell r="G78" t="str">
            <v/>
          </cell>
          <cell r="H78" t="str">
            <v/>
          </cell>
          <cell r="I78" t="str">
            <v/>
          </cell>
          <cell r="J78" t="str">
            <v/>
          </cell>
          <cell r="K78" t="str">
            <v/>
          </cell>
          <cell r="L78" t="str">
            <v/>
          </cell>
          <cell r="M78" t="str">
            <v/>
          </cell>
          <cell r="N78" t="str">
            <v/>
          </cell>
          <cell r="O78">
            <v>1.1979</v>
          </cell>
        </row>
        <row r="79">
          <cell r="A79" t="str">
            <v>A03107</v>
          </cell>
          <cell r="B79" t="str">
            <v>123/04/25</v>
          </cell>
          <cell r="C79">
            <v>1.875</v>
          </cell>
          <cell r="D79">
            <v>9.67</v>
          </cell>
          <cell r="E79">
            <v>10.71</v>
          </cell>
          <cell r="F79" t="str">
            <v/>
          </cell>
          <cell r="G79" t="str">
            <v/>
          </cell>
          <cell r="H79" t="str">
            <v/>
          </cell>
          <cell r="I79" t="str">
            <v/>
          </cell>
          <cell r="J79" t="str">
            <v/>
          </cell>
          <cell r="K79" t="str">
            <v/>
          </cell>
          <cell r="L79" t="str">
            <v/>
          </cell>
          <cell r="M79" t="str">
            <v/>
          </cell>
          <cell r="N79" t="str">
            <v/>
          </cell>
          <cell r="O79">
            <v>1.1961999999999999</v>
          </cell>
        </row>
        <row r="80">
          <cell r="A80" t="str">
            <v>A03114</v>
          </cell>
          <cell r="B80" t="str">
            <v>123/10/02</v>
          </cell>
          <cell r="C80">
            <v>2.25</v>
          </cell>
          <cell r="D80">
            <v>9.76</v>
          </cell>
          <cell r="E80">
            <v>11.15</v>
          </cell>
          <cell r="F80" t="str">
            <v/>
          </cell>
          <cell r="G80" t="str">
            <v/>
          </cell>
          <cell r="H80" t="str">
            <v/>
          </cell>
          <cell r="I80" t="str">
            <v/>
          </cell>
          <cell r="J80" t="str">
            <v/>
          </cell>
          <cell r="K80" t="str">
            <v/>
          </cell>
          <cell r="L80" t="str">
            <v/>
          </cell>
          <cell r="M80" t="str">
            <v/>
          </cell>
          <cell r="N80" t="str">
            <v/>
          </cell>
          <cell r="O80">
            <v>1.1993</v>
          </cell>
        </row>
        <row r="81">
          <cell r="A81" t="str">
            <v>A04102</v>
          </cell>
          <cell r="B81" t="str">
            <v>124/01/23</v>
          </cell>
          <cell r="C81">
            <v>2</v>
          </cell>
          <cell r="D81">
            <v>10.18</v>
          </cell>
          <cell r="E81">
            <v>11.46</v>
          </cell>
          <cell r="F81" t="str">
            <v/>
          </cell>
          <cell r="G81" t="str">
            <v/>
          </cell>
          <cell r="H81" t="str">
            <v/>
          </cell>
          <cell r="I81" t="str">
            <v/>
          </cell>
          <cell r="J81" t="str">
            <v/>
          </cell>
          <cell r="K81" t="str">
            <v/>
          </cell>
          <cell r="L81" t="str">
            <v/>
          </cell>
          <cell r="M81" t="str">
            <v/>
          </cell>
          <cell r="N81" t="str">
            <v/>
          </cell>
          <cell r="O81">
            <v>1.2037</v>
          </cell>
        </row>
        <row r="82">
          <cell r="A82" t="str">
            <v>A04107</v>
          </cell>
          <cell r="B82" t="str">
            <v>124/04/15</v>
          </cell>
          <cell r="C82">
            <v>2.125</v>
          </cell>
          <cell r="D82">
            <v>10.35</v>
          </cell>
          <cell r="E82">
            <v>11.68</v>
          </cell>
          <cell r="F82" t="str">
            <v/>
          </cell>
          <cell r="G82" t="str">
            <v/>
          </cell>
          <cell r="H82" t="str">
            <v/>
          </cell>
          <cell r="I82" t="str">
            <v/>
          </cell>
          <cell r="J82" t="str">
            <v/>
          </cell>
          <cell r="K82" t="str">
            <v/>
          </cell>
          <cell r="L82" t="str">
            <v/>
          </cell>
          <cell r="M82" t="str">
            <v/>
          </cell>
          <cell r="N82" t="str">
            <v/>
          </cell>
          <cell r="O82">
            <v>1.206</v>
          </cell>
        </row>
        <row r="83">
          <cell r="A83" t="str">
            <v>A04114</v>
          </cell>
          <cell r="B83" t="str">
            <v>124/10/26</v>
          </cell>
          <cell r="C83">
            <v>1.75</v>
          </cell>
          <cell r="D83">
            <v>10.87</v>
          </cell>
          <cell r="E83">
            <v>12.21</v>
          </cell>
          <cell r="F83" t="str">
            <v/>
          </cell>
          <cell r="G83" t="str">
            <v/>
          </cell>
          <cell r="H83" t="str">
            <v/>
          </cell>
          <cell r="I83" t="str">
            <v/>
          </cell>
          <cell r="J83" t="str">
            <v/>
          </cell>
          <cell r="K83" t="str">
            <v/>
          </cell>
          <cell r="L83" t="str">
            <v/>
          </cell>
          <cell r="M83" t="str">
            <v/>
          </cell>
          <cell r="N83" t="str">
            <v/>
          </cell>
          <cell r="O83">
            <v>1.2146999999999999</v>
          </cell>
        </row>
        <row r="84">
          <cell r="A84" t="str">
            <v>A05102</v>
          </cell>
          <cell r="B84" t="str">
            <v>125/01/22</v>
          </cell>
          <cell r="C84">
            <v>1.375</v>
          </cell>
          <cell r="D84">
            <v>11.32</v>
          </cell>
          <cell r="E84">
            <v>12.45</v>
          </cell>
          <cell r="F84" t="str">
            <v/>
          </cell>
          <cell r="G84" t="str">
            <v/>
          </cell>
          <cell r="H84" t="str">
            <v/>
          </cell>
          <cell r="I84" t="str">
            <v/>
          </cell>
          <cell r="J84" t="str">
            <v/>
          </cell>
          <cell r="K84" t="str">
            <v/>
          </cell>
          <cell r="L84" t="str">
            <v/>
          </cell>
          <cell r="M84" t="str">
            <v/>
          </cell>
          <cell r="N84" t="str">
            <v/>
          </cell>
          <cell r="O84">
            <v>1.2198</v>
          </cell>
        </row>
        <row r="85">
          <cell r="A85" t="str">
            <v>A05106</v>
          </cell>
          <cell r="B85" t="str">
            <v>125/04/08</v>
          </cell>
          <cell r="C85">
            <v>1.25</v>
          </cell>
          <cell r="D85">
            <v>11.6</v>
          </cell>
          <cell r="E85">
            <v>12.66</v>
          </cell>
          <cell r="F85" t="str">
            <v/>
          </cell>
          <cell r="G85" t="str">
            <v/>
          </cell>
          <cell r="H85" t="str">
            <v/>
          </cell>
          <cell r="I85" t="str">
            <v/>
          </cell>
          <cell r="J85" t="str">
            <v/>
          </cell>
          <cell r="K85" t="str">
            <v/>
          </cell>
          <cell r="L85" t="str">
            <v/>
          </cell>
          <cell r="M85" t="str">
            <v/>
          </cell>
          <cell r="N85" t="str">
            <v/>
          </cell>
          <cell r="O85">
            <v>1.2236</v>
          </cell>
        </row>
        <row r="86">
          <cell r="A86" t="str">
            <v>A05109</v>
          </cell>
          <cell r="B86" t="str">
            <v>125/07/19</v>
          </cell>
          <cell r="C86">
            <v>1.125</v>
          </cell>
          <cell r="D86">
            <v>11.95</v>
          </cell>
          <cell r="E86">
            <v>12.94</v>
          </cell>
          <cell r="F86" t="str">
            <v/>
          </cell>
          <cell r="G86" t="str">
            <v/>
          </cell>
          <cell r="H86" t="str">
            <v/>
          </cell>
          <cell r="I86" t="str">
            <v/>
          </cell>
          <cell r="J86" t="str">
            <v/>
          </cell>
          <cell r="K86" t="str">
            <v/>
          </cell>
          <cell r="L86" t="str">
            <v/>
          </cell>
          <cell r="M86" t="str">
            <v/>
          </cell>
          <cell r="N86" t="str">
            <v/>
          </cell>
          <cell r="O86">
            <v>1.2289000000000001</v>
          </cell>
        </row>
        <row r="87">
          <cell r="A87" t="str">
            <v>A06103</v>
          </cell>
          <cell r="B87" t="str">
            <v>126/02/20</v>
          </cell>
          <cell r="C87">
            <v>1.75</v>
          </cell>
          <cell r="D87">
            <v>11.98</v>
          </cell>
          <cell r="E87">
            <v>13.53</v>
          </cell>
          <cell r="F87" t="str">
            <v/>
          </cell>
          <cell r="G87" t="str">
            <v/>
          </cell>
          <cell r="H87" t="str">
            <v/>
          </cell>
          <cell r="I87" t="str">
            <v/>
          </cell>
          <cell r="J87" t="str">
            <v/>
          </cell>
          <cell r="K87" t="str">
            <v/>
          </cell>
          <cell r="L87" t="str">
            <v/>
          </cell>
          <cell r="M87" t="str">
            <v/>
          </cell>
          <cell r="N87" t="str">
            <v/>
          </cell>
          <cell r="O87">
            <v>1.2364999999999999</v>
          </cell>
        </row>
        <row r="88">
          <cell r="A88" t="str">
            <v>A06108</v>
          </cell>
          <cell r="B88" t="str">
            <v>126/08/18</v>
          </cell>
          <cell r="C88">
            <v>1.5</v>
          </cell>
          <cell r="D88">
            <v>12.44</v>
          </cell>
          <cell r="E88">
            <v>14.02</v>
          </cell>
          <cell r="F88" t="str">
            <v/>
          </cell>
          <cell r="G88" t="str">
            <v/>
          </cell>
          <cell r="H88" t="str">
            <v/>
          </cell>
          <cell r="I88" t="str">
            <v/>
          </cell>
          <cell r="J88" t="str">
            <v/>
          </cell>
          <cell r="K88" t="str">
            <v/>
          </cell>
          <cell r="L88" t="str">
            <v/>
          </cell>
          <cell r="M88" t="str">
            <v/>
          </cell>
          <cell r="N88" t="str">
            <v/>
          </cell>
          <cell r="O88">
            <v>1.2467999999999999</v>
          </cell>
        </row>
        <row r="89">
          <cell r="A89" t="str">
            <v>A07103</v>
          </cell>
          <cell r="B89" t="str">
            <v>127/03/13</v>
          </cell>
          <cell r="C89">
            <v>1.375</v>
          </cell>
          <cell r="D89">
            <v>13.09</v>
          </cell>
          <cell r="E89">
            <v>14.59</v>
          </cell>
          <cell r="F89" t="str">
            <v/>
          </cell>
          <cell r="G89" t="str">
            <v/>
          </cell>
          <cell r="H89" t="str">
            <v/>
          </cell>
          <cell r="I89" t="str">
            <v/>
          </cell>
          <cell r="J89" t="str">
            <v/>
          </cell>
          <cell r="K89" t="str">
            <v/>
          </cell>
          <cell r="L89" t="str">
            <v/>
          </cell>
          <cell r="M89" t="str">
            <v/>
          </cell>
          <cell r="N89" t="str">
            <v/>
          </cell>
          <cell r="O89">
            <v>1.2585</v>
          </cell>
        </row>
        <row r="90">
          <cell r="A90" t="str">
            <v>A07108</v>
          </cell>
          <cell r="B90" t="str">
            <v>127/09/21</v>
          </cell>
          <cell r="C90">
            <v>1.125</v>
          </cell>
          <cell r="D90">
            <v>13.66</v>
          </cell>
          <cell r="E90">
            <v>15.12</v>
          </cell>
          <cell r="F90" t="str">
            <v/>
          </cell>
          <cell r="G90" t="str">
            <v/>
          </cell>
          <cell r="H90" t="str">
            <v/>
          </cell>
          <cell r="I90" t="str">
            <v/>
          </cell>
          <cell r="J90" t="str">
            <v/>
          </cell>
          <cell r="K90" t="str">
            <v/>
          </cell>
          <cell r="L90" t="str">
            <v/>
          </cell>
          <cell r="M90" t="str">
            <v/>
          </cell>
          <cell r="N90" t="str">
            <v/>
          </cell>
          <cell r="O90">
            <v>1.2706999999999999</v>
          </cell>
        </row>
        <row r="91">
          <cell r="A91" t="str">
            <v>A99102</v>
          </cell>
          <cell r="B91" t="str">
            <v>129/01/28</v>
          </cell>
          <cell r="C91">
            <v>2.25</v>
          </cell>
          <cell r="D91">
            <v>13.81</v>
          </cell>
          <cell r="E91">
            <v>16.47</v>
          </cell>
          <cell r="F91" t="str">
            <v/>
          </cell>
          <cell r="G91" t="str">
            <v/>
          </cell>
          <cell r="H91" t="str">
            <v/>
          </cell>
          <cell r="I91" t="str">
            <v/>
          </cell>
          <cell r="J91" t="str">
            <v/>
          </cell>
          <cell r="K91" t="str">
            <v/>
          </cell>
          <cell r="L91" t="str">
            <v/>
          </cell>
          <cell r="M91" t="str">
            <v/>
          </cell>
          <cell r="N91" t="str">
            <v/>
          </cell>
          <cell r="O91">
            <v>1.2911999999999999</v>
          </cell>
        </row>
        <row r="92">
          <cell r="A92" t="str">
            <v>A08102</v>
          </cell>
          <cell r="B92" t="str">
            <v>128/01/28</v>
          </cell>
          <cell r="C92">
            <v>1.125</v>
          </cell>
          <cell r="D92">
            <v>14</v>
          </cell>
          <cell r="E92">
            <v>15.47</v>
          </cell>
          <cell r="F92" t="str">
            <v/>
          </cell>
          <cell r="G92" t="str">
            <v/>
          </cell>
          <cell r="H92" t="str">
            <v/>
          </cell>
          <cell r="I92" t="str">
            <v/>
          </cell>
          <cell r="J92" t="str">
            <v/>
          </cell>
          <cell r="K92" t="str">
            <v/>
          </cell>
          <cell r="L92" t="str">
            <v/>
          </cell>
          <cell r="M92" t="str">
            <v/>
          </cell>
          <cell r="N92" t="str">
            <v/>
          </cell>
          <cell r="O92">
            <v>1.2781</v>
          </cell>
        </row>
        <row r="93">
          <cell r="A93" t="str">
            <v>A08104</v>
          </cell>
          <cell r="B93" t="str">
            <v>128/03/04</v>
          </cell>
          <cell r="C93">
            <v>1.125</v>
          </cell>
          <cell r="D93">
            <v>14.1</v>
          </cell>
          <cell r="E93">
            <v>15.57</v>
          </cell>
          <cell r="F93" t="str">
            <v/>
          </cell>
          <cell r="G93" t="str">
            <v/>
          </cell>
          <cell r="H93" t="str">
            <v/>
          </cell>
          <cell r="I93" t="str">
            <v/>
          </cell>
          <cell r="J93" t="str">
            <v/>
          </cell>
          <cell r="K93" t="str">
            <v/>
          </cell>
          <cell r="L93" t="str">
            <v/>
          </cell>
          <cell r="M93" t="str">
            <v/>
          </cell>
          <cell r="N93" t="str">
            <v/>
          </cell>
          <cell r="O93">
            <v>1.2802</v>
          </cell>
        </row>
        <row r="94">
          <cell r="A94" t="str">
            <v>A99109</v>
          </cell>
          <cell r="B94" t="str">
            <v>129/12/28</v>
          </cell>
          <cell r="C94">
            <v>2.125</v>
          </cell>
          <cell r="D94">
            <v>14.54</v>
          </cell>
          <cell r="E94">
            <v>17.39</v>
          </cell>
          <cell r="F94" t="str">
            <v/>
          </cell>
          <cell r="G94" t="str">
            <v/>
          </cell>
          <cell r="H94" t="str">
            <v/>
          </cell>
          <cell r="I94" t="str">
            <v/>
          </cell>
          <cell r="J94" t="str">
            <v/>
          </cell>
          <cell r="K94" t="str">
            <v/>
          </cell>
          <cell r="L94" t="str">
            <v/>
          </cell>
          <cell r="M94" t="str">
            <v/>
          </cell>
          <cell r="N94" t="str">
            <v/>
          </cell>
          <cell r="O94">
            <v>1.3110999999999999</v>
          </cell>
        </row>
        <row r="95">
          <cell r="A95" t="str">
            <v>A00104</v>
          </cell>
          <cell r="B95" t="str">
            <v>130/02/22</v>
          </cell>
          <cell r="C95">
            <v>2</v>
          </cell>
          <cell r="D95">
            <v>14.8</v>
          </cell>
          <cell r="E95">
            <v>17.54</v>
          </cell>
          <cell r="F95" t="str">
            <v/>
          </cell>
          <cell r="G95" t="str">
            <v/>
          </cell>
          <cell r="H95" t="str">
            <v/>
          </cell>
          <cell r="I95" t="str">
            <v/>
          </cell>
          <cell r="J95" t="str">
            <v/>
          </cell>
          <cell r="K95" t="str">
            <v/>
          </cell>
          <cell r="L95" t="str">
            <v/>
          </cell>
          <cell r="M95" t="str">
            <v/>
          </cell>
          <cell r="N95" t="str">
            <v/>
          </cell>
          <cell r="O95">
            <v>1.3152999999999999</v>
          </cell>
        </row>
        <row r="96">
          <cell r="A96" t="str">
            <v>A08108</v>
          </cell>
          <cell r="B96" t="str">
            <v>128/09/06</v>
          </cell>
          <cell r="C96">
            <v>0.75</v>
          </cell>
          <cell r="D96">
            <v>14.85</v>
          </cell>
          <cell r="E96">
            <v>16.07</v>
          </cell>
          <cell r="F96" t="str">
            <v/>
          </cell>
          <cell r="G96" t="str">
            <v/>
          </cell>
          <cell r="H96" t="str">
            <v/>
          </cell>
          <cell r="I96" t="str">
            <v/>
          </cell>
          <cell r="J96" t="str">
            <v/>
          </cell>
          <cell r="K96" t="str">
            <v/>
          </cell>
          <cell r="L96" t="str">
            <v/>
          </cell>
          <cell r="M96" t="str">
            <v/>
          </cell>
          <cell r="N96" t="str">
            <v/>
          </cell>
          <cell r="O96">
            <v>1.2939000000000001</v>
          </cell>
        </row>
        <row r="97">
          <cell r="A97" t="str">
            <v>A00108</v>
          </cell>
          <cell r="B97" t="str">
            <v>130/08/22</v>
          </cell>
          <cell r="C97">
            <v>1.875</v>
          </cell>
          <cell r="D97">
            <v>15.14</v>
          </cell>
          <cell r="E97">
            <v>18.03</v>
          </cell>
          <cell r="F97" t="str">
            <v/>
          </cell>
          <cell r="G97" t="str">
            <v/>
          </cell>
          <cell r="H97" t="str">
            <v/>
          </cell>
          <cell r="I97" t="str">
            <v/>
          </cell>
          <cell r="J97" t="str">
            <v/>
          </cell>
          <cell r="K97" t="str">
            <v/>
          </cell>
          <cell r="L97" t="str">
            <v/>
          </cell>
          <cell r="M97" t="str">
            <v/>
          </cell>
          <cell r="N97" t="str">
            <v/>
          </cell>
          <cell r="O97">
            <v>1.3268</v>
          </cell>
        </row>
        <row r="98">
          <cell r="A98" t="str">
            <v>A09102</v>
          </cell>
          <cell r="B98" t="str">
            <v>129/01/17</v>
          </cell>
          <cell r="C98">
            <v>0.75</v>
          </cell>
          <cell r="D98">
            <v>15.21</v>
          </cell>
          <cell r="E98">
            <v>16.440000000000001</v>
          </cell>
          <cell r="F98" t="str">
            <v/>
          </cell>
          <cell r="G98" t="str">
            <v/>
          </cell>
          <cell r="H98" t="str">
            <v/>
          </cell>
          <cell r="I98" t="str">
            <v/>
          </cell>
          <cell r="J98" t="str">
            <v/>
          </cell>
          <cell r="K98" t="str">
            <v/>
          </cell>
          <cell r="L98" t="str">
            <v/>
          </cell>
          <cell r="M98" t="str">
            <v/>
          </cell>
          <cell r="N98" t="str">
            <v/>
          </cell>
          <cell r="O98">
            <v>1.3019000000000001</v>
          </cell>
        </row>
        <row r="99">
          <cell r="A99" t="str">
            <v>A09104</v>
          </cell>
          <cell r="B99" t="str">
            <v>129/03/09</v>
          </cell>
          <cell r="C99">
            <v>0.5</v>
          </cell>
          <cell r="D99">
            <v>15.66</v>
          </cell>
          <cell r="E99">
            <v>16.579999999999998</v>
          </cell>
          <cell r="F99" t="str">
            <v/>
          </cell>
          <cell r="G99" t="str">
            <v/>
          </cell>
          <cell r="H99" t="str">
            <v/>
          </cell>
          <cell r="I99" t="str">
            <v/>
          </cell>
          <cell r="J99" t="str">
            <v/>
          </cell>
          <cell r="K99" t="str">
            <v/>
          </cell>
          <cell r="L99" t="str">
            <v/>
          </cell>
          <cell r="M99" t="str">
            <v/>
          </cell>
          <cell r="N99" t="str">
            <v/>
          </cell>
          <cell r="O99">
            <v>1.3072999999999999</v>
          </cell>
        </row>
        <row r="100">
          <cell r="A100" t="str">
            <v>A01104</v>
          </cell>
          <cell r="B100" t="str">
            <v>131/02/13</v>
          </cell>
          <cell r="C100">
            <v>1.75</v>
          </cell>
          <cell r="D100">
            <v>15.73</v>
          </cell>
          <cell r="E100">
            <v>18.510000000000002</v>
          </cell>
          <cell r="F100" t="str">
            <v/>
          </cell>
          <cell r="G100" t="str">
            <v/>
          </cell>
          <cell r="H100" t="str">
            <v/>
          </cell>
          <cell r="I100" t="str">
            <v/>
          </cell>
          <cell r="J100" t="str">
            <v/>
          </cell>
          <cell r="K100" t="str">
            <v/>
          </cell>
          <cell r="L100" t="str">
            <v/>
          </cell>
          <cell r="M100" t="str">
            <v/>
          </cell>
          <cell r="N100" t="str">
            <v/>
          </cell>
          <cell r="O100">
            <v>1.3380000000000001</v>
          </cell>
        </row>
        <row r="101">
          <cell r="A101" t="str">
            <v>A02109</v>
          </cell>
          <cell r="B101" t="str">
            <v>132/08/02</v>
          </cell>
          <cell r="C101">
            <v>2.5</v>
          </cell>
          <cell r="D101">
            <v>16.149999999999999</v>
          </cell>
          <cell r="E101">
            <v>19.98</v>
          </cell>
          <cell r="F101">
            <v>1.3685</v>
          </cell>
          <cell r="G101">
            <v>1.3685</v>
          </cell>
          <cell r="H101">
            <v>1.3685</v>
          </cell>
          <cell r="I101">
            <v>1</v>
          </cell>
          <cell r="J101">
            <v>1.3674999999999999</v>
          </cell>
          <cell r="K101">
            <v>1.3674999999999999</v>
          </cell>
          <cell r="L101">
            <v>1.3674999999999999</v>
          </cell>
          <cell r="M101">
            <v>1</v>
          </cell>
          <cell r="N101">
            <v>1</v>
          </cell>
          <cell r="O101">
            <v>1.3608</v>
          </cell>
        </row>
        <row r="102">
          <cell r="A102" t="str">
            <v>A11109</v>
          </cell>
          <cell r="B102" t="str">
            <v>131/09/30</v>
          </cell>
          <cell r="C102">
            <v>1.875</v>
          </cell>
          <cell r="D102">
            <v>15.95</v>
          </cell>
          <cell r="E102">
            <v>19.14</v>
          </cell>
          <cell r="F102" t="str">
            <v/>
          </cell>
          <cell r="G102" t="str">
            <v/>
          </cell>
          <cell r="H102" t="str">
            <v/>
          </cell>
          <cell r="I102" t="str">
            <v/>
          </cell>
          <cell r="J102" t="str">
            <v/>
          </cell>
          <cell r="K102" t="str">
            <v/>
          </cell>
          <cell r="L102" t="str">
            <v/>
          </cell>
          <cell r="M102" t="str">
            <v/>
          </cell>
          <cell r="N102" t="str">
            <v/>
          </cell>
          <cell r="O102">
            <v>1.35</v>
          </cell>
        </row>
        <row r="103">
          <cell r="A103" t="str">
            <v>A09108</v>
          </cell>
          <cell r="B103" t="str">
            <v>129/09/18</v>
          </cell>
          <cell r="C103">
            <v>0.5</v>
          </cell>
          <cell r="D103">
            <v>16.079999999999998</v>
          </cell>
          <cell r="E103">
            <v>17.11</v>
          </cell>
          <cell r="F103" t="str">
            <v/>
          </cell>
          <cell r="G103" t="str">
            <v/>
          </cell>
          <cell r="H103" t="str">
            <v/>
          </cell>
          <cell r="I103" t="str">
            <v/>
          </cell>
          <cell r="J103" t="str">
            <v/>
          </cell>
          <cell r="K103" t="str">
            <v/>
          </cell>
          <cell r="L103" t="str">
            <v/>
          </cell>
          <cell r="M103" t="str">
            <v/>
          </cell>
          <cell r="N103" t="str">
            <v/>
          </cell>
          <cell r="O103">
            <v>1.3192999999999999</v>
          </cell>
        </row>
        <row r="104">
          <cell r="A104" t="str">
            <v>A01108</v>
          </cell>
          <cell r="B104" t="str">
            <v>131/08/24</v>
          </cell>
          <cell r="C104">
            <v>1.625</v>
          </cell>
          <cell r="D104">
            <v>16.13</v>
          </cell>
          <cell r="E104">
            <v>19.04</v>
          </cell>
          <cell r="F104" t="str">
            <v/>
          </cell>
          <cell r="G104" t="str">
            <v/>
          </cell>
          <cell r="H104" t="str">
            <v/>
          </cell>
          <cell r="I104" t="str">
            <v/>
          </cell>
          <cell r="J104" t="str">
            <v/>
          </cell>
          <cell r="K104" t="str">
            <v/>
          </cell>
          <cell r="L104" t="str">
            <v/>
          </cell>
          <cell r="M104" t="str">
            <v/>
          </cell>
          <cell r="N104" t="str">
            <v/>
          </cell>
          <cell r="O104">
            <v>1.3504</v>
          </cell>
        </row>
        <row r="105">
          <cell r="A105" t="str">
            <v>A10102</v>
          </cell>
          <cell r="B105" t="str">
            <v>130/01/29</v>
          </cell>
          <cell r="C105">
            <v>0.5</v>
          </cell>
          <cell r="D105">
            <v>16.440000000000001</v>
          </cell>
          <cell r="E105">
            <v>17.47</v>
          </cell>
          <cell r="F105" t="str">
            <v/>
          </cell>
          <cell r="G105" t="str">
            <v/>
          </cell>
          <cell r="H105" t="str">
            <v/>
          </cell>
          <cell r="I105" t="str">
            <v/>
          </cell>
          <cell r="J105" t="str">
            <v/>
          </cell>
          <cell r="K105" t="str">
            <v/>
          </cell>
          <cell r="L105" t="str">
            <v/>
          </cell>
          <cell r="M105" t="str">
            <v/>
          </cell>
          <cell r="N105" t="str">
            <v/>
          </cell>
          <cell r="O105">
            <v>1.3277000000000001</v>
          </cell>
        </row>
        <row r="106">
          <cell r="A106" t="str">
            <v>A02105</v>
          </cell>
          <cell r="B106" t="str">
            <v>132/02/26</v>
          </cell>
          <cell r="C106">
            <v>1.75</v>
          </cell>
          <cell r="D106">
            <v>16.489999999999998</v>
          </cell>
          <cell r="E106">
            <v>19.55</v>
          </cell>
          <cell r="F106" t="str">
            <v/>
          </cell>
          <cell r="G106" t="str">
            <v/>
          </cell>
          <cell r="H106" t="str">
            <v/>
          </cell>
          <cell r="I106" t="str">
            <v/>
          </cell>
          <cell r="J106" t="str">
            <v/>
          </cell>
          <cell r="K106" t="str">
            <v/>
          </cell>
          <cell r="L106" t="str">
            <v/>
          </cell>
          <cell r="M106" t="str">
            <v/>
          </cell>
          <cell r="N106" t="str">
            <v/>
          </cell>
          <cell r="O106">
            <v>1.3596999999999999</v>
          </cell>
        </row>
        <row r="107">
          <cell r="A107" t="str">
            <v>A09113</v>
          </cell>
          <cell r="B107" t="str">
            <v>129/12/29</v>
          </cell>
          <cell r="C107">
            <v>0.375</v>
          </cell>
          <cell r="D107">
            <v>16.54</v>
          </cell>
          <cell r="E107">
            <v>17.39</v>
          </cell>
          <cell r="F107" t="str">
            <v/>
          </cell>
          <cell r="G107" t="str">
            <v/>
          </cell>
          <cell r="H107" t="str">
            <v/>
          </cell>
          <cell r="I107" t="str">
            <v/>
          </cell>
          <cell r="J107" t="str">
            <v/>
          </cell>
          <cell r="K107" t="str">
            <v/>
          </cell>
          <cell r="L107" t="str">
            <v/>
          </cell>
          <cell r="M107" t="str">
            <v/>
          </cell>
          <cell r="N107" t="str">
            <v/>
          </cell>
          <cell r="O107">
            <v>1.327</v>
          </cell>
        </row>
        <row r="108">
          <cell r="A108" t="str">
            <v>A11101</v>
          </cell>
          <cell r="B108" t="str">
            <v>131/01/18</v>
          </cell>
          <cell r="C108">
            <v>1</v>
          </cell>
          <cell r="D108">
            <v>16.559999999999999</v>
          </cell>
          <cell r="E108">
            <v>18.440000000000001</v>
          </cell>
          <cell r="F108" t="str">
            <v/>
          </cell>
          <cell r="G108" t="str">
            <v/>
          </cell>
          <cell r="H108" t="str">
            <v/>
          </cell>
          <cell r="I108" t="str">
            <v/>
          </cell>
          <cell r="J108" t="str">
            <v/>
          </cell>
          <cell r="K108" t="str">
            <v/>
          </cell>
          <cell r="L108" t="str">
            <v/>
          </cell>
          <cell r="M108" t="str">
            <v/>
          </cell>
          <cell r="N108" t="str">
            <v/>
          </cell>
          <cell r="O108">
            <v>1.3441000000000001</v>
          </cell>
        </row>
        <row r="109">
          <cell r="A109" t="str">
            <v>A10105</v>
          </cell>
          <cell r="B109" t="str">
            <v>130/05/21</v>
          </cell>
          <cell r="C109">
            <v>0.625</v>
          </cell>
          <cell r="D109">
            <v>16.57</v>
          </cell>
          <cell r="E109">
            <v>17.78</v>
          </cell>
          <cell r="F109" t="str">
            <v/>
          </cell>
          <cell r="G109" t="str">
            <v/>
          </cell>
          <cell r="H109" t="str">
            <v/>
          </cell>
          <cell r="I109" t="str">
            <v/>
          </cell>
          <cell r="J109" t="str">
            <v/>
          </cell>
          <cell r="K109" t="str">
            <v/>
          </cell>
          <cell r="L109" t="str">
            <v/>
          </cell>
          <cell r="M109" t="str">
            <v/>
          </cell>
          <cell r="N109" t="str">
            <v/>
          </cell>
          <cell r="O109">
            <v>1.3333999999999999</v>
          </cell>
        </row>
        <row r="110">
          <cell r="A110" t="str">
            <v>A03112</v>
          </cell>
          <cell r="B110" t="str">
            <v>133/08/04</v>
          </cell>
          <cell r="C110">
            <v>2.25</v>
          </cell>
          <cell r="D110">
            <v>17.05</v>
          </cell>
          <cell r="E110">
            <v>20.99</v>
          </cell>
          <cell r="F110" t="str">
            <v/>
          </cell>
          <cell r="G110" t="str">
            <v/>
          </cell>
          <cell r="H110" t="str">
            <v/>
          </cell>
          <cell r="I110" t="str">
            <v/>
          </cell>
          <cell r="J110" t="str">
            <v/>
          </cell>
          <cell r="K110" t="str">
            <v/>
          </cell>
          <cell r="L110" t="str">
            <v/>
          </cell>
          <cell r="M110" t="str">
            <v/>
          </cell>
          <cell r="N110" t="str">
            <v/>
          </cell>
          <cell r="O110">
            <v>1.3832</v>
          </cell>
        </row>
        <row r="111">
          <cell r="A111" t="str">
            <v>A03105</v>
          </cell>
          <cell r="B111" t="str">
            <v>133/02/26</v>
          </cell>
          <cell r="C111">
            <v>2.125</v>
          </cell>
          <cell r="D111">
            <v>16.760000000000002</v>
          </cell>
          <cell r="E111">
            <v>20.55</v>
          </cell>
          <cell r="F111" t="str">
            <v/>
          </cell>
          <cell r="G111" t="str">
            <v/>
          </cell>
          <cell r="H111" t="str">
            <v/>
          </cell>
          <cell r="I111" t="str">
            <v/>
          </cell>
          <cell r="J111" t="str">
            <v/>
          </cell>
          <cell r="K111" t="str">
            <v/>
          </cell>
          <cell r="L111" t="str">
            <v/>
          </cell>
          <cell r="M111" t="str">
            <v/>
          </cell>
          <cell r="N111" t="str">
            <v/>
          </cell>
          <cell r="O111">
            <v>1.3758999999999999</v>
          </cell>
        </row>
        <row r="112">
          <cell r="A112" t="str">
            <v>A11104</v>
          </cell>
          <cell r="B112" t="str">
            <v>131/03/04</v>
          </cell>
          <cell r="C112">
            <v>0.875</v>
          </cell>
          <cell r="D112">
            <v>16.850000000000001</v>
          </cell>
          <cell r="E112">
            <v>18.57</v>
          </cell>
          <cell r="F112" t="str">
            <v/>
          </cell>
          <cell r="G112" t="str">
            <v/>
          </cell>
          <cell r="H112" t="str">
            <v/>
          </cell>
          <cell r="I112" t="str">
            <v/>
          </cell>
          <cell r="J112" t="str">
            <v/>
          </cell>
          <cell r="K112" t="str">
            <v/>
          </cell>
          <cell r="L112" t="str">
            <v/>
          </cell>
          <cell r="M112" t="str">
            <v/>
          </cell>
          <cell r="N112" t="str">
            <v/>
          </cell>
          <cell r="O112">
            <v>1.3483000000000001</v>
          </cell>
        </row>
        <row r="113">
          <cell r="A113" t="str">
            <v>A10112</v>
          </cell>
          <cell r="B113" t="str">
            <v>130/11/12</v>
          </cell>
          <cell r="C113">
            <v>0.625</v>
          </cell>
          <cell r="D113">
            <v>16.920000000000002</v>
          </cell>
          <cell r="E113">
            <v>18.260000000000002</v>
          </cell>
          <cell r="F113" t="str">
            <v/>
          </cell>
          <cell r="G113" t="str">
            <v/>
          </cell>
          <cell r="H113" t="str">
            <v/>
          </cell>
          <cell r="I113" t="str">
            <v/>
          </cell>
          <cell r="J113" t="str">
            <v/>
          </cell>
          <cell r="K113" t="str">
            <v/>
          </cell>
          <cell r="L113" t="str">
            <v/>
          </cell>
          <cell r="M113" t="str">
            <v/>
          </cell>
          <cell r="N113" t="str">
            <v/>
          </cell>
          <cell r="O113">
            <v>1.3443000000000001</v>
          </cell>
        </row>
        <row r="114">
          <cell r="A114" t="str">
            <v>A12104</v>
          </cell>
          <cell r="B114" t="str">
            <v>132/03/03</v>
          </cell>
          <cell r="C114">
            <v>1.375</v>
          </cell>
          <cell r="D114">
            <v>16.96</v>
          </cell>
          <cell r="E114">
            <v>19.559999999999999</v>
          </cell>
          <cell r="F114" t="str">
            <v/>
          </cell>
          <cell r="G114" t="str">
            <v/>
          </cell>
          <cell r="H114" t="str">
            <v/>
          </cell>
          <cell r="I114" t="str">
            <v/>
          </cell>
          <cell r="J114" t="str">
            <v/>
          </cell>
          <cell r="K114" t="str">
            <v/>
          </cell>
          <cell r="L114" t="str">
            <v/>
          </cell>
          <cell r="M114" t="str">
            <v/>
          </cell>
          <cell r="N114" t="str">
            <v/>
          </cell>
          <cell r="O114">
            <v>1.3643000000000001</v>
          </cell>
        </row>
        <row r="115">
          <cell r="A115" t="str">
            <v>A10110</v>
          </cell>
          <cell r="B115" t="str">
            <v>130/09/29</v>
          </cell>
          <cell r="C115">
            <v>0.5</v>
          </cell>
          <cell r="D115">
            <v>17</v>
          </cell>
          <cell r="E115">
            <v>18.14</v>
          </cell>
          <cell r="F115" t="str">
            <v/>
          </cell>
          <cell r="G115" t="str">
            <v/>
          </cell>
          <cell r="H115" t="str">
            <v/>
          </cell>
          <cell r="I115" t="str">
            <v/>
          </cell>
          <cell r="J115" t="str">
            <v/>
          </cell>
          <cell r="K115" t="str">
            <v/>
          </cell>
          <cell r="L115" t="str">
            <v/>
          </cell>
          <cell r="M115" t="str">
            <v/>
          </cell>
          <cell r="N115" t="str">
            <v/>
          </cell>
          <cell r="O115">
            <v>1.3429</v>
          </cell>
        </row>
        <row r="116">
          <cell r="A116" t="str">
            <v>A03116</v>
          </cell>
          <cell r="B116" t="str">
            <v>133/11/26</v>
          </cell>
          <cell r="C116">
            <v>2.25</v>
          </cell>
          <cell r="D116">
            <v>17.03</v>
          </cell>
          <cell r="E116">
            <v>21.3</v>
          </cell>
          <cell r="F116" t="str">
            <v/>
          </cell>
          <cell r="G116" t="str">
            <v/>
          </cell>
          <cell r="H116" t="str">
            <v/>
          </cell>
          <cell r="I116" t="str">
            <v/>
          </cell>
          <cell r="J116" t="str">
            <v/>
          </cell>
          <cell r="K116" t="str">
            <v/>
          </cell>
          <cell r="L116" t="str">
            <v/>
          </cell>
          <cell r="M116" t="str">
            <v/>
          </cell>
          <cell r="N116" t="str">
            <v/>
          </cell>
          <cell r="O116">
            <v>1.3891</v>
          </cell>
        </row>
        <row r="117">
          <cell r="A117" t="str">
            <v>A04104</v>
          </cell>
          <cell r="B117" t="str">
            <v>134/02/13</v>
          </cell>
          <cell r="C117">
            <v>2.375</v>
          </cell>
          <cell r="D117">
            <v>17.100000000000001</v>
          </cell>
          <cell r="E117">
            <v>21.51</v>
          </cell>
          <cell r="F117" t="str">
            <v/>
          </cell>
          <cell r="G117" t="str">
            <v/>
          </cell>
          <cell r="H117" t="str">
            <v/>
          </cell>
          <cell r="I117" t="str">
            <v/>
          </cell>
          <cell r="J117" t="str">
            <v/>
          </cell>
          <cell r="K117" t="str">
            <v/>
          </cell>
          <cell r="L117" t="str">
            <v/>
          </cell>
          <cell r="M117" t="str">
            <v/>
          </cell>
          <cell r="N117" t="str">
            <v/>
          </cell>
          <cell r="O117">
            <v>1.3917999999999999</v>
          </cell>
        </row>
        <row r="118">
          <cell r="A118" t="str">
            <v>A03108</v>
          </cell>
          <cell r="B118" t="str">
            <v>133/05/28</v>
          </cell>
          <cell r="C118">
            <v>2</v>
          </cell>
          <cell r="D118">
            <v>17.14</v>
          </cell>
          <cell r="E118">
            <v>20.8</v>
          </cell>
          <cell r="F118" t="str">
            <v/>
          </cell>
          <cell r="G118" t="str">
            <v/>
          </cell>
          <cell r="H118" t="str">
            <v/>
          </cell>
          <cell r="I118" t="str">
            <v/>
          </cell>
          <cell r="J118" t="str">
            <v/>
          </cell>
          <cell r="K118" t="str">
            <v/>
          </cell>
          <cell r="L118" t="str">
            <v/>
          </cell>
          <cell r="M118" t="str">
            <v/>
          </cell>
          <cell r="N118" t="str">
            <v/>
          </cell>
          <cell r="O118">
            <v>1.3823000000000001</v>
          </cell>
        </row>
        <row r="119">
          <cell r="A119" t="str">
            <v>A12109</v>
          </cell>
          <cell r="B119" t="str">
            <v>132/09/22</v>
          </cell>
          <cell r="C119">
            <v>1.375</v>
          </cell>
          <cell r="D119">
            <v>17.38</v>
          </cell>
          <cell r="E119">
            <v>20</v>
          </cell>
          <cell r="F119" t="str">
            <v/>
          </cell>
          <cell r="G119" t="str">
            <v/>
          </cell>
          <cell r="H119" t="str">
            <v/>
          </cell>
          <cell r="I119" t="str">
            <v/>
          </cell>
          <cell r="J119" t="str">
            <v/>
          </cell>
          <cell r="K119" t="str">
            <v/>
          </cell>
          <cell r="L119" t="str">
            <v/>
          </cell>
          <cell r="M119" t="str">
            <v/>
          </cell>
          <cell r="N119" t="str">
            <v/>
          </cell>
          <cell r="O119">
            <v>1.3735999999999999</v>
          </cell>
        </row>
        <row r="120">
          <cell r="A120" t="str">
            <v>A04108</v>
          </cell>
          <cell r="B120" t="str">
            <v>134/05/15</v>
          </cell>
          <cell r="C120">
            <v>2.375</v>
          </cell>
          <cell r="D120">
            <v>17.34</v>
          </cell>
          <cell r="E120">
            <v>21.76</v>
          </cell>
          <cell r="F120" t="str">
            <v/>
          </cell>
          <cell r="G120" t="str">
            <v/>
          </cell>
          <cell r="H120" t="str">
            <v/>
          </cell>
          <cell r="I120" t="str">
            <v/>
          </cell>
          <cell r="J120" t="str">
            <v/>
          </cell>
          <cell r="K120" t="str">
            <v/>
          </cell>
          <cell r="L120" t="str">
            <v/>
          </cell>
          <cell r="M120" t="str">
            <v/>
          </cell>
          <cell r="N120" t="str">
            <v/>
          </cell>
          <cell r="O120">
            <v>1.3964000000000001</v>
          </cell>
        </row>
        <row r="121">
          <cell r="A121" t="str">
            <v>A04111</v>
          </cell>
          <cell r="B121" t="str">
            <v>134/08/10</v>
          </cell>
          <cell r="C121">
            <v>2.25</v>
          </cell>
          <cell r="D121">
            <v>17.71</v>
          </cell>
          <cell r="E121">
            <v>22</v>
          </cell>
          <cell r="F121" t="str">
            <v/>
          </cell>
          <cell r="G121" t="str">
            <v/>
          </cell>
          <cell r="H121" t="str">
            <v/>
          </cell>
          <cell r="I121" t="str">
            <v/>
          </cell>
          <cell r="J121" t="str">
            <v/>
          </cell>
          <cell r="K121" t="str">
            <v/>
          </cell>
          <cell r="L121" t="str">
            <v/>
          </cell>
          <cell r="M121" t="str">
            <v/>
          </cell>
          <cell r="N121" t="str">
            <v/>
          </cell>
          <cell r="O121">
            <v>1.4024000000000001</v>
          </cell>
        </row>
        <row r="122">
          <cell r="A122" t="str">
            <v>A05114</v>
          </cell>
          <cell r="B122" t="str">
            <v>135/11/25</v>
          </cell>
          <cell r="C122">
            <v>2</v>
          </cell>
          <cell r="D122">
            <v>18.62</v>
          </cell>
          <cell r="E122">
            <v>23.29</v>
          </cell>
          <cell r="F122" t="str">
            <v/>
          </cell>
          <cell r="G122" t="str">
            <v/>
          </cell>
          <cell r="H122" t="str">
            <v/>
          </cell>
          <cell r="I122" t="str">
            <v/>
          </cell>
          <cell r="J122" t="str">
            <v/>
          </cell>
          <cell r="K122" t="str">
            <v/>
          </cell>
          <cell r="L122" t="str">
            <v/>
          </cell>
          <cell r="M122" t="str">
            <v/>
          </cell>
          <cell r="N122" t="str">
            <v/>
          </cell>
          <cell r="O122">
            <v>1.4291</v>
          </cell>
        </row>
        <row r="123">
          <cell r="A123" t="str">
            <v>A05107</v>
          </cell>
          <cell r="B123" t="str">
            <v>135/05/20</v>
          </cell>
          <cell r="C123">
            <v>1.625</v>
          </cell>
          <cell r="D123">
            <v>18.96</v>
          </cell>
          <cell r="E123">
            <v>22.78</v>
          </cell>
          <cell r="F123" t="str">
            <v/>
          </cell>
          <cell r="G123" t="str">
            <v/>
          </cell>
          <cell r="H123" t="str">
            <v/>
          </cell>
          <cell r="I123" t="str">
            <v/>
          </cell>
          <cell r="J123" t="str">
            <v/>
          </cell>
          <cell r="K123" t="str">
            <v/>
          </cell>
          <cell r="L123" t="str">
            <v/>
          </cell>
          <cell r="M123" t="str">
            <v/>
          </cell>
          <cell r="N123" t="str">
            <v/>
          </cell>
          <cell r="O123">
            <v>1.4253</v>
          </cell>
        </row>
        <row r="124">
          <cell r="A124" t="str">
            <v>A06106</v>
          </cell>
          <cell r="B124" t="str">
            <v>136/05/26</v>
          </cell>
          <cell r="C124">
            <v>1.875</v>
          </cell>
          <cell r="D124">
            <v>19.28</v>
          </cell>
          <cell r="E124">
            <v>23.79</v>
          </cell>
          <cell r="F124" t="str">
            <v/>
          </cell>
          <cell r="G124" t="str">
            <v/>
          </cell>
          <cell r="H124" t="str">
            <v/>
          </cell>
          <cell r="I124" t="str">
            <v/>
          </cell>
          <cell r="J124" t="str">
            <v/>
          </cell>
          <cell r="K124" t="str">
            <v/>
          </cell>
          <cell r="L124" t="str">
            <v/>
          </cell>
          <cell r="M124" t="str">
            <v/>
          </cell>
          <cell r="N124" t="str">
            <v/>
          </cell>
          <cell r="O124">
            <v>1.4397</v>
          </cell>
        </row>
        <row r="125">
          <cell r="A125" t="str">
            <v>A05110</v>
          </cell>
          <cell r="B125" t="str">
            <v>135/08/05</v>
          </cell>
          <cell r="C125">
            <v>1.375</v>
          </cell>
          <cell r="D125">
            <v>19.559999999999999</v>
          </cell>
          <cell r="E125">
            <v>22.99</v>
          </cell>
          <cell r="F125" t="str">
            <v/>
          </cell>
          <cell r="G125" t="str">
            <v/>
          </cell>
          <cell r="H125" t="str">
            <v/>
          </cell>
          <cell r="I125" t="str">
            <v/>
          </cell>
          <cell r="J125" t="str">
            <v/>
          </cell>
          <cell r="K125" t="str">
            <v/>
          </cell>
          <cell r="L125" t="str">
            <v/>
          </cell>
          <cell r="M125" t="str">
            <v/>
          </cell>
          <cell r="N125" t="str">
            <v/>
          </cell>
          <cell r="O125">
            <v>1.4331</v>
          </cell>
        </row>
        <row r="126">
          <cell r="A126" t="str">
            <v>A06111</v>
          </cell>
          <cell r="B126" t="str">
            <v>136/11/24</v>
          </cell>
          <cell r="C126">
            <v>1.625</v>
          </cell>
          <cell r="D126">
            <v>19.84</v>
          </cell>
          <cell r="E126">
            <v>24.29</v>
          </cell>
          <cell r="F126" t="str">
            <v/>
          </cell>
          <cell r="G126" t="str">
            <v/>
          </cell>
          <cell r="H126" t="str">
            <v/>
          </cell>
          <cell r="I126" t="str">
            <v/>
          </cell>
          <cell r="J126" t="str">
            <v/>
          </cell>
          <cell r="K126" t="str">
            <v/>
          </cell>
          <cell r="L126" t="str">
            <v/>
          </cell>
          <cell r="M126" t="str">
            <v/>
          </cell>
          <cell r="N126" t="str">
            <v/>
          </cell>
          <cell r="O126">
            <v>1.4520999999999999</v>
          </cell>
        </row>
        <row r="127">
          <cell r="A127" t="str">
            <v>A07104</v>
          </cell>
          <cell r="B127" t="str">
            <v>137/05/18</v>
          </cell>
          <cell r="C127">
            <v>1.5</v>
          </cell>
          <cell r="D127">
            <v>20.52</v>
          </cell>
          <cell r="E127">
            <v>24.77</v>
          </cell>
          <cell r="F127" t="str">
            <v/>
          </cell>
          <cell r="G127" t="str">
            <v/>
          </cell>
          <cell r="H127" t="str">
            <v/>
          </cell>
          <cell r="I127" t="str">
            <v/>
          </cell>
          <cell r="J127" t="str">
            <v/>
          </cell>
          <cell r="K127" t="str">
            <v/>
          </cell>
          <cell r="L127" t="str">
            <v/>
          </cell>
          <cell r="M127" t="str">
            <v/>
          </cell>
          <cell r="N127" t="str">
            <v/>
          </cell>
          <cell r="O127">
            <v>1.4621999999999999</v>
          </cell>
        </row>
        <row r="128">
          <cell r="A128" t="str">
            <v>A07110</v>
          </cell>
          <cell r="B128" t="str">
            <v>137/11/09</v>
          </cell>
          <cell r="C128">
            <v>1.375</v>
          </cell>
          <cell r="D128">
            <v>20.92</v>
          </cell>
          <cell r="E128">
            <v>25.25</v>
          </cell>
          <cell r="F128" t="str">
            <v/>
          </cell>
          <cell r="G128" t="str">
            <v/>
          </cell>
          <cell r="H128" t="str">
            <v/>
          </cell>
          <cell r="I128" t="str">
            <v/>
          </cell>
          <cell r="J128" t="str">
            <v/>
          </cell>
          <cell r="K128" t="str">
            <v/>
          </cell>
          <cell r="L128" t="str">
            <v/>
          </cell>
          <cell r="M128" t="str">
            <v/>
          </cell>
          <cell r="N128" t="str">
            <v/>
          </cell>
          <cell r="O128">
            <v>1.4721</v>
          </cell>
        </row>
        <row r="129">
          <cell r="A129" t="str">
            <v>A11111</v>
          </cell>
          <cell r="B129" t="str">
            <v>141/11/11</v>
          </cell>
          <cell r="C129">
            <v>2.375</v>
          </cell>
          <cell r="D129">
            <v>21.57</v>
          </cell>
          <cell r="E129">
            <v>29.26</v>
          </cell>
          <cell r="F129" t="str">
            <v/>
          </cell>
          <cell r="G129" t="str">
            <v/>
          </cell>
          <cell r="H129" t="str">
            <v/>
          </cell>
          <cell r="I129" t="str">
            <v/>
          </cell>
          <cell r="J129" t="str">
            <v/>
          </cell>
          <cell r="K129" t="str">
            <v/>
          </cell>
          <cell r="L129" t="str">
            <v/>
          </cell>
          <cell r="M129" t="str">
            <v/>
          </cell>
          <cell r="N129" t="str">
            <v/>
          </cell>
          <cell r="O129">
            <v>1.5036</v>
          </cell>
        </row>
        <row r="130">
          <cell r="A130" t="str">
            <v>A08105</v>
          </cell>
          <cell r="B130" t="str">
            <v>138/05/17</v>
          </cell>
          <cell r="C130">
            <v>1.125</v>
          </cell>
          <cell r="D130">
            <v>21.96</v>
          </cell>
          <cell r="E130">
            <v>25.77</v>
          </cell>
          <cell r="F130" t="str">
            <v/>
          </cell>
          <cell r="G130" t="str">
            <v/>
          </cell>
          <cell r="H130" t="str">
            <v/>
          </cell>
          <cell r="I130" t="str">
            <v/>
          </cell>
          <cell r="J130" t="str">
            <v/>
          </cell>
          <cell r="K130" t="str">
            <v/>
          </cell>
          <cell r="L130" t="str">
            <v/>
          </cell>
          <cell r="M130" t="str">
            <v/>
          </cell>
          <cell r="N130" t="str">
            <v/>
          </cell>
          <cell r="O130">
            <v>1.4852000000000001</v>
          </cell>
        </row>
        <row r="131">
          <cell r="A131" t="str">
            <v>A11105</v>
          </cell>
          <cell r="B131" t="str">
            <v>141/05/20</v>
          </cell>
          <cell r="C131">
            <v>2</v>
          </cell>
          <cell r="D131">
            <v>22.14</v>
          </cell>
          <cell r="E131">
            <v>28.78</v>
          </cell>
          <cell r="F131" t="str">
            <v/>
          </cell>
          <cell r="G131" t="str">
            <v/>
          </cell>
          <cell r="H131" t="str">
            <v/>
          </cell>
          <cell r="I131" t="str">
            <v/>
          </cell>
          <cell r="J131" t="str">
            <v/>
          </cell>
          <cell r="K131" t="str">
            <v/>
          </cell>
          <cell r="L131" t="str">
            <v/>
          </cell>
          <cell r="M131" t="str">
            <v/>
          </cell>
          <cell r="N131" t="str">
            <v/>
          </cell>
          <cell r="O131">
            <v>1.5057</v>
          </cell>
        </row>
        <row r="132">
          <cell r="A132" t="str">
            <v>A08110</v>
          </cell>
          <cell r="B132" t="str">
            <v>138/11/08</v>
          </cell>
          <cell r="C132">
            <v>1</v>
          </cell>
          <cell r="D132">
            <v>22.47</v>
          </cell>
          <cell r="E132">
            <v>26.25</v>
          </cell>
          <cell r="F132" t="str">
            <v/>
          </cell>
          <cell r="G132" t="str">
            <v/>
          </cell>
          <cell r="H132" t="str">
            <v/>
          </cell>
          <cell r="I132" t="str">
            <v/>
          </cell>
          <cell r="J132" t="str">
            <v/>
          </cell>
          <cell r="K132" t="str">
            <v/>
          </cell>
          <cell r="L132" t="str">
            <v/>
          </cell>
          <cell r="M132" t="str">
            <v/>
          </cell>
          <cell r="N132" t="str">
            <v/>
          </cell>
          <cell r="O132">
            <v>1.4950000000000001</v>
          </cell>
        </row>
        <row r="133">
          <cell r="A133" t="str">
            <v>A09105</v>
          </cell>
          <cell r="B133" t="str">
            <v>139/05/12</v>
          </cell>
          <cell r="C133">
            <v>0.75</v>
          </cell>
          <cell r="D133">
            <v>23.64</v>
          </cell>
          <cell r="E133">
            <v>26.75</v>
          </cell>
          <cell r="F133" t="str">
            <v/>
          </cell>
          <cell r="G133" t="str">
            <v/>
          </cell>
          <cell r="H133" t="str">
            <v/>
          </cell>
          <cell r="I133" t="str">
            <v/>
          </cell>
          <cell r="J133" t="str">
            <v/>
          </cell>
          <cell r="K133" t="str">
            <v/>
          </cell>
          <cell r="L133" t="str">
            <v/>
          </cell>
          <cell r="M133" t="str">
            <v/>
          </cell>
          <cell r="N133" t="str">
            <v/>
          </cell>
          <cell r="O133">
            <v>1.5081</v>
          </cell>
        </row>
        <row r="134">
          <cell r="A134" t="str">
            <v>A10113</v>
          </cell>
          <cell r="B134" t="str">
            <v>140/12/23</v>
          </cell>
          <cell r="C134">
            <v>1.125</v>
          </cell>
          <cell r="D134">
            <v>23.66</v>
          </cell>
          <cell r="E134">
            <v>28.37</v>
          </cell>
          <cell r="F134" t="str">
            <v/>
          </cell>
          <cell r="G134" t="str">
            <v/>
          </cell>
          <cell r="H134" t="str">
            <v/>
          </cell>
          <cell r="I134" t="str">
            <v/>
          </cell>
          <cell r="J134" t="str">
            <v/>
          </cell>
          <cell r="K134" t="str">
            <v/>
          </cell>
          <cell r="L134" t="str">
            <v/>
          </cell>
          <cell r="M134" t="str">
            <v/>
          </cell>
          <cell r="N134" t="str">
            <v/>
          </cell>
          <cell r="O134">
            <v>1.5195000000000001</v>
          </cell>
        </row>
        <row r="135">
          <cell r="A135" t="str">
            <v>A12105</v>
          </cell>
          <cell r="B135" t="str">
            <v>142/05/12</v>
          </cell>
          <cell r="C135">
            <v>1.5</v>
          </cell>
          <cell r="D135">
            <v>23.75</v>
          </cell>
          <cell r="E135">
            <v>29.76</v>
          </cell>
          <cell r="F135" t="str">
            <v/>
          </cell>
          <cell r="G135" t="str">
            <v/>
          </cell>
          <cell r="H135" t="str">
            <v/>
          </cell>
          <cell r="I135" t="str">
            <v/>
          </cell>
          <cell r="J135" t="str">
            <v/>
          </cell>
          <cell r="K135" t="str">
            <v/>
          </cell>
          <cell r="L135" t="str">
            <v/>
          </cell>
          <cell r="M135" t="str">
            <v/>
          </cell>
          <cell r="N135" t="str">
            <v/>
          </cell>
          <cell r="O135">
            <v>1.5243</v>
          </cell>
        </row>
        <row r="136">
          <cell r="A136" t="str">
            <v>A10104</v>
          </cell>
          <cell r="B136" t="str">
            <v>140/02/25</v>
          </cell>
          <cell r="C136">
            <v>0.625</v>
          </cell>
          <cell r="D136">
            <v>24.6</v>
          </cell>
          <cell r="E136">
            <v>27.55</v>
          </cell>
          <cell r="F136" t="str">
            <v/>
          </cell>
          <cell r="G136" t="str">
            <v/>
          </cell>
          <cell r="H136" t="str">
            <v/>
          </cell>
          <cell r="I136" t="str">
            <v/>
          </cell>
          <cell r="J136" t="str">
            <v/>
          </cell>
          <cell r="K136" t="str">
            <v/>
          </cell>
          <cell r="L136" t="str">
            <v/>
          </cell>
          <cell r="M136" t="str">
            <v/>
          </cell>
          <cell r="N136" t="str">
            <v/>
          </cell>
          <cell r="O136">
            <v>1.5219</v>
          </cell>
        </row>
        <row r="137">
          <cell r="A137" t="str">
            <v>A09111</v>
          </cell>
          <cell r="B137" t="str">
            <v>139/11/27</v>
          </cell>
          <cell r="C137">
            <v>0.375</v>
          </cell>
          <cell r="D137">
            <v>25.25</v>
          </cell>
          <cell r="E137">
            <v>27.3</v>
          </cell>
          <cell r="F137" t="str">
            <v/>
          </cell>
          <cell r="G137" t="str">
            <v/>
          </cell>
          <cell r="H137" t="str">
            <v/>
          </cell>
          <cell r="I137" t="str">
            <v/>
          </cell>
          <cell r="J137" t="str">
            <v/>
          </cell>
          <cell r="K137" t="str">
            <v/>
          </cell>
          <cell r="L137" t="str">
            <v/>
          </cell>
          <cell r="M137" t="str">
            <v/>
          </cell>
          <cell r="N137" t="str">
            <v/>
          </cell>
          <cell r="O137">
            <v>1.5253000000000001</v>
          </cell>
        </row>
        <row r="138">
          <cell r="A138" t="str">
            <v>B618D7</v>
          </cell>
          <cell r="B138" t="str">
            <v>P11台積5B</v>
          </cell>
          <cell r="C138">
            <v>3.82</v>
          </cell>
          <cell r="D138">
            <v>4.04</v>
          </cell>
          <cell r="E138">
            <v>0</v>
          </cell>
          <cell r="F138">
            <v>1.53</v>
          </cell>
          <cell r="G138">
            <v>1.528</v>
          </cell>
          <cell r="H138">
            <v>1.5289999999999999</v>
          </cell>
          <cell r="I138">
            <v>8</v>
          </cell>
          <cell r="J138" t="str">
            <v/>
          </cell>
          <cell r="K138" t="str">
            <v/>
          </cell>
          <cell r="L138" t="str">
            <v/>
          </cell>
          <cell r="M138" t="str">
            <v/>
          </cell>
          <cell r="N138" t="str">
            <v/>
          </cell>
          <cell r="O138" t="e">
            <v>#N/A</v>
          </cell>
        </row>
        <row r="139">
          <cell r="A139" t="str">
            <v>G13105</v>
          </cell>
          <cell r="B139" t="str">
            <v>04農金庫1</v>
          </cell>
          <cell r="C139" t="str">
            <v>TWD</v>
          </cell>
          <cell r="D139">
            <v>1.47</v>
          </cell>
          <cell r="E139">
            <v>1.51</v>
          </cell>
          <cell r="F139" t="str">
            <v/>
          </cell>
          <cell r="G139" t="str">
            <v/>
          </cell>
          <cell r="H139" t="str">
            <v/>
          </cell>
          <cell r="I139" t="str">
            <v/>
          </cell>
          <cell r="J139">
            <v>1.59</v>
          </cell>
          <cell r="K139">
            <v>1.58</v>
          </cell>
          <cell r="L139">
            <v>1.5866</v>
          </cell>
          <cell r="M139">
            <v>3</v>
          </cell>
          <cell r="N139">
            <v>3</v>
          </cell>
          <cell r="O139" t="e">
            <v>#N/A</v>
          </cell>
        </row>
        <row r="140">
          <cell r="A140" t="str">
            <v>B99603</v>
          </cell>
          <cell r="B140" t="str">
            <v>P12國壽1A</v>
          </cell>
          <cell r="C140" t="str">
            <v>TWD</v>
          </cell>
          <cell r="D140">
            <v>8.2200000000000006</v>
          </cell>
          <cell r="E140">
            <v>9.98</v>
          </cell>
          <cell r="F140" t="str">
            <v/>
          </cell>
          <cell r="G140" t="str">
            <v/>
          </cell>
          <cell r="H140" t="str">
            <v/>
          </cell>
          <cell r="I140" t="str">
            <v/>
          </cell>
          <cell r="J140">
            <v>3.7</v>
          </cell>
          <cell r="K140">
            <v>3.5790000000000002</v>
          </cell>
          <cell r="L140">
            <v>3.6619999999999999</v>
          </cell>
          <cell r="M140">
            <v>5</v>
          </cell>
          <cell r="N140">
            <v>0.72799999999999998</v>
          </cell>
          <cell r="O140" t="e">
            <v>#N/A</v>
          </cell>
        </row>
        <row r="141">
          <cell r="A141" t="str">
            <v>F02222</v>
          </cell>
          <cell r="B141" t="str">
            <v>16SG6</v>
          </cell>
          <cell r="C141" t="str">
            <v>NZD</v>
          </cell>
          <cell r="D141">
            <v>0</v>
          </cell>
          <cell r="E141">
            <v>0.87</v>
          </cell>
          <cell r="F141" t="str">
            <v/>
          </cell>
          <cell r="G141" t="str">
            <v/>
          </cell>
          <cell r="H141" t="str">
            <v/>
          </cell>
          <cell r="I141" t="str">
            <v/>
          </cell>
          <cell r="J141" t="str">
            <v>-</v>
          </cell>
          <cell r="K141" t="str">
            <v>-</v>
          </cell>
          <cell r="L141" t="str">
            <v>-</v>
          </cell>
          <cell r="M141">
            <v>2</v>
          </cell>
          <cell r="N141">
            <v>4.0000000000000002E-4</v>
          </cell>
          <cell r="O141" t="e">
            <v>#N/A</v>
          </cell>
        </row>
        <row r="142">
          <cell r="M142">
            <v>0</v>
          </cell>
        </row>
        <row r="143">
          <cell r="M143">
            <v>0</v>
          </cell>
        </row>
        <row r="144">
          <cell r="M144">
            <v>0</v>
          </cell>
        </row>
        <row r="145">
          <cell r="M145">
            <v>0</v>
          </cell>
        </row>
        <row r="146">
          <cell r="M146">
            <v>0</v>
          </cell>
        </row>
        <row r="147">
          <cell r="M147">
            <v>0</v>
          </cell>
        </row>
        <row r="148">
          <cell r="M148">
            <v>0</v>
          </cell>
        </row>
        <row r="149">
          <cell r="M149">
            <v>0</v>
          </cell>
        </row>
        <row r="150">
          <cell r="M150">
            <v>0</v>
          </cell>
        </row>
        <row r="151">
          <cell r="M151">
            <v>0</v>
          </cell>
        </row>
        <row r="152">
          <cell r="M152">
            <v>0</v>
          </cell>
        </row>
        <row r="153">
          <cell r="M153">
            <v>0</v>
          </cell>
        </row>
        <row r="154">
          <cell r="M154">
            <v>0</v>
          </cell>
        </row>
        <row r="155">
          <cell r="M155">
            <v>0</v>
          </cell>
        </row>
        <row r="156">
          <cell r="M156">
            <v>0</v>
          </cell>
        </row>
        <row r="157">
          <cell r="M157">
            <v>0</v>
          </cell>
        </row>
        <row r="158">
          <cell r="M158">
            <v>0</v>
          </cell>
        </row>
        <row r="159">
          <cell r="M159">
            <v>0</v>
          </cell>
        </row>
        <row r="160">
          <cell r="M160">
            <v>0</v>
          </cell>
        </row>
        <row r="161">
          <cell r="M161">
            <v>0</v>
          </cell>
        </row>
        <row r="162">
          <cell r="M162">
            <v>0</v>
          </cell>
        </row>
        <row r="163">
          <cell r="M163">
            <v>0</v>
          </cell>
        </row>
        <row r="164">
          <cell r="M164">
            <v>0</v>
          </cell>
        </row>
        <row r="165">
          <cell r="M165">
            <v>0</v>
          </cell>
        </row>
        <row r="166">
          <cell r="M166">
            <v>0</v>
          </cell>
        </row>
        <row r="167">
          <cell r="M167">
            <v>0</v>
          </cell>
        </row>
        <row r="168">
          <cell r="M168">
            <v>0</v>
          </cell>
        </row>
        <row r="169">
          <cell r="M169">
            <v>0</v>
          </cell>
        </row>
        <row r="170">
          <cell r="M170">
            <v>0</v>
          </cell>
        </row>
        <row r="171">
          <cell r="M171">
            <v>0</v>
          </cell>
        </row>
        <row r="172">
          <cell r="M172">
            <v>0</v>
          </cell>
        </row>
        <row r="173">
          <cell r="M173">
            <v>0</v>
          </cell>
        </row>
        <row r="174">
          <cell r="M174">
            <v>0</v>
          </cell>
        </row>
        <row r="175">
          <cell r="M175">
            <v>0</v>
          </cell>
        </row>
        <row r="176">
          <cell r="M176">
            <v>0</v>
          </cell>
        </row>
        <row r="177">
          <cell r="M177">
            <v>0</v>
          </cell>
        </row>
        <row r="178">
          <cell r="M178">
            <v>0</v>
          </cell>
        </row>
        <row r="179">
          <cell r="M179">
            <v>0</v>
          </cell>
        </row>
        <row r="180">
          <cell r="M180">
            <v>0</v>
          </cell>
        </row>
        <row r="181">
          <cell r="M181">
            <v>0</v>
          </cell>
        </row>
        <row r="182">
          <cell r="M182">
            <v>0</v>
          </cell>
        </row>
        <row r="183">
          <cell r="M183">
            <v>0</v>
          </cell>
        </row>
        <row r="184">
          <cell r="M184">
            <v>0</v>
          </cell>
        </row>
        <row r="185">
          <cell r="M185">
            <v>0</v>
          </cell>
        </row>
        <row r="186">
          <cell r="M186">
            <v>0</v>
          </cell>
        </row>
        <row r="187">
          <cell r="M187">
            <v>0</v>
          </cell>
        </row>
        <row r="188">
          <cell r="M188">
            <v>0</v>
          </cell>
        </row>
        <row r="189">
          <cell r="M189">
            <v>0</v>
          </cell>
        </row>
        <row r="190">
          <cell r="M190">
            <v>0</v>
          </cell>
        </row>
        <row r="191">
          <cell r="M191">
            <v>0</v>
          </cell>
        </row>
        <row r="192">
          <cell r="M192">
            <v>0</v>
          </cell>
        </row>
        <row r="193">
          <cell r="M193">
            <v>0</v>
          </cell>
        </row>
        <row r="194">
          <cell r="M194">
            <v>0</v>
          </cell>
        </row>
        <row r="195">
          <cell r="M195">
            <v>0</v>
          </cell>
        </row>
        <row r="196">
          <cell r="M196">
            <v>0</v>
          </cell>
        </row>
        <row r="197">
          <cell r="M197">
            <v>0</v>
          </cell>
        </row>
        <row r="198">
          <cell r="M198">
            <v>0</v>
          </cell>
        </row>
        <row r="199">
          <cell r="M199">
            <v>0</v>
          </cell>
        </row>
        <row r="200">
          <cell r="M200">
            <v>0</v>
          </cell>
        </row>
        <row r="201">
          <cell r="M201">
            <v>0</v>
          </cell>
        </row>
        <row r="202">
          <cell r="M202">
            <v>0</v>
          </cell>
        </row>
        <row r="203">
          <cell r="M203">
            <v>0</v>
          </cell>
        </row>
        <row r="204">
          <cell r="M204">
            <v>0</v>
          </cell>
        </row>
        <row r="205">
          <cell r="M205">
            <v>0</v>
          </cell>
        </row>
        <row r="206">
          <cell r="M206">
            <v>0</v>
          </cell>
        </row>
        <row r="207">
          <cell r="M207">
            <v>0</v>
          </cell>
        </row>
        <row r="208">
          <cell r="M208">
            <v>0</v>
          </cell>
        </row>
        <row r="209">
          <cell r="M209">
            <v>0</v>
          </cell>
        </row>
        <row r="210">
          <cell r="M210">
            <v>0</v>
          </cell>
        </row>
        <row r="211">
          <cell r="M211">
            <v>0</v>
          </cell>
        </row>
        <row r="212">
          <cell r="M212">
            <v>0</v>
          </cell>
        </row>
        <row r="213">
          <cell r="M213">
            <v>0</v>
          </cell>
        </row>
        <row r="214">
          <cell r="M214">
            <v>0</v>
          </cell>
        </row>
        <row r="215">
          <cell r="M215">
            <v>0</v>
          </cell>
        </row>
        <row r="216">
          <cell r="M216">
            <v>0</v>
          </cell>
        </row>
        <row r="217">
          <cell r="M217">
            <v>0</v>
          </cell>
        </row>
        <row r="218">
          <cell r="M218">
            <v>0</v>
          </cell>
        </row>
        <row r="219">
          <cell r="M219">
            <v>0</v>
          </cell>
        </row>
        <row r="220">
          <cell r="M220">
            <v>0</v>
          </cell>
        </row>
        <row r="221">
          <cell r="M221">
            <v>0</v>
          </cell>
        </row>
        <row r="222">
          <cell r="M222">
            <v>0</v>
          </cell>
        </row>
        <row r="223">
          <cell r="M223">
            <v>0</v>
          </cell>
        </row>
        <row r="224">
          <cell r="M224">
            <v>0</v>
          </cell>
        </row>
        <row r="225">
          <cell r="M225">
            <v>0</v>
          </cell>
        </row>
        <row r="226">
          <cell r="M226">
            <v>0</v>
          </cell>
        </row>
        <row r="227">
          <cell r="M227">
            <v>0</v>
          </cell>
        </row>
        <row r="228">
          <cell r="M228">
            <v>0</v>
          </cell>
        </row>
        <row r="229">
          <cell r="M229">
            <v>0</v>
          </cell>
        </row>
        <row r="230">
          <cell r="M230">
            <v>0</v>
          </cell>
        </row>
        <row r="231">
          <cell r="M231">
            <v>0</v>
          </cell>
        </row>
        <row r="232">
          <cell r="M232">
            <v>0</v>
          </cell>
        </row>
        <row r="233">
          <cell r="M233">
            <v>0</v>
          </cell>
        </row>
        <row r="234">
          <cell r="M234">
            <v>0</v>
          </cell>
        </row>
        <row r="235">
          <cell r="M235">
            <v>0</v>
          </cell>
        </row>
        <row r="236">
          <cell r="M236">
            <v>0</v>
          </cell>
        </row>
        <row r="237">
          <cell r="M237">
            <v>0</v>
          </cell>
        </row>
        <row r="238">
          <cell r="M238">
            <v>0</v>
          </cell>
        </row>
        <row r="239">
          <cell r="M239">
            <v>0</v>
          </cell>
        </row>
        <row r="240">
          <cell r="M240">
            <v>0</v>
          </cell>
        </row>
        <row r="241">
          <cell r="M241">
            <v>0</v>
          </cell>
        </row>
        <row r="242">
          <cell r="M242">
            <v>0</v>
          </cell>
        </row>
        <row r="243">
          <cell r="M243">
            <v>0</v>
          </cell>
        </row>
        <row r="244">
          <cell r="M244">
            <v>0</v>
          </cell>
        </row>
        <row r="245">
          <cell r="M245">
            <v>0</v>
          </cell>
        </row>
        <row r="246">
          <cell r="M246">
            <v>0</v>
          </cell>
        </row>
        <row r="247">
          <cell r="M247">
            <v>0</v>
          </cell>
        </row>
        <row r="248">
          <cell r="M248">
            <v>0</v>
          </cell>
        </row>
        <row r="249">
          <cell r="M249">
            <v>0</v>
          </cell>
        </row>
        <row r="250">
          <cell r="M250">
            <v>0</v>
          </cell>
        </row>
        <row r="251">
          <cell r="M251">
            <v>0</v>
          </cell>
        </row>
        <row r="252">
          <cell r="M252">
            <v>0</v>
          </cell>
        </row>
        <row r="253">
          <cell r="M253">
            <v>0</v>
          </cell>
        </row>
        <row r="254">
          <cell r="M254">
            <v>0</v>
          </cell>
        </row>
        <row r="255">
          <cell r="M255">
            <v>0</v>
          </cell>
        </row>
        <row r="256">
          <cell r="M256">
            <v>0</v>
          </cell>
        </row>
        <row r="257">
          <cell r="M257">
            <v>0</v>
          </cell>
        </row>
        <row r="258">
          <cell r="M258">
            <v>0</v>
          </cell>
        </row>
        <row r="259">
          <cell r="M259">
            <v>0</v>
          </cell>
        </row>
        <row r="260">
          <cell r="M260">
            <v>0</v>
          </cell>
        </row>
        <row r="261">
          <cell r="M261">
            <v>0</v>
          </cell>
        </row>
        <row r="262">
          <cell r="M262">
            <v>0</v>
          </cell>
        </row>
        <row r="263">
          <cell r="M263">
            <v>0</v>
          </cell>
        </row>
        <row r="264">
          <cell r="M264">
            <v>0</v>
          </cell>
        </row>
        <row r="265">
          <cell r="M265">
            <v>0</v>
          </cell>
        </row>
        <row r="266">
          <cell r="M266">
            <v>0</v>
          </cell>
        </row>
        <row r="267">
          <cell r="M267">
            <v>0</v>
          </cell>
        </row>
        <row r="268">
          <cell r="M268">
            <v>0</v>
          </cell>
        </row>
        <row r="269">
          <cell r="M269">
            <v>0</v>
          </cell>
        </row>
        <row r="270">
          <cell r="M270">
            <v>0</v>
          </cell>
        </row>
        <row r="271">
          <cell r="M271">
            <v>0</v>
          </cell>
        </row>
        <row r="272">
          <cell r="M272">
            <v>0</v>
          </cell>
        </row>
        <row r="273">
          <cell r="M273">
            <v>0</v>
          </cell>
        </row>
        <row r="274">
          <cell r="M274">
            <v>0</v>
          </cell>
        </row>
        <row r="275">
          <cell r="M275">
            <v>0</v>
          </cell>
        </row>
        <row r="276">
          <cell r="M276">
            <v>0</v>
          </cell>
        </row>
        <row r="277">
          <cell r="M277">
            <v>0</v>
          </cell>
        </row>
        <row r="278">
          <cell r="M278">
            <v>0</v>
          </cell>
        </row>
        <row r="279">
          <cell r="M279">
            <v>0</v>
          </cell>
        </row>
        <row r="280">
          <cell r="M280">
            <v>0</v>
          </cell>
        </row>
        <row r="281">
          <cell r="M281">
            <v>0</v>
          </cell>
        </row>
        <row r="282">
          <cell r="M282">
            <v>0</v>
          </cell>
        </row>
        <row r="283">
          <cell r="M283">
            <v>0</v>
          </cell>
        </row>
        <row r="284">
          <cell r="M284">
            <v>0</v>
          </cell>
        </row>
        <row r="285">
          <cell r="M285">
            <v>0</v>
          </cell>
        </row>
        <row r="286">
          <cell r="M286">
            <v>0</v>
          </cell>
        </row>
        <row r="287">
          <cell r="M287">
            <v>0</v>
          </cell>
        </row>
        <row r="288">
          <cell r="M288">
            <v>0</v>
          </cell>
        </row>
        <row r="289">
          <cell r="M289">
            <v>0</v>
          </cell>
        </row>
        <row r="290">
          <cell r="M290">
            <v>0</v>
          </cell>
        </row>
        <row r="291">
          <cell r="M291">
            <v>0</v>
          </cell>
        </row>
        <row r="292">
          <cell r="M292">
            <v>0</v>
          </cell>
        </row>
        <row r="293">
          <cell r="M293">
            <v>0</v>
          </cell>
        </row>
        <row r="294">
          <cell r="M294">
            <v>0</v>
          </cell>
        </row>
        <row r="295">
          <cell r="M295">
            <v>0</v>
          </cell>
        </row>
        <row r="296">
          <cell r="M296">
            <v>0</v>
          </cell>
        </row>
        <row r="297">
          <cell r="M297">
            <v>0</v>
          </cell>
        </row>
        <row r="298">
          <cell r="M298">
            <v>0</v>
          </cell>
        </row>
        <row r="299">
          <cell r="M299">
            <v>0</v>
          </cell>
        </row>
        <row r="300">
          <cell r="M300">
            <v>0</v>
          </cell>
        </row>
        <row r="301">
          <cell r="M301">
            <v>0</v>
          </cell>
        </row>
        <row r="302">
          <cell r="M302">
            <v>0</v>
          </cell>
        </row>
        <row r="303">
          <cell r="M303">
            <v>0</v>
          </cell>
        </row>
        <row r="304">
          <cell r="M304">
            <v>0</v>
          </cell>
        </row>
        <row r="305">
          <cell r="M305">
            <v>0</v>
          </cell>
        </row>
        <row r="306">
          <cell r="M306">
            <v>0</v>
          </cell>
        </row>
        <row r="307">
          <cell r="M307">
            <v>0</v>
          </cell>
        </row>
        <row r="308">
          <cell r="M308">
            <v>0</v>
          </cell>
        </row>
        <row r="309">
          <cell r="M309">
            <v>0</v>
          </cell>
        </row>
        <row r="310">
          <cell r="M310">
            <v>0</v>
          </cell>
        </row>
        <row r="311">
          <cell r="M311">
            <v>0</v>
          </cell>
        </row>
        <row r="312">
          <cell r="M312">
            <v>0</v>
          </cell>
        </row>
        <row r="313">
          <cell r="M313">
            <v>0</v>
          </cell>
        </row>
        <row r="314">
          <cell r="M314">
            <v>0</v>
          </cell>
        </row>
        <row r="315">
          <cell r="M315">
            <v>0</v>
          </cell>
        </row>
        <row r="316">
          <cell r="M316">
            <v>0</v>
          </cell>
        </row>
        <row r="317">
          <cell r="M317">
            <v>0</v>
          </cell>
        </row>
        <row r="318">
          <cell r="M318">
            <v>0</v>
          </cell>
        </row>
        <row r="319">
          <cell r="M319">
            <v>0</v>
          </cell>
        </row>
        <row r="320">
          <cell r="M320">
            <v>0</v>
          </cell>
        </row>
        <row r="321">
          <cell r="M321">
            <v>0</v>
          </cell>
        </row>
      </sheetData>
    </sheetDataSet>
  </externalBook>
</externalLink>
</file>

<file path=xl/externalLinks/externalLink1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0816"/>
    </sheetNames>
    <sheetDataSet>
      <sheetData sheetId="0">
        <row r="4">
          <cell r="A4" t="str">
            <v>A10109</v>
          </cell>
          <cell r="B4" t="str">
            <v>112/08/26</v>
          </cell>
          <cell r="C4">
            <v>0.25</v>
          </cell>
          <cell r="D4">
            <v>0.02</v>
          </cell>
          <cell r="E4">
            <v>0.02</v>
          </cell>
          <cell r="F4">
            <v>0.72</v>
          </cell>
          <cell r="G4">
            <v>0.7</v>
          </cell>
          <cell r="H4">
            <v>0.71</v>
          </cell>
          <cell r="I4">
            <v>10</v>
          </cell>
          <cell r="J4">
            <v>0.8</v>
          </cell>
          <cell r="K4">
            <v>0.8</v>
          </cell>
          <cell r="L4">
            <v>0.8</v>
          </cell>
          <cell r="M4">
            <v>1</v>
          </cell>
          <cell r="N4">
            <v>7.5</v>
          </cell>
          <cell r="O4">
            <v>1.0606</v>
          </cell>
        </row>
        <row r="5">
          <cell r="A5" t="str">
            <v>A02110</v>
          </cell>
          <cell r="B5" t="str">
            <v>112/09/18</v>
          </cell>
          <cell r="C5">
            <v>1.75</v>
          </cell>
          <cell r="D5">
            <v>0.08</v>
          </cell>
          <cell r="E5">
            <v>0.09</v>
          </cell>
          <cell r="F5" t="str">
            <v/>
          </cell>
          <cell r="G5" t="str">
            <v/>
          </cell>
          <cell r="H5" t="str">
            <v/>
          </cell>
          <cell r="I5" t="str">
            <v/>
          </cell>
          <cell r="J5" t="str">
            <v/>
          </cell>
          <cell r="K5" t="str">
            <v/>
          </cell>
          <cell r="L5" t="str">
            <v/>
          </cell>
          <cell r="M5" t="str">
            <v/>
          </cell>
          <cell r="N5" t="str">
            <v/>
          </cell>
          <cell r="O5">
            <v>0.99670000000000003</v>
          </cell>
        </row>
        <row r="6">
          <cell r="A6" t="str">
            <v>A07111</v>
          </cell>
          <cell r="B6" t="str">
            <v>112/11/23</v>
          </cell>
          <cell r="C6">
            <v>0.75</v>
          </cell>
          <cell r="D6">
            <v>0.26</v>
          </cell>
          <cell r="E6">
            <v>0.27</v>
          </cell>
          <cell r="F6" t="str">
            <v/>
          </cell>
          <cell r="G6" t="str">
            <v/>
          </cell>
          <cell r="H6" t="str">
            <v/>
          </cell>
          <cell r="I6" t="str">
            <v/>
          </cell>
          <cell r="J6" t="str">
            <v/>
          </cell>
          <cell r="K6" t="str">
            <v/>
          </cell>
          <cell r="L6" t="str">
            <v/>
          </cell>
          <cell r="M6" t="str">
            <v/>
          </cell>
          <cell r="N6" t="str">
            <v/>
          </cell>
          <cell r="O6">
            <v>0.9829</v>
          </cell>
        </row>
        <row r="7">
          <cell r="A7" t="str">
            <v>A08101</v>
          </cell>
          <cell r="B7" t="str">
            <v>113/01/14</v>
          </cell>
          <cell r="C7">
            <v>0.625</v>
          </cell>
          <cell r="D7">
            <v>0.4</v>
          </cell>
          <cell r="E7">
            <v>0.41</v>
          </cell>
          <cell r="F7" t="str">
            <v/>
          </cell>
          <cell r="G7" t="str">
            <v/>
          </cell>
          <cell r="H7" t="str">
            <v/>
          </cell>
          <cell r="I7" t="str">
            <v/>
          </cell>
          <cell r="J7" t="str">
            <v/>
          </cell>
          <cell r="K7" t="str">
            <v/>
          </cell>
          <cell r="L7" t="str">
            <v/>
          </cell>
          <cell r="M7" t="str">
            <v/>
          </cell>
          <cell r="N7" t="str">
            <v/>
          </cell>
          <cell r="O7">
            <v>0.98150000000000004</v>
          </cell>
        </row>
        <row r="8">
          <cell r="A8" t="str">
            <v>A93103</v>
          </cell>
          <cell r="B8" t="str">
            <v>113/02/10</v>
          </cell>
          <cell r="C8">
            <v>3</v>
          </cell>
          <cell r="D8">
            <v>0.48</v>
          </cell>
          <cell r="E8">
            <v>0.48</v>
          </cell>
          <cell r="F8" t="str">
            <v/>
          </cell>
          <cell r="G8" t="str">
            <v/>
          </cell>
          <cell r="H8" t="str">
            <v/>
          </cell>
          <cell r="I8" t="str">
            <v/>
          </cell>
          <cell r="J8" t="str">
            <v/>
          </cell>
          <cell r="K8" t="str">
            <v/>
          </cell>
          <cell r="L8" t="str">
            <v/>
          </cell>
          <cell r="M8" t="str">
            <v/>
          </cell>
          <cell r="N8" t="str">
            <v/>
          </cell>
          <cell r="O8">
            <v>0.98129999999999995</v>
          </cell>
        </row>
        <row r="9">
          <cell r="A9" t="str">
            <v>A03106</v>
          </cell>
          <cell r="B9" t="str">
            <v>113/03/03</v>
          </cell>
          <cell r="C9">
            <v>1.5</v>
          </cell>
          <cell r="D9">
            <v>0.54</v>
          </cell>
          <cell r="E9">
            <v>0.54</v>
          </cell>
          <cell r="F9" t="str">
            <v/>
          </cell>
          <cell r="G9" t="str">
            <v/>
          </cell>
          <cell r="H9" t="str">
            <v/>
          </cell>
          <cell r="I9" t="str">
            <v/>
          </cell>
          <cell r="J9" t="str">
            <v/>
          </cell>
          <cell r="K9" t="str">
            <v/>
          </cell>
          <cell r="L9" t="str">
            <v/>
          </cell>
          <cell r="M9" t="str">
            <v/>
          </cell>
          <cell r="N9" t="str">
            <v/>
          </cell>
          <cell r="O9">
            <v>0.98109999999999997</v>
          </cell>
        </row>
        <row r="10">
          <cell r="A10" t="str">
            <v>A11202</v>
          </cell>
          <cell r="B10" t="str">
            <v>113/03/31</v>
          </cell>
          <cell r="C10">
            <v>0.75</v>
          </cell>
          <cell r="D10">
            <v>0.61</v>
          </cell>
          <cell r="E10">
            <v>0.62</v>
          </cell>
          <cell r="F10" t="str">
            <v/>
          </cell>
          <cell r="G10" t="str">
            <v/>
          </cell>
          <cell r="H10" t="str">
            <v/>
          </cell>
          <cell r="I10" t="str">
            <v/>
          </cell>
          <cell r="J10" t="str">
            <v/>
          </cell>
          <cell r="K10" t="str">
            <v/>
          </cell>
          <cell r="L10" t="str">
            <v/>
          </cell>
          <cell r="M10" t="str">
            <v/>
          </cell>
          <cell r="N10" t="str">
            <v/>
          </cell>
          <cell r="O10">
            <v>0.98089999999999999</v>
          </cell>
        </row>
        <row r="11">
          <cell r="A11" t="str">
            <v>A08107</v>
          </cell>
          <cell r="B11" t="str">
            <v>113/07/17</v>
          </cell>
          <cell r="C11">
            <v>0.5</v>
          </cell>
          <cell r="D11">
            <v>0.9</v>
          </cell>
          <cell r="E11">
            <v>0.91</v>
          </cell>
          <cell r="F11" t="str">
            <v/>
          </cell>
          <cell r="G11" t="str">
            <v/>
          </cell>
          <cell r="H11" t="str">
            <v/>
          </cell>
          <cell r="I11" t="str">
            <v/>
          </cell>
          <cell r="J11" t="str">
            <v/>
          </cell>
          <cell r="K11" t="str">
            <v/>
          </cell>
          <cell r="L11" t="str">
            <v/>
          </cell>
          <cell r="M11" t="str">
            <v/>
          </cell>
          <cell r="N11" t="str">
            <v/>
          </cell>
          <cell r="O11">
            <v>0.97960000000000003</v>
          </cell>
        </row>
        <row r="12">
          <cell r="A12" t="str">
            <v>A03113</v>
          </cell>
          <cell r="B12" t="str">
            <v>113/09/26</v>
          </cell>
          <cell r="C12">
            <v>1.625</v>
          </cell>
          <cell r="D12">
            <v>1.08</v>
          </cell>
          <cell r="E12">
            <v>1.1100000000000001</v>
          </cell>
          <cell r="F12" t="str">
            <v/>
          </cell>
          <cell r="G12" t="str">
            <v/>
          </cell>
          <cell r="H12" t="str">
            <v/>
          </cell>
          <cell r="I12" t="str">
            <v/>
          </cell>
          <cell r="J12" t="str">
            <v/>
          </cell>
          <cell r="K12" t="str">
            <v/>
          </cell>
          <cell r="L12" t="str">
            <v/>
          </cell>
          <cell r="M12" t="str">
            <v/>
          </cell>
          <cell r="N12" t="str">
            <v/>
          </cell>
          <cell r="O12">
            <v>0.97799999999999998</v>
          </cell>
        </row>
        <row r="13">
          <cell r="A13" t="str">
            <v>A93109</v>
          </cell>
          <cell r="B13" t="str">
            <v>113/11/18</v>
          </cell>
          <cell r="C13">
            <v>3</v>
          </cell>
          <cell r="D13">
            <v>1.21</v>
          </cell>
          <cell r="E13">
            <v>1.25</v>
          </cell>
          <cell r="F13" t="str">
            <v/>
          </cell>
          <cell r="G13" t="str">
            <v/>
          </cell>
          <cell r="H13" t="str">
            <v/>
          </cell>
          <cell r="I13" t="str">
            <v/>
          </cell>
          <cell r="J13" t="str">
            <v/>
          </cell>
          <cell r="K13" t="str">
            <v/>
          </cell>
          <cell r="L13" t="str">
            <v/>
          </cell>
          <cell r="M13" t="str">
            <v/>
          </cell>
          <cell r="N13" t="str">
            <v/>
          </cell>
          <cell r="O13">
            <v>0.97670000000000001</v>
          </cell>
        </row>
        <row r="14">
          <cell r="A14" t="str">
            <v>A09101</v>
          </cell>
          <cell r="B14" t="str">
            <v>114/01/10</v>
          </cell>
          <cell r="C14">
            <v>0.5</v>
          </cell>
          <cell r="D14">
            <v>1.38</v>
          </cell>
          <cell r="E14">
            <v>1.4</v>
          </cell>
          <cell r="F14" t="str">
            <v/>
          </cell>
          <cell r="G14" t="str">
            <v/>
          </cell>
          <cell r="H14" t="str">
            <v/>
          </cell>
          <cell r="I14" t="str">
            <v/>
          </cell>
          <cell r="J14">
            <v>0.96</v>
          </cell>
          <cell r="K14">
            <v>0.94</v>
          </cell>
          <cell r="L14">
            <v>0.9506</v>
          </cell>
          <cell r="M14">
            <v>2</v>
          </cell>
          <cell r="N14">
            <v>7.5</v>
          </cell>
          <cell r="O14">
            <v>0.97589999999999999</v>
          </cell>
        </row>
        <row r="15">
          <cell r="A15" t="str">
            <v>A94103</v>
          </cell>
          <cell r="B15" t="str">
            <v>114/02/25</v>
          </cell>
          <cell r="C15">
            <v>2.375</v>
          </cell>
          <cell r="D15">
            <v>1.49</v>
          </cell>
          <cell r="E15">
            <v>1.53</v>
          </cell>
          <cell r="F15" t="str">
            <v/>
          </cell>
          <cell r="G15" t="str">
            <v/>
          </cell>
          <cell r="H15" t="str">
            <v/>
          </cell>
          <cell r="I15" t="str">
            <v/>
          </cell>
          <cell r="J15" t="str">
            <v/>
          </cell>
          <cell r="K15" t="str">
            <v/>
          </cell>
          <cell r="L15" t="str">
            <v/>
          </cell>
          <cell r="M15" t="str">
            <v/>
          </cell>
          <cell r="N15" t="str">
            <v/>
          </cell>
          <cell r="O15">
            <v>0.97570000000000001</v>
          </cell>
        </row>
        <row r="16">
          <cell r="A16" t="str">
            <v>A12103</v>
          </cell>
          <cell r="B16" t="str">
            <v>114/02/23</v>
          </cell>
          <cell r="C16">
            <v>1</v>
          </cell>
          <cell r="D16">
            <v>1.49</v>
          </cell>
          <cell r="E16">
            <v>1.52</v>
          </cell>
          <cell r="F16" t="str">
            <v/>
          </cell>
          <cell r="G16" t="str">
            <v/>
          </cell>
          <cell r="H16" t="str">
            <v/>
          </cell>
          <cell r="I16" t="str">
            <v/>
          </cell>
          <cell r="J16" t="str">
            <v/>
          </cell>
          <cell r="K16" t="str">
            <v/>
          </cell>
          <cell r="L16" t="str">
            <v/>
          </cell>
          <cell r="M16" t="str">
            <v/>
          </cell>
          <cell r="N16" t="str">
            <v/>
          </cell>
          <cell r="O16">
            <v>0.97570000000000001</v>
          </cell>
        </row>
        <row r="17">
          <cell r="A17" t="str">
            <v>A04105</v>
          </cell>
          <cell r="B17" t="str">
            <v>114/03/13</v>
          </cell>
          <cell r="C17">
            <v>1.625</v>
          </cell>
          <cell r="D17">
            <v>1.54</v>
          </cell>
          <cell r="E17">
            <v>1.57</v>
          </cell>
          <cell r="F17" t="str">
            <v/>
          </cell>
          <cell r="G17" t="str">
            <v/>
          </cell>
          <cell r="H17" t="str">
            <v/>
          </cell>
          <cell r="I17" t="str">
            <v/>
          </cell>
          <cell r="J17" t="str">
            <v/>
          </cell>
          <cell r="K17" t="str">
            <v/>
          </cell>
          <cell r="L17" t="str">
            <v/>
          </cell>
          <cell r="M17" t="str">
            <v/>
          </cell>
          <cell r="N17" t="str">
            <v/>
          </cell>
          <cell r="O17">
            <v>0.9758</v>
          </cell>
        </row>
        <row r="18">
          <cell r="A18" t="str">
            <v>A09107</v>
          </cell>
          <cell r="B18" t="str">
            <v>114/07/17</v>
          </cell>
          <cell r="C18">
            <v>0.25</v>
          </cell>
          <cell r="D18">
            <v>1.89</v>
          </cell>
          <cell r="E18">
            <v>1.91</v>
          </cell>
          <cell r="F18" t="str">
            <v/>
          </cell>
          <cell r="G18" t="str">
            <v/>
          </cell>
          <cell r="H18" t="str">
            <v/>
          </cell>
          <cell r="I18" t="str">
            <v/>
          </cell>
          <cell r="J18" t="str">
            <v/>
          </cell>
          <cell r="K18" t="str">
            <v/>
          </cell>
          <cell r="L18" t="str">
            <v/>
          </cell>
          <cell r="M18" t="str">
            <v/>
          </cell>
          <cell r="N18" t="str">
            <v/>
          </cell>
          <cell r="O18">
            <v>0.97929999999999995</v>
          </cell>
        </row>
        <row r="19">
          <cell r="A19" t="str">
            <v>A04112</v>
          </cell>
          <cell r="B19" t="str">
            <v>114/09/11</v>
          </cell>
          <cell r="C19">
            <v>1.125</v>
          </cell>
          <cell r="D19">
            <v>2.0099999999999998</v>
          </cell>
          <cell r="E19">
            <v>2.0699999999999998</v>
          </cell>
          <cell r="F19" t="str">
            <v/>
          </cell>
          <cell r="G19" t="str">
            <v/>
          </cell>
          <cell r="H19" t="str">
            <v/>
          </cell>
          <cell r="I19" t="str">
            <v/>
          </cell>
          <cell r="J19" t="str">
            <v/>
          </cell>
          <cell r="K19" t="str">
            <v/>
          </cell>
          <cell r="L19" t="str">
            <v/>
          </cell>
          <cell r="M19" t="str">
            <v/>
          </cell>
          <cell r="N19" t="str">
            <v/>
          </cell>
          <cell r="O19">
            <v>0.98280000000000001</v>
          </cell>
        </row>
        <row r="20">
          <cell r="A20" t="str">
            <v>A09112</v>
          </cell>
          <cell r="B20" t="str">
            <v>114/12/08</v>
          </cell>
          <cell r="C20">
            <v>0.125</v>
          </cell>
          <cell r="D20">
            <v>2.2799999999999998</v>
          </cell>
          <cell r="E20">
            <v>2.31</v>
          </cell>
          <cell r="F20" t="str">
            <v/>
          </cell>
          <cell r="G20" t="str">
            <v/>
          </cell>
          <cell r="H20" t="str">
            <v/>
          </cell>
          <cell r="I20" t="str">
            <v/>
          </cell>
          <cell r="J20" t="str">
            <v/>
          </cell>
          <cell r="K20" t="str">
            <v/>
          </cell>
          <cell r="L20" t="str">
            <v/>
          </cell>
          <cell r="M20" t="str">
            <v/>
          </cell>
          <cell r="N20" t="str">
            <v/>
          </cell>
          <cell r="O20">
            <v>0.99070000000000003</v>
          </cell>
        </row>
        <row r="21">
          <cell r="A21" t="str">
            <v>A10101</v>
          </cell>
          <cell r="B21" t="str">
            <v>115/01/13</v>
          </cell>
          <cell r="C21">
            <v>0.25</v>
          </cell>
          <cell r="D21">
            <v>2.37</v>
          </cell>
          <cell r="E21">
            <v>2.41</v>
          </cell>
          <cell r="F21" t="str">
            <v/>
          </cell>
          <cell r="G21" t="str">
            <v/>
          </cell>
          <cell r="H21" t="str">
            <v/>
          </cell>
          <cell r="I21" t="str">
            <v/>
          </cell>
          <cell r="J21" t="str">
            <v/>
          </cell>
          <cell r="K21" t="str">
            <v/>
          </cell>
          <cell r="L21" t="str">
            <v/>
          </cell>
          <cell r="M21" t="str">
            <v/>
          </cell>
          <cell r="N21" t="str">
            <v/>
          </cell>
          <cell r="O21">
            <v>0.99490000000000001</v>
          </cell>
        </row>
        <row r="22">
          <cell r="A22" t="str">
            <v>A95102</v>
          </cell>
          <cell r="B22" t="str">
            <v>115/02/24</v>
          </cell>
          <cell r="C22">
            <v>1.875</v>
          </cell>
          <cell r="D22">
            <v>2.44</v>
          </cell>
          <cell r="E22">
            <v>2.52</v>
          </cell>
          <cell r="F22" t="str">
            <v/>
          </cell>
          <cell r="G22" t="str">
            <v/>
          </cell>
          <cell r="H22" t="str">
            <v/>
          </cell>
          <cell r="I22" t="str">
            <v/>
          </cell>
          <cell r="J22" t="str">
            <v/>
          </cell>
          <cell r="K22" t="str">
            <v/>
          </cell>
          <cell r="L22" t="str">
            <v/>
          </cell>
          <cell r="M22" t="str">
            <v/>
          </cell>
          <cell r="N22" t="str">
            <v/>
          </cell>
          <cell r="O22">
            <v>1.0002</v>
          </cell>
        </row>
        <row r="23">
          <cell r="A23" t="str">
            <v>A05104</v>
          </cell>
          <cell r="B23" t="str">
            <v>115/03/04</v>
          </cell>
          <cell r="C23">
            <v>0.75</v>
          </cell>
          <cell r="D23">
            <v>2.5</v>
          </cell>
          <cell r="E23">
            <v>2.54</v>
          </cell>
          <cell r="F23" t="str">
            <v/>
          </cell>
          <cell r="G23" t="str">
            <v/>
          </cell>
          <cell r="H23" t="str">
            <v/>
          </cell>
          <cell r="I23" t="str">
            <v/>
          </cell>
          <cell r="J23" t="str">
            <v/>
          </cell>
          <cell r="K23" t="str">
            <v/>
          </cell>
          <cell r="L23" t="str">
            <v/>
          </cell>
          <cell r="M23" t="str">
            <v/>
          </cell>
          <cell r="N23" t="str">
            <v/>
          </cell>
          <cell r="O23">
            <v>1.0014000000000001</v>
          </cell>
        </row>
        <row r="24">
          <cell r="A24" t="str">
            <v>A10108</v>
          </cell>
          <cell r="B24" t="str">
            <v>115/07/29</v>
          </cell>
          <cell r="C24">
            <v>0.25</v>
          </cell>
          <cell r="D24">
            <v>2.91</v>
          </cell>
          <cell r="E24">
            <v>2.95</v>
          </cell>
          <cell r="F24" t="str">
            <v/>
          </cell>
          <cell r="G24" t="str">
            <v/>
          </cell>
          <cell r="H24" t="str">
            <v/>
          </cell>
          <cell r="I24" t="str">
            <v/>
          </cell>
          <cell r="J24" t="str">
            <v/>
          </cell>
          <cell r="K24" t="str">
            <v/>
          </cell>
          <cell r="L24" t="str">
            <v/>
          </cell>
          <cell r="M24" t="str">
            <v/>
          </cell>
          <cell r="N24" t="str">
            <v/>
          </cell>
          <cell r="O24">
            <v>1.0244</v>
          </cell>
        </row>
        <row r="25">
          <cell r="A25" t="str">
            <v>A05111</v>
          </cell>
          <cell r="B25" t="str">
            <v>115/09/07</v>
          </cell>
          <cell r="C25">
            <v>0.625</v>
          </cell>
          <cell r="D25">
            <v>2.99</v>
          </cell>
          <cell r="E25">
            <v>3.06</v>
          </cell>
          <cell r="F25" t="str">
            <v/>
          </cell>
          <cell r="G25" t="str">
            <v/>
          </cell>
          <cell r="H25" t="str">
            <v/>
          </cell>
          <cell r="I25" t="str">
            <v/>
          </cell>
          <cell r="J25" t="str">
            <v/>
          </cell>
          <cell r="K25" t="str">
            <v/>
          </cell>
          <cell r="L25" t="str">
            <v/>
          </cell>
          <cell r="M25" t="str">
            <v/>
          </cell>
          <cell r="N25" t="str">
            <v/>
          </cell>
          <cell r="O25">
            <v>1.0306</v>
          </cell>
        </row>
        <row r="26">
          <cell r="A26" t="str">
            <v>A95107</v>
          </cell>
          <cell r="B26" t="str">
            <v>115/11/10</v>
          </cell>
          <cell r="C26">
            <v>2.125</v>
          </cell>
          <cell r="D26">
            <v>3.08</v>
          </cell>
          <cell r="E26">
            <v>3.23</v>
          </cell>
          <cell r="F26" t="str">
            <v/>
          </cell>
          <cell r="G26" t="str">
            <v/>
          </cell>
          <cell r="H26" t="str">
            <v/>
          </cell>
          <cell r="I26" t="str">
            <v/>
          </cell>
          <cell r="J26" t="str">
            <v/>
          </cell>
          <cell r="K26" t="str">
            <v/>
          </cell>
          <cell r="L26" t="str">
            <v/>
          </cell>
          <cell r="M26" t="str">
            <v/>
          </cell>
          <cell r="N26" t="str">
            <v/>
          </cell>
          <cell r="O26">
            <v>1.0397000000000001</v>
          </cell>
        </row>
        <row r="27">
          <cell r="A27" t="str">
            <v>A96102</v>
          </cell>
          <cell r="B27" t="str">
            <v>116/02/14</v>
          </cell>
          <cell r="C27">
            <v>2</v>
          </cell>
          <cell r="D27">
            <v>3.34</v>
          </cell>
          <cell r="E27">
            <v>3.49</v>
          </cell>
          <cell r="F27" t="str">
            <v/>
          </cell>
          <cell r="G27" t="str">
            <v/>
          </cell>
          <cell r="H27" t="str">
            <v/>
          </cell>
          <cell r="I27" t="str">
            <v/>
          </cell>
          <cell r="J27" t="str">
            <v/>
          </cell>
          <cell r="K27" t="str">
            <v/>
          </cell>
          <cell r="L27" t="str">
            <v/>
          </cell>
          <cell r="M27" t="str">
            <v/>
          </cell>
          <cell r="N27" t="str">
            <v/>
          </cell>
          <cell r="O27">
            <v>1.0531999999999999</v>
          </cell>
        </row>
        <row r="28">
          <cell r="A28" t="str">
            <v>A06104</v>
          </cell>
          <cell r="B28" t="str">
            <v>116/03/01</v>
          </cell>
          <cell r="C28">
            <v>1.125</v>
          </cell>
          <cell r="D28">
            <v>3.43</v>
          </cell>
          <cell r="E28">
            <v>3.54</v>
          </cell>
          <cell r="F28" t="str">
            <v/>
          </cell>
          <cell r="G28" t="str">
            <v/>
          </cell>
          <cell r="H28" t="str">
            <v/>
          </cell>
          <cell r="I28" t="str">
            <v/>
          </cell>
          <cell r="J28" t="str">
            <v/>
          </cell>
          <cell r="K28" t="str">
            <v/>
          </cell>
          <cell r="L28" t="str">
            <v/>
          </cell>
          <cell r="M28" t="str">
            <v/>
          </cell>
          <cell r="N28" t="str">
            <v/>
          </cell>
          <cell r="O28">
            <v>1.0559000000000001</v>
          </cell>
        </row>
        <row r="29">
          <cell r="A29" t="str">
            <v>A11103</v>
          </cell>
          <cell r="B29" t="str">
            <v>116/02/24</v>
          </cell>
          <cell r="C29">
            <v>0.5</v>
          </cell>
          <cell r="D29">
            <v>3.45</v>
          </cell>
          <cell r="E29">
            <v>3.52</v>
          </cell>
          <cell r="F29" t="str">
            <v/>
          </cell>
          <cell r="G29" t="str">
            <v/>
          </cell>
          <cell r="H29" t="str">
            <v/>
          </cell>
          <cell r="I29" t="str">
            <v/>
          </cell>
          <cell r="J29" t="str">
            <v/>
          </cell>
          <cell r="K29" t="str">
            <v/>
          </cell>
          <cell r="L29" t="str">
            <v/>
          </cell>
          <cell r="M29" t="str">
            <v/>
          </cell>
          <cell r="N29" t="str">
            <v/>
          </cell>
          <cell r="O29">
            <v>1.0558000000000001</v>
          </cell>
        </row>
        <row r="30">
          <cell r="A30" t="str">
            <v>A11106</v>
          </cell>
          <cell r="B30" t="str">
            <v>116/06/23</v>
          </cell>
          <cell r="C30">
            <v>1</v>
          </cell>
          <cell r="D30">
            <v>3.75</v>
          </cell>
          <cell r="E30">
            <v>3.85</v>
          </cell>
          <cell r="F30" t="str">
            <v/>
          </cell>
          <cell r="G30" t="str">
            <v/>
          </cell>
          <cell r="H30" t="str">
            <v/>
          </cell>
          <cell r="I30" t="str">
            <v/>
          </cell>
          <cell r="J30" t="str">
            <v/>
          </cell>
          <cell r="K30" t="str">
            <v/>
          </cell>
          <cell r="L30" t="str">
            <v/>
          </cell>
          <cell r="M30" t="str">
            <v/>
          </cell>
          <cell r="N30" t="str">
            <v/>
          </cell>
          <cell r="O30">
            <v>1.069</v>
          </cell>
        </row>
        <row r="31">
          <cell r="A31" t="str">
            <v>A11108</v>
          </cell>
          <cell r="B31" t="str">
            <v>116/09/23</v>
          </cell>
          <cell r="C31">
            <v>1.25</v>
          </cell>
          <cell r="D31">
            <v>3.93</v>
          </cell>
          <cell r="E31">
            <v>4.0999999999999996</v>
          </cell>
          <cell r="F31" t="str">
            <v/>
          </cell>
          <cell r="G31" t="str">
            <v/>
          </cell>
          <cell r="H31" t="str">
            <v/>
          </cell>
          <cell r="I31" t="str">
            <v/>
          </cell>
          <cell r="J31" t="str">
            <v/>
          </cell>
          <cell r="K31" t="str">
            <v/>
          </cell>
          <cell r="L31" t="str">
            <v/>
          </cell>
          <cell r="M31" t="str">
            <v/>
          </cell>
          <cell r="N31" t="str">
            <v/>
          </cell>
          <cell r="O31">
            <v>1.0762</v>
          </cell>
        </row>
        <row r="32">
          <cell r="A32" t="str">
            <v>A96107</v>
          </cell>
          <cell r="B32" t="str">
            <v>116/11/16</v>
          </cell>
          <cell r="C32">
            <v>3</v>
          </cell>
          <cell r="D32">
            <v>3.94</v>
          </cell>
          <cell r="E32">
            <v>4.25</v>
          </cell>
          <cell r="F32" t="str">
            <v/>
          </cell>
          <cell r="G32" t="str">
            <v/>
          </cell>
          <cell r="H32" t="str">
            <v/>
          </cell>
          <cell r="I32" t="str">
            <v/>
          </cell>
          <cell r="J32" t="str">
            <v/>
          </cell>
          <cell r="K32" t="str">
            <v/>
          </cell>
          <cell r="L32" t="str">
            <v/>
          </cell>
          <cell r="M32" t="str">
            <v/>
          </cell>
          <cell r="N32" t="str">
            <v/>
          </cell>
          <cell r="O32">
            <v>1.0775999999999999</v>
          </cell>
        </row>
        <row r="33">
          <cell r="A33" t="str">
            <v>A06109</v>
          </cell>
          <cell r="B33" t="str">
            <v>116/09/20</v>
          </cell>
          <cell r="C33">
            <v>1</v>
          </cell>
          <cell r="D33">
            <v>3.95</v>
          </cell>
          <cell r="E33">
            <v>4.09</v>
          </cell>
          <cell r="F33" t="str">
            <v/>
          </cell>
          <cell r="G33" t="str">
            <v/>
          </cell>
          <cell r="H33" t="str">
            <v/>
          </cell>
          <cell r="I33" t="str">
            <v/>
          </cell>
          <cell r="J33" t="str">
            <v/>
          </cell>
          <cell r="K33" t="str">
            <v/>
          </cell>
          <cell r="L33" t="str">
            <v/>
          </cell>
          <cell r="M33" t="str">
            <v/>
          </cell>
          <cell r="N33" t="str">
            <v/>
          </cell>
          <cell r="O33">
            <v>1.0762</v>
          </cell>
        </row>
        <row r="34">
          <cell r="A34" t="str">
            <v>A02101</v>
          </cell>
          <cell r="B34" t="str">
            <v>117/01/09</v>
          </cell>
          <cell r="C34">
            <v>1.375</v>
          </cell>
          <cell r="D34">
            <v>4.22</v>
          </cell>
          <cell r="E34">
            <v>4.3899999999999997</v>
          </cell>
          <cell r="F34" t="str">
            <v/>
          </cell>
          <cell r="G34" t="str">
            <v/>
          </cell>
          <cell r="H34" t="str">
            <v/>
          </cell>
          <cell r="I34" t="str">
            <v/>
          </cell>
          <cell r="J34" t="str">
            <v/>
          </cell>
          <cell r="K34" t="str">
            <v/>
          </cell>
          <cell r="L34" t="str">
            <v/>
          </cell>
          <cell r="M34" t="str">
            <v/>
          </cell>
          <cell r="N34" t="str">
            <v/>
          </cell>
          <cell r="O34">
            <v>1.0821000000000001</v>
          </cell>
        </row>
        <row r="35">
          <cell r="A35" t="str">
            <v>A97102</v>
          </cell>
          <cell r="B35" t="str">
            <v>117/02/14</v>
          </cell>
          <cell r="C35">
            <v>2.5</v>
          </cell>
          <cell r="D35">
            <v>4.22</v>
          </cell>
          <cell r="E35">
            <v>4.49</v>
          </cell>
          <cell r="F35" t="str">
            <v/>
          </cell>
          <cell r="G35" t="str">
            <v/>
          </cell>
          <cell r="H35" t="str">
            <v/>
          </cell>
          <cell r="I35" t="str">
            <v/>
          </cell>
          <cell r="J35" t="str">
            <v/>
          </cell>
          <cell r="K35" t="str">
            <v/>
          </cell>
          <cell r="L35" t="str">
            <v/>
          </cell>
          <cell r="M35" t="str">
            <v/>
          </cell>
          <cell r="N35" t="str">
            <v/>
          </cell>
          <cell r="O35">
            <v>1.0824</v>
          </cell>
        </row>
        <row r="36">
          <cell r="A36" t="str">
            <v>A12101</v>
          </cell>
          <cell r="B36" t="str">
            <v>117/01/17</v>
          </cell>
          <cell r="C36">
            <v>1</v>
          </cell>
          <cell r="D36">
            <v>4.2699999999999996</v>
          </cell>
          <cell r="E36">
            <v>4.42</v>
          </cell>
          <cell r="F36" t="str">
            <v/>
          </cell>
          <cell r="G36" t="str">
            <v/>
          </cell>
          <cell r="H36" t="str">
            <v/>
          </cell>
          <cell r="I36" t="str">
            <v/>
          </cell>
          <cell r="J36" t="str">
            <v/>
          </cell>
          <cell r="K36" t="str">
            <v/>
          </cell>
          <cell r="L36" t="str">
            <v/>
          </cell>
          <cell r="M36" t="str">
            <v/>
          </cell>
          <cell r="N36" t="str">
            <v/>
          </cell>
          <cell r="O36">
            <v>1.0829</v>
          </cell>
        </row>
        <row r="37">
          <cell r="A37" t="str">
            <v>A07102</v>
          </cell>
          <cell r="B37" t="str">
            <v>117/02/08</v>
          </cell>
          <cell r="C37">
            <v>1</v>
          </cell>
          <cell r="D37">
            <v>4.33</v>
          </cell>
          <cell r="E37">
            <v>4.4800000000000004</v>
          </cell>
          <cell r="F37" t="str">
            <v/>
          </cell>
          <cell r="G37" t="str">
            <v/>
          </cell>
          <cell r="H37" t="str">
            <v/>
          </cell>
          <cell r="I37" t="str">
            <v/>
          </cell>
          <cell r="J37" t="str">
            <v/>
          </cell>
          <cell r="K37" t="str">
            <v/>
          </cell>
          <cell r="L37" t="str">
            <v/>
          </cell>
          <cell r="M37" t="str">
            <v/>
          </cell>
          <cell r="N37" t="str">
            <v/>
          </cell>
          <cell r="O37">
            <v>1.0839000000000001</v>
          </cell>
        </row>
        <row r="38">
          <cell r="A38" t="str">
            <v>A97105</v>
          </cell>
          <cell r="B38" t="str">
            <v>117/08/14</v>
          </cell>
          <cell r="C38">
            <v>2.625</v>
          </cell>
          <cell r="D38">
            <v>4.7</v>
          </cell>
          <cell r="E38">
            <v>4.99</v>
          </cell>
          <cell r="F38" t="str">
            <v/>
          </cell>
          <cell r="G38" t="str">
            <v/>
          </cell>
          <cell r="H38" t="str">
            <v/>
          </cell>
          <cell r="I38" t="str">
            <v/>
          </cell>
          <cell r="J38" t="str">
            <v/>
          </cell>
          <cell r="K38" t="str">
            <v/>
          </cell>
          <cell r="L38" t="str">
            <v/>
          </cell>
          <cell r="M38" t="str">
            <v/>
          </cell>
          <cell r="N38" t="str">
            <v/>
          </cell>
          <cell r="O38">
            <v>1.0891999999999999</v>
          </cell>
        </row>
        <row r="39">
          <cell r="A39" t="str">
            <v>A12106</v>
          </cell>
          <cell r="B39" t="str">
            <v>117/05/26</v>
          </cell>
          <cell r="C39">
            <v>1</v>
          </cell>
          <cell r="D39">
            <v>4.62</v>
          </cell>
          <cell r="E39">
            <v>4.7699999999999996</v>
          </cell>
          <cell r="F39" t="str">
            <v/>
          </cell>
          <cell r="G39" t="str">
            <v/>
          </cell>
          <cell r="H39" t="str">
            <v/>
          </cell>
          <cell r="I39" t="str">
            <v/>
          </cell>
          <cell r="J39" t="str">
            <v/>
          </cell>
          <cell r="K39" t="str">
            <v/>
          </cell>
          <cell r="L39" t="str">
            <v/>
          </cell>
          <cell r="M39" t="str">
            <v/>
          </cell>
          <cell r="N39" t="str">
            <v/>
          </cell>
          <cell r="O39">
            <v>1.0881000000000001</v>
          </cell>
        </row>
        <row r="40">
          <cell r="A40" t="str">
            <v>A07105</v>
          </cell>
          <cell r="B40" t="str">
            <v>117/06/08</v>
          </cell>
          <cell r="C40">
            <v>0.875</v>
          </cell>
          <cell r="D40">
            <v>4.67</v>
          </cell>
          <cell r="E40">
            <v>4.8099999999999996</v>
          </cell>
          <cell r="F40" t="str">
            <v/>
          </cell>
          <cell r="G40" t="str">
            <v/>
          </cell>
          <cell r="H40" t="str">
            <v/>
          </cell>
          <cell r="I40" t="str">
            <v/>
          </cell>
          <cell r="J40" t="str">
            <v/>
          </cell>
          <cell r="K40" t="str">
            <v/>
          </cell>
          <cell r="L40" t="str">
            <v/>
          </cell>
          <cell r="M40" t="str">
            <v/>
          </cell>
          <cell r="N40" t="str">
            <v/>
          </cell>
          <cell r="O40">
            <v>1.0887</v>
          </cell>
        </row>
        <row r="41">
          <cell r="A41" t="str">
            <v>A12108</v>
          </cell>
          <cell r="B41" t="str">
            <v>117/09/15</v>
          </cell>
          <cell r="C41">
            <v>1</v>
          </cell>
          <cell r="D41">
            <v>4.8499999999999996</v>
          </cell>
          <cell r="E41">
            <v>5</v>
          </cell>
          <cell r="F41">
            <v>1.095</v>
          </cell>
          <cell r="G41">
            <v>1.0920000000000001</v>
          </cell>
          <cell r="H41">
            <v>1.0934999999999999</v>
          </cell>
          <cell r="I41">
            <v>1</v>
          </cell>
          <cell r="J41" t="str">
            <v/>
          </cell>
          <cell r="K41" t="str">
            <v/>
          </cell>
          <cell r="L41" t="str">
            <v/>
          </cell>
          <cell r="M41" t="str">
            <v/>
          </cell>
          <cell r="N41" t="str">
            <v/>
          </cell>
          <cell r="O41">
            <v>1.0911</v>
          </cell>
        </row>
        <row r="42">
          <cell r="A42" t="str">
            <v>A10202</v>
          </cell>
          <cell r="B42" t="str">
            <v>117/08/20</v>
          </cell>
          <cell r="C42">
            <v>0.25</v>
          </cell>
          <cell r="D42">
            <v>4.91</v>
          </cell>
          <cell r="E42">
            <v>5.01</v>
          </cell>
          <cell r="F42" t="str">
            <v/>
          </cell>
          <cell r="G42" t="str">
            <v/>
          </cell>
          <cell r="H42" t="str">
            <v/>
          </cell>
          <cell r="I42" t="str">
            <v/>
          </cell>
          <cell r="J42" t="str">
            <v/>
          </cell>
          <cell r="K42" t="str">
            <v/>
          </cell>
          <cell r="L42" t="str">
            <v/>
          </cell>
          <cell r="M42" t="str">
            <v/>
          </cell>
          <cell r="N42" t="str">
            <v/>
          </cell>
          <cell r="O42">
            <v>1.0921000000000001</v>
          </cell>
        </row>
        <row r="43">
          <cell r="A43" t="str">
            <v>A07109</v>
          </cell>
          <cell r="B43" t="str">
            <v>117/10/17</v>
          </cell>
          <cell r="C43">
            <v>0.875</v>
          </cell>
          <cell r="D43">
            <v>4.9800000000000004</v>
          </cell>
          <cell r="E43">
            <v>5.17</v>
          </cell>
          <cell r="F43" t="str">
            <v/>
          </cell>
          <cell r="G43" t="str">
            <v/>
          </cell>
          <cell r="H43" t="str">
            <v/>
          </cell>
          <cell r="I43" t="str">
            <v/>
          </cell>
          <cell r="J43" t="str">
            <v/>
          </cell>
          <cell r="K43" t="str">
            <v/>
          </cell>
          <cell r="L43" t="str">
            <v/>
          </cell>
          <cell r="M43" t="str">
            <v/>
          </cell>
          <cell r="N43" t="str">
            <v/>
          </cell>
          <cell r="O43">
            <v>1.0934999999999999</v>
          </cell>
        </row>
        <row r="44">
          <cell r="A44" t="str">
            <v>A98102</v>
          </cell>
          <cell r="B44" t="str">
            <v>118/02/16</v>
          </cell>
          <cell r="C44">
            <v>2.125</v>
          </cell>
          <cell r="D44">
            <v>5.15</v>
          </cell>
          <cell r="E44">
            <v>5.5</v>
          </cell>
          <cell r="F44" t="str">
            <v/>
          </cell>
          <cell r="G44" t="str">
            <v/>
          </cell>
          <cell r="H44" t="str">
            <v/>
          </cell>
          <cell r="I44" t="str">
            <v/>
          </cell>
          <cell r="J44" t="str">
            <v/>
          </cell>
          <cell r="K44" t="str">
            <v/>
          </cell>
          <cell r="L44" t="str">
            <v/>
          </cell>
          <cell r="M44" t="str">
            <v/>
          </cell>
          <cell r="N44" t="str">
            <v/>
          </cell>
          <cell r="O44">
            <v>1.0969</v>
          </cell>
        </row>
        <row r="45">
          <cell r="A45" t="str">
            <v>A08103</v>
          </cell>
          <cell r="B45" t="str">
            <v>118/02/13</v>
          </cell>
          <cell r="C45">
            <v>0.75</v>
          </cell>
          <cell r="D45">
            <v>5.32</v>
          </cell>
          <cell r="E45">
            <v>5.49</v>
          </cell>
          <cell r="F45" t="str">
            <v/>
          </cell>
          <cell r="G45" t="str">
            <v/>
          </cell>
          <cell r="H45" t="str">
            <v/>
          </cell>
          <cell r="I45" t="str">
            <v/>
          </cell>
          <cell r="J45" t="str">
            <v/>
          </cell>
          <cell r="K45" t="str">
            <v/>
          </cell>
          <cell r="L45" t="str">
            <v/>
          </cell>
          <cell r="M45" t="str">
            <v/>
          </cell>
          <cell r="N45" t="str">
            <v/>
          </cell>
          <cell r="O45">
            <v>1.0985</v>
          </cell>
        </row>
        <row r="46">
          <cell r="A46" t="str">
            <v>A98105</v>
          </cell>
          <cell r="B46" t="str">
            <v>118/08/13</v>
          </cell>
          <cell r="C46">
            <v>2.125</v>
          </cell>
          <cell r="D46">
            <v>5.63</v>
          </cell>
          <cell r="E46">
            <v>5.99</v>
          </cell>
          <cell r="F46" t="str">
            <v/>
          </cell>
          <cell r="G46" t="str">
            <v/>
          </cell>
          <cell r="H46" t="str">
            <v/>
          </cell>
          <cell r="I46" t="str">
            <v/>
          </cell>
          <cell r="J46" t="str">
            <v/>
          </cell>
          <cell r="K46" t="str">
            <v/>
          </cell>
          <cell r="L46" t="str">
            <v/>
          </cell>
          <cell r="M46" t="str">
            <v/>
          </cell>
          <cell r="N46" t="str">
            <v/>
          </cell>
          <cell r="O46">
            <v>1.1053999999999999</v>
          </cell>
        </row>
        <row r="47">
          <cell r="A47" t="str">
            <v>A08106</v>
          </cell>
          <cell r="B47" t="str">
            <v>118/06/26</v>
          </cell>
          <cell r="C47">
            <v>0.625</v>
          </cell>
          <cell r="D47">
            <v>5.7</v>
          </cell>
          <cell r="E47">
            <v>5.86</v>
          </cell>
          <cell r="F47" t="str">
            <v/>
          </cell>
          <cell r="G47" t="str">
            <v/>
          </cell>
          <cell r="H47" t="str">
            <v/>
          </cell>
          <cell r="I47" t="str">
            <v/>
          </cell>
          <cell r="J47" t="str">
            <v/>
          </cell>
          <cell r="K47" t="str">
            <v/>
          </cell>
          <cell r="L47" t="str">
            <v/>
          </cell>
          <cell r="M47" t="str">
            <v/>
          </cell>
          <cell r="N47" t="str">
            <v/>
          </cell>
          <cell r="O47">
            <v>1.1049</v>
          </cell>
        </row>
        <row r="48">
          <cell r="A48" t="str">
            <v>A08109</v>
          </cell>
          <cell r="B48" t="str">
            <v>118/10/14</v>
          </cell>
          <cell r="C48">
            <v>0.625</v>
          </cell>
          <cell r="D48">
            <v>5.96</v>
          </cell>
          <cell r="E48">
            <v>6.16</v>
          </cell>
          <cell r="F48" t="str">
            <v/>
          </cell>
          <cell r="G48" t="str">
            <v/>
          </cell>
          <cell r="H48" t="str">
            <v/>
          </cell>
          <cell r="I48" t="str">
            <v/>
          </cell>
          <cell r="J48" t="str">
            <v/>
          </cell>
          <cell r="K48" t="str">
            <v/>
          </cell>
          <cell r="L48" t="str">
            <v/>
          </cell>
          <cell r="M48" t="str">
            <v/>
          </cell>
          <cell r="N48" t="str">
            <v/>
          </cell>
          <cell r="O48">
            <v>1.1107</v>
          </cell>
        </row>
        <row r="49">
          <cell r="A49" t="str">
            <v>A99104</v>
          </cell>
          <cell r="B49" t="str">
            <v>119/02/22</v>
          </cell>
          <cell r="C49">
            <v>1.875</v>
          </cell>
          <cell r="D49">
            <v>6.08</v>
          </cell>
          <cell r="E49">
            <v>6.52</v>
          </cell>
          <cell r="F49" t="str">
            <v/>
          </cell>
          <cell r="G49" t="str">
            <v/>
          </cell>
          <cell r="H49" t="str">
            <v/>
          </cell>
          <cell r="I49" t="str">
            <v/>
          </cell>
          <cell r="J49" t="str">
            <v/>
          </cell>
          <cell r="K49" t="str">
            <v/>
          </cell>
          <cell r="L49" t="str">
            <v/>
          </cell>
          <cell r="M49" t="str">
            <v/>
          </cell>
          <cell r="N49" t="str">
            <v/>
          </cell>
          <cell r="O49">
            <v>1.1163000000000001</v>
          </cell>
        </row>
        <row r="50">
          <cell r="A50" t="str">
            <v>A09103</v>
          </cell>
          <cell r="B50" t="str">
            <v>119/02/21</v>
          </cell>
          <cell r="C50">
            <v>0.5</v>
          </cell>
          <cell r="D50">
            <v>6.34</v>
          </cell>
          <cell r="E50">
            <v>6.51</v>
          </cell>
          <cell r="F50" t="str">
            <v/>
          </cell>
          <cell r="G50" t="str">
            <v/>
          </cell>
          <cell r="H50" t="str">
            <v/>
          </cell>
          <cell r="I50" t="str">
            <v/>
          </cell>
          <cell r="J50" t="str">
            <v/>
          </cell>
          <cell r="K50" t="str">
            <v/>
          </cell>
          <cell r="L50" t="str">
            <v/>
          </cell>
          <cell r="M50" t="str">
            <v/>
          </cell>
          <cell r="N50" t="str">
            <v/>
          </cell>
          <cell r="O50">
            <v>1.1184000000000001</v>
          </cell>
        </row>
        <row r="51">
          <cell r="A51" t="str">
            <v>A99107</v>
          </cell>
          <cell r="B51" t="str">
            <v>119/08/12</v>
          </cell>
          <cell r="C51">
            <v>1.75</v>
          </cell>
          <cell r="D51">
            <v>6.57</v>
          </cell>
          <cell r="E51">
            <v>6.98</v>
          </cell>
          <cell r="F51" t="str">
            <v/>
          </cell>
          <cell r="G51" t="str">
            <v/>
          </cell>
          <cell r="H51" t="str">
            <v/>
          </cell>
          <cell r="I51" t="str">
            <v/>
          </cell>
          <cell r="J51" t="str">
            <v/>
          </cell>
          <cell r="K51" t="str">
            <v/>
          </cell>
          <cell r="L51" t="str">
            <v/>
          </cell>
          <cell r="M51" t="str">
            <v/>
          </cell>
          <cell r="N51" t="str">
            <v/>
          </cell>
          <cell r="O51">
            <v>1.1273</v>
          </cell>
        </row>
        <row r="52">
          <cell r="A52" t="str">
            <v>A09106</v>
          </cell>
          <cell r="B52" t="str">
            <v>119/06/11</v>
          </cell>
          <cell r="C52">
            <v>0.375</v>
          </cell>
          <cell r="D52">
            <v>6.66</v>
          </cell>
          <cell r="E52">
            <v>6.81</v>
          </cell>
          <cell r="F52" t="str">
            <v/>
          </cell>
          <cell r="G52" t="str">
            <v/>
          </cell>
          <cell r="H52" t="str">
            <v/>
          </cell>
          <cell r="I52" t="str">
            <v/>
          </cell>
          <cell r="J52" t="str">
            <v/>
          </cell>
          <cell r="K52" t="str">
            <v/>
          </cell>
          <cell r="L52" t="str">
            <v/>
          </cell>
          <cell r="M52" t="str">
            <v/>
          </cell>
          <cell r="N52" t="str">
            <v/>
          </cell>
          <cell r="O52">
            <v>1.1255999999999999</v>
          </cell>
        </row>
        <row r="53">
          <cell r="A53" t="str">
            <v>A00102</v>
          </cell>
          <cell r="B53" t="str">
            <v>120/01/13</v>
          </cell>
          <cell r="C53">
            <v>2.125</v>
          </cell>
          <cell r="D53">
            <v>6.79</v>
          </cell>
          <cell r="E53">
            <v>7.41</v>
          </cell>
          <cell r="F53" t="str">
            <v/>
          </cell>
          <cell r="G53" t="str">
            <v/>
          </cell>
          <cell r="H53" t="str">
            <v/>
          </cell>
          <cell r="I53" t="str">
            <v/>
          </cell>
          <cell r="J53" t="str">
            <v/>
          </cell>
          <cell r="K53" t="str">
            <v/>
          </cell>
          <cell r="L53" t="str">
            <v/>
          </cell>
          <cell r="M53" t="str">
            <v/>
          </cell>
          <cell r="N53" t="str">
            <v/>
          </cell>
          <cell r="O53">
            <v>1.1373</v>
          </cell>
        </row>
        <row r="54">
          <cell r="A54" t="str">
            <v>A09109</v>
          </cell>
          <cell r="B54" t="str">
            <v>119/10/14</v>
          </cell>
          <cell r="C54">
            <v>0.25</v>
          </cell>
          <cell r="D54">
            <v>7</v>
          </cell>
          <cell r="E54">
            <v>7.16</v>
          </cell>
          <cell r="F54" t="str">
            <v/>
          </cell>
          <cell r="G54" t="str">
            <v/>
          </cell>
          <cell r="H54" t="str">
            <v/>
          </cell>
          <cell r="I54" t="str">
            <v/>
          </cell>
          <cell r="J54" t="str">
            <v/>
          </cell>
          <cell r="K54" t="str">
            <v/>
          </cell>
          <cell r="L54" t="str">
            <v/>
          </cell>
          <cell r="M54" t="str">
            <v/>
          </cell>
          <cell r="N54" t="str">
            <v/>
          </cell>
          <cell r="O54">
            <v>1.1345000000000001</v>
          </cell>
        </row>
        <row r="55">
          <cell r="A55" t="str">
            <v>A90105</v>
          </cell>
          <cell r="B55" t="str">
            <v>120/07/17</v>
          </cell>
          <cell r="C55">
            <v>3.625</v>
          </cell>
          <cell r="D55">
            <v>7.01</v>
          </cell>
          <cell r="E55">
            <v>7.91</v>
          </cell>
          <cell r="F55" t="str">
            <v/>
          </cell>
          <cell r="G55" t="str">
            <v/>
          </cell>
          <cell r="H55" t="str">
            <v/>
          </cell>
          <cell r="I55" t="str">
            <v/>
          </cell>
          <cell r="J55" t="str">
            <v/>
          </cell>
          <cell r="K55" t="str">
            <v/>
          </cell>
          <cell r="L55" t="str">
            <v/>
          </cell>
          <cell r="M55" t="str">
            <v/>
          </cell>
          <cell r="N55" t="str">
            <v/>
          </cell>
          <cell r="O55">
            <v>1.1474</v>
          </cell>
        </row>
        <row r="56">
          <cell r="A56" t="str">
            <v>A00201</v>
          </cell>
          <cell r="B56" t="str">
            <v>120/05/26</v>
          </cell>
          <cell r="C56">
            <v>1.75</v>
          </cell>
          <cell r="D56">
            <v>7.23</v>
          </cell>
          <cell r="E56">
            <v>7.77</v>
          </cell>
          <cell r="F56" t="str">
            <v/>
          </cell>
          <cell r="G56" t="str">
            <v/>
          </cell>
          <cell r="H56" t="str">
            <v/>
          </cell>
          <cell r="I56" t="str">
            <v/>
          </cell>
          <cell r="J56" t="str">
            <v/>
          </cell>
          <cell r="K56" t="str">
            <v/>
          </cell>
          <cell r="L56" t="str">
            <v/>
          </cell>
          <cell r="M56" t="str">
            <v/>
          </cell>
          <cell r="N56" t="str">
            <v/>
          </cell>
          <cell r="O56">
            <v>1.1476999999999999</v>
          </cell>
        </row>
        <row r="57">
          <cell r="A57" t="str">
            <v>A00107</v>
          </cell>
          <cell r="B57" t="str">
            <v>120/08/02</v>
          </cell>
          <cell r="C57">
            <v>1.875</v>
          </cell>
          <cell r="D57">
            <v>7.39</v>
          </cell>
          <cell r="E57">
            <v>7.96</v>
          </cell>
          <cell r="F57" t="str">
            <v/>
          </cell>
          <cell r="G57" t="str">
            <v/>
          </cell>
          <cell r="H57" t="str">
            <v/>
          </cell>
          <cell r="I57" t="str">
            <v/>
          </cell>
          <cell r="J57" t="str">
            <v/>
          </cell>
          <cell r="K57" t="str">
            <v/>
          </cell>
          <cell r="L57" t="str">
            <v/>
          </cell>
          <cell r="M57" t="str">
            <v/>
          </cell>
          <cell r="N57" t="str">
            <v/>
          </cell>
          <cell r="O57">
            <v>1.1521999999999999</v>
          </cell>
        </row>
        <row r="58">
          <cell r="A58" t="str">
            <v>A10103</v>
          </cell>
          <cell r="B58" t="str">
            <v>120/02/22</v>
          </cell>
          <cell r="C58">
            <v>0.25</v>
          </cell>
          <cell r="D58">
            <v>7.36</v>
          </cell>
          <cell r="E58">
            <v>7.52</v>
          </cell>
          <cell r="F58" t="str">
            <v/>
          </cell>
          <cell r="G58" t="str">
            <v/>
          </cell>
          <cell r="H58" t="str">
            <v/>
          </cell>
          <cell r="I58" t="str">
            <v/>
          </cell>
          <cell r="J58" t="str">
            <v/>
          </cell>
          <cell r="K58" t="str">
            <v/>
          </cell>
          <cell r="L58" t="str">
            <v/>
          </cell>
          <cell r="M58" t="str">
            <v/>
          </cell>
          <cell r="N58" t="str">
            <v/>
          </cell>
          <cell r="O58">
            <v>1.1440999999999999</v>
          </cell>
        </row>
        <row r="59">
          <cell r="A59" t="str">
            <v>A10201</v>
          </cell>
          <cell r="B59" t="str">
            <v>120/05/07</v>
          </cell>
          <cell r="C59">
            <v>0.375</v>
          </cell>
          <cell r="D59">
            <v>7.52</v>
          </cell>
          <cell r="E59">
            <v>7.72</v>
          </cell>
          <cell r="F59" t="str">
            <v/>
          </cell>
          <cell r="G59" t="str">
            <v/>
          </cell>
          <cell r="H59" t="str">
            <v/>
          </cell>
          <cell r="I59" t="str">
            <v/>
          </cell>
          <cell r="J59" t="str">
            <v/>
          </cell>
          <cell r="K59" t="str">
            <v/>
          </cell>
          <cell r="L59" t="str">
            <v/>
          </cell>
          <cell r="M59" t="str">
            <v/>
          </cell>
          <cell r="N59" t="str">
            <v/>
          </cell>
          <cell r="O59">
            <v>1.1495</v>
          </cell>
        </row>
        <row r="60">
          <cell r="A60" t="str">
            <v>A10107</v>
          </cell>
          <cell r="B60" t="str">
            <v>120/06/23</v>
          </cell>
          <cell r="C60">
            <v>0.375</v>
          </cell>
          <cell r="D60">
            <v>7.65</v>
          </cell>
          <cell r="E60">
            <v>7.85</v>
          </cell>
          <cell r="F60" t="str">
            <v/>
          </cell>
          <cell r="G60" t="str">
            <v/>
          </cell>
          <cell r="H60" t="str">
            <v/>
          </cell>
          <cell r="I60" t="str">
            <v/>
          </cell>
          <cell r="J60" t="str">
            <v/>
          </cell>
          <cell r="K60" t="str">
            <v/>
          </cell>
          <cell r="L60" t="str">
            <v/>
          </cell>
          <cell r="M60" t="str">
            <v/>
          </cell>
          <cell r="N60" t="str">
            <v/>
          </cell>
          <cell r="O60">
            <v>1.1529</v>
          </cell>
        </row>
        <row r="61">
          <cell r="A61" t="str">
            <v>A01102</v>
          </cell>
          <cell r="B61" t="str">
            <v>121/01/20</v>
          </cell>
          <cell r="C61">
            <v>1.625</v>
          </cell>
          <cell r="D61">
            <v>7.79</v>
          </cell>
          <cell r="E61">
            <v>8.42</v>
          </cell>
          <cell r="F61" t="str">
            <v/>
          </cell>
          <cell r="G61" t="str">
            <v/>
          </cell>
          <cell r="H61" t="str">
            <v/>
          </cell>
          <cell r="I61" t="str">
            <v/>
          </cell>
          <cell r="J61" t="str">
            <v/>
          </cell>
          <cell r="K61" t="str">
            <v/>
          </cell>
          <cell r="L61" t="str">
            <v/>
          </cell>
          <cell r="M61" t="str">
            <v/>
          </cell>
          <cell r="N61" t="str">
            <v/>
          </cell>
          <cell r="O61">
            <v>1.1641999999999999</v>
          </cell>
        </row>
        <row r="62">
          <cell r="A62" t="str">
            <v>A10111</v>
          </cell>
          <cell r="B62" t="str">
            <v>120/10/22</v>
          </cell>
          <cell r="C62">
            <v>0.5</v>
          </cell>
          <cell r="D62">
            <v>7.9</v>
          </cell>
          <cell r="E62">
            <v>8.18</v>
          </cell>
          <cell r="F62" t="str">
            <v/>
          </cell>
          <cell r="G62" t="str">
            <v/>
          </cell>
          <cell r="H62" t="str">
            <v/>
          </cell>
          <cell r="I62" t="str">
            <v/>
          </cell>
          <cell r="J62" t="str">
            <v/>
          </cell>
          <cell r="K62" t="str">
            <v/>
          </cell>
          <cell r="L62" t="str">
            <v/>
          </cell>
          <cell r="M62" t="str">
            <v/>
          </cell>
          <cell r="N62" t="str">
            <v/>
          </cell>
          <cell r="O62">
            <v>1.1613</v>
          </cell>
        </row>
        <row r="63">
          <cell r="A63" t="str">
            <v>A01201</v>
          </cell>
          <cell r="B63" t="str">
            <v>121/03/16</v>
          </cell>
          <cell r="C63">
            <v>1.625</v>
          </cell>
          <cell r="D63">
            <v>7.94</v>
          </cell>
          <cell r="E63">
            <v>8.58</v>
          </cell>
          <cell r="F63" t="str">
            <v/>
          </cell>
          <cell r="G63" t="str">
            <v/>
          </cell>
          <cell r="H63" t="str">
            <v/>
          </cell>
          <cell r="I63" t="str">
            <v/>
          </cell>
          <cell r="J63" t="str">
            <v/>
          </cell>
          <cell r="K63" t="str">
            <v/>
          </cell>
          <cell r="L63" t="str">
            <v/>
          </cell>
          <cell r="M63" t="str">
            <v/>
          </cell>
          <cell r="N63" t="str">
            <v/>
          </cell>
          <cell r="O63">
            <v>1.1675</v>
          </cell>
        </row>
        <row r="64">
          <cell r="A64" t="str">
            <v>A11201</v>
          </cell>
          <cell r="B64" t="str">
            <v>121/01/10</v>
          </cell>
          <cell r="C64">
            <v>0.75</v>
          </cell>
          <cell r="D64">
            <v>8.0299999999999994</v>
          </cell>
          <cell r="E64">
            <v>8.4</v>
          </cell>
          <cell r="F64" t="str">
            <v/>
          </cell>
          <cell r="G64" t="str">
            <v/>
          </cell>
          <cell r="H64" t="str">
            <v/>
          </cell>
          <cell r="I64" t="str">
            <v/>
          </cell>
          <cell r="J64" t="str">
            <v/>
          </cell>
          <cell r="K64" t="str">
            <v/>
          </cell>
          <cell r="L64" t="str">
            <v/>
          </cell>
          <cell r="M64" t="str">
            <v/>
          </cell>
          <cell r="N64" t="str">
            <v/>
          </cell>
          <cell r="O64">
            <v>1.1658999999999999</v>
          </cell>
        </row>
        <row r="65">
          <cell r="A65" t="str">
            <v>A11102</v>
          </cell>
          <cell r="B65" t="str">
            <v>121/02/18</v>
          </cell>
          <cell r="C65">
            <v>0.625</v>
          </cell>
          <cell r="D65">
            <v>8.18</v>
          </cell>
          <cell r="E65">
            <v>8.5</v>
          </cell>
          <cell r="F65" t="str">
            <v/>
          </cell>
          <cell r="G65" t="str">
            <v/>
          </cell>
          <cell r="H65" t="str">
            <v/>
          </cell>
          <cell r="I65" t="str">
            <v/>
          </cell>
          <cell r="J65" t="str">
            <v/>
          </cell>
          <cell r="K65" t="str">
            <v/>
          </cell>
          <cell r="L65" t="str">
            <v/>
          </cell>
          <cell r="M65" t="str">
            <v/>
          </cell>
          <cell r="N65" t="str">
            <v/>
          </cell>
          <cell r="O65">
            <v>1.1688000000000001</v>
          </cell>
        </row>
        <row r="66">
          <cell r="A66" t="str">
            <v>A01107</v>
          </cell>
          <cell r="B66" t="str">
            <v>121/08/10</v>
          </cell>
          <cell r="C66">
            <v>1.5</v>
          </cell>
          <cell r="D66">
            <v>8.3699999999999992</v>
          </cell>
          <cell r="E66">
            <v>8.98</v>
          </cell>
          <cell r="F66" t="str">
            <v/>
          </cell>
          <cell r="G66" t="str">
            <v/>
          </cell>
          <cell r="H66" t="str">
            <v/>
          </cell>
          <cell r="I66" t="str">
            <v/>
          </cell>
          <cell r="J66" t="str">
            <v/>
          </cell>
          <cell r="K66" t="str">
            <v/>
          </cell>
          <cell r="L66" t="str">
            <v/>
          </cell>
          <cell r="M66" t="str">
            <v/>
          </cell>
          <cell r="N66" t="str">
            <v/>
          </cell>
          <cell r="O66">
            <v>1.1760999999999999</v>
          </cell>
        </row>
        <row r="67">
          <cell r="A67" t="str">
            <v>A11107</v>
          </cell>
          <cell r="B67" t="str">
            <v>121/06/30</v>
          </cell>
          <cell r="C67">
            <v>1.25</v>
          </cell>
          <cell r="D67">
            <v>8.34</v>
          </cell>
          <cell r="E67">
            <v>8.8699999999999992</v>
          </cell>
          <cell r="F67" t="str">
            <v/>
          </cell>
          <cell r="G67" t="str">
            <v/>
          </cell>
          <cell r="H67" t="str">
            <v/>
          </cell>
          <cell r="I67" t="str">
            <v/>
          </cell>
          <cell r="J67" t="str">
            <v/>
          </cell>
          <cell r="K67" t="str">
            <v/>
          </cell>
          <cell r="L67" t="str">
            <v/>
          </cell>
          <cell r="M67" t="str">
            <v/>
          </cell>
          <cell r="N67" t="str">
            <v/>
          </cell>
          <cell r="O67">
            <v>1.1746000000000001</v>
          </cell>
        </row>
        <row r="68">
          <cell r="A68" t="str">
            <v>A11110</v>
          </cell>
          <cell r="B68" t="str">
            <v>121/10/17</v>
          </cell>
          <cell r="C68">
            <v>1.75</v>
          </cell>
          <cell r="D68">
            <v>8.35</v>
          </cell>
          <cell r="E68">
            <v>9.17</v>
          </cell>
          <cell r="F68" t="str">
            <v/>
          </cell>
          <cell r="G68" t="str">
            <v/>
          </cell>
          <cell r="H68" t="str">
            <v/>
          </cell>
          <cell r="I68" t="str">
            <v/>
          </cell>
          <cell r="J68" t="str">
            <v/>
          </cell>
          <cell r="K68" t="str">
            <v/>
          </cell>
          <cell r="L68" t="str">
            <v/>
          </cell>
          <cell r="M68" t="str">
            <v/>
          </cell>
          <cell r="N68" t="str">
            <v/>
          </cell>
          <cell r="O68">
            <v>1.1788000000000001</v>
          </cell>
        </row>
        <row r="69">
          <cell r="A69" t="str">
            <v>A02103</v>
          </cell>
          <cell r="B69" t="str">
            <v>122/01/28</v>
          </cell>
          <cell r="C69">
            <v>1.5</v>
          </cell>
          <cell r="D69">
            <v>8.7200000000000006</v>
          </cell>
          <cell r="E69">
            <v>9.4499999999999993</v>
          </cell>
          <cell r="F69" t="str">
            <v/>
          </cell>
          <cell r="G69" t="str">
            <v/>
          </cell>
          <cell r="H69" t="str">
            <v/>
          </cell>
          <cell r="I69" t="str">
            <v/>
          </cell>
          <cell r="J69" t="str">
            <v/>
          </cell>
          <cell r="K69" t="str">
            <v/>
          </cell>
          <cell r="L69" t="str">
            <v/>
          </cell>
          <cell r="M69" t="str">
            <v/>
          </cell>
          <cell r="N69" t="str">
            <v/>
          </cell>
          <cell r="O69">
            <v>1.1847000000000001</v>
          </cell>
        </row>
        <row r="70">
          <cell r="A70" t="str">
            <v>A12201</v>
          </cell>
          <cell r="B70" t="str">
            <v>122/01/10</v>
          </cell>
          <cell r="C70">
            <v>1.25</v>
          </cell>
          <cell r="D70">
            <v>8.76</v>
          </cell>
          <cell r="E70">
            <v>9.4</v>
          </cell>
          <cell r="F70" t="str">
            <v/>
          </cell>
          <cell r="G70" t="str">
            <v/>
          </cell>
          <cell r="H70" t="str">
            <v/>
          </cell>
          <cell r="I70" t="str">
            <v/>
          </cell>
          <cell r="J70" t="str">
            <v/>
          </cell>
          <cell r="K70" t="str">
            <v/>
          </cell>
          <cell r="L70" t="str">
            <v/>
          </cell>
          <cell r="M70" t="str">
            <v/>
          </cell>
          <cell r="N70" t="str">
            <v/>
          </cell>
          <cell r="O70">
            <v>1.1846000000000001</v>
          </cell>
        </row>
        <row r="71">
          <cell r="A71" t="str">
            <v>A02201</v>
          </cell>
          <cell r="B71" t="str">
            <v>122/03/21</v>
          </cell>
          <cell r="C71">
            <v>1.75</v>
          </cell>
          <cell r="D71">
            <v>8.77</v>
          </cell>
          <cell r="E71">
            <v>9.59</v>
          </cell>
          <cell r="F71" t="str">
            <v/>
          </cell>
          <cell r="G71" t="str">
            <v/>
          </cell>
          <cell r="H71" t="str">
            <v/>
          </cell>
          <cell r="I71" t="str">
            <v/>
          </cell>
          <cell r="J71" t="str">
            <v/>
          </cell>
          <cell r="K71" t="str">
            <v/>
          </cell>
          <cell r="L71" t="str">
            <v/>
          </cell>
          <cell r="M71" t="str">
            <v/>
          </cell>
          <cell r="N71" t="str">
            <v/>
          </cell>
          <cell r="O71">
            <v>1.1863999999999999</v>
          </cell>
        </row>
        <row r="72">
          <cell r="A72" t="str">
            <v>A02108</v>
          </cell>
          <cell r="B72" t="str">
            <v>122/07/26</v>
          </cell>
          <cell r="C72">
            <v>2</v>
          </cell>
          <cell r="D72">
            <v>9.0299999999999994</v>
          </cell>
          <cell r="E72">
            <v>9.94</v>
          </cell>
          <cell r="F72" t="str">
            <v/>
          </cell>
          <cell r="G72" t="str">
            <v/>
          </cell>
          <cell r="H72" t="str">
            <v/>
          </cell>
          <cell r="I72" t="str">
            <v/>
          </cell>
          <cell r="J72" t="str">
            <v/>
          </cell>
          <cell r="K72" t="str">
            <v/>
          </cell>
          <cell r="L72" t="str">
            <v/>
          </cell>
          <cell r="M72" t="str">
            <v/>
          </cell>
          <cell r="N72" t="str">
            <v/>
          </cell>
          <cell r="O72">
            <v>1.1918</v>
          </cell>
        </row>
        <row r="73">
          <cell r="A73" t="str">
            <v>A12102</v>
          </cell>
          <cell r="B73" t="str">
            <v>122/02/17</v>
          </cell>
          <cell r="C73">
            <v>1.125</v>
          </cell>
          <cell r="D73">
            <v>8.91</v>
          </cell>
          <cell r="E73">
            <v>9.5</v>
          </cell>
          <cell r="F73" t="str">
            <v/>
          </cell>
          <cell r="G73" t="str">
            <v/>
          </cell>
          <cell r="H73" t="str">
            <v/>
          </cell>
          <cell r="I73" t="str">
            <v/>
          </cell>
          <cell r="J73" t="str">
            <v/>
          </cell>
          <cell r="K73" t="str">
            <v/>
          </cell>
          <cell r="L73" t="str">
            <v/>
          </cell>
          <cell r="M73" t="str">
            <v/>
          </cell>
          <cell r="N73" t="str">
            <v/>
          </cell>
          <cell r="O73">
            <v>1.1868000000000001</v>
          </cell>
        </row>
        <row r="74">
          <cell r="A74" t="str">
            <v>A93106</v>
          </cell>
          <cell r="B74" t="str">
            <v>123/05/27</v>
          </cell>
          <cell r="C74">
            <v>3.875</v>
          </cell>
          <cell r="D74">
            <v>9.07</v>
          </cell>
          <cell r="E74">
            <v>10.77</v>
          </cell>
          <cell r="F74" t="str">
            <v/>
          </cell>
          <cell r="G74" t="str">
            <v/>
          </cell>
          <cell r="H74" t="str">
            <v/>
          </cell>
          <cell r="I74" t="str">
            <v/>
          </cell>
          <cell r="J74" t="str">
            <v/>
          </cell>
          <cell r="K74" t="str">
            <v/>
          </cell>
          <cell r="L74" t="str">
            <v/>
          </cell>
          <cell r="M74" t="str">
            <v/>
          </cell>
          <cell r="N74" t="str">
            <v/>
          </cell>
          <cell r="O74">
            <v>1.2002999999999999</v>
          </cell>
        </row>
        <row r="75">
          <cell r="A75" t="str">
            <v>A12107R</v>
          </cell>
          <cell r="B75" t="str">
            <v>122/06/09</v>
          </cell>
          <cell r="C75">
            <v>1.125</v>
          </cell>
          <cell r="D75">
            <v>9.19</v>
          </cell>
          <cell r="E75">
            <v>9.81</v>
          </cell>
          <cell r="F75">
            <v>1.19</v>
          </cell>
          <cell r="G75">
            <v>1.1859999999999999</v>
          </cell>
          <cell r="H75">
            <v>1.1880999999999999</v>
          </cell>
          <cell r="I75">
            <v>6.5</v>
          </cell>
          <cell r="J75">
            <v>1.1881999999999999</v>
          </cell>
          <cell r="K75">
            <v>1.1881999999999999</v>
          </cell>
          <cell r="L75">
            <v>1.1881999999999999</v>
          </cell>
          <cell r="M75">
            <v>1</v>
          </cell>
          <cell r="N75">
            <v>1</v>
          </cell>
          <cell r="O75">
            <v>1.1919999999999999</v>
          </cell>
        </row>
        <row r="76">
          <cell r="A76" t="str">
            <v>A12107</v>
          </cell>
          <cell r="B76" t="str">
            <v>122/06/09</v>
          </cell>
          <cell r="C76">
            <v>1.125</v>
          </cell>
          <cell r="D76">
            <v>9.2100000000000009</v>
          </cell>
          <cell r="E76">
            <v>9.81</v>
          </cell>
          <cell r="F76" t="str">
            <v/>
          </cell>
          <cell r="G76" t="str">
            <v/>
          </cell>
          <cell r="H76" t="str">
            <v/>
          </cell>
          <cell r="I76" t="str">
            <v/>
          </cell>
          <cell r="J76" t="str">
            <v/>
          </cell>
          <cell r="K76" t="str">
            <v/>
          </cell>
          <cell r="L76" t="str">
            <v/>
          </cell>
          <cell r="M76" t="str">
            <v/>
          </cell>
          <cell r="N76" t="str">
            <v/>
          </cell>
          <cell r="O76">
            <v>1.1923999999999999</v>
          </cell>
        </row>
        <row r="77">
          <cell r="A77" t="str">
            <v>A03103</v>
          </cell>
          <cell r="B77" t="str">
            <v>123/01/29</v>
          </cell>
          <cell r="C77">
            <v>2</v>
          </cell>
          <cell r="D77">
            <v>9.3699999999999992</v>
          </cell>
          <cell r="E77">
            <v>10.45</v>
          </cell>
          <cell r="F77" t="str">
            <v/>
          </cell>
          <cell r="G77" t="str">
            <v/>
          </cell>
          <cell r="H77" t="str">
            <v/>
          </cell>
          <cell r="I77" t="str">
            <v/>
          </cell>
          <cell r="J77" t="str">
            <v/>
          </cell>
          <cell r="K77" t="str">
            <v/>
          </cell>
          <cell r="L77" t="str">
            <v/>
          </cell>
          <cell r="M77" t="str">
            <v/>
          </cell>
          <cell r="N77" t="str">
            <v/>
          </cell>
          <cell r="O77">
            <v>1.2007000000000001</v>
          </cell>
        </row>
        <row r="78">
          <cell r="A78" t="str">
            <v>A03111</v>
          </cell>
          <cell r="B78" t="str">
            <v>123/07/31</v>
          </cell>
          <cell r="C78">
            <v>2.125</v>
          </cell>
          <cell r="D78">
            <v>9.81</v>
          </cell>
          <cell r="E78">
            <v>10.95</v>
          </cell>
          <cell r="F78" t="str">
            <v/>
          </cell>
          <cell r="G78" t="str">
            <v/>
          </cell>
          <cell r="H78" t="str">
            <v/>
          </cell>
          <cell r="I78" t="str">
            <v/>
          </cell>
          <cell r="J78" t="str">
            <v/>
          </cell>
          <cell r="K78" t="str">
            <v/>
          </cell>
          <cell r="L78" t="str">
            <v/>
          </cell>
          <cell r="M78" t="str">
            <v/>
          </cell>
          <cell r="N78" t="str">
            <v/>
          </cell>
          <cell r="O78">
            <v>1.2092000000000001</v>
          </cell>
        </row>
        <row r="79">
          <cell r="A79" t="str">
            <v>A03107</v>
          </cell>
          <cell r="B79" t="str">
            <v>123/04/25</v>
          </cell>
          <cell r="C79">
            <v>1.875</v>
          </cell>
          <cell r="D79">
            <v>9.65</v>
          </cell>
          <cell r="E79">
            <v>10.69</v>
          </cell>
          <cell r="F79" t="str">
            <v/>
          </cell>
          <cell r="G79" t="str">
            <v/>
          </cell>
          <cell r="H79" t="str">
            <v/>
          </cell>
          <cell r="I79" t="str">
            <v/>
          </cell>
          <cell r="J79" t="str">
            <v/>
          </cell>
          <cell r="K79" t="str">
            <v/>
          </cell>
          <cell r="L79" t="str">
            <v/>
          </cell>
          <cell r="M79" t="str">
            <v/>
          </cell>
          <cell r="N79" t="str">
            <v/>
          </cell>
          <cell r="O79">
            <v>1.2054</v>
          </cell>
        </row>
        <row r="80">
          <cell r="A80" t="str">
            <v>A03114</v>
          </cell>
          <cell r="B80" t="str">
            <v>123/10/02</v>
          </cell>
          <cell r="C80">
            <v>2.25</v>
          </cell>
          <cell r="D80">
            <v>9.74</v>
          </cell>
          <cell r="E80">
            <v>11.12</v>
          </cell>
          <cell r="F80" t="str">
            <v/>
          </cell>
          <cell r="G80" t="str">
            <v/>
          </cell>
          <cell r="H80" t="str">
            <v/>
          </cell>
          <cell r="I80" t="str">
            <v/>
          </cell>
          <cell r="J80" t="str">
            <v/>
          </cell>
          <cell r="K80" t="str">
            <v/>
          </cell>
          <cell r="L80" t="str">
            <v/>
          </cell>
          <cell r="M80" t="str">
            <v/>
          </cell>
          <cell r="N80" t="str">
            <v/>
          </cell>
          <cell r="O80">
            <v>1.2118</v>
          </cell>
        </row>
        <row r="81">
          <cell r="A81" t="str">
            <v>A04102</v>
          </cell>
          <cell r="B81" t="str">
            <v>124/01/23</v>
          </cell>
          <cell r="C81">
            <v>2</v>
          </cell>
          <cell r="D81">
            <v>10.16</v>
          </cell>
          <cell r="E81">
            <v>11.43</v>
          </cell>
          <cell r="F81" t="str">
            <v/>
          </cell>
          <cell r="G81" t="str">
            <v/>
          </cell>
          <cell r="H81" t="str">
            <v/>
          </cell>
          <cell r="I81" t="str">
            <v/>
          </cell>
          <cell r="J81" t="str">
            <v/>
          </cell>
          <cell r="K81" t="str">
            <v/>
          </cell>
          <cell r="L81" t="str">
            <v/>
          </cell>
          <cell r="M81" t="str">
            <v/>
          </cell>
          <cell r="N81" t="str">
            <v/>
          </cell>
          <cell r="O81">
            <v>1.2182999999999999</v>
          </cell>
        </row>
        <row r="82">
          <cell r="A82" t="str">
            <v>A04107</v>
          </cell>
          <cell r="B82" t="str">
            <v>124/04/15</v>
          </cell>
          <cell r="C82">
            <v>2.125</v>
          </cell>
          <cell r="D82">
            <v>10.32</v>
          </cell>
          <cell r="E82">
            <v>11.66</v>
          </cell>
          <cell r="F82" t="str">
            <v/>
          </cell>
          <cell r="G82" t="str">
            <v/>
          </cell>
          <cell r="H82" t="str">
            <v/>
          </cell>
          <cell r="I82" t="str">
            <v/>
          </cell>
          <cell r="J82" t="str">
            <v/>
          </cell>
          <cell r="K82" t="str">
            <v/>
          </cell>
          <cell r="L82" t="str">
            <v/>
          </cell>
          <cell r="M82" t="str">
            <v/>
          </cell>
          <cell r="N82" t="str">
            <v/>
          </cell>
          <cell r="O82">
            <v>1.2219</v>
          </cell>
        </row>
        <row r="83">
          <cell r="A83" t="str">
            <v>A04114</v>
          </cell>
          <cell r="B83" t="str">
            <v>124/10/26</v>
          </cell>
          <cell r="C83">
            <v>1.75</v>
          </cell>
          <cell r="D83">
            <v>10.84</v>
          </cell>
          <cell r="E83">
            <v>12.19</v>
          </cell>
          <cell r="F83" t="str">
            <v/>
          </cell>
          <cell r="G83" t="str">
            <v/>
          </cell>
          <cell r="H83" t="str">
            <v/>
          </cell>
          <cell r="I83" t="str">
            <v/>
          </cell>
          <cell r="J83" t="str">
            <v/>
          </cell>
          <cell r="K83" t="str">
            <v/>
          </cell>
          <cell r="L83" t="str">
            <v/>
          </cell>
          <cell r="M83" t="str">
            <v/>
          </cell>
          <cell r="N83" t="str">
            <v/>
          </cell>
          <cell r="O83">
            <v>1.2331000000000001</v>
          </cell>
        </row>
        <row r="84">
          <cell r="A84" t="str">
            <v>A05102</v>
          </cell>
          <cell r="B84" t="str">
            <v>125/01/22</v>
          </cell>
          <cell r="C84">
            <v>1.375</v>
          </cell>
          <cell r="D84">
            <v>11.29</v>
          </cell>
          <cell r="E84">
            <v>12.43</v>
          </cell>
          <cell r="F84" t="str">
            <v/>
          </cell>
          <cell r="G84" t="str">
            <v/>
          </cell>
          <cell r="H84" t="str">
            <v/>
          </cell>
          <cell r="I84" t="str">
            <v/>
          </cell>
          <cell r="J84" t="str">
            <v/>
          </cell>
          <cell r="K84" t="str">
            <v/>
          </cell>
          <cell r="L84" t="str">
            <v/>
          </cell>
          <cell r="M84" t="str">
            <v/>
          </cell>
          <cell r="N84" t="str">
            <v/>
          </cell>
          <cell r="O84">
            <v>1.2393000000000001</v>
          </cell>
        </row>
        <row r="85">
          <cell r="A85" t="str">
            <v>A05106</v>
          </cell>
          <cell r="B85" t="str">
            <v>125/04/08</v>
          </cell>
          <cell r="C85">
            <v>1.25</v>
          </cell>
          <cell r="D85">
            <v>11.58</v>
          </cell>
          <cell r="E85">
            <v>12.64</v>
          </cell>
          <cell r="F85" t="str">
            <v/>
          </cell>
          <cell r="G85" t="str">
            <v/>
          </cell>
          <cell r="H85" t="str">
            <v/>
          </cell>
          <cell r="I85" t="str">
            <v/>
          </cell>
          <cell r="J85" t="str">
            <v/>
          </cell>
          <cell r="K85" t="str">
            <v/>
          </cell>
          <cell r="L85" t="str">
            <v/>
          </cell>
          <cell r="M85" t="str">
            <v/>
          </cell>
          <cell r="N85" t="str">
            <v/>
          </cell>
          <cell r="O85">
            <v>1.2438</v>
          </cell>
        </row>
        <row r="86">
          <cell r="A86" t="str">
            <v>A05109</v>
          </cell>
          <cell r="B86" t="str">
            <v>125/07/19</v>
          </cell>
          <cell r="C86">
            <v>1.125</v>
          </cell>
          <cell r="D86">
            <v>11.93</v>
          </cell>
          <cell r="E86">
            <v>12.92</v>
          </cell>
          <cell r="F86" t="str">
            <v/>
          </cell>
          <cell r="G86" t="str">
            <v/>
          </cell>
          <cell r="H86" t="str">
            <v/>
          </cell>
          <cell r="I86" t="str">
            <v/>
          </cell>
          <cell r="J86" t="str">
            <v/>
          </cell>
          <cell r="K86" t="str">
            <v/>
          </cell>
          <cell r="L86" t="str">
            <v/>
          </cell>
          <cell r="M86" t="str">
            <v/>
          </cell>
          <cell r="N86" t="str">
            <v/>
          </cell>
          <cell r="O86">
            <v>1.2498</v>
          </cell>
        </row>
        <row r="87">
          <cell r="A87" t="str">
            <v>A06103</v>
          </cell>
          <cell r="B87" t="str">
            <v>126/02/20</v>
          </cell>
          <cell r="C87">
            <v>1.75</v>
          </cell>
          <cell r="D87">
            <v>11.95</v>
          </cell>
          <cell r="E87">
            <v>13.51</v>
          </cell>
          <cell r="F87" t="str">
            <v/>
          </cell>
          <cell r="G87" t="str">
            <v/>
          </cell>
          <cell r="H87" t="str">
            <v/>
          </cell>
          <cell r="I87" t="str">
            <v/>
          </cell>
          <cell r="J87" t="str">
            <v/>
          </cell>
          <cell r="K87" t="str">
            <v/>
          </cell>
          <cell r="L87" t="str">
            <v/>
          </cell>
          <cell r="M87" t="str">
            <v/>
          </cell>
          <cell r="N87" t="str">
            <v/>
          </cell>
          <cell r="O87">
            <v>1.2575000000000001</v>
          </cell>
        </row>
        <row r="88">
          <cell r="A88" t="str">
            <v>A06108</v>
          </cell>
          <cell r="B88" t="str">
            <v>126/08/18</v>
          </cell>
          <cell r="C88">
            <v>1.5</v>
          </cell>
          <cell r="D88">
            <v>12.59</v>
          </cell>
          <cell r="E88">
            <v>14</v>
          </cell>
          <cell r="F88" t="str">
            <v/>
          </cell>
          <cell r="G88" t="str">
            <v/>
          </cell>
          <cell r="H88" t="str">
            <v/>
          </cell>
          <cell r="I88" t="str">
            <v/>
          </cell>
          <cell r="J88" t="str">
            <v/>
          </cell>
          <cell r="K88" t="str">
            <v/>
          </cell>
          <cell r="L88" t="str">
            <v/>
          </cell>
          <cell r="M88" t="str">
            <v/>
          </cell>
          <cell r="N88" t="str">
            <v/>
          </cell>
          <cell r="O88">
            <v>1.2682</v>
          </cell>
        </row>
        <row r="89">
          <cell r="A89" t="str">
            <v>A07103</v>
          </cell>
          <cell r="B89" t="str">
            <v>127/03/13</v>
          </cell>
          <cell r="C89">
            <v>1.375</v>
          </cell>
          <cell r="D89">
            <v>13.07</v>
          </cell>
          <cell r="E89">
            <v>14.57</v>
          </cell>
          <cell r="F89" t="str">
            <v/>
          </cell>
          <cell r="G89" t="str">
            <v/>
          </cell>
          <cell r="H89" t="str">
            <v/>
          </cell>
          <cell r="I89" t="str">
            <v/>
          </cell>
          <cell r="J89" t="str">
            <v/>
          </cell>
          <cell r="K89" t="str">
            <v/>
          </cell>
          <cell r="L89" t="str">
            <v/>
          </cell>
          <cell r="M89" t="str">
            <v/>
          </cell>
          <cell r="N89" t="str">
            <v/>
          </cell>
          <cell r="O89">
            <v>1.2796000000000001</v>
          </cell>
        </row>
        <row r="90">
          <cell r="A90" t="str">
            <v>A07108</v>
          </cell>
          <cell r="B90" t="str">
            <v>127/09/21</v>
          </cell>
          <cell r="C90">
            <v>1.125</v>
          </cell>
          <cell r="D90">
            <v>13.63</v>
          </cell>
          <cell r="E90">
            <v>15.09</v>
          </cell>
          <cell r="F90" t="str">
            <v/>
          </cell>
          <cell r="G90" t="str">
            <v/>
          </cell>
          <cell r="H90" t="str">
            <v/>
          </cell>
          <cell r="I90" t="str">
            <v/>
          </cell>
          <cell r="J90" t="str">
            <v/>
          </cell>
          <cell r="K90" t="str">
            <v/>
          </cell>
          <cell r="L90" t="str">
            <v/>
          </cell>
          <cell r="M90" t="str">
            <v/>
          </cell>
          <cell r="N90" t="str">
            <v/>
          </cell>
          <cell r="O90">
            <v>1.2915000000000001</v>
          </cell>
        </row>
        <row r="91">
          <cell r="A91" t="str">
            <v>A99102</v>
          </cell>
          <cell r="B91" t="str">
            <v>129/01/28</v>
          </cell>
          <cell r="C91">
            <v>2.25</v>
          </cell>
          <cell r="D91">
            <v>13.79</v>
          </cell>
          <cell r="E91">
            <v>16.45</v>
          </cell>
          <cell r="F91" t="str">
            <v/>
          </cell>
          <cell r="G91" t="str">
            <v/>
          </cell>
          <cell r="H91" t="str">
            <v/>
          </cell>
          <cell r="I91" t="str">
            <v/>
          </cell>
          <cell r="J91" t="str">
            <v/>
          </cell>
          <cell r="K91" t="str">
            <v/>
          </cell>
          <cell r="L91" t="str">
            <v/>
          </cell>
          <cell r="M91" t="str">
            <v/>
          </cell>
          <cell r="N91" t="str">
            <v/>
          </cell>
          <cell r="O91">
            <v>1.3089999999999999</v>
          </cell>
        </row>
        <row r="92">
          <cell r="A92" t="str">
            <v>A08102</v>
          </cell>
          <cell r="B92" t="str">
            <v>128/01/28</v>
          </cell>
          <cell r="C92">
            <v>1.125</v>
          </cell>
          <cell r="D92">
            <v>13.98</v>
          </cell>
          <cell r="E92">
            <v>15.45</v>
          </cell>
          <cell r="F92" t="str">
            <v/>
          </cell>
          <cell r="G92" t="str">
            <v/>
          </cell>
          <cell r="H92" t="str">
            <v/>
          </cell>
          <cell r="I92" t="str">
            <v/>
          </cell>
          <cell r="J92" t="str">
            <v/>
          </cell>
          <cell r="K92" t="str">
            <v/>
          </cell>
          <cell r="L92" t="str">
            <v/>
          </cell>
          <cell r="M92" t="str">
            <v/>
          </cell>
          <cell r="N92" t="str">
            <v/>
          </cell>
          <cell r="O92">
            <v>1.2982</v>
          </cell>
        </row>
        <row r="93">
          <cell r="A93" t="str">
            <v>A08104</v>
          </cell>
          <cell r="B93" t="str">
            <v>128/03/04</v>
          </cell>
          <cell r="C93">
            <v>1.125</v>
          </cell>
          <cell r="D93">
            <v>14.07</v>
          </cell>
          <cell r="E93">
            <v>15.54</v>
          </cell>
          <cell r="F93" t="str">
            <v/>
          </cell>
          <cell r="G93" t="str">
            <v/>
          </cell>
          <cell r="H93" t="str">
            <v/>
          </cell>
          <cell r="I93" t="str">
            <v/>
          </cell>
          <cell r="J93" t="str">
            <v/>
          </cell>
          <cell r="K93" t="str">
            <v/>
          </cell>
          <cell r="L93" t="str">
            <v/>
          </cell>
          <cell r="M93" t="str">
            <v/>
          </cell>
          <cell r="N93" t="str">
            <v/>
          </cell>
          <cell r="O93">
            <v>1.3001</v>
          </cell>
        </row>
        <row r="94">
          <cell r="A94" t="str">
            <v>A99109</v>
          </cell>
          <cell r="B94" t="str">
            <v>129/12/28</v>
          </cell>
          <cell r="C94">
            <v>2.125</v>
          </cell>
          <cell r="D94">
            <v>14.51</v>
          </cell>
          <cell r="E94">
            <v>17.36</v>
          </cell>
          <cell r="F94" t="str">
            <v/>
          </cell>
          <cell r="G94" t="str">
            <v/>
          </cell>
          <cell r="H94" t="str">
            <v/>
          </cell>
          <cell r="I94" t="str">
            <v/>
          </cell>
          <cell r="J94" t="str">
            <v/>
          </cell>
          <cell r="K94" t="str">
            <v/>
          </cell>
          <cell r="L94" t="str">
            <v/>
          </cell>
          <cell r="M94" t="str">
            <v/>
          </cell>
          <cell r="N94" t="str">
            <v/>
          </cell>
          <cell r="O94">
            <v>1.3268</v>
          </cell>
        </row>
        <row r="95">
          <cell r="A95" t="str">
            <v>A00104</v>
          </cell>
          <cell r="B95" t="str">
            <v>130/02/22</v>
          </cell>
          <cell r="C95">
            <v>2</v>
          </cell>
          <cell r="D95">
            <v>14.77</v>
          </cell>
          <cell r="E95">
            <v>17.52</v>
          </cell>
          <cell r="F95" t="str">
            <v/>
          </cell>
          <cell r="G95" t="str">
            <v/>
          </cell>
          <cell r="H95" t="str">
            <v/>
          </cell>
          <cell r="I95" t="str">
            <v/>
          </cell>
          <cell r="J95" t="str">
            <v/>
          </cell>
          <cell r="K95" t="str">
            <v/>
          </cell>
          <cell r="L95" t="str">
            <v/>
          </cell>
          <cell r="M95" t="str">
            <v/>
          </cell>
          <cell r="N95" t="str">
            <v/>
          </cell>
          <cell r="O95">
            <v>1.3307</v>
          </cell>
        </row>
        <row r="96">
          <cell r="A96" t="str">
            <v>A08108</v>
          </cell>
          <cell r="B96" t="str">
            <v>128/09/06</v>
          </cell>
          <cell r="C96">
            <v>0.75</v>
          </cell>
          <cell r="D96">
            <v>14.82</v>
          </cell>
          <cell r="E96">
            <v>16.05</v>
          </cell>
          <cell r="F96" t="str">
            <v/>
          </cell>
          <cell r="G96" t="str">
            <v/>
          </cell>
          <cell r="H96" t="str">
            <v/>
          </cell>
          <cell r="I96" t="str">
            <v/>
          </cell>
          <cell r="J96" t="str">
            <v/>
          </cell>
          <cell r="K96" t="str">
            <v/>
          </cell>
          <cell r="L96" t="str">
            <v/>
          </cell>
          <cell r="M96" t="str">
            <v/>
          </cell>
          <cell r="N96" t="str">
            <v/>
          </cell>
          <cell r="O96">
            <v>1.3131999999999999</v>
          </cell>
        </row>
        <row r="97">
          <cell r="A97" t="str">
            <v>A00108</v>
          </cell>
          <cell r="B97" t="str">
            <v>130/08/22</v>
          </cell>
          <cell r="C97">
            <v>1.875</v>
          </cell>
          <cell r="D97">
            <v>15.11</v>
          </cell>
          <cell r="E97">
            <v>18.010000000000002</v>
          </cell>
          <cell r="F97" t="str">
            <v/>
          </cell>
          <cell r="G97" t="str">
            <v/>
          </cell>
          <cell r="H97" t="str">
            <v/>
          </cell>
          <cell r="I97" t="str">
            <v/>
          </cell>
          <cell r="J97" t="str">
            <v/>
          </cell>
          <cell r="K97" t="str">
            <v/>
          </cell>
          <cell r="L97" t="str">
            <v/>
          </cell>
          <cell r="M97" t="str">
            <v/>
          </cell>
          <cell r="N97" t="str">
            <v/>
          </cell>
          <cell r="O97">
            <v>1.3411999999999999</v>
          </cell>
        </row>
        <row r="98">
          <cell r="A98" t="str">
            <v>A09102</v>
          </cell>
          <cell r="B98" t="str">
            <v>129/01/17</v>
          </cell>
          <cell r="C98">
            <v>0.75</v>
          </cell>
          <cell r="D98">
            <v>15.18</v>
          </cell>
          <cell r="E98">
            <v>16.420000000000002</v>
          </cell>
          <cell r="F98" t="str">
            <v/>
          </cell>
          <cell r="G98" t="str">
            <v/>
          </cell>
          <cell r="H98" t="str">
            <v/>
          </cell>
          <cell r="I98" t="str">
            <v/>
          </cell>
          <cell r="J98" t="str">
            <v/>
          </cell>
          <cell r="K98" t="str">
            <v/>
          </cell>
          <cell r="L98" t="str">
            <v/>
          </cell>
          <cell r="M98" t="str">
            <v/>
          </cell>
          <cell r="N98" t="str">
            <v/>
          </cell>
          <cell r="O98">
            <v>1.3204</v>
          </cell>
        </row>
        <row r="99">
          <cell r="A99" t="str">
            <v>A09104</v>
          </cell>
          <cell r="B99" t="str">
            <v>129/03/09</v>
          </cell>
          <cell r="C99">
            <v>0.5</v>
          </cell>
          <cell r="D99">
            <v>15.63</v>
          </cell>
          <cell r="E99">
            <v>16.559999999999999</v>
          </cell>
          <cell r="F99" t="str">
            <v/>
          </cell>
          <cell r="G99" t="str">
            <v/>
          </cell>
          <cell r="H99" t="str">
            <v/>
          </cell>
          <cell r="I99" t="str">
            <v/>
          </cell>
          <cell r="J99" t="str">
            <v/>
          </cell>
          <cell r="K99" t="str">
            <v/>
          </cell>
          <cell r="L99" t="str">
            <v/>
          </cell>
          <cell r="M99" t="str">
            <v/>
          </cell>
          <cell r="N99" t="str">
            <v/>
          </cell>
          <cell r="O99">
            <v>1.3255999999999999</v>
          </cell>
        </row>
        <row r="100">
          <cell r="A100" t="str">
            <v>A01104</v>
          </cell>
          <cell r="B100" t="str">
            <v>131/02/13</v>
          </cell>
          <cell r="C100">
            <v>1.75</v>
          </cell>
          <cell r="D100">
            <v>15.71</v>
          </cell>
          <cell r="E100">
            <v>18.489999999999998</v>
          </cell>
          <cell r="F100" t="str">
            <v/>
          </cell>
          <cell r="G100" t="str">
            <v/>
          </cell>
          <cell r="H100" t="str">
            <v/>
          </cell>
          <cell r="I100" t="str">
            <v/>
          </cell>
          <cell r="J100" t="str">
            <v/>
          </cell>
          <cell r="K100" t="str">
            <v/>
          </cell>
          <cell r="L100" t="str">
            <v/>
          </cell>
          <cell r="M100" t="str">
            <v/>
          </cell>
          <cell r="N100" t="str">
            <v/>
          </cell>
          <cell r="O100">
            <v>1.3512999999999999</v>
          </cell>
        </row>
        <row r="101">
          <cell r="A101" t="str">
            <v>A02109</v>
          </cell>
          <cell r="B101" t="str">
            <v>132/08/02</v>
          </cell>
          <cell r="C101">
            <v>2.5</v>
          </cell>
          <cell r="D101">
            <v>16.12</v>
          </cell>
          <cell r="E101">
            <v>19.96</v>
          </cell>
          <cell r="F101" t="str">
            <v/>
          </cell>
          <cell r="G101" t="str">
            <v/>
          </cell>
          <cell r="H101" t="str">
            <v/>
          </cell>
          <cell r="I101" t="str">
            <v/>
          </cell>
          <cell r="J101" t="str">
            <v/>
          </cell>
          <cell r="K101" t="str">
            <v/>
          </cell>
          <cell r="L101" t="str">
            <v/>
          </cell>
          <cell r="M101" t="str">
            <v/>
          </cell>
          <cell r="N101" t="str">
            <v/>
          </cell>
          <cell r="O101">
            <v>1.3714</v>
          </cell>
        </row>
        <row r="102">
          <cell r="A102" t="str">
            <v>A11109</v>
          </cell>
          <cell r="B102" t="str">
            <v>131/09/30</v>
          </cell>
          <cell r="C102">
            <v>1.875</v>
          </cell>
          <cell r="D102">
            <v>15.92</v>
          </cell>
          <cell r="E102">
            <v>19.12</v>
          </cell>
          <cell r="F102" t="str">
            <v/>
          </cell>
          <cell r="G102" t="str">
            <v/>
          </cell>
          <cell r="H102" t="str">
            <v/>
          </cell>
          <cell r="I102" t="str">
            <v/>
          </cell>
          <cell r="J102" t="str">
            <v/>
          </cell>
          <cell r="K102" t="str">
            <v/>
          </cell>
          <cell r="L102" t="str">
            <v/>
          </cell>
          <cell r="M102" t="str">
            <v/>
          </cell>
          <cell r="N102" t="str">
            <v/>
          </cell>
          <cell r="O102">
            <v>1.3620000000000001</v>
          </cell>
        </row>
        <row r="103">
          <cell r="A103" t="str">
            <v>A09108</v>
          </cell>
          <cell r="B103" t="str">
            <v>129/09/18</v>
          </cell>
          <cell r="C103">
            <v>0.5</v>
          </cell>
          <cell r="D103">
            <v>16.059999999999999</v>
          </cell>
          <cell r="E103">
            <v>17.09</v>
          </cell>
          <cell r="F103" t="str">
            <v/>
          </cell>
          <cell r="G103" t="str">
            <v/>
          </cell>
          <cell r="H103" t="str">
            <v/>
          </cell>
          <cell r="I103" t="str">
            <v/>
          </cell>
          <cell r="J103" t="str">
            <v/>
          </cell>
          <cell r="K103" t="str">
            <v/>
          </cell>
          <cell r="L103" t="str">
            <v/>
          </cell>
          <cell r="M103" t="str">
            <v/>
          </cell>
          <cell r="N103" t="str">
            <v/>
          </cell>
          <cell r="O103">
            <v>1.3363</v>
          </cell>
        </row>
        <row r="104">
          <cell r="A104" t="str">
            <v>A01108</v>
          </cell>
          <cell r="B104" t="str">
            <v>131/08/24</v>
          </cell>
          <cell r="C104">
            <v>1.625</v>
          </cell>
          <cell r="D104">
            <v>16.11</v>
          </cell>
          <cell r="E104">
            <v>19.02</v>
          </cell>
          <cell r="F104" t="str">
            <v/>
          </cell>
          <cell r="G104" t="str">
            <v/>
          </cell>
          <cell r="H104" t="str">
            <v/>
          </cell>
          <cell r="I104" t="str">
            <v/>
          </cell>
          <cell r="J104" t="str">
            <v/>
          </cell>
          <cell r="K104" t="str">
            <v/>
          </cell>
          <cell r="L104" t="str">
            <v/>
          </cell>
          <cell r="M104" t="str">
            <v/>
          </cell>
          <cell r="N104" t="str">
            <v/>
          </cell>
          <cell r="O104">
            <v>1.3626</v>
          </cell>
        </row>
        <row r="105">
          <cell r="A105" t="str">
            <v>A10102</v>
          </cell>
          <cell r="B105" t="str">
            <v>130/01/29</v>
          </cell>
          <cell r="C105">
            <v>0.5</v>
          </cell>
          <cell r="D105">
            <v>16.420000000000002</v>
          </cell>
          <cell r="E105">
            <v>17.45</v>
          </cell>
          <cell r="F105" t="str">
            <v/>
          </cell>
          <cell r="G105" t="str">
            <v/>
          </cell>
          <cell r="H105" t="str">
            <v/>
          </cell>
          <cell r="I105" t="str">
            <v/>
          </cell>
          <cell r="J105" t="str">
            <v/>
          </cell>
          <cell r="K105" t="str">
            <v/>
          </cell>
          <cell r="L105" t="str">
            <v/>
          </cell>
          <cell r="M105" t="str">
            <v/>
          </cell>
          <cell r="N105" t="str">
            <v/>
          </cell>
          <cell r="O105">
            <v>1.3435999999999999</v>
          </cell>
        </row>
        <row r="106">
          <cell r="A106" t="str">
            <v>A02105</v>
          </cell>
          <cell r="B106" t="str">
            <v>132/02/26</v>
          </cell>
          <cell r="C106">
            <v>1.75</v>
          </cell>
          <cell r="D106">
            <v>16.46</v>
          </cell>
          <cell r="E106">
            <v>19.53</v>
          </cell>
          <cell r="F106" t="str">
            <v/>
          </cell>
          <cell r="G106" t="str">
            <v/>
          </cell>
          <cell r="H106" t="str">
            <v/>
          </cell>
          <cell r="I106" t="str">
            <v/>
          </cell>
          <cell r="J106" t="str">
            <v/>
          </cell>
          <cell r="K106" t="str">
            <v/>
          </cell>
          <cell r="L106" t="str">
            <v/>
          </cell>
          <cell r="M106" t="str">
            <v/>
          </cell>
          <cell r="N106" t="str">
            <v/>
          </cell>
          <cell r="O106">
            <v>1.371</v>
          </cell>
        </row>
        <row r="107">
          <cell r="A107" t="str">
            <v>A09113</v>
          </cell>
          <cell r="B107" t="str">
            <v>129/12/29</v>
          </cell>
          <cell r="C107">
            <v>0.375</v>
          </cell>
          <cell r="D107">
            <v>16.52</v>
          </cell>
          <cell r="E107">
            <v>17.37</v>
          </cell>
          <cell r="F107" t="str">
            <v/>
          </cell>
          <cell r="G107" t="str">
            <v/>
          </cell>
          <cell r="H107" t="str">
            <v/>
          </cell>
          <cell r="I107" t="str">
            <v/>
          </cell>
          <cell r="J107" t="str">
            <v/>
          </cell>
          <cell r="K107" t="str">
            <v/>
          </cell>
          <cell r="L107" t="str">
            <v/>
          </cell>
          <cell r="M107" t="str">
            <v/>
          </cell>
          <cell r="N107" t="str">
            <v/>
          </cell>
          <cell r="O107">
            <v>1.3431999999999999</v>
          </cell>
        </row>
        <row r="108">
          <cell r="A108" t="str">
            <v>A11101</v>
          </cell>
          <cell r="B108" t="str">
            <v>131/01/18</v>
          </cell>
          <cell r="C108">
            <v>1</v>
          </cell>
          <cell r="D108">
            <v>16.53</v>
          </cell>
          <cell r="E108">
            <v>18.420000000000002</v>
          </cell>
          <cell r="F108" t="str">
            <v/>
          </cell>
          <cell r="G108" t="str">
            <v/>
          </cell>
          <cell r="H108" t="str">
            <v/>
          </cell>
          <cell r="I108" t="str">
            <v/>
          </cell>
          <cell r="J108" t="str">
            <v/>
          </cell>
          <cell r="K108" t="str">
            <v/>
          </cell>
          <cell r="L108" t="str">
            <v/>
          </cell>
          <cell r="M108" t="str">
            <v/>
          </cell>
          <cell r="N108" t="str">
            <v/>
          </cell>
          <cell r="O108">
            <v>1.3576999999999999</v>
          </cell>
        </row>
        <row r="109">
          <cell r="A109" t="str">
            <v>A10105</v>
          </cell>
          <cell r="B109" t="str">
            <v>130/05/21</v>
          </cell>
          <cell r="C109">
            <v>0.625</v>
          </cell>
          <cell r="D109">
            <v>16.54</v>
          </cell>
          <cell r="E109">
            <v>17.760000000000002</v>
          </cell>
          <cell r="F109" t="str">
            <v/>
          </cell>
          <cell r="G109" t="str">
            <v/>
          </cell>
          <cell r="H109" t="str">
            <v/>
          </cell>
          <cell r="I109" t="str">
            <v/>
          </cell>
          <cell r="J109" t="str">
            <v/>
          </cell>
          <cell r="K109" t="str">
            <v/>
          </cell>
          <cell r="L109" t="str">
            <v/>
          </cell>
          <cell r="M109" t="str">
            <v/>
          </cell>
          <cell r="N109" t="str">
            <v/>
          </cell>
          <cell r="O109">
            <v>1.3485</v>
          </cell>
        </row>
        <row r="110">
          <cell r="A110" t="str">
            <v>A03112</v>
          </cell>
          <cell r="B110" t="str">
            <v>133/08/04</v>
          </cell>
          <cell r="C110">
            <v>2.25</v>
          </cell>
          <cell r="D110">
            <v>17.02</v>
          </cell>
          <cell r="E110">
            <v>20.96</v>
          </cell>
          <cell r="F110" t="str">
            <v/>
          </cell>
          <cell r="G110" t="str">
            <v/>
          </cell>
          <cell r="H110" t="str">
            <v/>
          </cell>
          <cell r="I110" t="str">
            <v/>
          </cell>
          <cell r="J110" t="str">
            <v/>
          </cell>
          <cell r="K110" t="str">
            <v/>
          </cell>
          <cell r="L110" t="str">
            <v/>
          </cell>
          <cell r="M110" t="str">
            <v/>
          </cell>
          <cell r="N110" t="str">
            <v/>
          </cell>
          <cell r="O110">
            <v>1.3925000000000001</v>
          </cell>
        </row>
        <row r="111">
          <cell r="A111" t="str">
            <v>A03105</v>
          </cell>
          <cell r="B111" t="str">
            <v>133/02/26</v>
          </cell>
          <cell r="C111">
            <v>2.125</v>
          </cell>
          <cell r="D111">
            <v>16.73</v>
          </cell>
          <cell r="E111">
            <v>20.53</v>
          </cell>
          <cell r="F111" t="str">
            <v/>
          </cell>
          <cell r="G111" t="str">
            <v/>
          </cell>
          <cell r="H111" t="str">
            <v/>
          </cell>
          <cell r="I111" t="str">
            <v/>
          </cell>
          <cell r="J111" t="str">
            <v/>
          </cell>
          <cell r="K111" t="str">
            <v/>
          </cell>
          <cell r="L111" t="str">
            <v/>
          </cell>
          <cell r="M111" t="str">
            <v/>
          </cell>
          <cell r="N111" t="str">
            <v/>
          </cell>
          <cell r="O111">
            <v>1.3856999999999999</v>
          </cell>
        </row>
        <row r="112">
          <cell r="A112" t="str">
            <v>A11104</v>
          </cell>
          <cell r="B112" t="str">
            <v>131/03/04</v>
          </cell>
          <cell r="C112">
            <v>0.875</v>
          </cell>
          <cell r="D112">
            <v>16.82</v>
          </cell>
          <cell r="E112">
            <v>18.54</v>
          </cell>
          <cell r="F112" t="str">
            <v/>
          </cell>
          <cell r="G112" t="str">
            <v/>
          </cell>
          <cell r="H112" t="str">
            <v/>
          </cell>
          <cell r="I112" t="str">
            <v/>
          </cell>
          <cell r="J112" t="str">
            <v/>
          </cell>
          <cell r="K112" t="str">
            <v/>
          </cell>
          <cell r="L112" t="str">
            <v/>
          </cell>
          <cell r="M112" t="str">
            <v/>
          </cell>
          <cell r="N112" t="str">
            <v/>
          </cell>
          <cell r="O112">
            <v>1.3615999999999999</v>
          </cell>
        </row>
        <row r="113">
          <cell r="A113" t="str">
            <v>A10112</v>
          </cell>
          <cell r="B113" t="str">
            <v>130/11/12</v>
          </cell>
          <cell r="C113">
            <v>0.625</v>
          </cell>
          <cell r="D113">
            <v>16.89</v>
          </cell>
          <cell r="E113">
            <v>18.239999999999998</v>
          </cell>
          <cell r="F113" t="str">
            <v/>
          </cell>
          <cell r="G113" t="str">
            <v/>
          </cell>
          <cell r="H113" t="str">
            <v/>
          </cell>
          <cell r="I113" t="str">
            <v/>
          </cell>
          <cell r="J113" t="str">
            <v/>
          </cell>
          <cell r="K113" t="str">
            <v/>
          </cell>
          <cell r="L113" t="str">
            <v/>
          </cell>
          <cell r="M113" t="str">
            <v/>
          </cell>
          <cell r="N113" t="str">
            <v/>
          </cell>
          <cell r="O113">
            <v>1.3582000000000001</v>
          </cell>
        </row>
        <row r="114">
          <cell r="A114" t="str">
            <v>A12104</v>
          </cell>
          <cell r="B114" t="str">
            <v>132/03/03</v>
          </cell>
          <cell r="C114">
            <v>1.375</v>
          </cell>
          <cell r="D114">
            <v>16.93</v>
          </cell>
          <cell r="E114">
            <v>19.54</v>
          </cell>
          <cell r="F114" t="str">
            <v/>
          </cell>
          <cell r="G114" t="str">
            <v/>
          </cell>
          <cell r="H114" t="str">
            <v/>
          </cell>
          <cell r="I114" t="str">
            <v/>
          </cell>
          <cell r="J114" t="str">
            <v/>
          </cell>
          <cell r="K114" t="str">
            <v/>
          </cell>
          <cell r="L114" t="str">
            <v/>
          </cell>
          <cell r="M114" t="str">
            <v/>
          </cell>
          <cell r="N114" t="str">
            <v/>
          </cell>
          <cell r="O114">
            <v>1.3754</v>
          </cell>
        </row>
        <row r="115">
          <cell r="A115" t="str">
            <v>A10110</v>
          </cell>
          <cell r="B115" t="str">
            <v>130/09/29</v>
          </cell>
          <cell r="C115">
            <v>0.5</v>
          </cell>
          <cell r="D115">
            <v>16.97</v>
          </cell>
          <cell r="E115">
            <v>18.12</v>
          </cell>
          <cell r="F115" t="str">
            <v/>
          </cell>
          <cell r="G115" t="str">
            <v/>
          </cell>
          <cell r="H115" t="str">
            <v/>
          </cell>
          <cell r="I115" t="str">
            <v/>
          </cell>
          <cell r="J115" t="str">
            <v/>
          </cell>
          <cell r="K115" t="str">
            <v/>
          </cell>
          <cell r="L115" t="str">
            <v/>
          </cell>
          <cell r="M115" t="str">
            <v/>
          </cell>
          <cell r="N115" t="str">
            <v/>
          </cell>
          <cell r="O115">
            <v>1.3573</v>
          </cell>
        </row>
        <row r="116">
          <cell r="A116" t="str">
            <v>A03116</v>
          </cell>
          <cell r="B116" t="str">
            <v>133/11/26</v>
          </cell>
          <cell r="C116">
            <v>2.25</v>
          </cell>
          <cell r="D116">
            <v>17</v>
          </cell>
          <cell r="E116">
            <v>21.28</v>
          </cell>
          <cell r="F116" t="str">
            <v/>
          </cell>
          <cell r="G116" t="str">
            <v/>
          </cell>
          <cell r="H116" t="str">
            <v/>
          </cell>
          <cell r="I116" t="str">
            <v/>
          </cell>
          <cell r="J116" t="str">
            <v/>
          </cell>
          <cell r="K116" t="str">
            <v/>
          </cell>
          <cell r="L116" t="str">
            <v/>
          </cell>
          <cell r="M116" t="str">
            <v/>
          </cell>
          <cell r="N116" t="str">
            <v/>
          </cell>
          <cell r="O116">
            <v>1.3982000000000001</v>
          </cell>
        </row>
        <row r="117">
          <cell r="A117" t="str">
            <v>A04104</v>
          </cell>
          <cell r="B117" t="str">
            <v>134/02/13</v>
          </cell>
          <cell r="C117">
            <v>2.375</v>
          </cell>
          <cell r="D117">
            <v>17.07</v>
          </cell>
          <cell r="E117">
            <v>21.49</v>
          </cell>
          <cell r="F117" t="str">
            <v/>
          </cell>
          <cell r="G117" t="str">
            <v/>
          </cell>
          <cell r="H117" t="str">
            <v/>
          </cell>
          <cell r="I117" t="str">
            <v/>
          </cell>
          <cell r="J117" t="str">
            <v/>
          </cell>
          <cell r="K117" t="str">
            <v/>
          </cell>
          <cell r="L117" t="str">
            <v/>
          </cell>
          <cell r="M117" t="str">
            <v/>
          </cell>
          <cell r="N117" t="str">
            <v/>
          </cell>
          <cell r="O117">
            <v>1.4008</v>
          </cell>
        </row>
        <row r="118">
          <cell r="A118" t="str">
            <v>A03108</v>
          </cell>
          <cell r="B118" t="str">
            <v>133/05/28</v>
          </cell>
          <cell r="C118">
            <v>2</v>
          </cell>
          <cell r="D118">
            <v>17.11</v>
          </cell>
          <cell r="E118">
            <v>20.78</v>
          </cell>
          <cell r="F118" t="str">
            <v/>
          </cell>
          <cell r="G118" t="str">
            <v/>
          </cell>
          <cell r="H118" t="str">
            <v/>
          </cell>
          <cell r="I118" t="str">
            <v/>
          </cell>
          <cell r="J118" t="str">
            <v/>
          </cell>
          <cell r="K118" t="str">
            <v/>
          </cell>
          <cell r="L118" t="str">
            <v/>
          </cell>
          <cell r="M118" t="str">
            <v/>
          </cell>
          <cell r="N118" t="str">
            <v/>
          </cell>
          <cell r="O118">
            <v>1.3917999999999999</v>
          </cell>
        </row>
        <row r="119">
          <cell r="A119" t="str">
            <v>A12109</v>
          </cell>
          <cell r="B119" t="str">
            <v>132/09/22</v>
          </cell>
          <cell r="C119">
            <v>1.375</v>
          </cell>
          <cell r="D119">
            <v>17.38</v>
          </cell>
          <cell r="E119">
            <v>20</v>
          </cell>
          <cell r="F119" t="str">
            <v/>
          </cell>
          <cell r="G119" t="str">
            <v/>
          </cell>
          <cell r="H119" t="str">
            <v/>
          </cell>
          <cell r="I119" t="str">
            <v/>
          </cell>
          <cell r="J119" t="str">
            <v/>
          </cell>
          <cell r="K119" t="str">
            <v/>
          </cell>
          <cell r="L119" t="str">
            <v/>
          </cell>
          <cell r="M119" t="str">
            <v/>
          </cell>
          <cell r="N119" t="str">
            <v/>
          </cell>
          <cell r="O119">
            <v>1.3844000000000001</v>
          </cell>
        </row>
        <row r="120">
          <cell r="A120" t="str">
            <v>A04108</v>
          </cell>
          <cell r="B120" t="str">
            <v>134/05/15</v>
          </cell>
          <cell r="C120">
            <v>2.375</v>
          </cell>
          <cell r="D120">
            <v>17.32</v>
          </cell>
          <cell r="E120">
            <v>21.74</v>
          </cell>
          <cell r="F120" t="str">
            <v/>
          </cell>
          <cell r="G120" t="str">
            <v/>
          </cell>
          <cell r="H120" t="str">
            <v/>
          </cell>
          <cell r="I120" t="str">
            <v/>
          </cell>
          <cell r="J120" t="str">
            <v/>
          </cell>
          <cell r="K120" t="str">
            <v/>
          </cell>
          <cell r="L120" t="str">
            <v/>
          </cell>
          <cell r="M120" t="str">
            <v/>
          </cell>
          <cell r="N120" t="str">
            <v/>
          </cell>
          <cell r="O120">
            <v>1.4054</v>
          </cell>
        </row>
        <row r="121">
          <cell r="A121" t="str">
            <v>A04111</v>
          </cell>
          <cell r="B121" t="str">
            <v>134/08/10</v>
          </cell>
          <cell r="C121">
            <v>2.25</v>
          </cell>
          <cell r="D121">
            <v>17.690000000000001</v>
          </cell>
          <cell r="E121">
            <v>21.98</v>
          </cell>
          <cell r="F121" t="str">
            <v/>
          </cell>
          <cell r="G121" t="str">
            <v/>
          </cell>
          <cell r="H121" t="str">
            <v/>
          </cell>
          <cell r="I121" t="str">
            <v/>
          </cell>
          <cell r="J121" t="str">
            <v/>
          </cell>
          <cell r="K121" t="str">
            <v/>
          </cell>
          <cell r="L121" t="str">
            <v/>
          </cell>
          <cell r="M121" t="str">
            <v/>
          </cell>
          <cell r="N121" t="str">
            <v/>
          </cell>
          <cell r="O121">
            <v>1.4113</v>
          </cell>
        </row>
        <row r="122">
          <cell r="A122" t="str">
            <v>A05114</v>
          </cell>
          <cell r="B122" t="str">
            <v>135/11/25</v>
          </cell>
          <cell r="C122">
            <v>2</v>
          </cell>
          <cell r="D122">
            <v>18.59</v>
          </cell>
          <cell r="E122">
            <v>23.27</v>
          </cell>
          <cell r="F122" t="str">
            <v/>
          </cell>
          <cell r="G122" t="str">
            <v/>
          </cell>
          <cell r="H122" t="str">
            <v/>
          </cell>
          <cell r="I122" t="str">
            <v/>
          </cell>
          <cell r="J122" t="str">
            <v/>
          </cell>
          <cell r="K122" t="str">
            <v/>
          </cell>
          <cell r="L122" t="str">
            <v/>
          </cell>
          <cell r="M122" t="str">
            <v/>
          </cell>
          <cell r="N122" t="str">
            <v/>
          </cell>
          <cell r="O122">
            <v>1.4384999999999999</v>
          </cell>
        </row>
        <row r="123">
          <cell r="A123" t="str">
            <v>A05107</v>
          </cell>
          <cell r="B123" t="str">
            <v>135/05/20</v>
          </cell>
          <cell r="C123">
            <v>1.625</v>
          </cell>
          <cell r="D123">
            <v>18.940000000000001</v>
          </cell>
          <cell r="E123">
            <v>22.75</v>
          </cell>
          <cell r="F123" t="str">
            <v/>
          </cell>
          <cell r="G123" t="str">
            <v/>
          </cell>
          <cell r="H123" t="str">
            <v/>
          </cell>
          <cell r="I123" t="str">
            <v/>
          </cell>
          <cell r="J123" t="str">
            <v/>
          </cell>
          <cell r="K123" t="str">
            <v/>
          </cell>
          <cell r="L123" t="str">
            <v/>
          </cell>
          <cell r="M123" t="str">
            <v/>
          </cell>
          <cell r="N123" t="str">
            <v/>
          </cell>
          <cell r="O123">
            <v>1.4340999999999999</v>
          </cell>
        </row>
        <row r="124">
          <cell r="A124" t="str">
            <v>A06106</v>
          </cell>
          <cell r="B124" t="str">
            <v>136/05/26</v>
          </cell>
          <cell r="C124">
            <v>1.875</v>
          </cell>
          <cell r="D124">
            <v>19.25</v>
          </cell>
          <cell r="E124">
            <v>23.77</v>
          </cell>
          <cell r="F124" t="str">
            <v/>
          </cell>
          <cell r="G124" t="str">
            <v/>
          </cell>
          <cell r="H124" t="str">
            <v/>
          </cell>
          <cell r="I124" t="str">
            <v/>
          </cell>
          <cell r="J124" t="str">
            <v/>
          </cell>
          <cell r="K124" t="str">
            <v/>
          </cell>
          <cell r="L124" t="str">
            <v/>
          </cell>
          <cell r="M124" t="str">
            <v/>
          </cell>
          <cell r="N124" t="str">
            <v/>
          </cell>
          <cell r="O124">
            <v>1.4497</v>
          </cell>
        </row>
        <row r="125">
          <cell r="A125" t="str">
            <v>A05110</v>
          </cell>
          <cell r="B125" t="str">
            <v>135/08/05</v>
          </cell>
          <cell r="C125">
            <v>1.375</v>
          </cell>
          <cell r="D125">
            <v>19.53</v>
          </cell>
          <cell r="E125">
            <v>22.97</v>
          </cell>
          <cell r="F125" t="str">
            <v/>
          </cell>
          <cell r="G125" t="str">
            <v/>
          </cell>
          <cell r="H125" t="str">
            <v/>
          </cell>
          <cell r="I125" t="str">
            <v/>
          </cell>
          <cell r="J125" t="str">
            <v/>
          </cell>
          <cell r="K125" t="str">
            <v/>
          </cell>
          <cell r="L125" t="str">
            <v/>
          </cell>
          <cell r="M125" t="str">
            <v/>
          </cell>
          <cell r="N125" t="str">
            <v/>
          </cell>
          <cell r="O125">
            <v>1.4419999999999999</v>
          </cell>
        </row>
        <row r="126">
          <cell r="A126" t="str">
            <v>A06111</v>
          </cell>
          <cell r="B126" t="str">
            <v>136/11/24</v>
          </cell>
          <cell r="C126">
            <v>1.625</v>
          </cell>
          <cell r="D126">
            <v>19.809999999999999</v>
          </cell>
          <cell r="E126">
            <v>24.27</v>
          </cell>
          <cell r="F126" t="str">
            <v/>
          </cell>
          <cell r="G126" t="str">
            <v/>
          </cell>
          <cell r="H126" t="str">
            <v/>
          </cell>
          <cell r="I126" t="str">
            <v/>
          </cell>
          <cell r="J126" t="str">
            <v/>
          </cell>
          <cell r="K126" t="str">
            <v/>
          </cell>
          <cell r="L126" t="str">
            <v/>
          </cell>
          <cell r="M126" t="str">
            <v/>
          </cell>
          <cell r="N126" t="str">
            <v/>
          </cell>
          <cell r="O126">
            <v>1.4630000000000001</v>
          </cell>
        </row>
        <row r="127">
          <cell r="A127" t="str">
            <v>A07104</v>
          </cell>
          <cell r="B127" t="str">
            <v>137/05/18</v>
          </cell>
          <cell r="C127">
            <v>1.5</v>
          </cell>
          <cell r="D127">
            <v>20.49</v>
          </cell>
          <cell r="E127">
            <v>24.75</v>
          </cell>
          <cell r="F127" t="str">
            <v/>
          </cell>
          <cell r="G127" t="str">
            <v/>
          </cell>
          <cell r="H127" t="str">
            <v/>
          </cell>
          <cell r="I127" t="str">
            <v/>
          </cell>
          <cell r="J127" t="str">
            <v/>
          </cell>
          <cell r="K127" t="str">
            <v/>
          </cell>
          <cell r="L127" t="str">
            <v/>
          </cell>
          <cell r="M127" t="str">
            <v/>
          </cell>
          <cell r="N127" t="str">
            <v/>
          </cell>
          <cell r="O127">
            <v>1.4743999999999999</v>
          </cell>
        </row>
        <row r="128">
          <cell r="A128" t="str">
            <v>A07110</v>
          </cell>
          <cell r="B128" t="str">
            <v>137/11/09</v>
          </cell>
          <cell r="C128">
            <v>1.375</v>
          </cell>
          <cell r="D128">
            <v>20.89</v>
          </cell>
          <cell r="E128">
            <v>25.23</v>
          </cell>
          <cell r="F128" t="str">
            <v/>
          </cell>
          <cell r="G128" t="str">
            <v/>
          </cell>
          <cell r="H128" t="str">
            <v/>
          </cell>
          <cell r="I128" t="str">
            <v/>
          </cell>
          <cell r="J128" t="str">
            <v/>
          </cell>
          <cell r="K128" t="str">
            <v/>
          </cell>
          <cell r="L128" t="str">
            <v/>
          </cell>
          <cell r="M128" t="str">
            <v/>
          </cell>
          <cell r="N128" t="str">
            <v/>
          </cell>
          <cell r="O128">
            <v>1.486</v>
          </cell>
        </row>
        <row r="129">
          <cell r="A129" t="str">
            <v>A11111</v>
          </cell>
          <cell r="B129" t="str">
            <v>141/11/11</v>
          </cell>
          <cell r="C129">
            <v>2.375</v>
          </cell>
          <cell r="D129">
            <v>21.5</v>
          </cell>
          <cell r="E129">
            <v>29.24</v>
          </cell>
          <cell r="F129">
            <v>1.5509999999999999</v>
          </cell>
          <cell r="G129">
            <v>1.5509999999999999</v>
          </cell>
          <cell r="H129">
            <v>1.5509999999999999</v>
          </cell>
          <cell r="I129">
            <v>3</v>
          </cell>
          <cell r="J129">
            <v>1.55</v>
          </cell>
          <cell r="K129">
            <v>1.55</v>
          </cell>
          <cell r="L129">
            <v>1.55</v>
          </cell>
          <cell r="M129">
            <v>1</v>
          </cell>
          <cell r="N129">
            <v>3</v>
          </cell>
          <cell r="O129">
            <v>1.5411999999999999</v>
          </cell>
        </row>
        <row r="130">
          <cell r="A130" t="str">
            <v>A08105</v>
          </cell>
          <cell r="B130" t="str">
            <v>138/05/17</v>
          </cell>
          <cell r="C130">
            <v>1.125</v>
          </cell>
          <cell r="D130">
            <v>21.93</v>
          </cell>
          <cell r="E130">
            <v>25.75</v>
          </cell>
          <cell r="F130" t="str">
            <v/>
          </cell>
          <cell r="G130" t="str">
            <v/>
          </cell>
          <cell r="H130" t="str">
            <v/>
          </cell>
          <cell r="I130" t="str">
            <v/>
          </cell>
          <cell r="J130" t="str">
            <v/>
          </cell>
          <cell r="K130" t="str">
            <v/>
          </cell>
          <cell r="L130" t="str">
            <v/>
          </cell>
          <cell r="M130" t="str">
            <v/>
          </cell>
          <cell r="N130" t="str">
            <v/>
          </cell>
          <cell r="O130">
            <v>1.5012000000000001</v>
          </cell>
        </row>
        <row r="131">
          <cell r="A131" t="str">
            <v>A11105</v>
          </cell>
          <cell r="B131" t="str">
            <v>141/05/20</v>
          </cell>
          <cell r="C131">
            <v>2</v>
          </cell>
          <cell r="D131">
            <v>22.09</v>
          </cell>
          <cell r="E131">
            <v>28.76</v>
          </cell>
          <cell r="F131" t="str">
            <v/>
          </cell>
          <cell r="G131" t="str">
            <v/>
          </cell>
          <cell r="H131" t="str">
            <v/>
          </cell>
          <cell r="I131" t="str">
            <v/>
          </cell>
          <cell r="J131" t="str">
            <v/>
          </cell>
          <cell r="K131" t="str">
            <v/>
          </cell>
          <cell r="L131" t="str">
            <v/>
          </cell>
          <cell r="M131" t="str">
            <v/>
          </cell>
          <cell r="N131" t="str">
            <v/>
          </cell>
          <cell r="O131">
            <v>1.54</v>
          </cell>
        </row>
        <row r="132">
          <cell r="A132" t="str">
            <v>A08110</v>
          </cell>
          <cell r="B132" t="str">
            <v>138/11/08</v>
          </cell>
          <cell r="C132">
            <v>1</v>
          </cell>
          <cell r="D132">
            <v>22.43</v>
          </cell>
          <cell r="E132">
            <v>26.23</v>
          </cell>
          <cell r="F132" t="str">
            <v/>
          </cell>
          <cell r="G132" t="str">
            <v/>
          </cell>
          <cell r="H132" t="str">
            <v/>
          </cell>
          <cell r="I132" t="str">
            <v/>
          </cell>
          <cell r="J132" t="str">
            <v/>
          </cell>
          <cell r="K132" t="str">
            <v/>
          </cell>
          <cell r="L132" t="str">
            <v/>
          </cell>
          <cell r="M132" t="str">
            <v/>
          </cell>
          <cell r="N132" t="str">
            <v/>
          </cell>
          <cell r="O132">
            <v>1.5135000000000001</v>
          </cell>
        </row>
        <row r="133">
          <cell r="A133" t="str">
            <v>A09105</v>
          </cell>
          <cell r="B133" t="str">
            <v>139/05/12</v>
          </cell>
          <cell r="C133">
            <v>0.75</v>
          </cell>
          <cell r="D133">
            <v>23.6</v>
          </cell>
          <cell r="E133">
            <v>26.73</v>
          </cell>
          <cell r="F133" t="str">
            <v/>
          </cell>
          <cell r="G133" t="str">
            <v/>
          </cell>
          <cell r="H133" t="str">
            <v/>
          </cell>
          <cell r="I133" t="str">
            <v/>
          </cell>
          <cell r="J133" t="str">
            <v/>
          </cell>
          <cell r="K133" t="str">
            <v/>
          </cell>
          <cell r="L133" t="str">
            <v/>
          </cell>
          <cell r="M133" t="str">
            <v/>
          </cell>
          <cell r="N133" t="str">
            <v/>
          </cell>
          <cell r="O133">
            <v>1.5297000000000001</v>
          </cell>
        </row>
        <row r="134">
          <cell r="A134" t="str">
            <v>A10113</v>
          </cell>
          <cell r="B134" t="str">
            <v>140/12/23</v>
          </cell>
          <cell r="C134">
            <v>1.125</v>
          </cell>
          <cell r="D134">
            <v>23.61</v>
          </cell>
          <cell r="E134">
            <v>28.35</v>
          </cell>
          <cell r="F134" t="str">
            <v/>
          </cell>
          <cell r="G134" t="str">
            <v/>
          </cell>
          <cell r="H134" t="str">
            <v/>
          </cell>
          <cell r="I134" t="str">
            <v/>
          </cell>
          <cell r="J134" t="str">
            <v/>
          </cell>
          <cell r="K134" t="str">
            <v/>
          </cell>
          <cell r="L134" t="str">
            <v/>
          </cell>
          <cell r="M134" t="str">
            <v/>
          </cell>
          <cell r="N134" t="str">
            <v/>
          </cell>
          <cell r="O134">
            <v>1.5527</v>
          </cell>
        </row>
        <row r="135">
          <cell r="A135" t="str">
            <v>A12105</v>
          </cell>
          <cell r="B135" t="str">
            <v>142/05/12</v>
          </cell>
          <cell r="C135">
            <v>1.5</v>
          </cell>
          <cell r="D135">
            <v>23.68</v>
          </cell>
          <cell r="E135">
            <v>29.73</v>
          </cell>
          <cell r="F135" t="str">
            <v/>
          </cell>
          <cell r="G135" t="str">
            <v/>
          </cell>
          <cell r="H135" t="str">
            <v/>
          </cell>
          <cell r="I135" t="str">
            <v/>
          </cell>
          <cell r="J135" t="str">
            <v/>
          </cell>
          <cell r="K135" t="str">
            <v/>
          </cell>
          <cell r="L135" t="str">
            <v/>
          </cell>
          <cell r="M135" t="str">
            <v/>
          </cell>
          <cell r="N135" t="str">
            <v/>
          </cell>
          <cell r="O135">
            <v>1.5699000000000001</v>
          </cell>
        </row>
        <row r="136">
          <cell r="A136" t="str">
            <v>A10104</v>
          </cell>
          <cell r="B136" t="str">
            <v>140/02/25</v>
          </cell>
          <cell r="C136">
            <v>0.625</v>
          </cell>
          <cell r="D136">
            <v>24.56</v>
          </cell>
          <cell r="E136">
            <v>27.52</v>
          </cell>
          <cell r="F136" t="str">
            <v/>
          </cell>
          <cell r="G136" t="str">
            <v/>
          </cell>
          <cell r="H136" t="str">
            <v/>
          </cell>
          <cell r="I136" t="str">
            <v/>
          </cell>
          <cell r="J136" t="str">
            <v/>
          </cell>
          <cell r="K136" t="str">
            <v/>
          </cell>
          <cell r="L136" t="str">
            <v/>
          </cell>
          <cell r="M136" t="str">
            <v/>
          </cell>
          <cell r="N136" t="str">
            <v/>
          </cell>
          <cell r="O136">
            <v>1.5495000000000001</v>
          </cell>
        </row>
        <row r="137">
          <cell r="A137" t="str">
            <v>A09111</v>
          </cell>
          <cell r="B137" t="str">
            <v>139/11/27</v>
          </cell>
          <cell r="C137">
            <v>0.375</v>
          </cell>
          <cell r="D137">
            <v>25.21</v>
          </cell>
          <cell r="E137">
            <v>27.28</v>
          </cell>
          <cell r="F137" t="str">
            <v/>
          </cell>
          <cell r="G137" t="str">
            <v/>
          </cell>
          <cell r="H137" t="str">
            <v/>
          </cell>
          <cell r="I137" t="str">
            <v/>
          </cell>
          <cell r="J137" t="str">
            <v/>
          </cell>
          <cell r="K137" t="str">
            <v/>
          </cell>
          <cell r="L137" t="str">
            <v/>
          </cell>
          <cell r="M137" t="str">
            <v/>
          </cell>
          <cell r="N137" t="str">
            <v/>
          </cell>
          <cell r="O137">
            <v>1.5515000000000001</v>
          </cell>
        </row>
        <row r="138">
          <cell r="A138" t="str">
            <v>B618D7</v>
          </cell>
          <cell r="B138" t="str">
            <v>P11台積5B</v>
          </cell>
          <cell r="C138">
            <v>3.8</v>
          </cell>
          <cell r="D138">
            <v>4.0199999999999996</v>
          </cell>
          <cell r="E138">
            <v>0</v>
          </cell>
          <cell r="F138">
            <v>1.526</v>
          </cell>
          <cell r="G138">
            <v>1.526</v>
          </cell>
          <cell r="H138">
            <v>1.526</v>
          </cell>
          <cell r="I138">
            <v>4</v>
          </cell>
          <cell r="J138" t="str">
            <v/>
          </cell>
          <cell r="K138" t="str">
            <v/>
          </cell>
          <cell r="L138" t="str">
            <v/>
          </cell>
          <cell r="M138" t="str">
            <v/>
          </cell>
          <cell r="N138" t="str">
            <v/>
          </cell>
          <cell r="O138" t="e">
            <v>#N/A</v>
          </cell>
        </row>
        <row r="139">
          <cell r="A139" t="str">
            <v>B618DP</v>
          </cell>
          <cell r="B139" t="str">
            <v>P12台積4B</v>
          </cell>
          <cell r="C139">
            <v>6.55</v>
          </cell>
          <cell r="D139">
            <v>7</v>
          </cell>
          <cell r="E139">
            <v>0</v>
          </cell>
          <cell r="F139">
            <v>1.65</v>
          </cell>
          <cell r="G139">
            <v>1.65</v>
          </cell>
          <cell r="H139">
            <v>1.65</v>
          </cell>
          <cell r="I139">
            <v>1</v>
          </cell>
          <cell r="J139" t="str">
            <v/>
          </cell>
          <cell r="K139" t="str">
            <v/>
          </cell>
          <cell r="L139" t="str">
            <v/>
          </cell>
          <cell r="M139" t="str">
            <v/>
          </cell>
          <cell r="N139" t="str">
            <v/>
          </cell>
          <cell r="O139" t="e">
            <v>#N/A</v>
          </cell>
        </row>
        <row r="140">
          <cell r="A140" t="str">
            <v>B85408</v>
          </cell>
          <cell r="B140" t="str">
            <v>P07中龍2</v>
          </cell>
          <cell r="C140">
            <v>0.33</v>
          </cell>
          <cell r="D140">
            <v>0.34</v>
          </cell>
          <cell r="E140">
            <v>0</v>
          </cell>
          <cell r="F140">
            <v>1.44</v>
          </cell>
          <cell r="G140">
            <v>1.44</v>
          </cell>
          <cell r="H140">
            <v>1.44</v>
          </cell>
          <cell r="I140">
            <v>1.5</v>
          </cell>
          <cell r="J140" t="str">
            <v/>
          </cell>
          <cell r="K140" t="str">
            <v/>
          </cell>
          <cell r="L140" t="str">
            <v/>
          </cell>
          <cell r="M140" t="str">
            <v/>
          </cell>
          <cell r="N140" t="str">
            <v/>
          </cell>
          <cell r="O140" t="e">
            <v>#N/A</v>
          </cell>
        </row>
        <row r="141">
          <cell r="A141" t="str">
            <v>B618DN</v>
          </cell>
          <cell r="B141" t="str">
            <v>P12台積4A</v>
          </cell>
          <cell r="C141" t="str">
            <v>TWD</v>
          </cell>
          <cell r="D141">
            <v>4.7699999999999996</v>
          </cell>
          <cell r="E141">
            <v>5</v>
          </cell>
          <cell r="F141">
            <v>1.6</v>
          </cell>
          <cell r="G141">
            <v>1.5994999999999999</v>
          </cell>
          <cell r="H141">
            <v>1.5998000000000001</v>
          </cell>
          <cell r="I141">
            <v>26</v>
          </cell>
          <cell r="J141">
            <v>1.6</v>
          </cell>
          <cell r="K141">
            <v>1.6</v>
          </cell>
          <cell r="L141">
            <v>1.6</v>
          </cell>
          <cell r="M141">
            <v>3</v>
          </cell>
          <cell r="N141">
            <v>6</v>
          </cell>
          <cell r="O141" t="e">
            <v>#N/A</v>
          </cell>
        </row>
        <row r="142">
          <cell r="A142" t="str">
            <v>B618DQ</v>
          </cell>
          <cell r="B142" t="str">
            <v>P12台積4C</v>
          </cell>
          <cell r="C142" t="str">
            <v>TWD</v>
          </cell>
          <cell r="D142">
            <v>9.1</v>
          </cell>
          <cell r="E142">
            <v>10</v>
          </cell>
          <cell r="F142">
            <v>1.76</v>
          </cell>
          <cell r="G142">
            <v>1.76</v>
          </cell>
          <cell r="H142">
            <v>1.76</v>
          </cell>
          <cell r="I142">
            <v>1</v>
          </cell>
          <cell r="J142">
            <v>1.76</v>
          </cell>
          <cell r="K142">
            <v>1.76</v>
          </cell>
          <cell r="L142">
            <v>1.76</v>
          </cell>
          <cell r="M142">
            <v>28</v>
          </cell>
          <cell r="N142">
            <v>82</v>
          </cell>
          <cell r="O142" t="e">
            <v>#N/A</v>
          </cell>
        </row>
        <row r="143">
          <cell r="A143" t="str">
            <v>B903Z6</v>
          </cell>
          <cell r="B143" t="str">
            <v>P12台電4B</v>
          </cell>
          <cell r="C143" t="str">
            <v>TWD</v>
          </cell>
          <cell r="D143">
            <v>4.7699999999999996</v>
          </cell>
          <cell r="E143">
            <v>4.99</v>
          </cell>
          <cell r="F143" t="str">
            <v/>
          </cell>
          <cell r="G143" t="str">
            <v/>
          </cell>
          <cell r="H143" t="str">
            <v/>
          </cell>
          <cell r="I143" t="str">
            <v/>
          </cell>
          <cell r="J143">
            <v>1.57</v>
          </cell>
          <cell r="K143">
            <v>1.57</v>
          </cell>
          <cell r="L143">
            <v>1.57</v>
          </cell>
          <cell r="M143">
            <v>1</v>
          </cell>
          <cell r="N143">
            <v>5</v>
          </cell>
          <cell r="O143" t="e">
            <v>#N/A</v>
          </cell>
        </row>
        <row r="144">
          <cell r="A144" t="str">
            <v>B903Z7</v>
          </cell>
          <cell r="B144" t="str">
            <v>P12台電4C</v>
          </cell>
          <cell r="C144" t="str">
            <v>TWD</v>
          </cell>
          <cell r="D144">
            <v>6.56</v>
          </cell>
          <cell r="E144">
            <v>6.99</v>
          </cell>
          <cell r="F144" t="str">
            <v/>
          </cell>
          <cell r="G144" t="str">
            <v/>
          </cell>
          <cell r="H144" t="str">
            <v/>
          </cell>
          <cell r="I144" t="str">
            <v/>
          </cell>
          <cell r="J144">
            <v>1.63</v>
          </cell>
          <cell r="K144">
            <v>1.63</v>
          </cell>
          <cell r="L144">
            <v>1.63</v>
          </cell>
          <cell r="M144">
            <v>1</v>
          </cell>
          <cell r="N144">
            <v>2</v>
          </cell>
          <cell r="O144" t="e">
            <v>#N/A</v>
          </cell>
        </row>
        <row r="145">
          <cell r="A145" t="str">
            <v>B903Z8</v>
          </cell>
          <cell r="B145" t="str">
            <v>P12台電4D</v>
          </cell>
          <cell r="C145" t="str">
            <v>TWD</v>
          </cell>
          <cell r="D145">
            <v>9.11</v>
          </cell>
          <cell r="E145">
            <v>9.99</v>
          </cell>
          <cell r="F145" t="str">
            <v/>
          </cell>
          <cell r="G145" t="str">
            <v/>
          </cell>
          <cell r="H145" t="str">
            <v/>
          </cell>
          <cell r="I145" t="str">
            <v/>
          </cell>
          <cell r="J145">
            <v>1.72</v>
          </cell>
          <cell r="K145">
            <v>1.72</v>
          </cell>
          <cell r="L145">
            <v>1.72</v>
          </cell>
          <cell r="M145">
            <v>1</v>
          </cell>
          <cell r="N145">
            <v>2</v>
          </cell>
          <cell r="O145" t="e">
            <v>#N/A</v>
          </cell>
        </row>
        <row r="146">
          <cell r="A146" t="str">
            <v>B95027</v>
          </cell>
          <cell r="B146" t="str">
            <v>P09華控1</v>
          </cell>
          <cell r="C146" t="str">
            <v>TWD</v>
          </cell>
          <cell r="D146">
            <v>6.11</v>
          </cell>
          <cell r="E146">
            <v>6.4</v>
          </cell>
          <cell r="F146" t="str">
            <v/>
          </cell>
          <cell r="G146" t="str">
            <v/>
          </cell>
          <cell r="H146" t="str">
            <v/>
          </cell>
          <cell r="I146" t="str">
            <v/>
          </cell>
          <cell r="J146">
            <v>1.69</v>
          </cell>
          <cell r="K146">
            <v>1.68</v>
          </cell>
          <cell r="L146">
            <v>1.6850000000000001</v>
          </cell>
          <cell r="M146">
            <v>2</v>
          </cell>
          <cell r="N146">
            <v>6</v>
          </cell>
          <cell r="O146" t="e">
            <v>#N/A</v>
          </cell>
        </row>
        <row r="147">
          <cell r="A147" t="str">
            <v>B97848</v>
          </cell>
          <cell r="B147" t="str">
            <v>P09富邦金1</v>
          </cell>
          <cell r="C147" t="str">
            <v>TWD</v>
          </cell>
          <cell r="D147">
            <v>0.94</v>
          </cell>
          <cell r="E147">
            <v>0.95</v>
          </cell>
          <cell r="F147">
            <v>1.45</v>
          </cell>
          <cell r="G147">
            <v>1.45</v>
          </cell>
          <cell r="H147">
            <v>1.45</v>
          </cell>
          <cell r="I147">
            <v>1</v>
          </cell>
          <cell r="J147">
            <v>1.4550000000000001</v>
          </cell>
          <cell r="K147">
            <v>1.4550000000000001</v>
          </cell>
          <cell r="L147">
            <v>1.4550000000000001</v>
          </cell>
          <cell r="M147">
            <v>1</v>
          </cell>
          <cell r="N147">
            <v>1</v>
          </cell>
          <cell r="O147" t="e">
            <v>#N/A</v>
          </cell>
        </row>
      </sheetData>
    </sheetDataSet>
  </externalBook>
</externalLink>
</file>

<file path=xl/externalLinks/externalLink1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0811"/>
    </sheetNames>
    <sheetDataSet>
      <sheetData sheetId="0">
        <row r="4">
          <cell r="A4" t="str">
            <v>A10109</v>
          </cell>
          <cell r="B4" t="str">
            <v>112/08/26</v>
          </cell>
          <cell r="C4">
            <v>0.25</v>
          </cell>
          <cell r="D4">
            <v>0.03</v>
          </cell>
          <cell r="E4">
            <v>0.04</v>
          </cell>
          <cell r="F4" t="str">
            <v/>
          </cell>
          <cell r="G4" t="str">
            <v/>
          </cell>
          <cell r="H4" t="str">
            <v/>
          </cell>
          <cell r="I4" t="str">
            <v/>
          </cell>
          <cell r="J4" t="str">
            <v/>
          </cell>
          <cell r="K4" t="str">
            <v/>
          </cell>
          <cell r="L4" t="str">
            <v/>
          </cell>
          <cell r="M4" t="str">
            <v/>
          </cell>
          <cell r="N4" t="str">
            <v/>
          </cell>
          <cell r="O4">
            <v>0.9768</v>
          </cell>
        </row>
        <row r="5">
          <cell r="A5" t="str">
            <v>A02110</v>
          </cell>
          <cell r="B5" t="str">
            <v>112/09/18</v>
          </cell>
          <cell r="C5">
            <v>1.75</v>
          </cell>
          <cell r="D5">
            <v>0.09</v>
          </cell>
          <cell r="E5">
            <v>0.1</v>
          </cell>
          <cell r="F5" t="str">
            <v/>
          </cell>
          <cell r="G5" t="str">
            <v/>
          </cell>
          <cell r="H5" t="str">
            <v/>
          </cell>
          <cell r="I5" t="str">
            <v/>
          </cell>
          <cell r="J5" t="str">
            <v/>
          </cell>
          <cell r="K5" t="str">
            <v/>
          </cell>
          <cell r="L5" t="str">
            <v/>
          </cell>
          <cell r="M5" t="str">
            <v/>
          </cell>
          <cell r="N5" t="str">
            <v/>
          </cell>
          <cell r="O5">
            <v>0.95950000000000002</v>
          </cell>
        </row>
        <row r="6">
          <cell r="A6" t="str">
            <v>A07111</v>
          </cell>
          <cell r="B6" t="str">
            <v>112/11/23</v>
          </cell>
          <cell r="C6">
            <v>0.75</v>
          </cell>
          <cell r="D6">
            <v>0.27</v>
          </cell>
          <cell r="E6">
            <v>0.28000000000000003</v>
          </cell>
          <cell r="F6" t="str">
            <v/>
          </cell>
          <cell r="G6" t="str">
            <v/>
          </cell>
          <cell r="H6" t="str">
            <v/>
          </cell>
          <cell r="I6" t="str">
            <v/>
          </cell>
          <cell r="J6" t="str">
            <v/>
          </cell>
          <cell r="K6" t="str">
            <v/>
          </cell>
          <cell r="L6" t="str">
            <v/>
          </cell>
          <cell r="M6" t="str">
            <v/>
          </cell>
          <cell r="N6" t="str">
            <v/>
          </cell>
          <cell r="O6">
            <v>0.9577</v>
          </cell>
        </row>
        <row r="7">
          <cell r="A7" t="str">
            <v>A08101</v>
          </cell>
          <cell r="B7" t="str">
            <v>113/01/14</v>
          </cell>
          <cell r="C7">
            <v>0.625</v>
          </cell>
          <cell r="D7">
            <v>0.41</v>
          </cell>
          <cell r="E7">
            <v>0.42</v>
          </cell>
          <cell r="F7" t="str">
            <v/>
          </cell>
          <cell r="G7" t="str">
            <v/>
          </cell>
          <cell r="H7" t="str">
            <v/>
          </cell>
          <cell r="I7" t="str">
            <v/>
          </cell>
          <cell r="J7" t="str">
            <v/>
          </cell>
          <cell r="K7" t="str">
            <v/>
          </cell>
          <cell r="L7" t="str">
            <v/>
          </cell>
          <cell r="M7" t="str">
            <v/>
          </cell>
          <cell r="N7" t="str">
            <v/>
          </cell>
          <cell r="O7">
            <v>0.95940000000000003</v>
          </cell>
        </row>
        <row r="8">
          <cell r="A8" t="str">
            <v>A93103</v>
          </cell>
          <cell r="B8" t="str">
            <v>113/02/10</v>
          </cell>
          <cell r="C8">
            <v>3</v>
          </cell>
          <cell r="D8">
            <v>0.49</v>
          </cell>
          <cell r="E8">
            <v>0.5</v>
          </cell>
          <cell r="F8" t="str">
            <v/>
          </cell>
          <cell r="G8" t="str">
            <v/>
          </cell>
          <cell r="H8" t="str">
            <v/>
          </cell>
          <cell r="I8" t="str">
            <v/>
          </cell>
          <cell r="J8" t="str">
            <v/>
          </cell>
          <cell r="K8" t="str">
            <v/>
          </cell>
          <cell r="L8" t="str">
            <v/>
          </cell>
          <cell r="M8" t="str">
            <v/>
          </cell>
          <cell r="N8" t="str">
            <v/>
          </cell>
          <cell r="O8">
            <v>0.96050000000000002</v>
          </cell>
        </row>
        <row r="9">
          <cell r="A9" t="str">
            <v>A03106</v>
          </cell>
          <cell r="B9" t="str">
            <v>113/03/03</v>
          </cell>
          <cell r="C9">
            <v>1.5</v>
          </cell>
          <cell r="D9">
            <v>0.54</v>
          </cell>
          <cell r="E9">
            <v>0.56000000000000005</v>
          </cell>
          <cell r="F9" t="str">
            <v/>
          </cell>
          <cell r="G9" t="str">
            <v/>
          </cell>
          <cell r="H9" t="str">
            <v/>
          </cell>
          <cell r="I9" t="str">
            <v/>
          </cell>
          <cell r="J9" t="str">
            <v/>
          </cell>
          <cell r="K9" t="str">
            <v/>
          </cell>
          <cell r="L9" t="str">
            <v/>
          </cell>
          <cell r="M9" t="str">
            <v/>
          </cell>
          <cell r="N9" t="str">
            <v/>
          </cell>
          <cell r="O9">
            <v>0.96130000000000004</v>
          </cell>
        </row>
        <row r="10">
          <cell r="A10" t="str">
            <v>A11202</v>
          </cell>
          <cell r="B10" t="str">
            <v>113/03/31</v>
          </cell>
          <cell r="C10">
            <v>0.75</v>
          </cell>
          <cell r="D10">
            <v>0.62</v>
          </cell>
          <cell r="E10">
            <v>0.63</v>
          </cell>
          <cell r="F10" t="str">
            <v/>
          </cell>
          <cell r="G10" t="str">
            <v/>
          </cell>
          <cell r="H10" t="str">
            <v/>
          </cell>
          <cell r="I10" t="str">
            <v/>
          </cell>
          <cell r="J10" t="str">
            <v/>
          </cell>
          <cell r="K10" t="str">
            <v/>
          </cell>
          <cell r="L10" t="str">
            <v/>
          </cell>
          <cell r="M10" t="str">
            <v/>
          </cell>
          <cell r="N10" t="str">
            <v/>
          </cell>
          <cell r="O10">
            <v>0.96230000000000004</v>
          </cell>
        </row>
        <row r="11">
          <cell r="A11" t="str">
            <v>A08107</v>
          </cell>
          <cell r="B11" t="str">
            <v>113/07/17</v>
          </cell>
          <cell r="C11">
            <v>0.5</v>
          </cell>
          <cell r="D11">
            <v>0.91</v>
          </cell>
          <cell r="E11">
            <v>0.93</v>
          </cell>
          <cell r="F11" t="str">
            <v/>
          </cell>
          <cell r="G11" t="str">
            <v/>
          </cell>
          <cell r="H11" t="str">
            <v/>
          </cell>
          <cell r="I11" t="str">
            <v/>
          </cell>
          <cell r="J11" t="str">
            <v/>
          </cell>
          <cell r="K11" t="str">
            <v/>
          </cell>
          <cell r="L11" t="str">
            <v/>
          </cell>
          <cell r="M11" t="str">
            <v/>
          </cell>
          <cell r="N11" t="str">
            <v/>
          </cell>
          <cell r="O11">
            <v>0.96530000000000005</v>
          </cell>
        </row>
        <row r="12">
          <cell r="A12" t="str">
            <v>A03113</v>
          </cell>
          <cell r="B12" t="str">
            <v>113/09/26</v>
          </cell>
          <cell r="C12">
            <v>1.625</v>
          </cell>
          <cell r="D12">
            <v>1.0900000000000001</v>
          </cell>
          <cell r="E12">
            <v>1.1200000000000001</v>
          </cell>
          <cell r="F12" t="str">
            <v/>
          </cell>
          <cell r="G12" t="str">
            <v/>
          </cell>
          <cell r="H12" t="str">
            <v/>
          </cell>
          <cell r="I12" t="str">
            <v/>
          </cell>
          <cell r="J12" t="str">
            <v/>
          </cell>
          <cell r="K12" t="str">
            <v/>
          </cell>
          <cell r="L12" t="str">
            <v/>
          </cell>
          <cell r="M12" t="str">
            <v/>
          </cell>
          <cell r="N12" t="str">
            <v/>
          </cell>
          <cell r="O12">
            <v>0.96650000000000003</v>
          </cell>
        </row>
        <row r="13">
          <cell r="A13" t="str">
            <v>A93109</v>
          </cell>
          <cell r="B13" t="str">
            <v>113/11/18</v>
          </cell>
          <cell r="C13">
            <v>3</v>
          </cell>
          <cell r="D13">
            <v>1.22</v>
          </cell>
          <cell r="E13">
            <v>1.27</v>
          </cell>
          <cell r="F13" t="str">
            <v/>
          </cell>
          <cell r="G13" t="str">
            <v/>
          </cell>
          <cell r="H13" t="str">
            <v/>
          </cell>
          <cell r="I13" t="str">
            <v/>
          </cell>
          <cell r="J13" t="str">
            <v/>
          </cell>
          <cell r="K13" t="str">
            <v/>
          </cell>
          <cell r="L13" t="str">
            <v/>
          </cell>
          <cell r="M13" t="str">
            <v/>
          </cell>
          <cell r="N13" t="str">
            <v/>
          </cell>
          <cell r="O13">
            <v>0.96719999999999995</v>
          </cell>
        </row>
        <row r="14">
          <cell r="A14" t="str">
            <v>A09101</v>
          </cell>
          <cell r="B14" t="str">
            <v>114/01/10</v>
          </cell>
          <cell r="C14">
            <v>0.5</v>
          </cell>
          <cell r="D14">
            <v>1.39</v>
          </cell>
          <cell r="E14">
            <v>1.41</v>
          </cell>
          <cell r="F14" t="str">
            <v/>
          </cell>
          <cell r="G14" t="str">
            <v/>
          </cell>
          <cell r="H14" t="str">
            <v/>
          </cell>
          <cell r="I14" t="str">
            <v/>
          </cell>
          <cell r="J14" t="str">
            <v/>
          </cell>
          <cell r="K14" t="str">
            <v/>
          </cell>
          <cell r="L14" t="str">
            <v/>
          </cell>
          <cell r="M14" t="str">
            <v/>
          </cell>
          <cell r="N14" t="str">
            <v/>
          </cell>
          <cell r="O14">
            <v>0.96840000000000004</v>
          </cell>
        </row>
        <row r="15">
          <cell r="A15" t="str">
            <v>A94103</v>
          </cell>
          <cell r="B15" t="str">
            <v>114/02/25</v>
          </cell>
          <cell r="C15">
            <v>2.375</v>
          </cell>
          <cell r="D15">
            <v>1.49</v>
          </cell>
          <cell r="E15">
            <v>1.54</v>
          </cell>
          <cell r="F15" t="str">
            <v/>
          </cell>
          <cell r="G15" t="str">
            <v/>
          </cell>
          <cell r="H15" t="str">
            <v/>
          </cell>
          <cell r="I15" t="str">
            <v/>
          </cell>
          <cell r="J15" t="str">
            <v/>
          </cell>
          <cell r="K15" t="str">
            <v/>
          </cell>
          <cell r="L15" t="str">
            <v/>
          </cell>
          <cell r="M15" t="str">
            <v/>
          </cell>
          <cell r="N15" t="str">
            <v/>
          </cell>
          <cell r="O15">
            <v>0.96960000000000002</v>
          </cell>
        </row>
        <row r="16">
          <cell r="A16" t="str">
            <v>A12103</v>
          </cell>
          <cell r="B16" t="str">
            <v>114/02/23</v>
          </cell>
          <cell r="C16">
            <v>1</v>
          </cell>
          <cell r="D16">
            <v>1.5</v>
          </cell>
          <cell r="E16">
            <v>1.53</v>
          </cell>
          <cell r="F16" t="str">
            <v/>
          </cell>
          <cell r="G16" t="str">
            <v/>
          </cell>
          <cell r="H16" t="str">
            <v/>
          </cell>
          <cell r="I16" t="str">
            <v/>
          </cell>
          <cell r="J16" t="str">
            <v/>
          </cell>
          <cell r="K16" t="str">
            <v/>
          </cell>
          <cell r="L16" t="str">
            <v/>
          </cell>
          <cell r="M16" t="str">
            <v/>
          </cell>
          <cell r="N16" t="str">
            <v/>
          </cell>
          <cell r="O16">
            <v>0.96960000000000002</v>
          </cell>
        </row>
        <row r="17">
          <cell r="A17" t="str">
            <v>A04105</v>
          </cell>
          <cell r="B17" t="str">
            <v>114/03/13</v>
          </cell>
          <cell r="C17">
            <v>1.625</v>
          </cell>
          <cell r="D17">
            <v>1.55</v>
          </cell>
          <cell r="E17">
            <v>1.58</v>
          </cell>
          <cell r="F17" t="str">
            <v/>
          </cell>
          <cell r="G17" t="str">
            <v/>
          </cell>
          <cell r="H17" t="str">
            <v/>
          </cell>
          <cell r="I17" t="str">
            <v/>
          </cell>
          <cell r="J17" t="str">
            <v/>
          </cell>
          <cell r="K17" t="str">
            <v/>
          </cell>
          <cell r="L17" t="str">
            <v/>
          </cell>
          <cell r="M17" t="str">
            <v/>
          </cell>
          <cell r="N17" t="str">
            <v/>
          </cell>
          <cell r="O17">
            <v>0.97019999999999995</v>
          </cell>
        </row>
        <row r="18">
          <cell r="A18" t="str">
            <v>A09107</v>
          </cell>
          <cell r="B18" t="str">
            <v>114/07/17</v>
          </cell>
          <cell r="C18">
            <v>0.25</v>
          </cell>
          <cell r="D18">
            <v>1.9</v>
          </cell>
          <cell r="E18">
            <v>1.93</v>
          </cell>
          <cell r="F18" t="str">
            <v/>
          </cell>
          <cell r="G18" t="str">
            <v/>
          </cell>
          <cell r="H18" t="str">
            <v/>
          </cell>
          <cell r="I18" t="str">
            <v/>
          </cell>
          <cell r="J18" t="str">
            <v/>
          </cell>
          <cell r="K18" t="str">
            <v/>
          </cell>
          <cell r="L18" t="str">
            <v/>
          </cell>
          <cell r="M18" t="str">
            <v/>
          </cell>
          <cell r="N18" t="str">
            <v/>
          </cell>
          <cell r="O18">
            <v>0.9768</v>
          </cell>
        </row>
        <row r="19">
          <cell r="A19" t="str">
            <v>A04112</v>
          </cell>
          <cell r="B19" t="str">
            <v>114/09/11</v>
          </cell>
          <cell r="C19">
            <v>1.125</v>
          </cell>
          <cell r="D19">
            <v>2.02</v>
          </cell>
          <cell r="E19">
            <v>2.08</v>
          </cell>
          <cell r="F19" t="str">
            <v/>
          </cell>
          <cell r="G19" t="str">
            <v/>
          </cell>
          <cell r="H19" t="str">
            <v/>
          </cell>
          <cell r="I19" t="str">
            <v/>
          </cell>
          <cell r="J19" t="str">
            <v/>
          </cell>
          <cell r="K19" t="str">
            <v/>
          </cell>
          <cell r="L19" t="str">
            <v/>
          </cell>
          <cell r="M19" t="str">
            <v/>
          </cell>
          <cell r="N19" t="str">
            <v/>
          </cell>
          <cell r="O19">
            <v>0.98099999999999998</v>
          </cell>
        </row>
        <row r="20">
          <cell r="A20" t="str">
            <v>A09112</v>
          </cell>
          <cell r="B20" t="str">
            <v>114/12/08</v>
          </cell>
          <cell r="C20">
            <v>0.125</v>
          </cell>
          <cell r="D20">
            <v>2.29</v>
          </cell>
          <cell r="E20">
            <v>2.3199999999999998</v>
          </cell>
          <cell r="F20" t="str">
            <v/>
          </cell>
          <cell r="G20" t="str">
            <v/>
          </cell>
          <cell r="H20" t="str">
            <v/>
          </cell>
          <cell r="I20" t="str">
            <v/>
          </cell>
          <cell r="J20" t="str">
            <v/>
          </cell>
          <cell r="K20" t="str">
            <v/>
          </cell>
          <cell r="L20" t="str">
            <v/>
          </cell>
          <cell r="M20" t="str">
            <v/>
          </cell>
          <cell r="N20" t="str">
            <v/>
          </cell>
          <cell r="O20">
            <v>0.98960000000000004</v>
          </cell>
        </row>
        <row r="21">
          <cell r="A21" t="str">
            <v>A10101</v>
          </cell>
          <cell r="B21" t="str">
            <v>115/01/13</v>
          </cell>
          <cell r="C21">
            <v>0.25</v>
          </cell>
          <cell r="D21">
            <v>2.38</v>
          </cell>
          <cell r="E21">
            <v>2.42</v>
          </cell>
          <cell r="F21" t="str">
            <v/>
          </cell>
          <cell r="G21" t="str">
            <v/>
          </cell>
          <cell r="H21" t="str">
            <v/>
          </cell>
          <cell r="I21" t="str">
            <v/>
          </cell>
          <cell r="J21" t="str">
            <v/>
          </cell>
          <cell r="K21" t="str">
            <v/>
          </cell>
          <cell r="L21" t="str">
            <v/>
          </cell>
          <cell r="M21" t="str">
            <v/>
          </cell>
          <cell r="N21" t="str">
            <v/>
          </cell>
          <cell r="O21">
            <v>0.99370000000000003</v>
          </cell>
        </row>
        <row r="22">
          <cell r="A22" t="str">
            <v>A95102</v>
          </cell>
          <cell r="B22" t="str">
            <v>115/02/24</v>
          </cell>
          <cell r="C22">
            <v>1.875</v>
          </cell>
          <cell r="D22">
            <v>2.4500000000000002</v>
          </cell>
          <cell r="E22">
            <v>2.54</v>
          </cell>
          <cell r="F22" t="str">
            <v/>
          </cell>
          <cell r="G22" t="str">
            <v/>
          </cell>
          <cell r="H22" t="str">
            <v/>
          </cell>
          <cell r="I22" t="str">
            <v/>
          </cell>
          <cell r="J22" t="str">
            <v/>
          </cell>
          <cell r="K22" t="str">
            <v/>
          </cell>
          <cell r="L22" t="str">
            <v/>
          </cell>
          <cell r="M22" t="str">
            <v/>
          </cell>
          <cell r="N22" t="str">
            <v/>
          </cell>
          <cell r="O22">
            <v>0.99870000000000003</v>
          </cell>
        </row>
        <row r="23">
          <cell r="A23" t="str">
            <v>A05104</v>
          </cell>
          <cell r="B23" t="str">
            <v>115/03/04</v>
          </cell>
          <cell r="C23">
            <v>0.75</v>
          </cell>
          <cell r="D23">
            <v>2.5</v>
          </cell>
          <cell r="E23">
            <v>2.56</v>
          </cell>
          <cell r="F23" t="str">
            <v/>
          </cell>
          <cell r="G23" t="str">
            <v/>
          </cell>
          <cell r="H23" t="str">
            <v/>
          </cell>
          <cell r="I23" t="str">
            <v/>
          </cell>
          <cell r="J23" t="str">
            <v/>
          </cell>
          <cell r="K23" t="str">
            <v/>
          </cell>
          <cell r="L23" t="str">
            <v/>
          </cell>
          <cell r="M23" t="str">
            <v/>
          </cell>
          <cell r="N23" t="str">
            <v/>
          </cell>
          <cell r="O23">
            <v>1.0001</v>
          </cell>
        </row>
        <row r="24">
          <cell r="A24" t="str">
            <v>A10108</v>
          </cell>
          <cell r="B24" t="str">
            <v>115/07/29</v>
          </cell>
          <cell r="C24">
            <v>0.25</v>
          </cell>
          <cell r="D24">
            <v>2.92</v>
          </cell>
          <cell r="E24">
            <v>2.96</v>
          </cell>
          <cell r="F24" t="str">
            <v/>
          </cell>
          <cell r="G24" t="str">
            <v/>
          </cell>
          <cell r="H24" t="str">
            <v/>
          </cell>
          <cell r="I24" t="str">
            <v/>
          </cell>
          <cell r="J24" t="str">
            <v/>
          </cell>
          <cell r="K24" t="str">
            <v/>
          </cell>
          <cell r="L24" t="str">
            <v/>
          </cell>
          <cell r="M24" t="str">
            <v/>
          </cell>
          <cell r="N24" t="str">
            <v/>
          </cell>
          <cell r="O24">
            <v>1.0216000000000001</v>
          </cell>
        </row>
        <row r="25">
          <cell r="A25" t="str">
            <v>A05111</v>
          </cell>
          <cell r="B25" t="str">
            <v>115/09/07</v>
          </cell>
          <cell r="C25">
            <v>0.625</v>
          </cell>
          <cell r="D25">
            <v>2.99</v>
          </cell>
          <cell r="E25">
            <v>3.07</v>
          </cell>
          <cell r="F25" t="str">
            <v/>
          </cell>
          <cell r="G25" t="str">
            <v/>
          </cell>
          <cell r="H25" t="str">
            <v/>
          </cell>
          <cell r="I25" t="str">
            <v/>
          </cell>
          <cell r="J25" t="str">
            <v/>
          </cell>
          <cell r="K25" t="str">
            <v/>
          </cell>
          <cell r="L25" t="str">
            <v/>
          </cell>
          <cell r="M25" t="str">
            <v/>
          </cell>
          <cell r="N25" t="str">
            <v/>
          </cell>
          <cell r="O25">
            <v>1.0273000000000001</v>
          </cell>
        </row>
        <row r="26">
          <cell r="A26" t="str">
            <v>A95107</v>
          </cell>
          <cell r="B26" t="str">
            <v>115/11/10</v>
          </cell>
          <cell r="C26">
            <v>2.125</v>
          </cell>
          <cell r="D26">
            <v>3.09</v>
          </cell>
          <cell r="E26">
            <v>3.24</v>
          </cell>
          <cell r="F26" t="str">
            <v/>
          </cell>
          <cell r="G26" t="str">
            <v/>
          </cell>
          <cell r="H26" t="str">
            <v/>
          </cell>
          <cell r="I26" t="str">
            <v/>
          </cell>
          <cell r="J26" t="str">
            <v/>
          </cell>
          <cell r="K26" t="str">
            <v/>
          </cell>
          <cell r="L26" t="str">
            <v/>
          </cell>
          <cell r="M26" t="str">
            <v/>
          </cell>
          <cell r="N26" t="str">
            <v/>
          </cell>
          <cell r="O26">
            <v>1.0356000000000001</v>
          </cell>
        </row>
        <row r="27">
          <cell r="A27" t="str">
            <v>A96102</v>
          </cell>
          <cell r="B27" t="str">
            <v>116/02/14</v>
          </cell>
          <cell r="C27">
            <v>2</v>
          </cell>
          <cell r="D27">
            <v>3.35</v>
          </cell>
          <cell r="E27">
            <v>3.51</v>
          </cell>
          <cell r="F27" t="str">
            <v/>
          </cell>
          <cell r="G27" t="str">
            <v/>
          </cell>
          <cell r="H27" t="str">
            <v/>
          </cell>
          <cell r="I27" t="str">
            <v/>
          </cell>
          <cell r="J27" t="str">
            <v/>
          </cell>
          <cell r="K27" t="str">
            <v/>
          </cell>
          <cell r="L27" t="str">
            <v/>
          </cell>
          <cell r="M27" t="str">
            <v/>
          </cell>
          <cell r="N27" t="str">
            <v/>
          </cell>
          <cell r="O27">
            <v>1.0485</v>
          </cell>
        </row>
        <row r="28">
          <cell r="A28" t="str">
            <v>A06104</v>
          </cell>
          <cell r="B28" t="str">
            <v>116/03/01</v>
          </cell>
          <cell r="C28">
            <v>1.125</v>
          </cell>
          <cell r="D28">
            <v>3.44</v>
          </cell>
          <cell r="E28">
            <v>3.55</v>
          </cell>
          <cell r="F28" t="str">
            <v/>
          </cell>
          <cell r="G28" t="str">
            <v/>
          </cell>
          <cell r="H28" t="str">
            <v/>
          </cell>
          <cell r="I28" t="str">
            <v/>
          </cell>
          <cell r="J28" t="str">
            <v/>
          </cell>
          <cell r="K28" t="str">
            <v/>
          </cell>
          <cell r="L28" t="str">
            <v/>
          </cell>
          <cell r="M28" t="str">
            <v/>
          </cell>
          <cell r="N28" t="str">
            <v/>
          </cell>
          <cell r="O28">
            <v>1.0511999999999999</v>
          </cell>
        </row>
        <row r="29">
          <cell r="A29" t="str">
            <v>A11103</v>
          </cell>
          <cell r="B29" t="str">
            <v>116/02/24</v>
          </cell>
          <cell r="C29">
            <v>0.5</v>
          </cell>
          <cell r="D29">
            <v>3.46</v>
          </cell>
          <cell r="E29">
            <v>3.54</v>
          </cell>
          <cell r="F29" t="str">
            <v/>
          </cell>
          <cell r="G29" t="str">
            <v/>
          </cell>
          <cell r="H29" t="str">
            <v/>
          </cell>
          <cell r="I29" t="str">
            <v/>
          </cell>
          <cell r="J29" t="str">
            <v/>
          </cell>
          <cell r="K29" t="str">
            <v/>
          </cell>
          <cell r="L29" t="str">
            <v/>
          </cell>
          <cell r="M29" t="str">
            <v/>
          </cell>
          <cell r="N29" t="str">
            <v/>
          </cell>
          <cell r="O29">
            <v>1.0510999999999999</v>
          </cell>
        </row>
        <row r="30">
          <cell r="A30" t="str">
            <v>A11106</v>
          </cell>
          <cell r="B30" t="str">
            <v>116/06/23</v>
          </cell>
          <cell r="C30">
            <v>1</v>
          </cell>
          <cell r="D30">
            <v>3.76</v>
          </cell>
          <cell r="E30">
            <v>3.86</v>
          </cell>
          <cell r="F30" t="str">
            <v/>
          </cell>
          <cell r="G30" t="str">
            <v/>
          </cell>
          <cell r="H30" t="str">
            <v/>
          </cell>
          <cell r="I30" t="str">
            <v/>
          </cell>
          <cell r="J30" t="str">
            <v/>
          </cell>
          <cell r="K30" t="str">
            <v/>
          </cell>
          <cell r="L30" t="str">
            <v/>
          </cell>
          <cell r="M30" t="str">
            <v/>
          </cell>
          <cell r="N30" t="str">
            <v/>
          </cell>
          <cell r="O30">
            <v>1.0643</v>
          </cell>
        </row>
        <row r="31">
          <cell r="A31" t="str">
            <v>A11108</v>
          </cell>
          <cell r="B31" t="str">
            <v>116/09/23</v>
          </cell>
          <cell r="C31">
            <v>1.25</v>
          </cell>
          <cell r="D31">
            <v>3.94</v>
          </cell>
          <cell r="E31">
            <v>4.1100000000000003</v>
          </cell>
          <cell r="F31" t="str">
            <v/>
          </cell>
          <cell r="G31" t="str">
            <v/>
          </cell>
          <cell r="H31" t="str">
            <v/>
          </cell>
          <cell r="I31" t="str">
            <v/>
          </cell>
          <cell r="J31" t="str">
            <v/>
          </cell>
          <cell r="K31" t="str">
            <v/>
          </cell>
          <cell r="L31" t="str">
            <v/>
          </cell>
          <cell r="M31" t="str">
            <v/>
          </cell>
          <cell r="N31" t="str">
            <v/>
          </cell>
          <cell r="O31">
            <v>1.0724</v>
          </cell>
        </row>
        <row r="32">
          <cell r="A32" t="str">
            <v>A96107</v>
          </cell>
          <cell r="B32" t="str">
            <v>116/11/16</v>
          </cell>
          <cell r="C32">
            <v>3</v>
          </cell>
          <cell r="D32">
            <v>3.94</v>
          </cell>
          <cell r="E32">
            <v>4.26</v>
          </cell>
          <cell r="F32" t="str">
            <v/>
          </cell>
          <cell r="G32" t="str">
            <v/>
          </cell>
          <cell r="H32" t="str">
            <v/>
          </cell>
          <cell r="I32" t="str">
            <v/>
          </cell>
          <cell r="J32" t="str">
            <v/>
          </cell>
          <cell r="K32" t="str">
            <v/>
          </cell>
          <cell r="L32" t="str">
            <v/>
          </cell>
          <cell r="M32" t="str">
            <v/>
          </cell>
          <cell r="N32" t="str">
            <v/>
          </cell>
          <cell r="O32">
            <v>1.0745</v>
          </cell>
        </row>
        <row r="33">
          <cell r="A33" t="str">
            <v>A06109</v>
          </cell>
          <cell r="B33" t="str">
            <v>116/09/20</v>
          </cell>
          <cell r="C33">
            <v>1</v>
          </cell>
          <cell r="D33">
            <v>3.96</v>
          </cell>
          <cell r="E33">
            <v>4.0999999999999996</v>
          </cell>
          <cell r="F33" t="str">
            <v/>
          </cell>
          <cell r="G33" t="str">
            <v/>
          </cell>
          <cell r="H33" t="str">
            <v/>
          </cell>
          <cell r="I33" t="str">
            <v/>
          </cell>
          <cell r="J33" t="str">
            <v/>
          </cell>
          <cell r="K33" t="str">
            <v/>
          </cell>
          <cell r="L33" t="str">
            <v/>
          </cell>
          <cell r="M33" t="str">
            <v/>
          </cell>
          <cell r="N33" t="str">
            <v/>
          </cell>
          <cell r="O33">
            <v>1.0725</v>
          </cell>
        </row>
        <row r="34">
          <cell r="A34" t="str">
            <v>A02101</v>
          </cell>
          <cell r="B34" t="str">
            <v>117/01/09</v>
          </cell>
          <cell r="C34">
            <v>1.375</v>
          </cell>
          <cell r="D34">
            <v>4.22</v>
          </cell>
          <cell r="E34">
            <v>4.41</v>
          </cell>
          <cell r="F34" t="str">
            <v/>
          </cell>
          <cell r="G34" t="str">
            <v/>
          </cell>
          <cell r="H34" t="str">
            <v/>
          </cell>
          <cell r="I34" t="str">
            <v/>
          </cell>
          <cell r="J34" t="str">
            <v/>
          </cell>
          <cell r="K34" t="str">
            <v/>
          </cell>
          <cell r="L34" t="str">
            <v/>
          </cell>
          <cell r="M34" t="str">
            <v/>
          </cell>
          <cell r="N34" t="str">
            <v/>
          </cell>
          <cell r="O34">
            <v>1.0798000000000001</v>
          </cell>
        </row>
        <row r="35">
          <cell r="A35" t="str">
            <v>A97102</v>
          </cell>
          <cell r="B35" t="str">
            <v>117/02/14</v>
          </cell>
          <cell r="C35">
            <v>2.5</v>
          </cell>
          <cell r="D35">
            <v>4.2300000000000004</v>
          </cell>
          <cell r="E35">
            <v>4.51</v>
          </cell>
          <cell r="F35" t="str">
            <v/>
          </cell>
          <cell r="G35" t="str">
            <v/>
          </cell>
          <cell r="H35" t="str">
            <v/>
          </cell>
          <cell r="I35" t="str">
            <v/>
          </cell>
          <cell r="J35" t="str">
            <v/>
          </cell>
          <cell r="K35" t="str">
            <v/>
          </cell>
          <cell r="L35" t="str">
            <v/>
          </cell>
          <cell r="M35" t="str">
            <v/>
          </cell>
          <cell r="N35" t="str">
            <v/>
          </cell>
          <cell r="O35">
            <v>1.0806</v>
          </cell>
        </row>
        <row r="36">
          <cell r="A36" t="str">
            <v>A12101</v>
          </cell>
          <cell r="B36" t="str">
            <v>117/01/17</v>
          </cell>
          <cell r="C36">
            <v>1</v>
          </cell>
          <cell r="D36">
            <v>4.28</v>
          </cell>
          <cell r="E36">
            <v>4.43</v>
          </cell>
          <cell r="F36" t="str">
            <v/>
          </cell>
          <cell r="G36" t="str">
            <v/>
          </cell>
          <cell r="H36" t="str">
            <v/>
          </cell>
          <cell r="I36" t="str">
            <v/>
          </cell>
          <cell r="J36" t="str">
            <v/>
          </cell>
          <cell r="K36" t="str">
            <v/>
          </cell>
          <cell r="L36" t="str">
            <v/>
          </cell>
          <cell r="M36" t="str">
            <v/>
          </cell>
          <cell r="N36" t="str">
            <v/>
          </cell>
          <cell r="O36">
            <v>1.0808</v>
          </cell>
        </row>
        <row r="37">
          <cell r="A37" t="str">
            <v>A07102</v>
          </cell>
          <cell r="B37" t="str">
            <v>117/02/08</v>
          </cell>
          <cell r="C37">
            <v>1</v>
          </cell>
          <cell r="D37">
            <v>4.34</v>
          </cell>
          <cell r="E37">
            <v>4.49</v>
          </cell>
          <cell r="F37" t="str">
            <v/>
          </cell>
          <cell r="G37" t="str">
            <v/>
          </cell>
          <cell r="H37" t="str">
            <v/>
          </cell>
          <cell r="I37" t="str">
            <v/>
          </cell>
          <cell r="J37" t="str">
            <v/>
          </cell>
          <cell r="K37" t="str">
            <v/>
          </cell>
          <cell r="L37" t="str">
            <v/>
          </cell>
          <cell r="M37" t="str">
            <v/>
          </cell>
          <cell r="N37" t="str">
            <v/>
          </cell>
          <cell r="O37">
            <v>1.0821000000000001</v>
          </cell>
        </row>
        <row r="38">
          <cell r="A38" t="str">
            <v>A97105</v>
          </cell>
          <cell r="B38" t="str">
            <v>117/08/14</v>
          </cell>
          <cell r="C38">
            <v>2.625</v>
          </cell>
          <cell r="D38">
            <v>4.71</v>
          </cell>
          <cell r="E38">
            <v>5.01</v>
          </cell>
          <cell r="F38" t="str">
            <v/>
          </cell>
          <cell r="G38" t="str">
            <v/>
          </cell>
          <cell r="H38" t="str">
            <v/>
          </cell>
          <cell r="I38" t="str">
            <v/>
          </cell>
          <cell r="J38" t="str">
            <v/>
          </cell>
          <cell r="K38" t="str">
            <v/>
          </cell>
          <cell r="L38" t="str">
            <v/>
          </cell>
          <cell r="M38" t="str">
            <v/>
          </cell>
          <cell r="N38" t="str">
            <v/>
          </cell>
          <cell r="O38">
            <v>1.0889</v>
          </cell>
        </row>
        <row r="39">
          <cell r="A39" t="str">
            <v>A12106</v>
          </cell>
          <cell r="B39" t="str">
            <v>117/05/26</v>
          </cell>
          <cell r="C39">
            <v>1</v>
          </cell>
          <cell r="D39">
            <v>4.63</v>
          </cell>
          <cell r="E39">
            <v>4.79</v>
          </cell>
          <cell r="F39" t="str">
            <v/>
          </cell>
          <cell r="G39" t="str">
            <v/>
          </cell>
          <cell r="H39" t="str">
            <v/>
          </cell>
          <cell r="I39" t="str">
            <v/>
          </cell>
          <cell r="J39" t="str">
            <v/>
          </cell>
          <cell r="K39" t="str">
            <v/>
          </cell>
          <cell r="L39" t="str">
            <v/>
          </cell>
          <cell r="M39" t="str">
            <v/>
          </cell>
          <cell r="N39" t="str">
            <v/>
          </cell>
          <cell r="O39">
            <v>1.0874999999999999</v>
          </cell>
        </row>
        <row r="40">
          <cell r="A40" t="str">
            <v>A07105</v>
          </cell>
          <cell r="B40" t="str">
            <v>117/06/08</v>
          </cell>
          <cell r="C40">
            <v>0.875</v>
          </cell>
          <cell r="D40">
            <v>4.68</v>
          </cell>
          <cell r="E40">
            <v>4.82</v>
          </cell>
          <cell r="F40" t="str">
            <v/>
          </cell>
          <cell r="G40" t="str">
            <v/>
          </cell>
          <cell r="H40" t="str">
            <v/>
          </cell>
          <cell r="I40" t="str">
            <v/>
          </cell>
          <cell r="J40" t="str">
            <v/>
          </cell>
          <cell r="K40" t="str">
            <v/>
          </cell>
          <cell r="L40" t="str">
            <v/>
          </cell>
          <cell r="M40" t="str">
            <v/>
          </cell>
          <cell r="N40" t="str">
            <v/>
          </cell>
          <cell r="O40">
            <v>1.0882000000000001</v>
          </cell>
        </row>
        <row r="41">
          <cell r="A41" t="str">
            <v>A12108</v>
          </cell>
          <cell r="B41" t="str">
            <v>117/09/15</v>
          </cell>
          <cell r="C41">
            <v>1</v>
          </cell>
          <cell r="D41">
            <v>4.8499999999999996</v>
          </cell>
          <cell r="E41">
            <v>5</v>
          </cell>
          <cell r="F41" t="str">
            <v/>
          </cell>
          <cell r="G41" t="str">
            <v/>
          </cell>
          <cell r="H41" t="str">
            <v/>
          </cell>
          <cell r="I41" t="str">
            <v/>
          </cell>
          <cell r="J41" t="str">
            <v/>
          </cell>
          <cell r="K41" t="str">
            <v/>
          </cell>
          <cell r="L41" t="str">
            <v/>
          </cell>
          <cell r="M41" t="str">
            <v/>
          </cell>
          <cell r="N41" t="str">
            <v/>
          </cell>
          <cell r="O41">
            <v>1.0908</v>
          </cell>
        </row>
        <row r="42">
          <cell r="A42" t="str">
            <v>A10202</v>
          </cell>
          <cell r="B42" t="str">
            <v>117/08/20</v>
          </cell>
          <cell r="C42">
            <v>0.25</v>
          </cell>
          <cell r="D42">
            <v>4.92</v>
          </cell>
          <cell r="E42">
            <v>5.0199999999999996</v>
          </cell>
          <cell r="F42" t="str">
            <v/>
          </cell>
          <cell r="G42" t="str">
            <v/>
          </cell>
          <cell r="H42" t="str">
            <v/>
          </cell>
          <cell r="I42" t="str">
            <v/>
          </cell>
          <cell r="J42" t="str">
            <v/>
          </cell>
          <cell r="K42" t="str">
            <v/>
          </cell>
          <cell r="L42" t="str">
            <v/>
          </cell>
          <cell r="M42" t="str">
            <v/>
          </cell>
          <cell r="N42" t="str">
            <v/>
          </cell>
          <cell r="O42">
            <v>1.0920000000000001</v>
          </cell>
        </row>
        <row r="43">
          <cell r="A43" t="str">
            <v>A07109</v>
          </cell>
          <cell r="B43" t="str">
            <v>117/10/17</v>
          </cell>
          <cell r="C43">
            <v>0.875</v>
          </cell>
          <cell r="D43">
            <v>4.99</v>
          </cell>
          <cell r="E43">
            <v>5.18</v>
          </cell>
          <cell r="F43" t="str">
            <v/>
          </cell>
          <cell r="G43" t="str">
            <v/>
          </cell>
          <cell r="H43" t="str">
            <v/>
          </cell>
          <cell r="I43" t="str">
            <v/>
          </cell>
          <cell r="J43" t="str">
            <v/>
          </cell>
          <cell r="K43" t="str">
            <v/>
          </cell>
          <cell r="L43" t="str">
            <v/>
          </cell>
          <cell r="M43" t="str">
            <v/>
          </cell>
          <cell r="N43" t="str">
            <v/>
          </cell>
          <cell r="O43">
            <v>1.0931999999999999</v>
          </cell>
        </row>
        <row r="44">
          <cell r="A44" t="str">
            <v>A98102</v>
          </cell>
          <cell r="B44" t="str">
            <v>118/02/16</v>
          </cell>
          <cell r="C44">
            <v>2.125</v>
          </cell>
          <cell r="D44">
            <v>5.16</v>
          </cell>
          <cell r="E44">
            <v>5.51</v>
          </cell>
          <cell r="F44" t="str">
            <v/>
          </cell>
          <cell r="G44" t="str">
            <v/>
          </cell>
          <cell r="H44" t="str">
            <v/>
          </cell>
          <cell r="I44" t="str">
            <v/>
          </cell>
          <cell r="J44" t="str">
            <v/>
          </cell>
          <cell r="K44" t="str">
            <v/>
          </cell>
          <cell r="L44" t="str">
            <v/>
          </cell>
          <cell r="M44" t="str">
            <v/>
          </cell>
          <cell r="N44" t="str">
            <v/>
          </cell>
          <cell r="O44">
            <v>1.0954999999999999</v>
          </cell>
        </row>
        <row r="45">
          <cell r="A45" t="str">
            <v>A08103</v>
          </cell>
          <cell r="B45" t="str">
            <v>118/02/13</v>
          </cell>
          <cell r="C45">
            <v>0.75</v>
          </cell>
          <cell r="D45">
            <v>5.33</v>
          </cell>
          <cell r="E45">
            <v>5.51</v>
          </cell>
          <cell r="F45" t="str">
            <v/>
          </cell>
          <cell r="G45" t="str">
            <v/>
          </cell>
          <cell r="H45" t="str">
            <v/>
          </cell>
          <cell r="I45" t="str">
            <v/>
          </cell>
          <cell r="J45" t="str">
            <v/>
          </cell>
          <cell r="K45" t="str">
            <v/>
          </cell>
          <cell r="L45" t="str">
            <v/>
          </cell>
          <cell r="M45" t="str">
            <v/>
          </cell>
          <cell r="N45" t="str">
            <v/>
          </cell>
          <cell r="O45">
            <v>1.0972</v>
          </cell>
        </row>
        <row r="46">
          <cell r="A46" t="str">
            <v>A98105</v>
          </cell>
          <cell r="B46" t="str">
            <v>118/08/13</v>
          </cell>
          <cell r="C46">
            <v>2.125</v>
          </cell>
          <cell r="D46">
            <v>5.64</v>
          </cell>
          <cell r="E46">
            <v>6</v>
          </cell>
          <cell r="F46" t="str">
            <v/>
          </cell>
          <cell r="G46" t="str">
            <v/>
          </cell>
          <cell r="H46" t="str">
            <v/>
          </cell>
          <cell r="I46" t="str">
            <v/>
          </cell>
          <cell r="J46" t="str">
            <v/>
          </cell>
          <cell r="K46" t="str">
            <v/>
          </cell>
          <cell r="L46" t="str">
            <v/>
          </cell>
          <cell r="M46" t="str">
            <v/>
          </cell>
          <cell r="N46" t="str">
            <v/>
          </cell>
          <cell r="O46">
            <v>1.1014999999999999</v>
          </cell>
        </row>
        <row r="47">
          <cell r="A47" t="str">
            <v>A08106</v>
          </cell>
          <cell r="B47" t="str">
            <v>118/06/26</v>
          </cell>
          <cell r="C47">
            <v>0.625</v>
          </cell>
          <cell r="D47">
            <v>5.71</v>
          </cell>
          <cell r="E47">
            <v>5.87</v>
          </cell>
          <cell r="F47" t="str">
            <v/>
          </cell>
          <cell r="G47" t="str">
            <v/>
          </cell>
          <cell r="H47" t="str">
            <v/>
          </cell>
          <cell r="I47" t="str">
            <v/>
          </cell>
          <cell r="J47" t="str">
            <v/>
          </cell>
          <cell r="K47" t="str">
            <v/>
          </cell>
          <cell r="L47" t="str">
            <v/>
          </cell>
          <cell r="M47" t="str">
            <v/>
          </cell>
          <cell r="N47" t="str">
            <v/>
          </cell>
          <cell r="O47">
            <v>1.1015999999999999</v>
          </cell>
        </row>
        <row r="48">
          <cell r="A48" t="str">
            <v>A08109</v>
          </cell>
          <cell r="B48" t="str">
            <v>118/10/14</v>
          </cell>
          <cell r="C48">
            <v>0.625</v>
          </cell>
          <cell r="D48">
            <v>5.97</v>
          </cell>
          <cell r="E48">
            <v>6.17</v>
          </cell>
          <cell r="F48" t="str">
            <v/>
          </cell>
          <cell r="G48" t="str">
            <v/>
          </cell>
          <cell r="H48" t="str">
            <v/>
          </cell>
          <cell r="I48" t="str">
            <v/>
          </cell>
          <cell r="J48" t="str">
            <v/>
          </cell>
          <cell r="K48" t="str">
            <v/>
          </cell>
          <cell r="L48" t="str">
            <v/>
          </cell>
          <cell r="M48" t="str">
            <v/>
          </cell>
          <cell r="N48" t="str">
            <v/>
          </cell>
          <cell r="O48">
            <v>1.1059000000000001</v>
          </cell>
        </row>
        <row r="49">
          <cell r="A49" t="str">
            <v>A99104</v>
          </cell>
          <cell r="B49" t="str">
            <v>119/02/22</v>
          </cell>
          <cell r="C49">
            <v>1.875</v>
          </cell>
          <cell r="D49">
            <v>6.09</v>
          </cell>
          <cell r="E49">
            <v>6.53</v>
          </cell>
          <cell r="F49" t="str">
            <v/>
          </cell>
          <cell r="G49" t="str">
            <v/>
          </cell>
          <cell r="H49" t="str">
            <v/>
          </cell>
          <cell r="I49" t="str">
            <v/>
          </cell>
          <cell r="J49" t="str">
            <v/>
          </cell>
          <cell r="K49" t="str">
            <v/>
          </cell>
          <cell r="L49" t="str">
            <v/>
          </cell>
          <cell r="M49" t="str">
            <v/>
          </cell>
          <cell r="N49" t="str">
            <v/>
          </cell>
          <cell r="O49">
            <v>1.1104000000000001</v>
          </cell>
        </row>
        <row r="50">
          <cell r="A50" t="str">
            <v>A09103</v>
          </cell>
          <cell r="B50" t="str">
            <v>119/02/21</v>
          </cell>
          <cell r="C50">
            <v>0.5</v>
          </cell>
          <cell r="D50">
            <v>6.34</v>
          </cell>
          <cell r="E50">
            <v>6.53</v>
          </cell>
          <cell r="F50" t="str">
            <v/>
          </cell>
          <cell r="G50" t="str">
            <v/>
          </cell>
          <cell r="H50" t="str">
            <v/>
          </cell>
          <cell r="I50" t="str">
            <v/>
          </cell>
          <cell r="J50" t="str">
            <v/>
          </cell>
          <cell r="K50" t="str">
            <v/>
          </cell>
          <cell r="L50" t="str">
            <v/>
          </cell>
          <cell r="M50" t="str">
            <v/>
          </cell>
          <cell r="N50" t="str">
            <v/>
          </cell>
          <cell r="O50">
            <v>1.1124000000000001</v>
          </cell>
        </row>
        <row r="51">
          <cell r="A51" t="str">
            <v>A99107</v>
          </cell>
          <cell r="B51" t="str">
            <v>119/08/12</v>
          </cell>
          <cell r="C51">
            <v>1.75</v>
          </cell>
          <cell r="D51">
            <v>6.58</v>
          </cell>
          <cell r="E51">
            <v>7</v>
          </cell>
          <cell r="F51" t="str">
            <v/>
          </cell>
          <cell r="G51" t="str">
            <v/>
          </cell>
          <cell r="H51" t="str">
            <v/>
          </cell>
          <cell r="I51" t="str">
            <v/>
          </cell>
          <cell r="J51" t="str">
            <v/>
          </cell>
          <cell r="K51" t="str">
            <v/>
          </cell>
          <cell r="L51" t="str">
            <v/>
          </cell>
          <cell r="M51" t="str">
            <v/>
          </cell>
          <cell r="N51" t="str">
            <v/>
          </cell>
          <cell r="O51">
            <v>1.1214999999999999</v>
          </cell>
        </row>
        <row r="52">
          <cell r="A52" t="str">
            <v>A09106</v>
          </cell>
          <cell r="B52" t="str">
            <v>119/06/11</v>
          </cell>
          <cell r="C52">
            <v>0.375</v>
          </cell>
          <cell r="D52">
            <v>6.67</v>
          </cell>
          <cell r="E52">
            <v>6.83</v>
          </cell>
          <cell r="F52" t="str">
            <v/>
          </cell>
          <cell r="G52" t="str">
            <v/>
          </cell>
          <cell r="H52" t="str">
            <v/>
          </cell>
          <cell r="I52" t="str">
            <v/>
          </cell>
          <cell r="J52" t="str">
            <v/>
          </cell>
          <cell r="K52" t="str">
            <v/>
          </cell>
          <cell r="L52" t="str">
            <v/>
          </cell>
          <cell r="M52" t="str">
            <v/>
          </cell>
          <cell r="N52" t="str">
            <v/>
          </cell>
          <cell r="O52">
            <v>1.1193</v>
          </cell>
        </row>
        <row r="53">
          <cell r="A53" t="str">
            <v>A00102</v>
          </cell>
          <cell r="B53" t="str">
            <v>120/01/13</v>
          </cell>
          <cell r="C53">
            <v>2.125</v>
          </cell>
          <cell r="D53">
            <v>6.8</v>
          </cell>
          <cell r="E53">
            <v>7.42</v>
          </cell>
          <cell r="F53" t="str">
            <v/>
          </cell>
          <cell r="G53" t="str">
            <v/>
          </cell>
          <cell r="H53" t="str">
            <v/>
          </cell>
          <cell r="I53" t="str">
            <v/>
          </cell>
          <cell r="J53" t="str">
            <v/>
          </cell>
          <cell r="K53" t="str">
            <v/>
          </cell>
          <cell r="L53" t="str">
            <v/>
          </cell>
          <cell r="M53" t="str">
            <v/>
          </cell>
          <cell r="N53" t="str">
            <v/>
          </cell>
          <cell r="O53">
            <v>1.1338999999999999</v>
          </cell>
        </row>
        <row r="54">
          <cell r="A54" t="str">
            <v>A09109</v>
          </cell>
          <cell r="B54" t="str">
            <v>119/10/14</v>
          </cell>
          <cell r="C54">
            <v>0.25</v>
          </cell>
          <cell r="D54">
            <v>7.01</v>
          </cell>
          <cell r="E54">
            <v>7.17</v>
          </cell>
          <cell r="F54" t="str">
            <v/>
          </cell>
          <cell r="G54" t="str">
            <v/>
          </cell>
          <cell r="H54" t="str">
            <v/>
          </cell>
          <cell r="I54" t="str">
            <v/>
          </cell>
          <cell r="J54" t="str">
            <v/>
          </cell>
          <cell r="K54" t="str">
            <v/>
          </cell>
          <cell r="L54" t="str">
            <v/>
          </cell>
          <cell r="M54" t="str">
            <v/>
          </cell>
          <cell r="N54" t="str">
            <v/>
          </cell>
          <cell r="O54">
            <v>1.1294</v>
          </cell>
        </row>
        <row r="55">
          <cell r="A55" t="str">
            <v>A90105</v>
          </cell>
          <cell r="B55" t="str">
            <v>120/07/17</v>
          </cell>
          <cell r="C55">
            <v>3.625</v>
          </cell>
          <cell r="D55">
            <v>7.01</v>
          </cell>
          <cell r="E55">
            <v>7.93</v>
          </cell>
          <cell r="F55" t="str">
            <v/>
          </cell>
          <cell r="G55" t="str">
            <v/>
          </cell>
          <cell r="H55" t="str">
            <v/>
          </cell>
          <cell r="I55" t="str">
            <v/>
          </cell>
          <cell r="J55" t="str">
            <v/>
          </cell>
          <cell r="K55" t="str">
            <v/>
          </cell>
          <cell r="L55" t="str">
            <v/>
          </cell>
          <cell r="M55" t="str">
            <v/>
          </cell>
          <cell r="N55" t="str">
            <v/>
          </cell>
          <cell r="O55">
            <v>1.1476999999999999</v>
          </cell>
        </row>
        <row r="56">
          <cell r="A56" t="str">
            <v>A00201</v>
          </cell>
          <cell r="B56" t="str">
            <v>120/05/26</v>
          </cell>
          <cell r="C56">
            <v>1.75</v>
          </cell>
          <cell r="D56">
            <v>7.24</v>
          </cell>
          <cell r="E56">
            <v>7.78</v>
          </cell>
          <cell r="F56" t="str">
            <v/>
          </cell>
          <cell r="G56" t="str">
            <v/>
          </cell>
          <cell r="H56" t="str">
            <v/>
          </cell>
          <cell r="I56" t="str">
            <v/>
          </cell>
          <cell r="J56" t="str">
            <v/>
          </cell>
          <cell r="K56" t="str">
            <v/>
          </cell>
          <cell r="L56" t="str">
            <v/>
          </cell>
          <cell r="M56" t="str">
            <v/>
          </cell>
          <cell r="N56" t="str">
            <v/>
          </cell>
          <cell r="O56">
            <v>1.1471</v>
          </cell>
        </row>
        <row r="57">
          <cell r="A57" t="str">
            <v>A00107</v>
          </cell>
          <cell r="B57" t="str">
            <v>120/08/02</v>
          </cell>
          <cell r="C57">
            <v>1.875</v>
          </cell>
          <cell r="D57">
            <v>7.4</v>
          </cell>
          <cell r="E57">
            <v>7.97</v>
          </cell>
          <cell r="F57" t="str">
            <v/>
          </cell>
          <cell r="G57" t="str">
            <v/>
          </cell>
          <cell r="H57" t="str">
            <v/>
          </cell>
          <cell r="I57" t="str">
            <v/>
          </cell>
          <cell r="J57" t="str">
            <v/>
          </cell>
          <cell r="K57" t="str">
            <v/>
          </cell>
          <cell r="L57" t="str">
            <v/>
          </cell>
          <cell r="M57" t="str">
            <v/>
          </cell>
          <cell r="N57" t="str">
            <v/>
          </cell>
          <cell r="O57">
            <v>1.153</v>
          </cell>
        </row>
        <row r="58">
          <cell r="A58" t="str">
            <v>A10103</v>
          </cell>
          <cell r="B58" t="str">
            <v>120/02/22</v>
          </cell>
          <cell r="C58">
            <v>0.25</v>
          </cell>
          <cell r="D58">
            <v>7.37</v>
          </cell>
          <cell r="E58">
            <v>7.53</v>
          </cell>
          <cell r="F58" t="str">
            <v/>
          </cell>
          <cell r="G58" t="str">
            <v/>
          </cell>
          <cell r="H58" t="str">
            <v/>
          </cell>
          <cell r="I58" t="str">
            <v/>
          </cell>
          <cell r="J58" t="str">
            <v/>
          </cell>
          <cell r="K58" t="str">
            <v/>
          </cell>
          <cell r="L58" t="str">
            <v/>
          </cell>
          <cell r="M58" t="str">
            <v/>
          </cell>
          <cell r="N58" t="str">
            <v/>
          </cell>
          <cell r="O58">
            <v>1.1416999999999999</v>
          </cell>
        </row>
        <row r="59">
          <cell r="A59" t="str">
            <v>A10201</v>
          </cell>
          <cell r="B59" t="str">
            <v>120/05/07</v>
          </cell>
          <cell r="C59">
            <v>0.375</v>
          </cell>
          <cell r="D59">
            <v>7.53</v>
          </cell>
          <cell r="E59">
            <v>7.73</v>
          </cell>
          <cell r="F59" t="str">
            <v/>
          </cell>
          <cell r="G59" t="str">
            <v/>
          </cell>
          <cell r="H59" t="str">
            <v/>
          </cell>
          <cell r="I59" t="str">
            <v/>
          </cell>
          <cell r="J59" t="str">
            <v/>
          </cell>
          <cell r="K59" t="str">
            <v/>
          </cell>
          <cell r="L59" t="str">
            <v/>
          </cell>
          <cell r="M59" t="str">
            <v/>
          </cell>
          <cell r="N59" t="str">
            <v/>
          </cell>
          <cell r="O59">
            <v>1.1487000000000001</v>
          </cell>
        </row>
        <row r="60">
          <cell r="A60" t="str">
            <v>A10107</v>
          </cell>
          <cell r="B60" t="str">
            <v>120/06/23</v>
          </cell>
          <cell r="C60">
            <v>0.375</v>
          </cell>
          <cell r="D60">
            <v>7.66</v>
          </cell>
          <cell r="E60">
            <v>7.86</v>
          </cell>
          <cell r="F60" t="str">
            <v/>
          </cell>
          <cell r="G60" t="str">
            <v/>
          </cell>
          <cell r="H60" t="str">
            <v/>
          </cell>
          <cell r="I60" t="str">
            <v/>
          </cell>
          <cell r="J60" t="str">
            <v/>
          </cell>
          <cell r="K60" t="str">
            <v/>
          </cell>
          <cell r="L60" t="str">
            <v/>
          </cell>
          <cell r="M60" t="str">
            <v/>
          </cell>
          <cell r="N60" t="str">
            <v/>
          </cell>
          <cell r="O60">
            <v>1.1532</v>
          </cell>
        </row>
        <row r="61">
          <cell r="A61" t="str">
            <v>A01102</v>
          </cell>
          <cell r="B61" t="str">
            <v>121/01/20</v>
          </cell>
          <cell r="C61">
            <v>1.625</v>
          </cell>
          <cell r="D61">
            <v>7.8</v>
          </cell>
          <cell r="E61">
            <v>8.44</v>
          </cell>
          <cell r="F61" t="str">
            <v/>
          </cell>
          <cell r="G61" t="str">
            <v/>
          </cell>
          <cell r="H61" t="str">
            <v/>
          </cell>
          <cell r="I61" t="str">
            <v/>
          </cell>
          <cell r="J61" t="str">
            <v/>
          </cell>
          <cell r="K61" t="str">
            <v/>
          </cell>
          <cell r="L61" t="str">
            <v/>
          </cell>
          <cell r="M61" t="str">
            <v/>
          </cell>
          <cell r="N61" t="str">
            <v/>
          </cell>
          <cell r="O61">
            <v>1.1672</v>
          </cell>
        </row>
        <row r="62">
          <cell r="A62" t="str">
            <v>A10111</v>
          </cell>
          <cell r="B62" t="str">
            <v>120/10/22</v>
          </cell>
          <cell r="C62">
            <v>0.5</v>
          </cell>
          <cell r="D62">
            <v>7.91</v>
          </cell>
          <cell r="E62">
            <v>8.19</v>
          </cell>
          <cell r="F62" t="str">
            <v/>
          </cell>
          <cell r="G62" t="str">
            <v/>
          </cell>
          <cell r="H62" t="str">
            <v/>
          </cell>
          <cell r="I62" t="str">
            <v/>
          </cell>
          <cell r="J62" t="str">
            <v/>
          </cell>
          <cell r="K62" t="str">
            <v/>
          </cell>
          <cell r="L62" t="str">
            <v/>
          </cell>
          <cell r="M62" t="str">
            <v/>
          </cell>
          <cell r="N62" t="str">
            <v/>
          </cell>
          <cell r="O62">
            <v>1.1637999999999999</v>
          </cell>
        </row>
        <row r="63">
          <cell r="A63" t="str">
            <v>A01201</v>
          </cell>
          <cell r="B63" t="str">
            <v>121/03/16</v>
          </cell>
          <cell r="C63">
            <v>1.625</v>
          </cell>
          <cell r="D63">
            <v>7.95</v>
          </cell>
          <cell r="E63">
            <v>8.59</v>
          </cell>
          <cell r="F63" t="str">
            <v/>
          </cell>
          <cell r="G63" t="str">
            <v/>
          </cell>
          <cell r="H63" t="str">
            <v/>
          </cell>
          <cell r="I63" t="str">
            <v/>
          </cell>
          <cell r="J63" t="str">
            <v/>
          </cell>
          <cell r="K63" t="str">
            <v/>
          </cell>
          <cell r="L63" t="str">
            <v/>
          </cell>
          <cell r="M63" t="str">
            <v/>
          </cell>
          <cell r="N63" t="str">
            <v/>
          </cell>
          <cell r="O63">
            <v>1.1707000000000001</v>
          </cell>
        </row>
        <row r="64">
          <cell r="A64" t="str">
            <v>A11201</v>
          </cell>
          <cell r="B64" t="str">
            <v>121/01/10</v>
          </cell>
          <cell r="C64">
            <v>0.75</v>
          </cell>
          <cell r="D64">
            <v>8.0399999999999991</v>
          </cell>
          <cell r="E64">
            <v>8.41</v>
          </cell>
          <cell r="F64" t="str">
            <v/>
          </cell>
          <cell r="G64" t="str">
            <v/>
          </cell>
          <cell r="H64" t="str">
            <v/>
          </cell>
          <cell r="I64" t="str">
            <v/>
          </cell>
          <cell r="J64" t="str">
            <v/>
          </cell>
          <cell r="K64" t="str">
            <v/>
          </cell>
          <cell r="L64" t="str">
            <v/>
          </cell>
          <cell r="M64" t="str">
            <v/>
          </cell>
          <cell r="N64" t="str">
            <v/>
          </cell>
          <cell r="O64">
            <v>1.1692</v>
          </cell>
        </row>
        <row r="65">
          <cell r="A65" t="str">
            <v>A11102</v>
          </cell>
          <cell r="B65" t="str">
            <v>121/02/18</v>
          </cell>
          <cell r="C65">
            <v>0.625</v>
          </cell>
          <cell r="D65">
            <v>8.19</v>
          </cell>
          <cell r="E65">
            <v>8.52</v>
          </cell>
          <cell r="F65" t="str">
            <v/>
          </cell>
          <cell r="G65" t="str">
            <v/>
          </cell>
          <cell r="H65" t="str">
            <v/>
          </cell>
          <cell r="I65" t="str">
            <v/>
          </cell>
          <cell r="J65" t="str">
            <v/>
          </cell>
          <cell r="K65" t="str">
            <v/>
          </cell>
          <cell r="L65" t="str">
            <v/>
          </cell>
          <cell r="M65" t="str">
            <v/>
          </cell>
          <cell r="N65" t="str">
            <v/>
          </cell>
          <cell r="O65">
            <v>1.1721999999999999</v>
          </cell>
        </row>
        <row r="66">
          <cell r="A66" t="str">
            <v>A01107</v>
          </cell>
          <cell r="B66" t="str">
            <v>121/08/10</v>
          </cell>
          <cell r="C66">
            <v>1.5</v>
          </cell>
          <cell r="D66">
            <v>8.3800000000000008</v>
          </cell>
          <cell r="E66">
            <v>8.99</v>
          </cell>
          <cell r="F66" t="str">
            <v/>
          </cell>
          <cell r="G66" t="str">
            <v/>
          </cell>
          <cell r="H66" t="str">
            <v/>
          </cell>
          <cell r="I66" t="str">
            <v/>
          </cell>
          <cell r="J66" t="str">
            <v/>
          </cell>
          <cell r="K66" t="str">
            <v/>
          </cell>
          <cell r="L66" t="str">
            <v/>
          </cell>
          <cell r="M66" t="str">
            <v/>
          </cell>
          <cell r="N66" t="str">
            <v/>
          </cell>
          <cell r="O66">
            <v>1.1780999999999999</v>
          </cell>
        </row>
        <row r="67">
          <cell r="A67" t="str">
            <v>A11107</v>
          </cell>
          <cell r="B67" t="str">
            <v>121/06/30</v>
          </cell>
          <cell r="C67">
            <v>1.25</v>
          </cell>
          <cell r="D67">
            <v>8.35</v>
          </cell>
          <cell r="E67">
            <v>8.8800000000000008</v>
          </cell>
          <cell r="F67" t="str">
            <v/>
          </cell>
          <cell r="G67" t="str">
            <v/>
          </cell>
          <cell r="H67" t="str">
            <v/>
          </cell>
          <cell r="I67" t="str">
            <v/>
          </cell>
          <cell r="J67" t="str">
            <v/>
          </cell>
          <cell r="K67" t="str">
            <v/>
          </cell>
          <cell r="L67" t="str">
            <v/>
          </cell>
          <cell r="M67" t="str">
            <v/>
          </cell>
          <cell r="N67" t="str">
            <v/>
          </cell>
          <cell r="O67">
            <v>1.1772</v>
          </cell>
        </row>
        <row r="68">
          <cell r="A68" t="str">
            <v>A11110</v>
          </cell>
          <cell r="B68" t="str">
            <v>121/10/17</v>
          </cell>
          <cell r="C68">
            <v>1.75</v>
          </cell>
          <cell r="D68">
            <v>8.36</v>
          </cell>
          <cell r="E68">
            <v>9.18</v>
          </cell>
          <cell r="F68" t="str">
            <v/>
          </cell>
          <cell r="G68" t="str">
            <v/>
          </cell>
          <cell r="H68" t="str">
            <v/>
          </cell>
          <cell r="I68" t="str">
            <v/>
          </cell>
          <cell r="J68" t="str">
            <v/>
          </cell>
          <cell r="K68" t="str">
            <v/>
          </cell>
          <cell r="L68" t="str">
            <v/>
          </cell>
          <cell r="M68" t="str">
            <v/>
          </cell>
          <cell r="N68" t="str">
            <v/>
          </cell>
          <cell r="O68">
            <v>1.1797</v>
          </cell>
        </row>
        <row r="69">
          <cell r="A69" t="str">
            <v>A02103</v>
          </cell>
          <cell r="B69" t="str">
            <v>122/01/28</v>
          </cell>
          <cell r="C69">
            <v>1.5</v>
          </cell>
          <cell r="D69">
            <v>8.7200000000000006</v>
          </cell>
          <cell r="E69">
            <v>9.4600000000000009</v>
          </cell>
          <cell r="F69" t="str">
            <v/>
          </cell>
          <cell r="G69" t="str">
            <v/>
          </cell>
          <cell r="H69" t="str">
            <v/>
          </cell>
          <cell r="I69" t="str">
            <v/>
          </cell>
          <cell r="J69" t="str">
            <v/>
          </cell>
          <cell r="K69" t="str">
            <v/>
          </cell>
          <cell r="L69" t="str">
            <v/>
          </cell>
          <cell r="M69" t="str">
            <v/>
          </cell>
          <cell r="N69" t="str">
            <v/>
          </cell>
          <cell r="O69">
            <v>1.1837</v>
          </cell>
        </row>
        <row r="70">
          <cell r="A70" t="str">
            <v>A12201</v>
          </cell>
          <cell r="B70" t="str">
            <v>122/01/10</v>
          </cell>
          <cell r="C70">
            <v>1.25</v>
          </cell>
          <cell r="D70">
            <v>8.77</v>
          </cell>
          <cell r="E70">
            <v>9.41</v>
          </cell>
          <cell r="F70" t="str">
            <v/>
          </cell>
          <cell r="G70" t="str">
            <v/>
          </cell>
          <cell r="H70" t="str">
            <v/>
          </cell>
          <cell r="I70" t="str">
            <v/>
          </cell>
          <cell r="J70" t="str">
            <v/>
          </cell>
          <cell r="K70" t="str">
            <v/>
          </cell>
          <cell r="L70" t="str">
            <v/>
          </cell>
          <cell r="M70" t="str">
            <v/>
          </cell>
          <cell r="N70" t="str">
            <v/>
          </cell>
          <cell r="O70">
            <v>1.1839</v>
          </cell>
        </row>
        <row r="71">
          <cell r="A71" t="str">
            <v>A02201</v>
          </cell>
          <cell r="B71" t="str">
            <v>122/03/21</v>
          </cell>
          <cell r="C71">
            <v>1.75</v>
          </cell>
          <cell r="D71">
            <v>8.7799999999999994</v>
          </cell>
          <cell r="E71">
            <v>9.6</v>
          </cell>
          <cell r="F71" t="str">
            <v/>
          </cell>
          <cell r="G71" t="str">
            <v/>
          </cell>
          <cell r="H71" t="str">
            <v/>
          </cell>
          <cell r="I71" t="str">
            <v/>
          </cell>
          <cell r="J71" t="str">
            <v/>
          </cell>
          <cell r="K71" t="str">
            <v/>
          </cell>
          <cell r="L71" t="str">
            <v/>
          </cell>
          <cell r="M71" t="str">
            <v/>
          </cell>
          <cell r="N71" t="str">
            <v/>
          </cell>
          <cell r="O71">
            <v>1.1842999999999999</v>
          </cell>
        </row>
        <row r="72">
          <cell r="A72" t="str">
            <v>A02108</v>
          </cell>
          <cell r="B72" t="str">
            <v>122/07/26</v>
          </cell>
          <cell r="C72">
            <v>2</v>
          </cell>
          <cell r="D72">
            <v>9.0399999999999991</v>
          </cell>
          <cell r="E72">
            <v>9.9499999999999993</v>
          </cell>
          <cell r="F72" t="str">
            <v/>
          </cell>
          <cell r="G72" t="str">
            <v/>
          </cell>
          <cell r="H72" t="str">
            <v/>
          </cell>
          <cell r="I72" t="str">
            <v/>
          </cell>
          <cell r="J72" t="str">
            <v/>
          </cell>
          <cell r="K72" t="str">
            <v/>
          </cell>
          <cell r="L72" t="str">
            <v/>
          </cell>
          <cell r="M72" t="str">
            <v/>
          </cell>
          <cell r="N72" t="str">
            <v/>
          </cell>
          <cell r="O72">
            <v>1.1874</v>
          </cell>
        </row>
        <row r="73">
          <cell r="A73" t="str">
            <v>A12102</v>
          </cell>
          <cell r="B73" t="str">
            <v>122/02/17</v>
          </cell>
          <cell r="C73">
            <v>1.125</v>
          </cell>
          <cell r="D73">
            <v>8.92</v>
          </cell>
          <cell r="E73">
            <v>9.52</v>
          </cell>
          <cell r="F73">
            <v>1.1850000000000001</v>
          </cell>
          <cell r="G73">
            <v>1.1839999999999999</v>
          </cell>
          <cell r="H73">
            <v>1.1845000000000001</v>
          </cell>
          <cell r="I73">
            <v>2</v>
          </cell>
          <cell r="J73" t="str">
            <v/>
          </cell>
          <cell r="K73" t="str">
            <v/>
          </cell>
          <cell r="L73" t="str">
            <v/>
          </cell>
          <cell r="M73" t="str">
            <v/>
          </cell>
          <cell r="N73" t="str">
            <v/>
          </cell>
          <cell r="O73">
            <v>1.1855</v>
          </cell>
        </row>
        <row r="74">
          <cell r="A74" t="str">
            <v>A93106</v>
          </cell>
          <cell r="B74" t="str">
            <v>123/05/27</v>
          </cell>
          <cell r="C74">
            <v>3.875</v>
          </cell>
          <cell r="D74">
            <v>9.08</v>
          </cell>
          <cell r="E74">
            <v>10.79</v>
          </cell>
          <cell r="F74" t="str">
            <v/>
          </cell>
          <cell r="G74" t="str">
            <v/>
          </cell>
          <cell r="H74" t="str">
            <v/>
          </cell>
          <cell r="I74" t="str">
            <v/>
          </cell>
          <cell r="J74" t="str">
            <v/>
          </cell>
          <cell r="K74" t="str">
            <v/>
          </cell>
          <cell r="L74" t="str">
            <v/>
          </cell>
          <cell r="M74" t="str">
            <v/>
          </cell>
          <cell r="N74" t="str">
            <v/>
          </cell>
          <cell r="O74">
            <v>1.1920999999999999</v>
          </cell>
        </row>
        <row r="75">
          <cell r="A75" t="str">
            <v>A12107R</v>
          </cell>
          <cell r="B75" t="str">
            <v>122/06/09</v>
          </cell>
          <cell r="C75">
            <v>1.125</v>
          </cell>
          <cell r="D75">
            <v>9.19</v>
          </cell>
          <cell r="E75">
            <v>9.82</v>
          </cell>
          <cell r="F75" t="str">
            <v/>
          </cell>
          <cell r="G75" t="str">
            <v/>
          </cell>
          <cell r="H75" t="str">
            <v/>
          </cell>
          <cell r="I75" t="str">
            <v/>
          </cell>
          <cell r="J75" t="str">
            <v/>
          </cell>
          <cell r="K75" t="str">
            <v/>
          </cell>
          <cell r="L75" t="str">
            <v/>
          </cell>
          <cell r="M75" t="str">
            <v/>
          </cell>
          <cell r="N75" t="str">
            <v/>
          </cell>
          <cell r="O75">
            <v>1.1884999999999999</v>
          </cell>
        </row>
        <row r="76">
          <cell r="A76" t="str">
            <v>A12107</v>
          </cell>
          <cell r="B76" t="str">
            <v>122/06/09</v>
          </cell>
          <cell r="C76">
            <v>1.125</v>
          </cell>
          <cell r="D76">
            <v>9.2200000000000006</v>
          </cell>
          <cell r="E76">
            <v>9.82</v>
          </cell>
          <cell r="F76" t="str">
            <v/>
          </cell>
          <cell r="G76" t="str">
            <v/>
          </cell>
          <cell r="H76" t="str">
            <v/>
          </cell>
          <cell r="I76" t="str">
            <v/>
          </cell>
          <cell r="J76" t="str">
            <v/>
          </cell>
          <cell r="K76" t="str">
            <v/>
          </cell>
          <cell r="L76" t="str">
            <v/>
          </cell>
          <cell r="M76" t="str">
            <v/>
          </cell>
          <cell r="N76" t="str">
            <v/>
          </cell>
          <cell r="O76">
            <v>1.1888000000000001</v>
          </cell>
        </row>
        <row r="77">
          <cell r="A77" t="str">
            <v>A03103</v>
          </cell>
          <cell r="B77" t="str">
            <v>123/01/29</v>
          </cell>
          <cell r="C77">
            <v>2</v>
          </cell>
          <cell r="D77">
            <v>9.3800000000000008</v>
          </cell>
          <cell r="E77">
            <v>10.46</v>
          </cell>
          <cell r="F77" t="str">
            <v/>
          </cell>
          <cell r="G77" t="str">
            <v/>
          </cell>
          <cell r="H77" t="str">
            <v/>
          </cell>
          <cell r="I77" t="str">
            <v/>
          </cell>
          <cell r="J77" t="str">
            <v/>
          </cell>
          <cell r="K77" t="str">
            <v/>
          </cell>
          <cell r="L77" t="str">
            <v/>
          </cell>
          <cell r="M77" t="str">
            <v/>
          </cell>
          <cell r="N77" t="str">
            <v/>
          </cell>
          <cell r="O77">
            <v>1.1935</v>
          </cell>
        </row>
        <row r="78">
          <cell r="A78" t="str">
            <v>A03111</v>
          </cell>
          <cell r="B78" t="str">
            <v>123/07/31</v>
          </cell>
          <cell r="C78">
            <v>2.125</v>
          </cell>
          <cell r="D78">
            <v>9.82</v>
          </cell>
          <cell r="E78">
            <v>10.97</v>
          </cell>
          <cell r="F78" t="str">
            <v/>
          </cell>
          <cell r="G78" t="str">
            <v/>
          </cell>
          <cell r="H78" t="str">
            <v/>
          </cell>
          <cell r="I78" t="str">
            <v/>
          </cell>
          <cell r="J78" t="str">
            <v/>
          </cell>
          <cell r="K78" t="str">
            <v/>
          </cell>
          <cell r="L78" t="str">
            <v/>
          </cell>
          <cell r="M78" t="str">
            <v/>
          </cell>
          <cell r="N78" t="str">
            <v/>
          </cell>
          <cell r="O78">
            <v>1.1998</v>
          </cell>
        </row>
        <row r="79">
          <cell r="A79" t="str">
            <v>A03107</v>
          </cell>
          <cell r="B79" t="str">
            <v>123/04/25</v>
          </cell>
          <cell r="C79">
            <v>1.875</v>
          </cell>
          <cell r="D79">
            <v>9.66</v>
          </cell>
          <cell r="E79">
            <v>10.7</v>
          </cell>
          <cell r="F79" t="str">
            <v/>
          </cell>
          <cell r="G79" t="str">
            <v/>
          </cell>
          <cell r="H79" t="str">
            <v/>
          </cell>
          <cell r="I79" t="str">
            <v/>
          </cell>
          <cell r="J79" t="str">
            <v/>
          </cell>
          <cell r="K79" t="str">
            <v/>
          </cell>
          <cell r="L79" t="str">
            <v/>
          </cell>
          <cell r="M79" t="str">
            <v/>
          </cell>
          <cell r="N79" t="str">
            <v/>
          </cell>
          <cell r="O79">
            <v>1.1969000000000001</v>
          </cell>
        </row>
        <row r="80">
          <cell r="A80" t="str">
            <v>A03114</v>
          </cell>
          <cell r="B80" t="str">
            <v>123/10/02</v>
          </cell>
          <cell r="C80">
            <v>2.25</v>
          </cell>
          <cell r="D80">
            <v>9.75</v>
          </cell>
          <cell r="E80">
            <v>11.14</v>
          </cell>
          <cell r="F80" t="str">
            <v/>
          </cell>
          <cell r="G80" t="str">
            <v/>
          </cell>
          <cell r="H80" t="str">
            <v/>
          </cell>
          <cell r="I80" t="str">
            <v/>
          </cell>
          <cell r="J80" t="str">
            <v/>
          </cell>
          <cell r="K80" t="str">
            <v/>
          </cell>
          <cell r="L80" t="str">
            <v/>
          </cell>
          <cell r="M80" t="str">
            <v/>
          </cell>
          <cell r="N80" t="str">
            <v/>
          </cell>
          <cell r="O80">
            <v>1.2018</v>
          </cell>
        </row>
        <row r="81">
          <cell r="A81" t="str">
            <v>A04102</v>
          </cell>
          <cell r="B81" t="str">
            <v>124/01/23</v>
          </cell>
          <cell r="C81">
            <v>2</v>
          </cell>
          <cell r="D81">
            <v>10.17</v>
          </cell>
          <cell r="E81">
            <v>11.45</v>
          </cell>
          <cell r="F81" t="str">
            <v/>
          </cell>
          <cell r="G81" t="str">
            <v/>
          </cell>
          <cell r="H81" t="str">
            <v/>
          </cell>
          <cell r="I81" t="str">
            <v/>
          </cell>
          <cell r="J81" t="str">
            <v/>
          </cell>
          <cell r="K81" t="str">
            <v/>
          </cell>
          <cell r="L81" t="str">
            <v/>
          </cell>
          <cell r="M81" t="str">
            <v/>
          </cell>
          <cell r="N81" t="str">
            <v/>
          </cell>
          <cell r="O81">
            <v>1.2071000000000001</v>
          </cell>
        </row>
        <row r="82">
          <cell r="A82" t="str">
            <v>A04107</v>
          </cell>
          <cell r="B82" t="str">
            <v>124/04/15</v>
          </cell>
          <cell r="C82">
            <v>2.125</v>
          </cell>
          <cell r="D82">
            <v>10.33</v>
          </cell>
          <cell r="E82">
            <v>11.67</v>
          </cell>
          <cell r="F82" t="str">
            <v/>
          </cell>
          <cell r="G82" t="str">
            <v/>
          </cell>
          <cell r="H82" t="str">
            <v/>
          </cell>
          <cell r="I82" t="str">
            <v/>
          </cell>
          <cell r="J82" t="str">
            <v/>
          </cell>
          <cell r="K82" t="str">
            <v/>
          </cell>
          <cell r="L82" t="str">
            <v/>
          </cell>
          <cell r="M82" t="str">
            <v/>
          </cell>
          <cell r="N82" t="str">
            <v/>
          </cell>
          <cell r="O82">
            <v>1.2101</v>
          </cell>
        </row>
        <row r="83">
          <cell r="A83" t="str">
            <v>A04114</v>
          </cell>
          <cell r="B83" t="str">
            <v>124/10/26</v>
          </cell>
          <cell r="C83">
            <v>1.75</v>
          </cell>
          <cell r="D83">
            <v>10.85</v>
          </cell>
          <cell r="E83">
            <v>12.2</v>
          </cell>
          <cell r="F83" t="str">
            <v/>
          </cell>
          <cell r="G83" t="str">
            <v/>
          </cell>
          <cell r="H83" t="str">
            <v/>
          </cell>
          <cell r="I83" t="str">
            <v/>
          </cell>
          <cell r="J83" t="str">
            <v/>
          </cell>
          <cell r="K83" t="str">
            <v/>
          </cell>
          <cell r="L83" t="str">
            <v/>
          </cell>
          <cell r="M83" t="str">
            <v/>
          </cell>
          <cell r="N83" t="str">
            <v/>
          </cell>
          <cell r="O83">
            <v>1.2199</v>
          </cell>
        </row>
        <row r="84">
          <cell r="A84" t="str">
            <v>A05102</v>
          </cell>
          <cell r="B84" t="str">
            <v>125/01/22</v>
          </cell>
          <cell r="C84">
            <v>1.375</v>
          </cell>
          <cell r="D84">
            <v>11.3</v>
          </cell>
          <cell r="E84">
            <v>12.44</v>
          </cell>
          <cell r="F84" t="str">
            <v/>
          </cell>
          <cell r="G84" t="str">
            <v/>
          </cell>
          <cell r="H84" t="str">
            <v/>
          </cell>
          <cell r="I84" t="str">
            <v/>
          </cell>
          <cell r="J84" t="str">
            <v/>
          </cell>
          <cell r="K84" t="str">
            <v/>
          </cell>
          <cell r="L84" t="str">
            <v/>
          </cell>
          <cell r="M84" t="str">
            <v/>
          </cell>
          <cell r="N84" t="str">
            <v/>
          </cell>
          <cell r="O84">
            <v>1.2255</v>
          </cell>
        </row>
        <row r="85">
          <cell r="A85" t="str">
            <v>A05106</v>
          </cell>
          <cell r="B85" t="str">
            <v>125/04/08</v>
          </cell>
          <cell r="C85">
            <v>1.25</v>
          </cell>
          <cell r="D85">
            <v>11.59</v>
          </cell>
          <cell r="E85">
            <v>12.65</v>
          </cell>
          <cell r="F85" t="str">
            <v/>
          </cell>
          <cell r="G85" t="str">
            <v/>
          </cell>
          <cell r="H85" t="str">
            <v/>
          </cell>
          <cell r="I85" t="str">
            <v/>
          </cell>
          <cell r="J85" t="str">
            <v/>
          </cell>
          <cell r="K85" t="str">
            <v/>
          </cell>
          <cell r="L85" t="str">
            <v/>
          </cell>
          <cell r="M85" t="str">
            <v/>
          </cell>
          <cell r="N85" t="str">
            <v/>
          </cell>
          <cell r="O85">
            <v>1.2297</v>
          </cell>
        </row>
        <row r="86">
          <cell r="A86" t="str">
            <v>A05109</v>
          </cell>
          <cell r="B86" t="str">
            <v>125/07/19</v>
          </cell>
          <cell r="C86">
            <v>1.125</v>
          </cell>
          <cell r="D86">
            <v>11.94</v>
          </cell>
          <cell r="E86">
            <v>12.93</v>
          </cell>
          <cell r="F86" t="str">
            <v/>
          </cell>
          <cell r="G86" t="str">
            <v/>
          </cell>
          <cell r="H86" t="str">
            <v/>
          </cell>
          <cell r="I86" t="str">
            <v/>
          </cell>
          <cell r="J86" t="str">
            <v/>
          </cell>
          <cell r="K86" t="str">
            <v/>
          </cell>
          <cell r="L86" t="str">
            <v/>
          </cell>
          <cell r="M86" t="str">
            <v/>
          </cell>
          <cell r="N86" t="str">
            <v/>
          </cell>
          <cell r="O86">
            <v>1.2351000000000001</v>
          </cell>
        </row>
        <row r="87">
          <cell r="A87" t="str">
            <v>A06103</v>
          </cell>
          <cell r="B87" t="str">
            <v>126/02/20</v>
          </cell>
          <cell r="C87">
            <v>1.75</v>
          </cell>
          <cell r="D87">
            <v>11.96</v>
          </cell>
          <cell r="E87">
            <v>13.53</v>
          </cell>
          <cell r="F87" t="str">
            <v/>
          </cell>
          <cell r="G87" t="str">
            <v/>
          </cell>
          <cell r="H87" t="str">
            <v/>
          </cell>
          <cell r="I87" t="str">
            <v/>
          </cell>
          <cell r="J87" t="str">
            <v/>
          </cell>
          <cell r="K87" t="str">
            <v/>
          </cell>
          <cell r="L87" t="str">
            <v/>
          </cell>
          <cell r="M87" t="str">
            <v/>
          </cell>
          <cell r="N87" t="str">
            <v/>
          </cell>
          <cell r="O87">
            <v>1.2425999999999999</v>
          </cell>
        </row>
        <row r="88">
          <cell r="A88" t="str">
            <v>A06108</v>
          </cell>
          <cell r="B88" t="str">
            <v>126/08/18</v>
          </cell>
          <cell r="C88">
            <v>1.5</v>
          </cell>
          <cell r="D88">
            <v>12.43</v>
          </cell>
          <cell r="E88">
            <v>14.02</v>
          </cell>
          <cell r="F88" t="str">
            <v/>
          </cell>
          <cell r="G88" t="str">
            <v/>
          </cell>
          <cell r="H88" t="str">
            <v/>
          </cell>
          <cell r="I88" t="str">
            <v/>
          </cell>
          <cell r="J88" t="str">
            <v/>
          </cell>
          <cell r="K88" t="str">
            <v/>
          </cell>
          <cell r="L88" t="str">
            <v/>
          </cell>
          <cell r="M88" t="str">
            <v/>
          </cell>
          <cell r="N88" t="str">
            <v/>
          </cell>
          <cell r="O88">
            <v>1.2528999999999999</v>
          </cell>
        </row>
        <row r="89">
          <cell r="A89" t="str">
            <v>A07103</v>
          </cell>
          <cell r="B89" t="str">
            <v>127/03/13</v>
          </cell>
          <cell r="C89">
            <v>1.375</v>
          </cell>
          <cell r="D89">
            <v>13.08</v>
          </cell>
          <cell r="E89">
            <v>14.58</v>
          </cell>
          <cell r="F89" t="str">
            <v/>
          </cell>
          <cell r="G89" t="str">
            <v/>
          </cell>
          <cell r="H89" t="str">
            <v/>
          </cell>
          <cell r="I89" t="str">
            <v/>
          </cell>
          <cell r="J89" t="str">
            <v/>
          </cell>
          <cell r="K89" t="str">
            <v/>
          </cell>
          <cell r="L89" t="str">
            <v/>
          </cell>
          <cell r="M89" t="str">
            <v/>
          </cell>
          <cell r="N89" t="str">
            <v/>
          </cell>
          <cell r="O89">
            <v>1.2641</v>
          </cell>
        </row>
        <row r="90">
          <cell r="A90" t="str">
            <v>A07108</v>
          </cell>
          <cell r="B90" t="str">
            <v>127/09/21</v>
          </cell>
          <cell r="C90">
            <v>1.125</v>
          </cell>
          <cell r="D90">
            <v>13.64</v>
          </cell>
          <cell r="E90">
            <v>15.11</v>
          </cell>
          <cell r="F90" t="str">
            <v/>
          </cell>
          <cell r="G90" t="str">
            <v/>
          </cell>
          <cell r="H90" t="str">
            <v/>
          </cell>
          <cell r="I90" t="str">
            <v/>
          </cell>
          <cell r="J90" t="str">
            <v/>
          </cell>
          <cell r="K90" t="str">
            <v/>
          </cell>
          <cell r="L90" t="str">
            <v/>
          </cell>
          <cell r="M90" t="str">
            <v/>
          </cell>
          <cell r="N90" t="str">
            <v/>
          </cell>
          <cell r="O90">
            <v>1.2758</v>
          </cell>
        </row>
        <row r="91">
          <cell r="A91" t="str">
            <v>A99102</v>
          </cell>
          <cell r="B91" t="str">
            <v>129/01/28</v>
          </cell>
          <cell r="C91">
            <v>2.25</v>
          </cell>
          <cell r="D91">
            <v>13.8</v>
          </cell>
          <cell r="E91">
            <v>16.46</v>
          </cell>
          <cell r="F91" t="str">
            <v/>
          </cell>
          <cell r="G91" t="str">
            <v/>
          </cell>
          <cell r="H91" t="str">
            <v/>
          </cell>
          <cell r="I91" t="str">
            <v/>
          </cell>
          <cell r="J91" t="str">
            <v/>
          </cell>
          <cell r="K91" t="str">
            <v/>
          </cell>
          <cell r="L91" t="str">
            <v/>
          </cell>
          <cell r="M91" t="str">
            <v/>
          </cell>
          <cell r="N91" t="str">
            <v/>
          </cell>
          <cell r="O91">
            <v>1.2941</v>
          </cell>
        </row>
        <row r="92">
          <cell r="A92" t="str">
            <v>A08102</v>
          </cell>
          <cell r="B92" t="str">
            <v>128/01/28</v>
          </cell>
          <cell r="C92">
            <v>1.125</v>
          </cell>
          <cell r="D92">
            <v>13.99</v>
          </cell>
          <cell r="E92">
            <v>15.46</v>
          </cell>
          <cell r="F92" t="str">
            <v/>
          </cell>
          <cell r="G92" t="str">
            <v/>
          </cell>
          <cell r="H92" t="str">
            <v/>
          </cell>
          <cell r="I92" t="str">
            <v/>
          </cell>
          <cell r="J92" t="str">
            <v/>
          </cell>
          <cell r="K92" t="str">
            <v/>
          </cell>
          <cell r="L92" t="str">
            <v/>
          </cell>
          <cell r="M92" t="str">
            <v/>
          </cell>
          <cell r="N92" t="str">
            <v/>
          </cell>
          <cell r="O92">
            <v>1.2827</v>
          </cell>
        </row>
        <row r="93">
          <cell r="A93" t="str">
            <v>A08104</v>
          </cell>
          <cell r="B93" t="str">
            <v>128/03/04</v>
          </cell>
          <cell r="C93">
            <v>1.125</v>
          </cell>
          <cell r="D93">
            <v>14.08</v>
          </cell>
          <cell r="E93">
            <v>15.56</v>
          </cell>
          <cell r="F93" t="str">
            <v/>
          </cell>
          <cell r="G93" t="str">
            <v/>
          </cell>
          <cell r="H93" t="str">
            <v/>
          </cell>
          <cell r="I93" t="str">
            <v/>
          </cell>
          <cell r="J93" t="str">
            <v/>
          </cell>
          <cell r="K93" t="str">
            <v/>
          </cell>
          <cell r="L93" t="str">
            <v/>
          </cell>
          <cell r="M93" t="str">
            <v/>
          </cell>
          <cell r="N93" t="str">
            <v/>
          </cell>
          <cell r="O93">
            <v>1.2846</v>
          </cell>
        </row>
        <row r="94">
          <cell r="A94" t="str">
            <v>A99109</v>
          </cell>
          <cell r="B94" t="str">
            <v>129/12/28</v>
          </cell>
          <cell r="C94">
            <v>2.125</v>
          </cell>
          <cell r="D94">
            <v>14.53</v>
          </cell>
          <cell r="E94">
            <v>17.38</v>
          </cell>
          <cell r="F94" t="str">
            <v/>
          </cell>
          <cell r="G94" t="str">
            <v/>
          </cell>
          <cell r="H94" t="str">
            <v/>
          </cell>
          <cell r="I94" t="str">
            <v/>
          </cell>
          <cell r="J94" t="str">
            <v/>
          </cell>
          <cell r="K94" t="str">
            <v/>
          </cell>
          <cell r="L94" t="str">
            <v/>
          </cell>
          <cell r="M94" t="str">
            <v/>
          </cell>
          <cell r="N94" t="str">
            <v/>
          </cell>
          <cell r="O94">
            <v>1.3123</v>
          </cell>
        </row>
        <row r="95">
          <cell r="A95" t="str">
            <v>A00104</v>
          </cell>
          <cell r="B95" t="str">
            <v>130/02/22</v>
          </cell>
          <cell r="C95">
            <v>2</v>
          </cell>
          <cell r="D95">
            <v>14.79</v>
          </cell>
          <cell r="E95">
            <v>17.53</v>
          </cell>
          <cell r="F95" t="str">
            <v/>
          </cell>
          <cell r="G95" t="str">
            <v/>
          </cell>
          <cell r="H95" t="str">
            <v/>
          </cell>
          <cell r="I95" t="str">
            <v/>
          </cell>
          <cell r="J95" t="str">
            <v/>
          </cell>
          <cell r="K95" t="str">
            <v/>
          </cell>
          <cell r="L95" t="str">
            <v/>
          </cell>
          <cell r="M95" t="str">
            <v/>
          </cell>
          <cell r="N95" t="str">
            <v/>
          </cell>
          <cell r="O95">
            <v>1.3162</v>
          </cell>
        </row>
        <row r="96">
          <cell r="A96" t="str">
            <v>A08108</v>
          </cell>
          <cell r="B96" t="str">
            <v>128/09/06</v>
          </cell>
          <cell r="C96">
            <v>0.75</v>
          </cell>
          <cell r="D96">
            <v>14.84</v>
          </cell>
          <cell r="E96">
            <v>16.07</v>
          </cell>
          <cell r="F96" t="str">
            <v/>
          </cell>
          <cell r="G96" t="str">
            <v/>
          </cell>
          <cell r="H96" t="str">
            <v/>
          </cell>
          <cell r="I96" t="str">
            <v/>
          </cell>
          <cell r="J96" t="str">
            <v/>
          </cell>
          <cell r="K96" t="str">
            <v/>
          </cell>
          <cell r="L96" t="str">
            <v/>
          </cell>
          <cell r="M96" t="str">
            <v/>
          </cell>
          <cell r="N96" t="str">
            <v/>
          </cell>
          <cell r="O96">
            <v>1.2976000000000001</v>
          </cell>
        </row>
        <row r="97">
          <cell r="A97" t="str">
            <v>A00108</v>
          </cell>
          <cell r="B97" t="str">
            <v>130/08/22</v>
          </cell>
          <cell r="C97">
            <v>1.875</v>
          </cell>
          <cell r="D97">
            <v>15.12</v>
          </cell>
          <cell r="E97">
            <v>18.03</v>
          </cell>
          <cell r="F97" t="str">
            <v/>
          </cell>
          <cell r="G97" t="str">
            <v/>
          </cell>
          <cell r="H97" t="str">
            <v/>
          </cell>
          <cell r="I97" t="str">
            <v/>
          </cell>
          <cell r="J97" t="str">
            <v/>
          </cell>
          <cell r="K97" t="str">
            <v/>
          </cell>
          <cell r="L97" t="str">
            <v/>
          </cell>
          <cell r="M97" t="str">
            <v/>
          </cell>
          <cell r="N97" t="str">
            <v/>
          </cell>
          <cell r="O97">
            <v>1.3268</v>
          </cell>
        </row>
        <row r="98">
          <cell r="A98" t="str">
            <v>A09102</v>
          </cell>
          <cell r="B98" t="str">
            <v>129/01/17</v>
          </cell>
          <cell r="C98">
            <v>0.75</v>
          </cell>
          <cell r="D98">
            <v>15.19</v>
          </cell>
          <cell r="E98">
            <v>16.43</v>
          </cell>
          <cell r="F98" t="str">
            <v/>
          </cell>
          <cell r="G98" t="str">
            <v/>
          </cell>
          <cell r="H98" t="str">
            <v/>
          </cell>
          <cell r="I98" t="str">
            <v/>
          </cell>
          <cell r="J98" t="str">
            <v/>
          </cell>
          <cell r="K98" t="str">
            <v/>
          </cell>
          <cell r="L98" t="str">
            <v/>
          </cell>
          <cell r="M98" t="str">
            <v/>
          </cell>
          <cell r="N98" t="str">
            <v/>
          </cell>
          <cell r="O98">
            <v>1.3049999999999999</v>
          </cell>
        </row>
        <row r="99">
          <cell r="A99" t="str">
            <v>A09104</v>
          </cell>
          <cell r="B99" t="str">
            <v>129/03/09</v>
          </cell>
          <cell r="C99">
            <v>0.5</v>
          </cell>
          <cell r="D99">
            <v>15.64</v>
          </cell>
          <cell r="E99">
            <v>16.57</v>
          </cell>
          <cell r="F99" t="str">
            <v/>
          </cell>
          <cell r="G99" t="str">
            <v/>
          </cell>
          <cell r="H99" t="str">
            <v/>
          </cell>
          <cell r="I99" t="str">
            <v/>
          </cell>
          <cell r="J99" t="str">
            <v/>
          </cell>
          <cell r="K99" t="str">
            <v/>
          </cell>
          <cell r="L99" t="str">
            <v/>
          </cell>
          <cell r="M99" t="str">
            <v/>
          </cell>
          <cell r="N99" t="str">
            <v/>
          </cell>
          <cell r="O99">
            <v>1.3101</v>
          </cell>
        </row>
        <row r="100">
          <cell r="A100" t="str">
            <v>A01104</v>
          </cell>
          <cell r="B100" t="str">
            <v>131/02/13</v>
          </cell>
          <cell r="C100">
            <v>1.75</v>
          </cell>
          <cell r="D100">
            <v>15.72</v>
          </cell>
          <cell r="E100">
            <v>18.510000000000002</v>
          </cell>
          <cell r="F100" t="str">
            <v/>
          </cell>
          <cell r="G100" t="str">
            <v/>
          </cell>
          <cell r="H100" t="str">
            <v/>
          </cell>
          <cell r="I100" t="str">
            <v/>
          </cell>
          <cell r="J100" t="str">
            <v/>
          </cell>
          <cell r="K100" t="str">
            <v/>
          </cell>
          <cell r="L100" t="str">
            <v/>
          </cell>
          <cell r="M100" t="str">
            <v/>
          </cell>
          <cell r="N100" t="str">
            <v/>
          </cell>
          <cell r="O100">
            <v>1.3371</v>
          </cell>
        </row>
        <row r="101">
          <cell r="A101" t="str">
            <v>A02109</v>
          </cell>
          <cell r="B101" t="str">
            <v>132/08/02</v>
          </cell>
          <cell r="C101">
            <v>2.5</v>
          </cell>
          <cell r="D101">
            <v>16.13</v>
          </cell>
          <cell r="E101">
            <v>19.97</v>
          </cell>
          <cell r="F101" t="str">
            <v/>
          </cell>
          <cell r="G101" t="str">
            <v/>
          </cell>
          <cell r="H101" t="str">
            <v/>
          </cell>
          <cell r="I101" t="str">
            <v/>
          </cell>
          <cell r="J101" t="str">
            <v/>
          </cell>
          <cell r="K101" t="str">
            <v/>
          </cell>
          <cell r="L101" t="str">
            <v/>
          </cell>
          <cell r="M101" t="str">
            <v/>
          </cell>
          <cell r="N101" t="str">
            <v/>
          </cell>
          <cell r="O101">
            <v>1.3573999999999999</v>
          </cell>
        </row>
        <row r="102">
          <cell r="A102" t="str">
            <v>A11109</v>
          </cell>
          <cell r="B102" t="str">
            <v>131/09/30</v>
          </cell>
          <cell r="C102">
            <v>1.875</v>
          </cell>
          <cell r="D102">
            <v>15.93</v>
          </cell>
          <cell r="E102">
            <v>19.13</v>
          </cell>
          <cell r="F102">
            <v>1.3560000000000001</v>
          </cell>
          <cell r="G102">
            <v>1.3560000000000001</v>
          </cell>
          <cell r="H102">
            <v>1.3560000000000001</v>
          </cell>
          <cell r="I102">
            <v>1</v>
          </cell>
          <cell r="J102">
            <v>1.355</v>
          </cell>
          <cell r="K102">
            <v>1.355</v>
          </cell>
          <cell r="L102">
            <v>1.355</v>
          </cell>
          <cell r="M102">
            <v>1</v>
          </cell>
          <cell r="N102">
            <v>1</v>
          </cell>
          <cell r="O102">
            <v>1.3479000000000001</v>
          </cell>
        </row>
        <row r="103">
          <cell r="A103" t="str">
            <v>A09108</v>
          </cell>
          <cell r="B103" t="str">
            <v>129/09/18</v>
          </cell>
          <cell r="C103">
            <v>0.5</v>
          </cell>
          <cell r="D103">
            <v>16.07</v>
          </cell>
          <cell r="E103">
            <v>17.100000000000001</v>
          </cell>
          <cell r="F103" t="str">
            <v/>
          </cell>
          <cell r="G103" t="str">
            <v/>
          </cell>
          <cell r="H103" t="str">
            <v/>
          </cell>
          <cell r="I103" t="str">
            <v/>
          </cell>
          <cell r="J103" t="str">
            <v/>
          </cell>
          <cell r="K103" t="str">
            <v/>
          </cell>
          <cell r="L103" t="str">
            <v/>
          </cell>
          <cell r="M103" t="str">
            <v/>
          </cell>
          <cell r="N103" t="str">
            <v/>
          </cell>
          <cell r="O103">
            <v>1.321</v>
          </cell>
        </row>
        <row r="104">
          <cell r="A104" t="str">
            <v>A01108</v>
          </cell>
          <cell r="B104" t="str">
            <v>131/08/24</v>
          </cell>
          <cell r="C104">
            <v>1.625</v>
          </cell>
          <cell r="D104">
            <v>16.12</v>
          </cell>
          <cell r="E104">
            <v>19.03</v>
          </cell>
          <cell r="F104" t="str">
            <v/>
          </cell>
          <cell r="G104" t="str">
            <v/>
          </cell>
          <cell r="H104" t="str">
            <v/>
          </cell>
          <cell r="I104" t="str">
            <v/>
          </cell>
          <cell r="J104" t="str">
            <v/>
          </cell>
          <cell r="K104" t="str">
            <v/>
          </cell>
          <cell r="L104" t="str">
            <v/>
          </cell>
          <cell r="M104" t="str">
            <v/>
          </cell>
          <cell r="N104" t="str">
            <v/>
          </cell>
          <cell r="O104">
            <v>1.3484</v>
          </cell>
        </row>
        <row r="105">
          <cell r="A105" t="str">
            <v>A10102</v>
          </cell>
          <cell r="B105" t="str">
            <v>130/01/29</v>
          </cell>
          <cell r="C105">
            <v>0.5</v>
          </cell>
          <cell r="D105">
            <v>16.43</v>
          </cell>
          <cell r="E105">
            <v>17.47</v>
          </cell>
          <cell r="F105" t="str">
            <v/>
          </cell>
          <cell r="G105" t="str">
            <v/>
          </cell>
          <cell r="H105" t="str">
            <v/>
          </cell>
          <cell r="I105" t="str">
            <v/>
          </cell>
          <cell r="J105" t="str">
            <v/>
          </cell>
          <cell r="K105" t="str">
            <v/>
          </cell>
          <cell r="L105" t="str">
            <v/>
          </cell>
          <cell r="M105" t="str">
            <v/>
          </cell>
          <cell r="N105" t="str">
            <v/>
          </cell>
          <cell r="O105">
            <v>1.3286</v>
          </cell>
        </row>
        <row r="106">
          <cell r="A106" t="str">
            <v>A02105</v>
          </cell>
          <cell r="B106" t="str">
            <v>132/02/26</v>
          </cell>
          <cell r="C106">
            <v>1.75</v>
          </cell>
          <cell r="D106">
            <v>16.47</v>
          </cell>
          <cell r="E106">
            <v>19.54</v>
          </cell>
          <cell r="F106">
            <v>1.3660000000000001</v>
          </cell>
          <cell r="G106">
            <v>1.3651</v>
          </cell>
          <cell r="H106">
            <v>1.3654999999999999</v>
          </cell>
          <cell r="I106">
            <v>1</v>
          </cell>
          <cell r="J106">
            <v>1.365</v>
          </cell>
          <cell r="K106">
            <v>1.365</v>
          </cell>
          <cell r="L106">
            <v>1.365</v>
          </cell>
          <cell r="M106">
            <v>1</v>
          </cell>
          <cell r="N106">
            <v>0.5</v>
          </cell>
          <cell r="O106">
            <v>1.3568</v>
          </cell>
        </row>
        <row r="107">
          <cell r="A107" t="str">
            <v>A09113</v>
          </cell>
          <cell r="B107" t="str">
            <v>129/12/29</v>
          </cell>
          <cell r="C107">
            <v>0.375</v>
          </cell>
          <cell r="D107">
            <v>16.53</v>
          </cell>
          <cell r="E107">
            <v>17.38</v>
          </cell>
          <cell r="F107" t="str">
            <v/>
          </cell>
          <cell r="G107" t="str">
            <v/>
          </cell>
          <cell r="H107" t="str">
            <v/>
          </cell>
          <cell r="I107" t="str">
            <v/>
          </cell>
          <cell r="J107" t="str">
            <v/>
          </cell>
          <cell r="K107" t="str">
            <v/>
          </cell>
          <cell r="L107" t="str">
            <v/>
          </cell>
          <cell r="M107" t="str">
            <v/>
          </cell>
          <cell r="N107" t="str">
            <v/>
          </cell>
          <cell r="O107">
            <v>1.3281000000000001</v>
          </cell>
        </row>
        <row r="108">
          <cell r="A108" t="str">
            <v>A11101</v>
          </cell>
          <cell r="B108" t="str">
            <v>131/01/18</v>
          </cell>
          <cell r="C108">
            <v>1</v>
          </cell>
          <cell r="D108">
            <v>16.54</v>
          </cell>
          <cell r="E108">
            <v>18.43</v>
          </cell>
          <cell r="F108" t="str">
            <v/>
          </cell>
          <cell r="G108" t="str">
            <v/>
          </cell>
          <cell r="H108" t="str">
            <v/>
          </cell>
          <cell r="I108" t="str">
            <v/>
          </cell>
          <cell r="J108" t="str">
            <v/>
          </cell>
          <cell r="K108" t="str">
            <v/>
          </cell>
          <cell r="L108" t="str">
            <v/>
          </cell>
          <cell r="M108" t="str">
            <v/>
          </cell>
          <cell r="N108" t="str">
            <v/>
          </cell>
          <cell r="O108">
            <v>1.3431</v>
          </cell>
        </row>
        <row r="109">
          <cell r="A109" t="str">
            <v>A10105</v>
          </cell>
          <cell r="B109" t="str">
            <v>130/05/21</v>
          </cell>
          <cell r="C109">
            <v>0.625</v>
          </cell>
          <cell r="D109">
            <v>16.55</v>
          </cell>
          <cell r="E109">
            <v>17.77</v>
          </cell>
          <cell r="F109" t="str">
            <v/>
          </cell>
          <cell r="G109" t="str">
            <v/>
          </cell>
          <cell r="H109" t="str">
            <v/>
          </cell>
          <cell r="I109" t="str">
            <v/>
          </cell>
          <cell r="J109" t="str">
            <v/>
          </cell>
          <cell r="K109" t="str">
            <v/>
          </cell>
          <cell r="L109" t="str">
            <v/>
          </cell>
          <cell r="M109" t="str">
            <v/>
          </cell>
          <cell r="N109" t="str">
            <v/>
          </cell>
          <cell r="O109">
            <v>1.3335999999999999</v>
          </cell>
        </row>
        <row r="110">
          <cell r="A110" t="str">
            <v>A03112</v>
          </cell>
          <cell r="B110" t="str">
            <v>133/08/04</v>
          </cell>
          <cell r="C110">
            <v>2.25</v>
          </cell>
          <cell r="D110">
            <v>17.04</v>
          </cell>
          <cell r="E110">
            <v>20.98</v>
          </cell>
          <cell r="F110" t="str">
            <v/>
          </cell>
          <cell r="G110" t="str">
            <v/>
          </cell>
          <cell r="H110" t="str">
            <v/>
          </cell>
          <cell r="I110" t="str">
            <v/>
          </cell>
          <cell r="J110" t="str">
            <v/>
          </cell>
          <cell r="K110" t="str">
            <v/>
          </cell>
          <cell r="L110" t="str">
            <v/>
          </cell>
          <cell r="M110" t="str">
            <v/>
          </cell>
          <cell r="N110" t="str">
            <v/>
          </cell>
          <cell r="O110">
            <v>1.3781000000000001</v>
          </cell>
        </row>
        <row r="111">
          <cell r="A111" t="str">
            <v>A03105</v>
          </cell>
          <cell r="B111" t="str">
            <v>133/02/26</v>
          </cell>
          <cell r="C111">
            <v>2.125</v>
          </cell>
          <cell r="D111">
            <v>16.739999999999998</v>
          </cell>
          <cell r="E111">
            <v>20.54</v>
          </cell>
          <cell r="F111" t="str">
            <v/>
          </cell>
          <cell r="G111" t="str">
            <v/>
          </cell>
          <cell r="H111" t="str">
            <v/>
          </cell>
          <cell r="I111" t="str">
            <v/>
          </cell>
          <cell r="J111" t="str">
            <v/>
          </cell>
          <cell r="K111" t="str">
            <v/>
          </cell>
          <cell r="L111" t="str">
            <v/>
          </cell>
          <cell r="M111" t="str">
            <v/>
          </cell>
          <cell r="N111" t="str">
            <v/>
          </cell>
          <cell r="O111">
            <v>1.3714999999999999</v>
          </cell>
        </row>
        <row r="112">
          <cell r="A112" t="str">
            <v>A11104</v>
          </cell>
          <cell r="B112" t="str">
            <v>131/03/04</v>
          </cell>
          <cell r="C112">
            <v>0.875</v>
          </cell>
          <cell r="D112">
            <v>16.84</v>
          </cell>
          <cell r="E112">
            <v>18.559999999999999</v>
          </cell>
          <cell r="F112" t="str">
            <v/>
          </cell>
          <cell r="G112" t="str">
            <v/>
          </cell>
          <cell r="H112" t="str">
            <v/>
          </cell>
          <cell r="I112" t="str">
            <v/>
          </cell>
          <cell r="J112" t="str">
            <v/>
          </cell>
          <cell r="K112" t="str">
            <v/>
          </cell>
          <cell r="L112" t="str">
            <v/>
          </cell>
          <cell r="M112" t="str">
            <v/>
          </cell>
          <cell r="N112" t="str">
            <v/>
          </cell>
          <cell r="O112">
            <v>1.3469</v>
          </cell>
        </row>
        <row r="113">
          <cell r="A113" t="str">
            <v>A10112</v>
          </cell>
          <cell r="B113" t="str">
            <v>130/11/12</v>
          </cell>
          <cell r="C113">
            <v>0.625</v>
          </cell>
          <cell r="D113">
            <v>16.899999999999999</v>
          </cell>
          <cell r="E113">
            <v>18.25</v>
          </cell>
          <cell r="F113" t="str">
            <v/>
          </cell>
          <cell r="G113" t="str">
            <v/>
          </cell>
          <cell r="H113" t="str">
            <v/>
          </cell>
          <cell r="I113" t="str">
            <v/>
          </cell>
          <cell r="J113" t="str">
            <v/>
          </cell>
          <cell r="K113" t="str">
            <v/>
          </cell>
          <cell r="L113" t="str">
            <v/>
          </cell>
          <cell r="M113" t="str">
            <v/>
          </cell>
          <cell r="N113" t="str">
            <v/>
          </cell>
          <cell r="O113">
            <v>1.3434999999999999</v>
          </cell>
        </row>
        <row r="114">
          <cell r="A114" t="str">
            <v>A12104</v>
          </cell>
          <cell r="B114" t="str">
            <v>132/03/03</v>
          </cell>
          <cell r="C114">
            <v>1.375</v>
          </cell>
          <cell r="D114">
            <v>16.940000000000001</v>
          </cell>
          <cell r="E114">
            <v>19.55</v>
          </cell>
          <cell r="F114">
            <v>1.3660000000000001</v>
          </cell>
          <cell r="G114">
            <v>1.3660000000000001</v>
          </cell>
          <cell r="H114">
            <v>1.3660000000000001</v>
          </cell>
          <cell r="I114">
            <v>1</v>
          </cell>
          <cell r="J114">
            <v>1.365</v>
          </cell>
          <cell r="K114">
            <v>1.365</v>
          </cell>
          <cell r="L114">
            <v>1.365</v>
          </cell>
          <cell r="M114">
            <v>1</v>
          </cell>
          <cell r="N114">
            <v>1</v>
          </cell>
          <cell r="O114">
            <v>1.3611</v>
          </cell>
        </row>
        <row r="115">
          <cell r="A115" t="str">
            <v>A10110</v>
          </cell>
          <cell r="B115" t="str">
            <v>130/09/29</v>
          </cell>
          <cell r="C115">
            <v>0.5</v>
          </cell>
          <cell r="D115">
            <v>16.98</v>
          </cell>
          <cell r="E115">
            <v>18.13</v>
          </cell>
          <cell r="F115" t="str">
            <v/>
          </cell>
          <cell r="G115" t="str">
            <v/>
          </cell>
          <cell r="H115" t="str">
            <v/>
          </cell>
          <cell r="I115" t="str">
            <v/>
          </cell>
          <cell r="J115" t="str">
            <v/>
          </cell>
          <cell r="K115" t="str">
            <v/>
          </cell>
          <cell r="L115" t="str">
            <v/>
          </cell>
          <cell r="M115" t="str">
            <v/>
          </cell>
          <cell r="N115" t="str">
            <v/>
          </cell>
          <cell r="O115">
            <v>1.3424</v>
          </cell>
        </row>
        <row r="116">
          <cell r="A116" t="str">
            <v>A03116</v>
          </cell>
          <cell r="B116" t="str">
            <v>133/11/26</v>
          </cell>
          <cell r="C116">
            <v>2.25</v>
          </cell>
          <cell r="D116">
            <v>17.02</v>
          </cell>
          <cell r="E116">
            <v>21.29</v>
          </cell>
          <cell r="F116" t="str">
            <v/>
          </cell>
          <cell r="G116" t="str">
            <v/>
          </cell>
          <cell r="H116" t="str">
            <v/>
          </cell>
          <cell r="I116" t="str">
            <v/>
          </cell>
          <cell r="J116" t="str">
            <v/>
          </cell>
          <cell r="K116" t="str">
            <v/>
          </cell>
          <cell r="L116" t="str">
            <v/>
          </cell>
          <cell r="M116" t="str">
            <v/>
          </cell>
          <cell r="N116" t="str">
            <v/>
          </cell>
          <cell r="O116">
            <v>1.3835999999999999</v>
          </cell>
        </row>
        <row r="117">
          <cell r="A117" t="str">
            <v>A04104</v>
          </cell>
          <cell r="B117" t="str">
            <v>134/02/13</v>
          </cell>
          <cell r="C117">
            <v>2.375</v>
          </cell>
          <cell r="D117">
            <v>17.09</v>
          </cell>
          <cell r="E117">
            <v>21.51</v>
          </cell>
          <cell r="F117" t="str">
            <v/>
          </cell>
          <cell r="G117" t="str">
            <v/>
          </cell>
          <cell r="H117" t="str">
            <v/>
          </cell>
          <cell r="I117" t="str">
            <v/>
          </cell>
          <cell r="J117" t="str">
            <v/>
          </cell>
          <cell r="K117" t="str">
            <v/>
          </cell>
          <cell r="L117" t="str">
            <v/>
          </cell>
          <cell r="M117" t="str">
            <v/>
          </cell>
          <cell r="N117" t="str">
            <v/>
          </cell>
          <cell r="O117">
            <v>1.3861000000000001</v>
          </cell>
        </row>
        <row r="118">
          <cell r="A118" t="str">
            <v>A03108</v>
          </cell>
          <cell r="B118" t="str">
            <v>133/05/28</v>
          </cell>
          <cell r="C118">
            <v>2</v>
          </cell>
          <cell r="D118">
            <v>17.13</v>
          </cell>
          <cell r="E118">
            <v>20.79</v>
          </cell>
          <cell r="F118" t="str">
            <v/>
          </cell>
          <cell r="G118" t="str">
            <v/>
          </cell>
          <cell r="H118" t="str">
            <v/>
          </cell>
          <cell r="I118" t="str">
            <v/>
          </cell>
          <cell r="J118" t="str">
            <v/>
          </cell>
          <cell r="K118" t="str">
            <v/>
          </cell>
          <cell r="L118" t="str">
            <v/>
          </cell>
          <cell r="M118" t="str">
            <v/>
          </cell>
          <cell r="N118" t="str">
            <v/>
          </cell>
          <cell r="O118">
            <v>1.3774</v>
          </cell>
        </row>
        <row r="119">
          <cell r="A119" t="str">
            <v>A12109</v>
          </cell>
          <cell r="B119" t="str">
            <v>132/09/22</v>
          </cell>
          <cell r="C119">
            <v>1.375</v>
          </cell>
          <cell r="D119">
            <v>17.38</v>
          </cell>
          <cell r="E119">
            <v>20</v>
          </cell>
          <cell r="F119" t="str">
            <v/>
          </cell>
          <cell r="G119" t="str">
            <v/>
          </cell>
          <cell r="H119" t="str">
            <v/>
          </cell>
          <cell r="I119" t="str">
            <v/>
          </cell>
          <cell r="J119" t="str">
            <v/>
          </cell>
          <cell r="K119" t="str">
            <v/>
          </cell>
          <cell r="L119" t="str">
            <v/>
          </cell>
          <cell r="M119" t="str">
            <v/>
          </cell>
          <cell r="N119" t="str">
            <v/>
          </cell>
          <cell r="O119">
            <v>1.3698999999999999</v>
          </cell>
        </row>
        <row r="120">
          <cell r="A120" t="str">
            <v>A04108</v>
          </cell>
          <cell r="B120" t="str">
            <v>134/05/15</v>
          </cell>
          <cell r="C120">
            <v>2.375</v>
          </cell>
          <cell r="D120">
            <v>17.329999999999998</v>
          </cell>
          <cell r="E120">
            <v>21.76</v>
          </cell>
          <cell r="F120">
            <v>1.3959999999999999</v>
          </cell>
          <cell r="G120">
            <v>1.3959999999999999</v>
          </cell>
          <cell r="H120">
            <v>1.3959999999999999</v>
          </cell>
          <cell r="I120">
            <v>1</v>
          </cell>
          <cell r="J120">
            <v>1.395</v>
          </cell>
          <cell r="K120">
            <v>1.395</v>
          </cell>
          <cell r="L120">
            <v>1.395</v>
          </cell>
          <cell r="M120">
            <v>1</v>
          </cell>
          <cell r="N120">
            <v>1</v>
          </cell>
          <cell r="O120">
            <v>1.3905000000000001</v>
          </cell>
        </row>
        <row r="121">
          <cell r="A121" t="str">
            <v>A04111</v>
          </cell>
          <cell r="B121" t="str">
            <v>134/08/10</v>
          </cell>
          <cell r="C121">
            <v>2.25</v>
          </cell>
          <cell r="D121">
            <v>17.7</v>
          </cell>
          <cell r="E121">
            <v>21.99</v>
          </cell>
          <cell r="F121" t="str">
            <v/>
          </cell>
          <cell r="G121" t="str">
            <v/>
          </cell>
          <cell r="H121" t="str">
            <v/>
          </cell>
          <cell r="I121" t="str">
            <v/>
          </cell>
          <cell r="J121" t="str">
            <v/>
          </cell>
          <cell r="K121" t="str">
            <v/>
          </cell>
          <cell r="L121" t="str">
            <v/>
          </cell>
          <cell r="M121" t="str">
            <v/>
          </cell>
          <cell r="N121" t="str">
            <v/>
          </cell>
          <cell r="O121">
            <v>1.3960999999999999</v>
          </cell>
        </row>
        <row r="122">
          <cell r="A122" t="str">
            <v>A05114</v>
          </cell>
          <cell r="B122" t="str">
            <v>135/11/25</v>
          </cell>
          <cell r="C122">
            <v>2</v>
          </cell>
          <cell r="D122">
            <v>18.61</v>
          </cell>
          <cell r="E122">
            <v>23.29</v>
          </cell>
          <cell r="F122" t="str">
            <v/>
          </cell>
          <cell r="G122" t="str">
            <v/>
          </cell>
          <cell r="H122" t="str">
            <v/>
          </cell>
          <cell r="I122" t="str">
            <v/>
          </cell>
          <cell r="J122" t="str">
            <v/>
          </cell>
          <cell r="K122" t="str">
            <v/>
          </cell>
          <cell r="L122" t="str">
            <v/>
          </cell>
          <cell r="M122" t="str">
            <v/>
          </cell>
          <cell r="N122" t="str">
            <v/>
          </cell>
          <cell r="O122">
            <v>1.4215</v>
          </cell>
        </row>
        <row r="123">
          <cell r="A123" t="str">
            <v>A05107</v>
          </cell>
          <cell r="B123" t="str">
            <v>135/05/20</v>
          </cell>
          <cell r="C123">
            <v>1.625</v>
          </cell>
          <cell r="D123">
            <v>18.95</v>
          </cell>
          <cell r="E123">
            <v>22.77</v>
          </cell>
          <cell r="F123" t="str">
            <v/>
          </cell>
          <cell r="G123" t="str">
            <v/>
          </cell>
          <cell r="H123" t="str">
            <v/>
          </cell>
          <cell r="I123" t="str">
            <v/>
          </cell>
          <cell r="J123" t="str">
            <v/>
          </cell>
          <cell r="K123" t="str">
            <v/>
          </cell>
          <cell r="L123" t="str">
            <v/>
          </cell>
          <cell r="M123" t="str">
            <v/>
          </cell>
          <cell r="N123" t="str">
            <v/>
          </cell>
          <cell r="O123">
            <v>1.4177</v>
          </cell>
        </row>
        <row r="124">
          <cell r="A124" t="str">
            <v>A06106</v>
          </cell>
          <cell r="B124" t="str">
            <v>136/05/26</v>
          </cell>
          <cell r="C124">
            <v>1.875</v>
          </cell>
          <cell r="D124">
            <v>19.27</v>
          </cell>
          <cell r="E124">
            <v>23.78</v>
          </cell>
          <cell r="F124" t="str">
            <v/>
          </cell>
          <cell r="G124" t="str">
            <v/>
          </cell>
          <cell r="H124" t="str">
            <v/>
          </cell>
          <cell r="I124" t="str">
            <v/>
          </cell>
          <cell r="J124" t="str">
            <v/>
          </cell>
          <cell r="K124" t="str">
            <v/>
          </cell>
          <cell r="L124" t="str">
            <v/>
          </cell>
          <cell r="M124" t="str">
            <v/>
          </cell>
          <cell r="N124" t="str">
            <v/>
          </cell>
          <cell r="O124">
            <v>1.4318</v>
          </cell>
        </row>
        <row r="125">
          <cell r="A125" t="str">
            <v>A05110</v>
          </cell>
          <cell r="B125" t="str">
            <v>135/08/05</v>
          </cell>
          <cell r="C125">
            <v>1.375</v>
          </cell>
          <cell r="D125">
            <v>19.55</v>
          </cell>
          <cell r="E125">
            <v>22.98</v>
          </cell>
          <cell r="F125" t="str">
            <v/>
          </cell>
          <cell r="G125" t="str">
            <v/>
          </cell>
          <cell r="H125" t="str">
            <v/>
          </cell>
          <cell r="I125" t="str">
            <v/>
          </cell>
          <cell r="J125" t="str">
            <v/>
          </cell>
          <cell r="K125" t="str">
            <v/>
          </cell>
          <cell r="L125" t="str">
            <v/>
          </cell>
          <cell r="M125" t="str">
            <v/>
          </cell>
          <cell r="N125" t="str">
            <v/>
          </cell>
          <cell r="O125">
            <v>1.4253</v>
          </cell>
        </row>
        <row r="126">
          <cell r="A126" t="str">
            <v>A06111</v>
          </cell>
          <cell r="B126" t="str">
            <v>136/11/24</v>
          </cell>
          <cell r="C126">
            <v>1.625</v>
          </cell>
          <cell r="D126">
            <v>19.829999999999998</v>
          </cell>
          <cell r="E126">
            <v>24.28</v>
          </cell>
          <cell r="F126" t="str">
            <v/>
          </cell>
          <cell r="G126" t="str">
            <v/>
          </cell>
          <cell r="H126" t="str">
            <v/>
          </cell>
          <cell r="I126" t="str">
            <v/>
          </cell>
          <cell r="J126" t="str">
            <v/>
          </cell>
          <cell r="K126" t="str">
            <v/>
          </cell>
          <cell r="L126" t="str">
            <v/>
          </cell>
          <cell r="M126" t="str">
            <v/>
          </cell>
          <cell r="N126" t="str">
            <v/>
          </cell>
          <cell r="O126">
            <v>1.4439</v>
          </cell>
        </row>
        <row r="127">
          <cell r="A127" t="str">
            <v>A07104</v>
          </cell>
          <cell r="B127" t="str">
            <v>137/05/18</v>
          </cell>
          <cell r="C127">
            <v>1.5</v>
          </cell>
          <cell r="D127">
            <v>20.51</v>
          </cell>
          <cell r="E127">
            <v>24.76</v>
          </cell>
          <cell r="F127" t="str">
            <v/>
          </cell>
          <cell r="G127" t="str">
            <v/>
          </cell>
          <cell r="H127" t="str">
            <v/>
          </cell>
          <cell r="I127" t="str">
            <v/>
          </cell>
          <cell r="J127" t="str">
            <v/>
          </cell>
          <cell r="K127" t="str">
            <v/>
          </cell>
          <cell r="L127" t="str">
            <v/>
          </cell>
          <cell r="M127" t="str">
            <v/>
          </cell>
          <cell r="N127" t="str">
            <v/>
          </cell>
          <cell r="O127">
            <v>1.4539</v>
          </cell>
        </row>
        <row r="128">
          <cell r="A128" t="str">
            <v>A07110</v>
          </cell>
          <cell r="B128" t="str">
            <v>137/11/09</v>
          </cell>
          <cell r="C128">
            <v>1.375</v>
          </cell>
          <cell r="D128">
            <v>20.92</v>
          </cell>
          <cell r="E128">
            <v>25.24</v>
          </cell>
          <cell r="F128" t="str">
            <v/>
          </cell>
          <cell r="G128" t="str">
            <v/>
          </cell>
          <cell r="H128" t="str">
            <v/>
          </cell>
          <cell r="I128" t="str">
            <v/>
          </cell>
          <cell r="J128" t="str">
            <v/>
          </cell>
          <cell r="K128" t="str">
            <v/>
          </cell>
          <cell r="L128" t="str">
            <v/>
          </cell>
          <cell r="M128" t="str">
            <v/>
          </cell>
          <cell r="N128" t="str">
            <v/>
          </cell>
          <cell r="O128">
            <v>1.464</v>
          </cell>
        </row>
        <row r="129">
          <cell r="A129" t="str">
            <v>A11111</v>
          </cell>
          <cell r="B129" t="str">
            <v>141/11/11</v>
          </cell>
          <cell r="C129">
            <v>2.375</v>
          </cell>
          <cell r="D129">
            <v>21.56</v>
          </cell>
          <cell r="E129">
            <v>29.25</v>
          </cell>
          <cell r="F129">
            <v>1.5409999999999999</v>
          </cell>
          <cell r="G129">
            <v>1.5409999999999999</v>
          </cell>
          <cell r="H129">
            <v>1.5409999999999999</v>
          </cell>
          <cell r="I129">
            <v>1</v>
          </cell>
          <cell r="J129">
            <v>1.54</v>
          </cell>
          <cell r="K129">
            <v>1.54</v>
          </cell>
          <cell r="L129">
            <v>1.54</v>
          </cell>
          <cell r="M129">
            <v>1</v>
          </cell>
          <cell r="N129">
            <v>1</v>
          </cell>
          <cell r="O129">
            <v>1.5028999999999999</v>
          </cell>
        </row>
        <row r="130">
          <cell r="A130" t="str">
            <v>A08105</v>
          </cell>
          <cell r="B130" t="str">
            <v>138/05/17</v>
          </cell>
          <cell r="C130">
            <v>1.125</v>
          </cell>
          <cell r="D130">
            <v>21.95</v>
          </cell>
          <cell r="E130">
            <v>25.76</v>
          </cell>
          <cell r="F130" t="str">
            <v/>
          </cell>
          <cell r="G130" t="str">
            <v/>
          </cell>
          <cell r="H130" t="str">
            <v/>
          </cell>
          <cell r="I130" t="str">
            <v/>
          </cell>
          <cell r="J130" t="str">
            <v/>
          </cell>
          <cell r="K130" t="str">
            <v/>
          </cell>
          <cell r="L130" t="str">
            <v/>
          </cell>
          <cell r="M130" t="str">
            <v/>
          </cell>
          <cell r="N130" t="str">
            <v/>
          </cell>
          <cell r="O130">
            <v>1.4771000000000001</v>
          </cell>
        </row>
        <row r="131">
          <cell r="A131" t="str">
            <v>A11105</v>
          </cell>
          <cell r="B131" t="str">
            <v>141/05/20</v>
          </cell>
          <cell r="C131">
            <v>2</v>
          </cell>
          <cell r="D131">
            <v>22.13</v>
          </cell>
          <cell r="E131">
            <v>28.77</v>
          </cell>
          <cell r="F131" t="str">
            <v/>
          </cell>
          <cell r="G131" t="str">
            <v/>
          </cell>
          <cell r="H131" t="str">
            <v/>
          </cell>
          <cell r="I131" t="str">
            <v/>
          </cell>
          <cell r="J131" t="str">
            <v/>
          </cell>
          <cell r="K131" t="str">
            <v/>
          </cell>
          <cell r="L131" t="str">
            <v/>
          </cell>
          <cell r="M131" t="str">
            <v/>
          </cell>
          <cell r="N131" t="str">
            <v/>
          </cell>
          <cell r="O131">
            <v>1.5037</v>
          </cell>
        </row>
        <row r="132">
          <cell r="A132" t="str">
            <v>A08110</v>
          </cell>
          <cell r="B132" t="str">
            <v>138/11/08</v>
          </cell>
          <cell r="C132">
            <v>1</v>
          </cell>
          <cell r="D132">
            <v>22.46</v>
          </cell>
          <cell r="E132">
            <v>26.24</v>
          </cell>
          <cell r="F132" t="str">
            <v/>
          </cell>
          <cell r="G132" t="str">
            <v/>
          </cell>
          <cell r="H132" t="str">
            <v/>
          </cell>
          <cell r="I132" t="str">
            <v/>
          </cell>
          <cell r="J132" t="str">
            <v/>
          </cell>
          <cell r="K132" t="str">
            <v/>
          </cell>
          <cell r="L132" t="str">
            <v/>
          </cell>
          <cell r="M132" t="str">
            <v/>
          </cell>
          <cell r="N132" t="str">
            <v/>
          </cell>
          <cell r="O132">
            <v>1.4874000000000001</v>
          </cell>
        </row>
        <row r="133">
          <cell r="A133" t="str">
            <v>A09105</v>
          </cell>
          <cell r="B133" t="str">
            <v>139/05/12</v>
          </cell>
          <cell r="C133">
            <v>0.75</v>
          </cell>
          <cell r="D133">
            <v>23.63</v>
          </cell>
          <cell r="E133">
            <v>26.75</v>
          </cell>
          <cell r="F133" t="str">
            <v/>
          </cell>
          <cell r="G133" t="str">
            <v/>
          </cell>
          <cell r="H133" t="str">
            <v/>
          </cell>
          <cell r="I133" t="str">
            <v/>
          </cell>
          <cell r="J133" t="str">
            <v/>
          </cell>
          <cell r="K133" t="str">
            <v/>
          </cell>
          <cell r="L133" t="str">
            <v/>
          </cell>
          <cell r="M133" t="str">
            <v/>
          </cell>
          <cell r="N133" t="str">
            <v/>
          </cell>
          <cell r="O133">
            <v>1.5011000000000001</v>
          </cell>
        </row>
        <row r="134">
          <cell r="A134" t="str">
            <v>A10113</v>
          </cell>
          <cell r="B134" t="str">
            <v>140/12/23</v>
          </cell>
          <cell r="C134">
            <v>1.125</v>
          </cell>
          <cell r="D134">
            <v>23.65</v>
          </cell>
          <cell r="E134">
            <v>28.36</v>
          </cell>
          <cell r="F134" t="str">
            <v/>
          </cell>
          <cell r="G134" t="str">
            <v/>
          </cell>
          <cell r="H134" t="str">
            <v/>
          </cell>
          <cell r="I134" t="str">
            <v/>
          </cell>
          <cell r="J134" t="str">
            <v/>
          </cell>
          <cell r="K134" t="str">
            <v/>
          </cell>
          <cell r="L134" t="str">
            <v/>
          </cell>
          <cell r="M134" t="str">
            <v/>
          </cell>
          <cell r="N134" t="str">
            <v/>
          </cell>
          <cell r="O134">
            <v>1.5163</v>
          </cell>
        </row>
        <row r="135">
          <cell r="A135" t="str">
            <v>A12105</v>
          </cell>
          <cell r="B135" t="str">
            <v>142/05/12</v>
          </cell>
          <cell r="C135">
            <v>1.5</v>
          </cell>
          <cell r="D135">
            <v>23.73</v>
          </cell>
          <cell r="E135">
            <v>29.75</v>
          </cell>
          <cell r="F135" t="str">
            <v/>
          </cell>
          <cell r="G135" t="str">
            <v/>
          </cell>
          <cell r="H135" t="str">
            <v/>
          </cell>
          <cell r="I135" t="str">
            <v/>
          </cell>
          <cell r="J135" t="str">
            <v/>
          </cell>
          <cell r="K135" t="str">
            <v/>
          </cell>
          <cell r="L135" t="str">
            <v/>
          </cell>
          <cell r="M135" t="str">
            <v/>
          </cell>
          <cell r="N135" t="str">
            <v/>
          </cell>
          <cell r="O135">
            <v>1.5258</v>
          </cell>
        </row>
        <row r="136">
          <cell r="A136" t="str">
            <v>A10104</v>
          </cell>
          <cell r="B136" t="str">
            <v>140/02/25</v>
          </cell>
          <cell r="C136">
            <v>0.625</v>
          </cell>
          <cell r="D136">
            <v>24.59</v>
          </cell>
          <cell r="E136">
            <v>27.54</v>
          </cell>
          <cell r="F136" t="str">
            <v/>
          </cell>
          <cell r="G136" t="str">
            <v/>
          </cell>
          <cell r="H136" t="str">
            <v/>
          </cell>
          <cell r="I136" t="str">
            <v/>
          </cell>
          <cell r="J136" t="str">
            <v/>
          </cell>
          <cell r="K136" t="str">
            <v/>
          </cell>
          <cell r="L136" t="str">
            <v/>
          </cell>
          <cell r="M136" t="str">
            <v/>
          </cell>
          <cell r="N136" t="str">
            <v/>
          </cell>
          <cell r="O136">
            <v>1.5165</v>
          </cell>
        </row>
        <row r="137">
          <cell r="A137" t="str">
            <v>A09111</v>
          </cell>
          <cell r="B137" t="str">
            <v>139/11/27</v>
          </cell>
          <cell r="C137">
            <v>0.375</v>
          </cell>
          <cell r="D137">
            <v>25.24</v>
          </cell>
          <cell r="E137">
            <v>27.29</v>
          </cell>
          <cell r="F137" t="str">
            <v/>
          </cell>
          <cell r="G137" t="str">
            <v/>
          </cell>
          <cell r="H137" t="str">
            <v/>
          </cell>
          <cell r="I137" t="str">
            <v/>
          </cell>
          <cell r="J137" t="str">
            <v/>
          </cell>
          <cell r="K137" t="str">
            <v/>
          </cell>
          <cell r="L137" t="str">
            <v/>
          </cell>
          <cell r="M137" t="str">
            <v/>
          </cell>
          <cell r="N137" t="str">
            <v/>
          </cell>
          <cell r="O137">
            <v>1.5192000000000001</v>
          </cell>
        </row>
        <row r="138">
          <cell r="A138" t="str">
            <v>G107BD</v>
          </cell>
          <cell r="B138" t="str">
            <v>03北富銀2</v>
          </cell>
          <cell r="C138" t="str">
            <v>TWD</v>
          </cell>
          <cell r="D138">
            <v>1.0900000000000001</v>
          </cell>
          <cell r="E138">
            <v>1.1200000000000001</v>
          </cell>
          <cell r="F138" t="str">
            <v/>
          </cell>
          <cell r="G138" t="str">
            <v/>
          </cell>
          <cell r="H138" t="str">
            <v/>
          </cell>
          <cell r="I138" t="str">
            <v/>
          </cell>
          <cell r="J138">
            <v>1.575</v>
          </cell>
          <cell r="K138">
            <v>1.57</v>
          </cell>
          <cell r="L138">
            <v>1.5732999999999999</v>
          </cell>
          <cell r="M138">
            <v>3</v>
          </cell>
          <cell r="N138">
            <v>6</v>
          </cell>
          <cell r="O138" t="e">
            <v>#N/A</v>
          </cell>
        </row>
        <row r="139">
          <cell r="A139" t="str">
            <v>G12810</v>
          </cell>
          <cell r="B139" t="str">
            <v>P09凱基銀2</v>
          </cell>
          <cell r="C139" t="str">
            <v>TWD</v>
          </cell>
          <cell r="D139">
            <v>6.29</v>
          </cell>
          <cell r="E139">
            <v>6.56</v>
          </cell>
          <cell r="F139">
            <v>1.6950000000000001</v>
          </cell>
          <cell r="G139">
            <v>1.6950000000000001</v>
          </cell>
          <cell r="H139">
            <v>1.6950000000000001</v>
          </cell>
          <cell r="I139">
            <v>2</v>
          </cell>
          <cell r="J139">
            <v>1.7</v>
          </cell>
          <cell r="K139">
            <v>1.7</v>
          </cell>
          <cell r="L139">
            <v>1.7</v>
          </cell>
          <cell r="M139">
            <v>1</v>
          </cell>
          <cell r="N139">
            <v>2</v>
          </cell>
          <cell r="O139" t="e">
            <v>#N/A</v>
          </cell>
        </row>
        <row r="140">
          <cell r="A140" t="str">
            <v>B618DK</v>
          </cell>
          <cell r="B140" t="str">
            <v>P12台積3A</v>
          </cell>
          <cell r="C140" t="str">
            <v>TWD</v>
          </cell>
          <cell r="D140">
            <v>4.58</v>
          </cell>
          <cell r="E140">
            <v>4.8</v>
          </cell>
          <cell r="F140" t="str">
            <v/>
          </cell>
          <cell r="G140" t="str">
            <v/>
          </cell>
          <cell r="H140" t="str">
            <v/>
          </cell>
          <cell r="I140" t="str">
            <v/>
          </cell>
          <cell r="J140">
            <v>1.597</v>
          </cell>
          <cell r="K140">
            <v>1.593</v>
          </cell>
          <cell r="L140">
            <v>1.5955999999999999</v>
          </cell>
          <cell r="M140">
            <v>3</v>
          </cell>
          <cell r="N140">
            <v>6</v>
          </cell>
          <cell r="O140" t="e">
            <v>#N/A</v>
          </cell>
        </row>
        <row r="141">
          <cell r="A141" t="str">
            <v>B801AQ</v>
          </cell>
          <cell r="B141" t="str">
            <v>P12中鋼1A</v>
          </cell>
          <cell r="C141" t="str">
            <v>TWD</v>
          </cell>
          <cell r="D141">
            <v>2.81</v>
          </cell>
          <cell r="E141">
            <v>2.89</v>
          </cell>
          <cell r="F141" t="str">
            <v/>
          </cell>
          <cell r="G141" t="str">
            <v/>
          </cell>
          <cell r="H141" t="str">
            <v/>
          </cell>
          <cell r="I141" t="str">
            <v/>
          </cell>
          <cell r="J141">
            <v>1.48</v>
          </cell>
          <cell r="K141">
            <v>1.48</v>
          </cell>
          <cell r="L141">
            <v>1.48</v>
          </cell>
          <cell r="M141">
            <v>1</v>
          </cell>
          <cell r="N141">
            <v>1</v>
          </cell>
          <cell r="O141" t="e">
            <v>#N/A</v>
          </cell>
        </row>
        <row r="142">
          <cell r="A142" t="str">
            <v>B99603</v>
          </cell>
          <cell r="B142" t="str">
            <v>P12國壽1A</v>
          </cell>
          <cell r="C142" t="str">
            <v>TWD</v>
          </cell>
          <cell r="D142">
            <v>8.2200000000000006</v>
          </cell>
          <cell r="E142">
            <v>9.9700000000000006</v>
          </cell>
          <cell r="F142" t="str">
            <v/>
          </cell>
          <cell r="G142" t="str">
            <v/>
          </cell>
          <cell r="H142" t="str">
            <v/>
          </cell>
          <cell r="I142" t="str">
            <v/>
          </cell>
          <cell r="J142">
            <v>3.5790000000000002</v>
          </cell>
          <cell r="K142">
            <v>3.5790000000000002</v>
          </cell>
          <cell r="L142">
            <v>3.5790000000000002</v>
          </cell>
          <cell r="M142">
            <v>1</v>
          </cell>
          <cell r="N142">
            <v>1.4999999999999999E-2</v>
          </cell>
          <cell r="O142" t="e">
            <v>#N/A</v>
          </cell>
        </row>
      </sheetData>
    </sheetDataSet>
  </externalBook>
</externalLink>
</file>

<file path=xl/externalLinks/externalLink1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0818"/>
    </sheetNames>
    <sheetDataSet>
      <sheetData sheetId="0">
        <row r="4">
          <cell r="A4" t="str">
            <v>A10109</v>
          </cell>
          <cell r="B4" t="str">
            <v>112/08/26</v>
          </cell>
          <cell r="C4">
            <v>0.25</v>
          </cell>
          <cell r="D4">
            <v>0.01</v>
          </cell>
          <cell r="E4">
            <v>0.02</v>
          </cell>
          <cell r="F4">
            <v>0.72</v>
          </cell>
          <cell r="G4">
            <v>0.68</v>
          </cell>
          <cell r="H4">
            <v>0.7</v>
          </cell>
          <cell r="I4">
            <v>3</v>
          </cell>
          <cell r="J4" t="str">
            <v/>
          </cell>
          <cell r="K4" t="str">
            <v/>
          </cell>
          <cell r="L4" t="str">
            <v/>
          </cell>
          <cell r="M4" t="str">
            <v/>
          </cell>
          <cell r="N4" t="str">
            <v/>
          </cell>
          <cell r="O4">
            <v>1.0725</v>
          </cell>
        </row>
        <row r="5">
          <cell r="A5" t="str">
            <v>A02110</v>
          </cell>
          <cell r="B5" t="str">
            <v>112/09/18</v>
          </cell>
          <cell r="C5">
            <v>1.75</v>
          </cell>
          <cell r="D5">
            <v>7.0000000000000007E-2</v>
          </cell>
          <cell r="E5">
            <v>0.08</v>
          </cell>
          <cell r="F5" t="str">
            <v/>
          </cell>
          <cell r="G5" t="str">
            <v/>
          </cell>
          <cell r="H5" t="str">
            <v/>
          </cell>
          <cell r="I5" t="str">
            <v/>
          </cell>
          <cell r="J5" t="str">
            <v/>
          </cell>
          <cell r="K5" t="str">
            <v/>
          </cell>
          <cell r="L5" t="str">
            <v/>
          </cell>
          <cell r="M5" t="str">
            <v/>
          </cell>
          <cell r="N5" t="str">
            <v/>
          </cell>
          <cell r="O5">
            <v>0.94579999999999997</v>
          </cell>
        </row>
        <row r="6">
          <cell r="A6" t="str">
            <v>A07111</v>
          </cell>
          <cell r="B6" t="str">
            <v>112/11/23</v>
          </cell>
          <cell r="C6">
            <v>0.75</v>
          </cell>
          <cell r="D6">
            <v>0.25</v>
          </cell>
          <cell r="E6">
            <v>0.26</v>
          </cell>
          <cell r="F6" t="str">
            <v/>
          </cell>
          <cell r="G6" t="str">
            <v/>
          </cell>
          <cell r="H6" t="str">
            <v/>
          </cell>
          <cell r="I6" t="str">
            <v/>
          </cell>
          <cell r="J6" t="str">
            <v/>
          </cell>
          <cell r="K6" t="str">
            <v/>
          </cell>
          <cell r="L6" t="str">
            <v/>
          </cell>
          <cell r="M6" t="str">
            <v/>
          </cell>
          <cell r="N6" t="str">
            <v/>
          </cell>
          <cell r="O6">
            <v>0.9355</v>
          </cell>
        </row>
        <row r="7">
          <cell r="A7" t="str">
            <v>A08101</v>
          </cell>
          <cell r="B7" t="str">
            <v>113/01/14</v>
          </cell>
          <cell r="C7">
            <v>0.625</v>
          </cell>
          <cell r="D7">
            <v>0.39</v>
          </cell>
          <cell r="E7">
            <v>0.4</v>
          </cell>
          <cell r="F7" t="str">
            <v/>
          </cell>
          <cell r="G7" t="str">
            <v/>
          </cell>
          <cell r="H7" t="str">
            <v/>
          </cell>
          <cell r="I7" t="str">
            <v/>
          </cell>
          <cell r="J7" t="str">
            <v/>
          </cell>
          <cell r="K7" t="str">
            <v/>
          </cell>
          <cell r="L7" t="str">
            <v/>
          </cell>
          <cell r="M7" t="str">
            <v/>
          </cell>
          <cell r="N7" t="str">
            <v/>
          </cell>
          <cell r="O7">
            <v>0.93799999999999994</v>
          </cell>
        </row>
        <row r="8">
          <cell r="A8" t="str">
            <v>A93103</v>
          </cell>
          <cell r="B8" t="str">
            <v>113/02/10</v>
          </cell>
          <cell r="C8">
            <v>3</v>
          </cell>
          <cell r="D8">
            <v>0.47</v>
          </cell>
          <cell r="E8">
            <v>0.48</v>
          </cell>
          <cell r="F8">
            <v>0.94</v>
          </cell>
          <cell r="G8">
            <v>0.93</v>
          </cell>
          <cell r="H8">
            <v>0.93500000000000005</v>
          </cell>
          <cell r="I8">
            <v>7</v>
          </cell>
          <cell r="J8" t="str">
            <v/>
          </cell>
          <cell r="K8" t="str">
            <v/>
          </cell>
          <cell r="L8" t="str">
            <v/>
          </cell>
          <cell r="M8" t="str">
            <v/>
          </cell>
          <cell r="N8" t="str">
            <v/>
          </cell>
          <cell r="O8">
            <v>0.93979999999999997</v>
          </cell>
        </row>
        <row r="9">
          <cell r="A9" t="str">
            <v>A03106</v>
          </cell>
          <cell r="B9" t="str">
            <v>113/03/03</v>
          </cell>
          <cell r="C9">
            <v>1.5</v>
          </cell>
          <cell r="D9">
            <v>0.53</v>
          </cell>
          <cell r="E9">
            <v>0.54</v>
          </cell>
          <cell r="F9" t="str">
            <v/>
          </cell>
          <cell r="G9" t="str">
            <v/>
          </cell>
          <cell r="H9" t="str">
            <v/>
          </cell>
          <cell r="I9" t="str">
            <v/>
          </cell>
          <cell r="J9" t="str">
            <v/>
          </cell>
          <cell r="K9" t="str">
            <v/>
          </cell>
          <cell r="L9" t="str">
            <v/>
          </cell>
          <cell r="M9" t="str">
            <v/>
          </cell>
          <cell r="N9" t="str">
            <v/>
          </cell>
          <cell r="O9">
            <v>0.94130000000000003</v>
          </cell>
        </row>
        <row r="10">
          <cell r="A10" t="str">
            <v>A11202</v>
          </cell>
          <cell r="B10" t="str">
            <v>113/03/31</v>
          </cell>
          <cell r="C10">
            <v>0.75</v>
          </cell>
          <cell r="D10">
            <v>0.6</v>
          </cell>
          <cell r="E10">
            <v>0.61</v>
          </cell>
          <cell r="F10" t="str">
            <v/>
          </cell>
          <cell r="G10" t="str">
            <v/>
          </cell>
          <cell r="H10" t="str">
            <v/>
          </cell>
          <cell r="I10" t="str">
            <v/>
          </cell>
          <cell r="J10" t="str">
            <v/>
          </cell>
          <cell r="K10" t="str">
            <v/>
          </cell>
          <cell r="L10" t="str">
            <v/>
          </cell>
          <cell r="M10" t="str">
            <v/>
          </cell>
          <cell r="N10" t="str">
            <v/>
          </cell>
          <cell r="O10">
            <v>0.94340000000000002</v>
          </cell>
        </row>
        <row r="11">
          <cell r="A11" t="str">
            <v>A08107</v>
          </cell>
          <cell r="B11" t="str">
            <v>113/07/17</v>
          </cell>
          <cell r="C11">
            <v>0.5</v>
          </cell>
          <cell r="D11">
            <v>0.89</v>
          </cell>
          <cell r="E11">
            <v>0.91</v>
          </cell>
          <cell r="F11" t="str">
            <v/>
          </cell>
          <cell r="G11" t="str">
            <v/>
          </cell>
          <cell r="H11" t="str">
            <v/>
          </cell>
          <cell r="I11" t="str">
            <v/>
          </cell>
          <cell r="J11" t="str">
            <v/>
          </cell>
          <cell r="K11" t="str">
            <v/>
          </cell>
          <cell r="L11" t="str">
            <v/>
          </cell>
          <cell r="M11" t="str">
            <v/>
          </cell>
          <cell r="N11" t="str">
            <v/>
          </cell>
          <cell r="O11">
            <v>0.95099999999999996</v>
          </cell>
        </row>
        <row r="12">
          <cell r="A12" t="str">
            <v>A03113</v>
          </cell>
          <cell r="B12" t="str">
            <v>113/09/26</v>
          </cell>
          <cell r="C12">
            <v>1.625</v>
          </cell>
          <cell r="D12">
            <v>1.07</v>
          </cell>
          <cell r="E12">
            <v>1.1000000000000001</v>
          </cell>
          <cell r="F12" t="str">
            <v/>
          </cell>
          <cell r="G12" t="str">
            <v/>
          </cell>
          <cell r="H12" t="str">
            <v/>
          </cell>
          <cell r="I12" t="str">
            <v/>
          </cell>
          <cell r="J12" t="str">
            <v/>
          </cell>
          <cell r="K12" t="str">
            <v/>
          </cell>
          <cell r="L12" t="str">
            <v/>
          </cell>
          <cell r="M12" t="str">
            <v/>
          </cell>
          <cell r="N12" t="str">
            <v/>
          </cell>
          <cell r="O12">
            <v>0.9556</v>
          </cell>
        </row>
        <row r="13">
          <cell r="A13" t="str">
            <v>A93109</v>
          </cell>
          <cell r="B13" t="str">
            <v>113/11/18</v>
          </cell>
          <cell r="C13">
            <v>3</v>
          </cell>
          <cell r="D13">
            <v>1.2</v>
          </cell>
          <cell r="E13">
            <v>1.25</v>
          </cell>
          <cell r="F13" t="str">
            <v/>
          </cell>
          <cell r="G13" t="str">
            <v/>
          </cell>
          <cell r="H13" t="str">
            <v/>
          </cell>
          <cell r="I13" t="str">
            <v/>
          </cell>
          <cell r="J13" t="str">
            <v/>
          </cell>
          <cell r="K13" t="str">
            <v/>
          </cell>
          <cell r="L13" t="str">
            <v/>
          </cell>
          <cell r="M13" t="str">
            <v/>
          </cell>
          <cell r="N13" t="str">
            <v/>
          </cell>
          <cell r="O13">
            <v>0.95889999999999997</v>
          </cell>
        </row>
        <row r="14">
          <cell r="A14" t="str">
            <v>A09101</v>
          </cell>
          <cell r="B14" t="str">
            <v>114/01/10</v>
          </cell>
          <cell r="C14">
            <v>0.5</v>
          </cell>
          <cell r="D14">
            <v>1.37</v>
          </cell>
          <cell r="E14">
            <v>1.39</v>
          </cell>
          <cell r="F14" t="str">
            <v/>
          </cell>
          <cell r="G14" t="str">
            <v/>
          </cell>
          <cell r="H14" t="str">
            <v/>
          </cell>
          <cell r="I14" t="str">
            <v/>
          </cell>
          <cell r="J14" t="str">
            <v/>
          </cell>
          <cell r="K14" t="str">
            <v/>
          </cell>
          <cell r="L14" t="str">
            <v/>
          </cell>
          <cell r="M14" t="str">
            <v/>
          </cell>
          <cell r="N14" t="str">
            <v/>
          </cell>
          <cell r="O14">
            <v>0.96260000000000001</v>
          </cell>
        </row>
        <row r="15">
          <cell r="A15" t="str">
            <v>A94103</v>
          </cell>
          <cell r="B15" t="str">
            <v>114/02/25</v>
          </cell>
          <cell r="C15">
            <v>2.375</v>
          </cell>
          <cell r="D15">
            <v>1.48</v>
          </cell>
          <cell r="E15">
            <v>1.52</v>
          </cell>
          <cell r="F15" t="str">
            <v/>
          </cell>
          <cell r="G15" t="str">
            <v/>
          </cell>
          <cell r="H15" t="str">
            <v/>
          </cell>
          <cell r="I15" t="str">
            <v/>
          </cell>
          <cell r="J15" t="str">
            <v/>
          </cell>
          <cell r="K15" t="str">
            <v/>
          </cell>
          <cell r="L15" t="str">
            <v/>
          </cell>
          <cell r="M15" t="str">
            <v/>
          </cell>
          <cell r="N15" t="str">
            <v/>
          </cell>
          <cell r="O15">
            <v>0.96579999999999999</v>
          </cell>
        </row>
        <row r="16">
          <cell r="A16" t="str">
            <v>A12103</v>
          </cell>
          <cell r="B16" t="str">
            <v>114/02/23</v>
          </cell>
          <cell r="C16">
            <v>1</v>
          </cell>
          <cell r="D16">
            <v>1.48</v>
          </cell>
          <cell r="E16">
            <v>1.51</v>
          </cell>
          <cell r="F16" t="str">
            <v/>
          </cell>
          <cell r="G16" t="str">
            <v/>
          </cell>
          <cell r="H16" t="str">
            <v/>
          </cell>
          <cell r="I16" t="str">
            <v/>
          </cell>
          <cell r="J16" t="str">
            <v/>
          </cell>
          <cell r="K16" t="str">
            <v/>
          </cell>
          <cell r="L16" t="str">
            <v/>
          </cell>
          <cell r="M16" t="str">
            <v/>
          </cell>
          <cell r="N16" t="str">
            <v/>
          </cell>
          <cell r="O16">
            <v>0.9657</v>
          </cell>
        </row>
        <row r="17">
          <cell r="A17" t="str">
            <v>A04105</v>
          </cell>
          <cell r="B17" t="str">
            <v>114/03/13</v>
          </cell>
          <cell r="C17">
            <v>1.625</v>
          </cell>
          <cell r="D17">
            <v>1.53</v>
          </cell>
          <cell r="E17">
            <v>1.56</v>
          </cell>
          <cell r="F17" t="str">
            <v/>
          </cell>
          <cell r="G17" t="str">
            <v/>
          </cell>
          <cell r="H17" t="str">
            <v/>
          </cell>
          <cell r="I17" t="str">
            <v/>
          </cell>
          <cell r="J17" t="str">
            <v/>
          </cell>
          <cell r="K17" t="str">
            <v/>
          </cell>
          <cell r="L17" t="str">
            <v/>
          </cell>
          <cell r="M17" t="str">
            <v/>
          </cell>
          <cell r="N17" t="str">
            <v/>
          </cell>
          <cell r="O17">
            <v>0.96709999999999996</v>
          </cell>
        </row>
        <row r="18">
          <cell r="A18" t="str">
            <v>A09107</v>
          </cell>
          <cell r="B18" t="str">
            <v>114/07/17</v>
          </cell>
          <cell r="C18">
            <v>0.25</v>
          </cell>
          <cell r="D18">
            <v>1.88</v>
          </cell>
          <cell r="E18">
            <v>1.91</v>
          </cell>
          <cell r="F18" t="str">
            <v/>
          </cell>
          <cell r="G18" t="str">
            <v/>
          </cell>
          <cell r="H18" t="str">
            <v/>
          </cell>
          <cell r="I18" t="str">
            <v/>
          </cell>
          <cell r="J18" t="str">
            <v/>
          </cell>
          <cell r="K18" t="str">
            <v/>
          </cell>
          <cell r="L18" t="str">
            <v/>
          </cell>
          <cell r="M18" t="str">
            <v/>
          </cell>
          <cell r="N18" t="str">
            <v/>
          </cell>
          <cell r="O18">
            <v>0.97860000000000003</v>
          </cell>
        </row>
        <row r="19">
          <cell r="A19" t="str">
            <v>A04112</v>
          </cell>
          <cell r="B19" t="str">
            <v>114/09/11</v>
          </cell>
          <cell r="C19">
            <v>1.125</v>
          </cell>
          <cell r="D19">
            <v>2</v>
          </cell>
          <cell r="E19">
            <v>2.06</v>
          </cell>
          <cell r="F19" t="str">
            <v/>
          </cell>
          <cell r="G19" t="str">
            <v/>
          </cell>
          <cell r="H19" t="str">
            <v/>
          </cell>
          <cell r="I19" t="str">
            <v/>
          </cell>
          <cell r="J19" t="str">
            <v/>
          </cell>
          <cell r="K19" t="str">
            <v/>
          </cell>
          <cell r="L19" t="str">
            <v/>
          </cell>
          <cell r="M19" t="str">
            <v/>
          </cell>
          <cell r="N19" t="str">
            <v/>
          </cell>
          <cell r="O19">
            <v>0.98440000000000005</v>
          </cell>
        </row>
        <row r="20">
          <cell r="A20" t="str">
            <v>A09112</v>
          </cell>
          <cell r="B20" t="str">
            <v>114/12/08</v>
          </cell>
          <cell r="C20">
            <v>0.125</v>
          </cell>
          <cell r="D20">
            <v>2.27</v>
          </cell>
          <cell r="E20">
            <v>2.2999999999999998</v>
          </cell>
          <cell r="F20" t="str">
            <v/>
          </cell>
          <cell r="G20" t="str">
            <v/>
          </cell>
          <cell r="H20" t="str">
            <v/>
          </cell>
          <cell r="I20" t="str">
            <v/>
          </cell>
          <cell r="J20" t="str">
            <v/>
          </cell>
          <cell r="K20" t="str">
            <v/>
          </cell>
          <cell r="L20" t="str">
            <v/>
          </cell>
          <cell r="M20" t="str">
            <v/>
          </cell>
          <cell r="N20" t="str">
            <v/>
          </cell>
          <cell r="O20">
            <v>0.99539999999999995</v>
          </cell>
        </row>
        <row r="21">
          <cell r="A21" t="str">
            <v>A10101</v>
          </cell>
          <cell r="B21" t="str">
            <v>115/01/13</v>
          </cell>
          <cell r="C21">
            <v>0.25</v>
          </cell>
          <cell r="D21">
            <v>2.36</v>
          </cell>
          <cell r="E21">
            <v>2.4</v>
          </cell>
          <cell r="F21" t="str">
            <v/>
          </cell>
          <cell r="G21" t="str">
            <v/>
          </cell>
          <cell r="H21" t="str">
            <v/>
          </cell>
          <cell r="I21" t="str">
            <v/>
          </cell>
          <cell r="J21" t="str">
            <v/>
          </cell>
          <cell r="K21" t="str">
            <v/>
          </cell>
          <cell r="L21" t="str">
            <v/>
          </cell>
          <cell r="M21" t="str">
            <v/>
          </cell>
          <cell r="N21" t="str">
            <v/>
          </cell>
          <cell r="O21">
            <v>1.0002</v>
          </cell>
        </row>
        <row r="22">
          <cell r="A22" t="str">
            <v>A95102</v>
          </cell>
          <cell r="B22" t="str">
            <v>115/02/24</v>
          </cell>
          <cell r="C22">
            <v>1.875</v>
          </cell>
          <cell r="D22">
            <v>2.4300000000000002</v>
          </cell>
          <cell r="E22">
            <v>2.52</v>
          </cell>
          <cell r="F22" t="str">
            <v/>
          </cell>
          <cell r="G22" t="str">
            <v/>
          </cell>
          <cell r="H22" t="str">
            <v/>
          </cell>
          <cell r="I22" t="str">
            <v/>
          </cell>
          <cell r="J22" t="str">
            <v/>
          </cell>
          <cell r="K22" t="str">
            <v/>
          </cell>
          <cell r="L22" t="str">
            <v/>
          </cell>
          <cell r="M22" t="str">
            <v/>
          </cell>
          <cell r="N22" t="str">
            <v/>
          </cell>
          <cell r="O22">
            <v>1.0057</v>
          </cell>
        </row>
        <row r="23">
          <cell r="A23" t="str">
            <v>A05104</v>
          </cell>
          <cell r="B23" t="str">
            <v>115/03/04</v>
          </cell>
          <cell r="C23">
            <v>0.75</v>
          </cell>
          <cell r="D23">
            <v>2.4900000000000002</v>
          </cell>
          <cell r="E23">
            <v>2.54</v>
          </cell>
          <cell r="F23" t="str">
            <v/>
          </cell>
          <cell r="G23" t="str">
            <v/>
          </cell>
          <cell r="H23" t="str">
            <v/>
          </cell>
          <cell r="I23" t="str">
            <v/>
          </cell>
          <cell r="J23" t="str">
            <v/>
          </cell>
          <cell r="K23" t="str">
            <v/>
          </cell>
          <cell r="L23" t="str">
            <v/>
          </cell>
          <cell r="M23" t="str">
            <v/>
          </cell>
          <cell r="N23" t="str">
            <v/>
          </cell>
          <cell r="O23">
            <v>1.0073000000000001</v>
          </cell>
        </row>
        <row r="24">
          <cell r="A24" t="str">
            <v>A10108</v>
          </cell>
          <cell r="B24" t="str">
            <v>115/07/29</v>
          </cell>
          <cell r="C24">
            <v>0.25</v>
          </cell>
          <cell r="D24">
            <v>2.9</v>
          </cell>
          <cell r="E24">
            <v>2.94</v>
          </cell>
          <cell r="F24" t="str">
            <v/>
          </cell>
          <cell r="G24" t="str">
            <v/>
          </cell>
          <cell r="H24" t="str">
            <v/>
          </cell>
          <cell r="I24" t="str">
            <v/>
          </cell>
          <cell r="J24" t="str">
            <v/>
          </cell>
          <cell r="K24" t="str">
            <v/>
          </cell>
          <cell r="L24" t="str">
            <v/>
          </cell>
          <cell r="M24" t="str">
            <v/>
          </cell>
          <cell r="N24" t="str">
            <v/>
          </cell>
          <cell r="O24">
            <v>1.0301</v>
          </cell>
        </row>
        <row r="25">
          <cell r="A25" t="str">
            <v>A05111</v>
          </cell>
          <cell r="B25" t="str">
            <v>115/09/07</v>
          </cell>
          <cell r="C25">
            <v>0.625</v>
          </cell>
          <cell r="D25">
            <v>2.98</v>
          </cell>
          <cell r="E25">
            <v>3.05</v>
          </cell>
          <cell r="F25" t="str">
            <v/>
          </cell>
          <cell r="G25" t="str">
            <v/>
          </cell>
          <cell r="H25" t="str">
            <v/>
          </cell>
          <cell r="I25" t="str">
            <v/>
          </cell>
          <cell r="J25" t="str">
            <v/>
          </cell>
          <cell r="K25" t="str">
            <v/>
          </cell>
          <cell r="L25" t="str">
            <v/>
          </cell>
          <cell r="M25" t="str">
            <v/>
          </cell>
          <cell r="N25" t="str">
            <v/>
          </cell>
          <cell r="O25">
            <v>1.0359</v>
          </cell>
        </row>
        <row r="26">
          <cell r="A26" t="str">
            <v>A95107</v>
          </cell>
          <cell r="B26" t="str">
            <v>115/11/10</v>
          </cell>
          <cell r="C26">
            <v>2.125</v>
          </cell>
          <cell r="D26">
            <v>3.07</v>
          </cell>
          <cell r="E26">
            <v>3.23</v>
          </cell>
          <cell r="F26" t="str">
            <v/>
          </cell>
          <cell r="G26" t="str">
            <v/>
          </cell>
          <cell r="H26" t="str">
            <v/>
          </cell>
          <cell r="I26" t="str">
            <v/>
          </cell>
          <cell r="J26" t="str">
            <v/>
          </cell>
          <cell r="K26" t="str">
            <v/>
          </cell>
          <cell r="L26" t="str">
            <v/>
          </cell>
          <cell r="M26" t="str">
            <v/>
          </cell>
          <cell r="N26" t="str">
            <v/>
          </cell>
          <cell r="O26">
            <v>1.0441</v>
          </cell>
        </row>
        <row r="27">
          <cell r="A27" t="str">
            <v>A96102</v>
          </cell>
          <cell r="B27" t="str">
            <v>116/02/14</v>
          </cell>
          <cell r="C27">
            <v>2</v>
          </cell>
          <cell r="D27">
            <v>3.33</v>
          </cell>
          <cell r="E27">
            <v>3.49</v>
          </cell>
          <cell r="F27" t="str">
            <v/>
          </cell>
          <cell r="G27" t="str">
            <v/>
          </cell>
          <cell r="H27" t="str">
            <v/>
          </cell>
          <cell r="I27" t="str">
            <v/>
          </cell>
          <cell r="J27" t="str">
            <v/>
          </cell>
          <cell r="K27" t="str">
            <v/>
          </cell>
          <cell r="L27" t="str">
            <v/>
          </cell>
          <cell r="M27" t="str">
            <v/>
          </cell>
          <cell r="N27" t="str">
            <v/>
          </cell>
          <cell r="O27">
            <v>1.0566</v>
          </cell>
        </row>
        <row r="28">
          <cell r="A28" t="str">
            <v>A06104</v>
          </cell>
          <cell r="B28" t="str">
            <v>116/03/01</v>
          </cell>
          <cell r="C28">
            <v>1.125</v>
          </cell>
          <cell r="D28">
            <v>3.42</v>
          </cell>
          <cell r="E28">
            <v>3.53</v>
          </cell>
          <cell r="F28" t="str">
            <v/>
          </cell>
          <cell r="G28" t="str">
            <v/>
          </cell>
          <cell r="H28" t="str">
            <v/>
          </cell>
          <cell r="I28" t="str">
            <v/>
          </cell>
          <cell r="J28" t="str">
            <v/>
          </cell>
          <cell r="K28" t="str">
            <v/>
          </cell>
          <cell r="L28" t="str">
            <v/>
          </cell>
          <cell r="M28" t="str">
            <v/>
          </cell>
          <cell r="N28" t="str">
            <v/>
          </cell>
          <cell r="O28">
            <v>1.0591999999999999</v>
          </cell>
        </row>
        <row r="29">
          <cell r="A29" t="str">
            <v>A11103</v>
          </cell>
          <cell r="B29" t="str">
            <v>116/02/24</v>
          </cell>
          <cell r="C29">
            <v>0.5</v>
          </cell>
          <cell r="D29">
            <v>3.44</v>
          </cell>
          <cell r="E29">
            <v>3.52</v>
          </cell>
          <cell r="F29" t="str">
            <v/>
          </cell>
          <cell r="G29" t="str">
            <v/>
          </cell>
          <cell r="H29" t="str">
            <v/>
          </cell>
          <cell r="I29" t="str">
            <v/>
          </cell>
          <cell r="J29" t="str">
            <v/>
          </cell>
          <cell r="K29" t="str">
            <v/>
          </cell>
          <cell r="L29" t="str">
            <v/>
          </cell>
          <cell r="M29" t="str">
            <v/>
          </cell>
          <cell r="N29" t="str">
            <v/>
          </cell>
          <cell r="O29">
            <v>1.0590999999999999</v>
          </cell>
        </row>
        <row r="30">
          <cell r="A30" t="str">
            <v>A11106</v>
          </cell>
          <cell r="B30" t="str">
            <v>116/06/23</v>
          </cell>
          <cell r="C30">
            <v>1</v>
          </cell>
          <cell r="D30">
            <v>3.74</v>
          </cell>
          <cell r="E30">
            <v>3.84</v>
          </cell>
          <cell r="F30" t="str">
            <v/>
          </cell>
          <cell r="G30" t="str">
            <v/>
          </cell>
          <cell r="H30" t="str">
            <v/>
          </cell>
          <cell r="I30" t="str">
            <v/>
          </cell>
          <cell r="J30" t="str">
            <v/>
          </cell>
          <cell r="K30" t="str">
            <v/>
          </cell>
          <cell r="L30" t="str">
            <v/>
          </cell>
          <cell r="M30" t="str">
            <v/>
          </cell>
          <cell r="N30" t="str">
            <v/>
          </cell>
          <cell r="O30">
            <v>1.0710999999999999</v>
          </cell>
        </row>
        <row r="31">
          <cell r="A31" t="str">
            <v>A11108</v>
          </cell>
          <cell r="B31" t="str">
            <v>116/09/23</v>
          </cell>
          <cell r="C31">
            <v>1.25</v>
          </cell>
          <cell r="D31">
            <v>3.92</v>
          </cell>
          <cell r="E31">
            <v>4.09</v>
          </cell>
          <cell r="F31" t="str">
            <v/>
          </cell>
          <cell r="G31" t="str">
            <v/>
          </cell>
          <cell r="H31" t="str">
            <v/>
          </cell>
          <cell r="I31" t="str">
            <v/>
          </cell>
          <cell r="J31" t="str">
            <v/>
          </cell>
          <cell r="K31" t="str">
            <v/>
          </cell>
          <cell r="L31" t="str">
            <v/>
          </cell>
          <cell r="M31" t="str">
            <v/>
          </cell>
          <cell r="N31" t="str">
            <v/>
          </cell>
          <cell r="O31">
            <v>1.0779000000000001</v>
          </cell>
        </row>
        <row r="32">
          <cell r="A32" t="str">
            <v>A96107</v>
          </cell>
          <cell r="B32" t="str">
            <v>116/11/16</v>
          </cell>
          <cell r="C32">
            <v>3</v>
          </cell>
          <cell r="D32">
            <v>3.92</v>
          </cell>
          <cell r="E32">
            <v>4.24</v>
          </cell>
          <cell r="F32" t="str">
            <v/>
          </cell>
          <cell r="G32" t="str">
            <v/>
          </cell>
          <cell r="H32" t="str">
            <v/>
          </cell>
          <cell r="I32" t="str">
            <v/>
          </cell>
          <cell r="J32" t="str">
            <v/>
          </cell>
          <cell r="K32" t="str">
            <v/>
          </cell>
          <cell r="L32" t="str">
            <v/>
          </cell>
          <cell r="M32" t="str">
            <v/>
          </cell>
          <cell r="N32" t="str">
            <v/>
          </cell>
          <cell r="O32">
            <v>1.0790999999999999</v>
          </cell>
        </row>
        <row r="33">
          <cell r="A33" t="str">
            <v>A06109</v>
          </cell>
          <cell r="B33" t="str">
            <v>116/09/20</v>
          </cell>
          <cell r="C33">
            <v>1</v>
          </cell>
          <cell r="D33">
            <v>3.94</v>
          </cell>
          <cell r="E33">
            <v>4.09</v>
          </cell>
          <cell r="F33" t="str">
            <v/>
          </cell>
          <cell r="G33" t="str">
            <v/>
          </cell>
          <cell r="H33" t="str">
            <v/>
          </cell>
          <cell r="I33" t="str">
            <v/>
          </cell>
          <cell r="J33" t="str">
            <v/>
          </cell>
          <cell r="K33" t="str">
            <v/>
          </cell>
          <cell r="L33" t="str">
            <v/>
          </cell>
          <cell r="M33" t="str">
            <v/>
          </cell>
          <cell r="N33" t="str">
            <v/>
          </cell>
          <cell r="O33">
            <v>1.0779000000000001</v>
          </cell>
        </row>
        <row r="34">
          <cell r="A34" t="str">
            <v>A02101</v>
          </cell>
          <cell r="B34" t="str">
            <v>117/01/09</v>
          </cell>
          <cell r="C34">
            <v>1.375</v>
          </cell>
          <cell r="D34">
            <v>4.21</v>
          </cell>
          <cell r="E34">
            <v>4.3899999999999997</v>
          </cell>
          <cell r="F34" t="str">
            <v/>
          </cell>
          <cell r="G34" t="str">
            <v/>
          </cell>
          <cell r="H34" t="str">
            <v/>
          </cell>
          <cell r="I34" t="str">
            <v/>
          </cell>
          <cell r="J34" t="str">
            <v/>
          </cell>
          <cell r="K34" t="str">
            <v/>
          </cell>
          <cell r="L34" t="str">
            <v/>
          </cell>
          <cell r="M34" t="str">
            <v/>
          </cell>
          <cell r="N34" t="str">
            <v/>
          </cell>
          <cell r="O34">
            <v>1.0834999999999999</v>
          </cell>
        </row>
        <row r="35">
          <cell r="A35" t="str">
            <v>A97102</v>
          </cell>
          <cell r="B35" t="str">
            <v>117/02/14</v>
          </cell>
          <cell r="C35">
            <v>2.5</v>
          </cell>
          <cell r="D35">
            <v>4.21</v>
          </cell>
          <cell r="E35">
            <v>4.49</v>
          </cell>
          <cell r="F35" t="str">
            <v/>
          </cell>
          <cell r="G35" t="str">
            <v/>
          </cell>
          <cell r="H35" t="str">
            <v/>
          </cell>
          <cell r="I35" t="str">
            <v/>
          </cell>
          <cell r="J35" t="str">
            <v/>
          </cell>
          <cell r="K35" t="str">
            <v/>
          </cell>
          <cell r="L35" t="str">
            <v/>
          </cell>
          <cell r="M35" t="str">
            <v/>
          </cell>
          <cell r="N35" t="str">
            <v/>
          </cell>
          <cell r="O35">
            <v>1.0838000000000001</v>
          </cell>
        </row>
        <row r="36">
          <cell r="A36" t="str">
            <v>A12101</v>
          </cell>
          <cell r="B36" t="str">
            <v>117/01/17</v>
          </cell>
          <cell r="C36">
            <v>1</v>
          </cell>
          <cell r="D36">
            <v>4.26</v>
          </cell>
          <cell r="E36">
            <v>4.41</v>
          </cell>
          <cell r="F36">
            <v>1.091</v>
          </cell>
          <cell r="G36">
            <v>1.0900000000000001</v>
          </cell>
          <cell r="H36">
            <v>1.0905</v>
          </cell>
          <cell r="I36">
            <v>3</v>
          </cell>
          <cell r="J36" t="str">
            <v/>
          </cell>
          <cell r="K36" t="str">
            <v/>
          </cell>
          <cell r="L36" t="str">
            <v/>
          </cell>
          <cell r="M36" t="str">
            <v/>
          </cell>
          <cell r="N36" t="str">
            <v/>
          </cell>
          <cell r="O36">
            <v>1.0843</v>
          </cell>
        </row>
        <row r="37">
          <cell r="A37" t="str">
            <v>A07102</v>
          </cell>
          <cell r="B37" t="str">
            <v>117/02/08</v>
          </cell>
          <cell r="C37">
            <v>1</v>
          </cell>
          <cell r="D37">
            <v>4.32</v>
          </cell>
          <cell r="E37">
            <v>4.47</v>
          </cell>
          <cell r="F37" t="str">
            <v/>
          </cell>
          <cell r="G37" t="str">
            <v/>
          </cell>
          <cell r="H37" t="str">
            <v/>
          </cell>
          <cell r="I37" t="str">
            <v/>
          </cell>
          <cell r="J37" t="str">
            <v/>
          </cell>
          <cell r="K37" t="str">
            <v/>
          </cell>
          <cell r="L37" t="str">
            <v/>
          </cell>
          <cell r="M37" t="str">
            <v/>
          </cell>
          <cell r="N37" t="str">
            <v/>
          </cell>
          <cell r="O37">
            <v>1.0852999999999999</v>
          </cell>
        </row>
        <row r="38">
          <cell r="A38" t="str">
            <v>A97105</v>
          </cell>
          <cell r="B38" t="str">
            <v>117/08/14</v>
          </cell>
          <cell r="C38">
            <v>2.625</v>
          </cell>
          <cell r="D38">
            <v>4.6900000000000004</v>
          </cell>
          <cell r="E38">
            <v>4.99</v>
          </cell>
          <cell r="F38" t="str">
            <v/>
          </cell>
          <cell r="G38" t="str">
            <v/>
          </cell>
          <cell r="H38" t="str">
            <v/>
          </cell>
          <cell r="I38" t="str">
            <v/>
          </cell>
          <cell r="J38" t="str">
            <v/>
          </cell>
          <cell r="K38" t="str">
            <v/>
          </cell>
          <cell r="L38" t="str">
            <v/>
          </cell>
          <cell r="M38" t="str">
            <v/>
          </cell>
          <cell r="N38" t="str">
            <v/>
          </cell>
          <cell r="O38">
            <v>1.0906</v>
          </cell>
        </row>
        <row r="39">
          <cell r="A39" t="str">
            <v>A12106</v>
          </cell>
          <cell r="B39" t="str">
            <v>117/05/26</v>
          </cell>
          <cell r="C39">
            <v>1</v>
          </cell>
          <cell r="D39">
            <v>4.6100000000000003</v>
          </cell>
          <cell r="E39">
            <v>4.7699999999999996</v>
          </cell>
          <cell r="F39" t="str">
            <v/>
          </cell>
          <cell r="G39" t="str">
            <v/>
          </cell>
          <cell r="H39" t="str">
            <v/>
          </cell>
          <cell r="I39" t="str">
            <v/>
          </cell>
          <cell r="J39" t="str">
            <v/>
          </cell>
          <cell r="K39" t="str">
            <v/>
          </cell>
          <cell r="L39" t="str">
            <v/>
          </cell>
          <cell r="M39" t="str">
            <v/>
          </cell>
          <cell r="N39" t="str">
            <v/>
          </cell>
          <cell r="O39">
            <v>1.0895999999999999</v>
          </cell>
        </row>
        <row r="40">
          <cell r="A40" t="str">
            <v>A07105</v>
          </cell>
          <cell r="B40" t="str">
            <v>117/06/08</v>
          </cell>
          <cell r="C40">
            <v>0.875</v>
          </cell>
          <cell r="D40">
            <v>4.66</v>
          </cell>
          <cell r="E40">
            <v>4.8</v>
          </cell>
          <cell r="F40" t="str">
            <v/>
          </cell>
          <cell r="G40" t="str">
            <v/>
          </cell>
          <cell r="H40" t="str">
            <v/>
          </cell>
          <cell r="I40" t="str">
            <v/>
          </cell>
          <cell r="J40" t="str">
            <v/>
          </cell>
          <cell r="K40" t="str">
            <v/>
          </cell>
          <cell r="L40" t="str">
            <v/>
          </cell>
          <cell r="M40" t="str">
            <v/>
          </cell>
          <cell r="N40" t="str">
            <v/>
          </cell>
          <cell r="O40">
            <v>1.0901000000000001</v>
          </cell>
        </row>
        <row r="41">
          <cell r="A41" t="str">
            <v>A12108</v>
          </cell>
          <cell r="B41" t="str">
            <v>117/09/15</v>
          </cell>
          <cell r="C41">
            <v>1</v>
          </cell>
          <cell r="D41">
            <v>4.8499999999999996</v>
          </cell>
          <cell r="E41">
            <v>5</v>
          </cell>
          <cell r="F41" t="str">
            <v/>
          </cell>
          <cell r="G41" t="str">
            <v/>
          </cell>
          <cell r="H41" t="str">
            <v/>
          </cell>
          <cell r="I41" t="str">
            <v/>
          </cell>
          <cell r="J41" t="str">
            <v/>
          </cell>
          <cell r="K41" t="str">
            <v/>
          </cell>
          <cell r="L41" t="str">
            <v/>
          </cell>
          <cell r="M41" t="str">
            <v/>
          </cell>
          <cell r="N41" t="str">
            <v/>
          </cell>
          <cell r="O41">
            <v>1.0928</v>
          </cell>
        </row>
        <row r="42">
          <cell r="A42" t="str">
            <v>A10202</v>
          </cell>
          <cell r="B42" t="str">
            <v>117/08/20</v>
          </cell>
          <cell r="C42">
            <v>0.25</v>
          </cell>
          <cell r="D42">
            <v>4.92</v>
          </cell>
          <cell r="E42">
            <v>5</v>
          </cell>
          <cell r="F42" t="str">
            <v/>
          </cell>
          <cell r="G42" t="str">
            <v/>
          </cell>
          <cell r="H42" t="str">
            <v/>
          </cell>
          <cell r="I42" t="str">
            <v/>
          </cell>
          <cell r="J42" t="str">
            <v/>
          </cell>
          <cell r="K42" t="str">
            <v/>
          </cell>
          <cell r="L42" t="str">
            <v/>
          </cell>
          <cell r="M42" t="str">
            <v/>
          </cell>
          <cell r="N42" t="str">
            <v/>
          </cell>
          <cell r="O42">
            <v>1.0935999999999999</v>
          </cell>
        </row>
        <row r="43">
          <cell r="A43" t="str">
            <v>A07109</v>
          </cell>
          <cell r="B43" t="str">
            <v>117/10/17</v>
          </cell>
          <cell r="C43">
            <v>0.875</v>
          </cell>
          <cell r="D43">
            <v>4.97</v>
          </cell>
          <cell r="E43">
            <v>5.16</v>
          </cell>
          <cell r="F43" t="str">
            <v/>
          </cell>
          <cell r="G43" t="str">
            <v/>
          </cell>
          <cell r="H43" t="str">
            <v/>
          </cell>
          <cell r="I43" t="str">
            <v/>
          </cell>
          <cell r="J43" t="str">
            <v/>
          </cell>
          <cell r="K43" t="str">
            <v/>
          </cell>
          <cell r="L43" t="str">
            <v/>
          </cell>
          <cell r="M43" t="str">
            <v/>
          </cell>
          <cell r="N43" t="str">
            <v/>
          </cell>
          <cell r="O43">
            <v>1.0951</v>
          </cell>
        </row>
        <row r="44">
          <cell r="A44" t="str">
            <v>A98102</v>
          </cell>
          <cell r="B44" t="str">
            <v>118/02/16</v>
          </cell>
          <cell r="C44">
            <v>2.125</v>
          </cell>
          <cell r="D44">
            <v>5.14</v>
          </cell>
          <cell r="E44">
            <v>5.5</v>
          </cell>
          <cell r="F44" t="str">
            <v/>
          </cell>
          <cell r="G44" t="str">
            <v/>
          </cell>
          <cell r="H44" t="str">
            <v/>
          </cell>
          <cell r="I44" t="str">
            <v/>
          </cell>
          <cell r="J44" t="str">
            <v/>
          </cell>
          <cell r="K44" t="str">
            <v/>
          </cell>
          <cell r="L44" t="str">
            <v/>
          </cell>
          <cell r="M44" t="str">
            <v/>
          </cell>
          <cell r="N44" t="str">
            <v/>
          </cell>
          <cell r="O44">
            <v>1.0986</v>
          </cell>
        </row>
        <row r="45">
          <cell r="A45" t="str">
            <v>A08103</v>
          </cell>
          <cell r="B45" t="str">
            <v>118/02/13</v>
          </cell>
          <cell r="C45">
            <v>0.75</v>
          </cell>
          <cell r="D45">
            <v>5.31</v>
          </cell>
          <cell r="E45">
            <v>5.49</v>
          </cell>
          <cell r="F45" t="str">
            <v/>
          </cell>
          <cell r="G45" t="str">
            <v/>
          </cell>
          <cell r="H45" t="str">
            <v/>
          </cell>
          <cell r="I45" t="str">
            <v/>
          </cell>
          <cell r="J45" t="str">
            <v/>
          </cell>
          <cell r="K45" t="str">
            <v/>
          </cell>
          <cell r="L45" t="str">
            <v/>
          </cell>
          <cell r="M45" t="str">
            <v/>
          </cell>
          <cell r="N45" t="str">
            <v/>
          </cell>
          <cell r="O45">
            <v>1.1002000000000001</v>
          </cell>
        </row>
        <row r="46">
          <cell r="A46" t="str">
            <v>A98105</v>
          </cell>
          <cell r="B46" t="str">
            <v>118/08/13</v>
          </cell>
          <cell r="C46">
            <v>2.125</v>
          </cell>
          <cell r="D46">
            <v>5.62</v>
          </cell>
          <cell r="E46">
            <v>5.98</v>
          </cell>
          <cell r="F46" t="str">
            <v/>
          </cell>
          <cell r="G46" t="str">
            <v/>
          </cell>
          <cell r="H46" t="str">
            <v/>
          </cell>
          <cell r="I46" t="str">
            <v/>
          </cell>
          <cell r="J46" t="str">
            <v/>
          </cell>
          <cell r="K46" t="str">
            <v/>
          </cell>
          <cell r="L46" t="str">
            <v/>
          </cell>
          <cell r="M46" t="str">
            <v/>
          </cell>
          <cell r="N46" t="str">
            <v/>
          </cell>
          <cell r="O46">
            <v>1.1072</v>
          </cell>
        </row>
        <row r="47">
          <cell r="A47" t="str">
            <v>A08106</v>
          </cell>
          <cell r="B47" t="str">
            <v>118/06/26</v>
          </cell>
          <cell r="C47">
            <v>0.625</v>
          </cell>
          <cell r="D47">
            <v>5.69</v>
          </cell>
          <cell r="E47">
            <v>5.85</v>
          </cell>
          <cell r="F47" t="str">
            <v/>
          </cell>
          <cell r="G47" t="str">
            <v/>
          </cell>
          <cell r="H47" t="str">
            <v/>
          </cell>
          <cell r="I47" t="str">
            <v/>
          </cell>
          <cell r="J47" t="str">
            <v/>
          </cell>
          <cell r="K47" t="str">
            <v/>
          </cell>
          <cell r="L47" t="str">
            <v/>
          </cell>
          <cell r="M47" t="str">
            <v/>
          </cell>
          <cell r="N47" t="str">
            <v/>
          </cell>
          <cell r="O47">
            <v>1.1067</v>
          </cell>
        </row>
        <row r="48">
          <cell r="A48" t="str">
            <v>A08109</v>
          </cell>
          <cell r="B48" t="str">
            <v>118/10/14</v>
          </cell>
          <cell r="C48">
            <v>0.625</v>
          </cell>
          <cell r="D48">
            <v>5.95</v>
          </cell>
          <cell r="E48">
            <v>6.15</v>
          </cell>
          <cell r="F48" t="str">
            <v/>
          </cell>
          <cell r="G48" t="str">
            <v/>
          </cell>
          <cell r="H48" t="str">
            <v/>
          </cell>
          <cell r="I48" t="str">
            <v/>
          </cell>
          <cell r="J48" t="str">
            <v/>
          </cell>
          <cell r="K48" t="str">
            <v/>
          </cell>
          <cell r="L48" t="str">
            <v/>
          </cell>
          <cell r="M48" t="str">
            <v/>
          </cell>
          <cell r="N48" t="str">
            <v/>
          </cell>
          <cell r="O48">
            <v>1.1125</v>
          </cell>
        </row>
        <row r="49">
          <cell r="A49" t="str">
            <v>A99104</v>
          </cell>
          <cell r="B49" t="str">
            <v>119/02/22</v>
          </cell>
          <cell r="C49">
            <v>1.875</v>
          </cell>
          <cell r="D49">
            <v>6.07</v>
          </cell>
          <cell r="E49">
            <v>6.51</v>
          </cell>
          <cell r="F49" t="str">
            <v/>
          </cell>
          <cell r="G49" t="str">
            <v/>
          </cell>
          <cell r="H49" t="str">
            <v/>
          </cell>
          <cell r="I49" t="str">
            <v/>
          </cell>
          <cell r="J49" t="str">
            <v/>
          </cell>
          <cell r="K49" t="str">
            <v/>
          </cell>
          <cell r="L49" t="str">
            <v/>
          </cell>
          <cell r="M49" t="str">
            <v/>
          </cell>
          <cell r="N49" t="str">
            <v/>
          </cell>
          <cell r="O49">
            <v>1.1182000000000001</v>
          </cell>
        </row>
        <row r="50">
          <cell r="A50" t="str">
            <v>A09103</v>
          </cell>
          <cell r="B50" t="str">
            <v>119/02/21</v>
          </cell>
          <cell r="C50">
            <v>0.5</v>
          </cell>
          <cell r="D50">
            <v>6.32</v>
          </cell>
          <cell r="E50">
            <v>6.51</v>
          </cell>
          <cell r="F50" t="str">
            <v/>
          </cell>
          <cell r="G50" t="str">
            <v/>
          </cell>
          <cell r="H50" t="str">
            <v/>
          </cell>
          <cell r="I50" t="str">
            <v/>
          </cell>
          <cell r="J50" t="str">
            <v/>
          </cell>
          <cell r="K50" t="str">
            <v/>
          </cell>
          <cell r="L50" t="str">
            <v/>
          </cell>
          <cell r="M50" t="str">
            <v/>
          </cell>
          <cell r="N50" t="str">
            <v/>
          </cell>
          <cell r="O50">
            <v>1.1203000000000001</v>
          </cell>
        </row>
        <row r="51">
          <cell r="A51" t="str">
            <v>A99107</v>
          </cell>
          <cell r="B51" t="str">
            <v>119/08/12</v>
          </cell>
          <cell r="C51">
            <v>1.75</v>
          </cell>
          <cell r="D51">
            <v>6.56</v>
          </cell>
          <cell r="E51">
            <v>6.98</v>
          </cell>
          <cell r="F51" t="str">
            <v/>
          </cell>
          <cell r="G51" t="str">
            <v/>
          </cell>
          <cell r="H51" t="str">
            <v/>
          </cell>
          <cell r="I51" t="str">
            <v/>
          </cell>
          <cell r="J51" t="str">
            <v/>
          </cell>
          <cell r="K51" t="str">
            <v/>
          </cell>
          <cell r="L51" t="str">
            <v/>
          </cell>
          <cell r="M51" t="str">
            <v/>
          </cell>
          <cell r="N51" t="str">
            <v/>
          </cell>
          <cell r="O51">
            <v>1.1295999999999999</v>
          </cell>
        </row>
        <row r="52">
          <cell r="A52" t="str">
            <v>A09106</v>
          </cell>
          <cell r="B52" t="str">
            <v>119/06/11</v>
          </cell>
          <cell r="C52">
            <v>0.375</v>
          </cell>
          <cell r="D52">
            <v>6.65</v>
          </cell>
          <cell r="E52">
            <v>6.81</v>
          </cell>
          <cell r="F52" t="str">
            <v/>
          </cell>
          <cell r="G52" t="str">
            <v/>
          </cell>
          <cell r="H52" t="str">
            <v/>
          </cell>
          <cell r="I52" t="str">
            <v/>
          </cell>
          <cell r="J52" t="str">
            <v/>
          </cell>
          <cell r="K52" t="str">
            <v/>
          </cell>
          <cell r="L52" t="str">
            <v/>
          </cell>
          <cell r="M52" t="str">
            <v/>
          </cell>
          <cell r="N52" t="str">
            <v/>
          </cell>
          <cell r="O52">
            <v>1.1277999999999999</v>
          </cell>
        </row>
        <row r="53">
          <cell r="A53" t="str">
            <v>A00102</v>
          </cell>
          <cell r="B53" t="str">
            <v>120/01/13</v>
          </cell>
          <cell r="C53">
            <v>2.125</v>
          </cell>
          <cell r="D53">
            <v>6.78</v>
          </cell>
          <cell r="E53">
            <v>7.4</v>
          </cell>
          <cell r="F53" t="str">
            <v/>
          </cell>
          <cell r="G53" t="str">
            <v/>
          </cell>
          <cell r="H53" t="str">
            <v/>
          </cell>
          <cell r="I53" t="str">
            <v/>
          </cell>
          <cell r="J53" t="str">
            <v/>
          </cell>
          <cell r="K53" t="str">
            <v/>
          </cell>
          <cell r="L53" t="str">
            <v/>
          </cell>
          <cell r="M53" t="str">
            <v/>
          </cell>
          <cell r="N53" t="str">
            <v/>
          </cell>
          <cell r="O53">
            <v>1.1399999999999999</v>
          </cell>
        </row>
        <row r="54">
          <cell r="A54" t="str">
            <v>A90105</v>
          </cell>
          <cell r="B54" t="str">
            <v>120/07/17</v>
          </cell>
          <cell r="C54">
            <v>3.625</v>
          </cell>
          <cell r="D54">
            <v>7</v>
          </cell>
          <cell r="E54">
            <v>7.91</v>
          </cell>
          <cell r="F54" t="str">
            <v/>
          </cell>
          <cell r="G54" t="str">
            <v/>
          </cell>
          <cell r="H54" t="str">
            <v/>
          </cell>
          <cell r="I54" t="str">
            <v/>
          </cell>
          <cell r="J54" t="str">
            <v/>
          </cell>
          <cell r="K54" t="str">
            <v/>
          </cell>
          <cell r="L54" t="str">
            <v/>
          </cell>
          <cell r="M54" t="str">
            <v/>
          </cell>
          <cell r="N54" t="str">
            <v/>
          </cell>
          <cell r="O54">
            <v>1.1506000000000001</v>
          </cell>
        </row>
        <row r="55">
          <cell r="A55" t="str">
            <v>A09109</v>
          </cell>
          <cell r="B55" t="str">
            <v>119/10/14</v>
          </cell>
          <cell r="C55">
            <v>0.25</v>
          </cell>
          <cell r="D55">
            <v>6.99</v>
          </cell>
          <cell r="E55">
            <v>7.15</v>
          </cell>
          <cell r="F55" t="str">
            <v/>
          </cell>
          <cell r="G55" t="str">
            <v/>
          </cell>
          <cell r="H55" t="str">
            <v/>
          </cell>
          <cell r="I55" t="str">
            <v/>
          </cell>
          <cell r="J55" t="str">
            <v/>
          </cell>
          <cell r="K55" t="str">
            <v/>
          </cell>
          <cell r="L55" t="str">
            <v/>
          </cell>
          <cell r="M55" t="str">
            <v/>
          </cell>
          <cell r="N55" t="str">
            <v/>
          </cell>
          <cell r="O55">
            <v>1.137</v>
          </cell>
        </row>
        <row r="56">
          <cell r="A56" t="str">
            <v>A00201</v>
          </cell>
          <cell r="B56" t="str">
            <v>120/05/26</v>
          </cell>
          <cell r="C56">
            <v>1.75</v>
          </cell>
          <cell r="D56">
            <v>7.22</v>
          </cell>
          <cell r="E56">
            <v>7.77</v>
          </cell>
          <cell r="F56" t="str">
            <v/>
          </cell>
          <cell r="G56" t="str">
            <v/>
          </cell>
          <cell r="H56" t="str">
            <v/>
          </cell>
          <cell r="I56" t="str">
            <v/>
          </cell>
          <cell r="J56" t="str">
            <v/>
          </cell>
          <cell r="K56" t="str">
            <v/>
          </cell>
          <cell r="L56" t="str">
            <v/>
          </cell>
          <cell r="M56" t="str">
            <v/>
          </cell>
          <cell r="N56" t="str">
            <v/>
          </cell>
          <cell r="O56">
            <v>1.1508</v>
          </cell>
        </row>
        <row r="57">
          <cell r="A57" t="str">
            <v>A00107</v>
          </cell>
          <cell r="B57" t="str">
            <v>120/08/02</v>
          </cell>
          <cell r="C57">
            <v>1.875</v>
          </cell>
          <cell r="D57">
            <v>7.38</v>
          </cell>
          <cell r="E57">
            <v>7.95</v>
          </cell>
          <cell r="F57" t="str">
            <v/>
          </cell>
          <cell r="G57" t="str">
            <v/>
          </cell>
          <cell r="H57" t="str">
            <v/>
          </cell>
          <cell r="I57" t="str">
            <v/>
          </cell>
          <cell r="J57" t="str">
            <v/>
          </cell>
          <cell r="K57" t="str">
            <v/>
          </cell>
          <cell r="L57" t="str">
            <v/>
          </cell>
          <cell r="M57" t="str">
            <v/>
          </cell>
          <cell r="N57" t="str">
            <v/>
          </cell>
          <cell r="O57">
            <v>1.1555</v>
          </cell>
        </row>
        <row r="58">
          <cell r="A58" t="str">
            <v>A10103</v>
          </cell>
          <cell r="B58" t="str">
            <v>120/02/22</v>
          </cell>
          <cell r="C58">
            <v>0.25</v>
          </cell>
          <cell r="D58">
            <v>7.35</v>
          </cell>
          <cell r="E58">
            <v>7.51</v>
          </cell>
          <cell r="F58" t="str">
            <v/>
          </cell>
          <cell r="G58" t="str">
            <v/>
          </cell>
          <cell r="H58" t="str">
            <v/>
          </cell>
          <cell r="I58" t="str">
            <v/>
          </cell>
          <cell r="J58" t="str">
            <v/>
          </cell>
          <cell r="K58" t="str">
            <v/>
          </cell>
          <cell r="L58" t="str">
            <v/>
          </cell>
          <cell r="M58" t="str">
            <v/>
          </cell>
          <cell r="N58" t="str">
            <v/>
          </cell>
          <cell r="O58">
            <v>1.1471</v>
          </cell>
        </row>
        <row r="59">
          <cell r="A59" t="str">
            <v>A10201</v>
          </cell>
          <cell r="B59" t="str">
            <v>120/05/07</v>
          </cell>
          <cell r="C59">
            <v>0.375</v>
          </cell>
          <cell r="D59">
            <v>7.51</v>
          </cell>
          <cell r="E59">
            <v>7.71</v>
          </cell>
          <cell r="F59" t="str">
            <v/>
          </cell>
          <cell r="G59" t="str">
            <v/>
          </cell>
          <cell r="H59" t="str">
            <v/>
          </cell>
          <cell r="I59" t="str">
            <v/>
          </cell>
          <cell r="J59" t="str">
            <v/>
          </cell>
          <cell r="K59" t="str">
            <v/>
          </cell>
          <cell r="L59" t="str">
            <v/>
          </cell>
          <cell r="M59" t="str">
            <v/>
          </cell>
          <cell r="N59" t="str">
            <v/>
          </cell>
          <cell r="O59">
            <v>1.1526000000000001</v>
          </cell>
        </row>
        <row r="60">
          <cell r="A60" t="str">
            <v>A10107</v>
          </cell>
          <cell r="B60" t="str">
            <v>120/06/23</v>
          </cell>
          <cell r="C60">
            <v>0.375</v>
          </cell>
          <cell r="D60">
            <v>7.64</v>
          </cell>
          <cell r="E60">
            <v>7.84</v>
          </cell>
          <cell r="F60" t="str">
            <v/>
          </cell>
          <cell r="G60" t="str">
            <v/>
          </cell>
          <cell r="H60" t="str">
            <v/>
          </cell>
          <cell r="I60" t="str">
            <v/>
          </cell>
          <cell r="J60" t="str">
            <v/>
          </cell>
          <cell r="K60" t="str">
            <v/>
          </cell>
          <cell r="L60" t="str">
            <v/>
          </cell>
          <cell r="M60" t="str">
            <v/>
          </cell>
          <cell r="N60" t="str">
            <v/>
          </cell>
          <cell r="O60">
            <v>1.1561999999999999</v>
          </cell>
        </row>
        <row r="61">
          <cell r="A61" t="str">
            <v>A01102</v>
          </cell>
          <cell r="B61" t="str">
            <v>121/01/20</v>
          </cell>
          <cell r="C61">
            <v>1.625</v>
          </cell>
          <cell r="D61">
            <v>7.78</v>
          </cell>
          <cell r="E61">
            <v>8.42</v>
          </cell>
          <cell r="F61" t="str">
            <v/>
          </cell>
          <cell r="G61" t="str">
            <v/>
          </cell>
          <cell r="H61" t="str">
            <v/>
          </cell>
          <cell r="I61" t="str">
            <v/>
          </cell>
          <cell r="J61" t="str">
            <v/>
          </cell>
          <cell r="K61" t="str">
            <v/>
          </cell>
          <cell r="L61" t="str">
            <v/>
          </cell>
          <cell r="M61" t="str">
            <v/>
          </cell>
          <cell r="N61" t="str">
            <v/>
          </cell>
          <cell r="O61">
            <v>1.1677</v>
          </cell>
        </row>
        <row r="62">
          <cell r="A62" t="str">
            <v>A10111</v>
          </cell>
          <cell r="B62" t="str">
            <v>120/10/22</v>
          </cell>
          <cell r="C62">
            <v>0.5</v>
          </cell>
          <cell r="D62">
            <v>7.89</v>
          </cell>
          <cell r="E62">
            <v>8.17</v>
          </cell>
          <cell r="F62" t="str">
            <v/>
          </cell>
          <cell r="G62" t="str">
            <v/>
          </cell>
          <cell r="H62" t="str">
            <v/>
          </cell>
          <cell r="I62" t="str">
            <v/>
          </cell>
          <cell r="J62" t="str">
            <v/>
          </cell>
          <cell r="K62" t="str">
            <v/>
          </cell>
          <cell r="L62" t="str">
            <v/>
          </cell>
          <cell r="M62" t="str">
            <v/>
          </cell>
          <cell r="N62" t="str">
            <v/>
          </cell>
          <cell r="O62">
            <v>1.1649</v>
          </cell>
        </row>
        <row r="63">
          <cell r="A63" t="str">
            <v>A01201</v>
          </cell>
          <cell r="B63" t="str">
            <v>121/03/16</v>
          </cell>
          <cell r="C63">
            <v>1.625</v>
          </cell>
          <cell r="D63">
            <v>7.93</v>
          </cell>
          <cell r="E63">
            <v>8.57</v>
          </cell>
          <cell r="F63" t="str">
            <v/>
          </cell>
          <cell r="G63" t="str">
            <v/>
          </cell>
          <cell r="H63" t="str">
            <v/>
          </cell>
          <cell r="I63" t="str">
            <v/>
          </cell>
          <cell r="J63" t="str">
            <v/>
          </cell>
          <cell r="K63" t="str">
            <v/>
          </cell>
          <cell r="L63" t="str">
            <v/>
          </cell>
          <cell r="M63" t="str">
            <v/>
          </cell>
          <cell r="N63" t="str">
            <v/>
          </cell>
          <cell r="O63">
            <v>1.1711</v>
          </cell>
        </row>
        <row r="64">
          <cell r="A64" t="str">
            <v>A11201</v>
          </cell>
          <cell r="B64" t="str">
            <v>121/01/10</v>
          </cell>
          <cell r="C64">
            <v>0.75</v>
          </cell>
          <cell r="D64">
            <v>8.02</v>
          </cell>
          <cell r="E64">
            <v>8.39</v>
          </cell>
          <cell r="F64" t="str">
            <v/>
          </cell>
          <cell r="G64" t="str">
            <v/>
          </cell>
          <cell r="H64" t="str">
            <v/>
          </cell>
          <cell r="I64" t="str">
            <v/>
          </cell>
          <cell r="J64" t="str">
            <v/>
          </cell>
          <cell r="K64" t="str">
            <v/>
          </cell>
          <cell r="L64" t="str">
            <v/>
          </cell>
          <cell r="M64" t="str">
            <v/>
          </cell>
          <cell r="N64" t="str">
            <v/>
          </cell>
          <cell r="O64">
            <v>1.1695</v>
          </cell>
        </row>
        <row r="65">
          <cell r="A65" t="str">
            <v>A11102</v>
          </cell>
          <cell r="B65" t="str">
            <v>121/02/18</v>
          </cell>
          <cell r="C65">
            <v>0.625</v>
          </cell>
          <cell r="D65">
            <v>8.17</v>
          </cell>
          <cell r="E65">
            <v>8.5</v>
          </cell>
          <cell r="F65" t="str">
            <v/>
          </cell>
          <cell r="G65" t="str">
            <v/>
          </cell>
          <cell r="H65" t="str">
            <v/>
          </cell>
          <cell r="I65" t="str">
            <v/>
          </cell>
          <cell r="J65" t="str">
            <v/>
          </cell>
          <cell r="K65" t="str">
            <v/>
          </cell>
          <cell r="L65" t="str">
            <v/>
          </cell>
          <cell r="M65" t="str">
            <v/>
          </cell>
          <cell r="N65" t="str">
            <v/>
          </cell>
          <cell r="O65">
            <v>1.1724000000000001</v>
          </cell>
        </row>
        <row r="66">
          <cell r="A66" t="str">
            <v>A01107</v>
          </cell>
          <cell r="B66" t="str">
            <v>121/08/10</v>
          </cell>
          <cell r="C66">
            <v>1.5</v>
          </cell>
          <cell r="D66">
            <v>8.36</v>
          </cell>
          <cell r="E66">
            <v>8.98</v>
          </cell>
          <cell r="F66" t="str">
            <v/>
          </cell>
          <cell r="G66" t="str">
            <v/>
          </cell>
          <cell r="H66" t="str">
            <v/>
          </cell>
          <cell r="I66" t="str">
            <v/>
          </cell>
          <cell r="J66" t="str">
            <v/>
          </cell>
          <cell r="K66" t="str">
            <v/>
          </cell>
          <cell r="L66" t="str">
            <v/>
          </cell>
          <cell r="M66" t="str">
            <v/>
          </cell>
          <cell r="N66" t="str">
            <v xml:space="preserve">  </v>
          </cell>
          <cell r="O66">
            <v>1.1795</v>
          </cell>
        </row>
        <row r="67">
          <cell r="A67" t="str">
            <v>A11107</v>
          </cell>
          <cell r="B67" t="str">
            <v>121/06/30</v>
          </cell>
          <cell r="C67">
            <v>1.25</v>
          </cell>
          <cell r="D67">
            <v>8.33</v>
          </cell>
          <cell r="E67">
            <v>8.86</v>
          </cell>
          <cell r="F67">
            <v>1.19</v>
          </cell>
          <cell r="G67">
            <v>1.19</v>
          </cell>
          <cell r="H67">
            <v>1.19</v>
          </cell>
          <cell r="I67">
            <v>2</v>
          </cell>
          <cell r="J67" t="str">
            <v/>
          </cell>
          <cell r="K67" t="str">
            <v/>
          </cell>
          <cell r="L67" t="str">
            <v/>
          </cell>
          <cell r="M67" t="str">
            <v/>
          </cell>
          <cell r="N67" t="str">
            <v/>
          </cell>
          <cell r="O67">
            <v>1.1780999999999999</v>
          </cell>
        </row>
        <row r="68">
          <cell r="A68" t="str">
            <v>A11110</v>
          </cell>
          <cell r="B68" t="str">
            <v>121/10/17</v>
          </cell>
          <cell r="C68">
            <v>1.75</v>
          </cell>
          <cell r="D68">
            <v>8.34</v>
          </cell>
          <cell r="E68">
            <v>9.16</v>
          </cell>
          <cell r="F68" t="str">
            <v/>
          </cell>
          <cell r="G68" t="str">
            <v/>
          </cell>
          <cell r="H68" t="str">
            <v/>
          </cell>
          <cell r="I68" t="str">
            <v/>
          </cell>
          <cell r="J68" t="str">
            <v/>
          </cell>
          <cell r="K68" t="str">
            <v/>
          </cell>
          <cell r="L68" t="str">
            <v/>
          </cell>
          <cell r="M68" t="str">
            <v/>
          </cell>
          <cell r="N68" t="str">
            <v/>
          </cell>
          <cell r="O68">
            <v>1.1819999999999999</v>
          </cell>
        </row>
        <row r="69">
          <cell r="A69" t="str">
            <v>A02103</v>
          </cell>
          <cell r="B69" t="str">
            <v>122/01/28</v>
          </cell>
          <cell r="C69">
            <v>1.5</v>
          </cell>
          <cell r="D69">
            <v>8.6999999999999993</v>
          </cell>
          <cell r="E69">
            <v>9.44</v>
          </cell>
          <cell r="F69" t="str">
            <v/>
          </cell>
          <cell r="G69" t="str">
            <v/>
          </cell>
          <cell r="H69" t="str">
            <v/>
          </cell>
          <cell r="I69" t="str">
            <v/>
          </cell>
          <cell r="J69" t="str">
            <v/>
          </cell>
          <cell r="K69" t="str">
            <v/>
          </cell>
          <cell r="L69" t="str">
            <v/>
          </cell>
          <cell r="M69" t="str">
            <v/>
          </cell>
          <cell r="N69" t="str">
            <v/>
          </cell>
          <cell r="O69">
            <v>1.1878</v>
          </cell>
        </row>
        <row r="70">
          <cell r="A70" t="str">
            <v>A12201</v>
          </cell>
          <cell r="B70" t="str">
            <v>122/01/10</v>
          </cell>
          <cell r="C70">
            <v>1.25</v>
          </cell>
          <cell r="D70">
            <v>8.75</v>
          </cell>
          <cell r="E70">
            <v>9.39</v>
          </cell>
          <cell r="F70" t="str">
            <v/>
          </cell>
          <cell r="G70" t="str">
            <v/>
          </cell>
          <cell r="H70" t="str">
            <v/>
          </cell>
          <cell r="I70" t="str">
            <v/>
          </cell>
          <cell r="J70" t="str">
            <v/>
          </cell>
          <cell r="K70" t="str">
            <v/>
          </cell>
          <cell r="L70" t="str">
            <v/>
          </cell>
          <cell r="M70" t="str">
            <v/>
          </cell>
          <cell r="N70" t="str">
            <v/>
          </cell>
          <cell r="O70">
            <v>1.1877</v>
          </cell>
        </row>
        <row r="71">
          <cell r="A71" t="str">
            <v>A02201</v>
          </cell>
          <cell r="B71" t="str">
            <v>122/03/21</v>
          </cell>
          <cell r="C71">
            <v>1.75</v>
          </cell>
          <cell r="D71">
            <v>8.76</v>
          </cell>
          <cell r="E71">
            <v>9.59</v>
          </cell>
          <cell r="F71" t="str">
            <v/>
          </cell>
          <cell r="G71" t="str">
            <v/>
          </cell>
          <cell r="H71" t="str">
            <v/>
          </cell>
          <cell r="I71" t="str">
            <v/>
          </cell>
          <cell r="J71" t="str">
            <v/>
          </cell>
          <cell r="K71" t="str">
            <v/>
          </cell>
          <cell r="L71" t="str">
            <v/>
          </cell>
          <cell r="M71" t="str">
            <v/>
          </cell>
          <cell r="N71" t="str">
            <v/>
          </cell>
          <cell r="O71">
            <v>1.1895</v>
          </cell>
        </row>
        <row r="72">
          <cell r="A72" t="str">
            <v>A02108</v>
          </cell>
          <cell r="B72" t="str">
            <v>122/07/26</v>
          </cell>
          <cell r="C72">
            <v>2</v>
          </cell>
          <cell r="D72">
            <v>9.02</v>
          </cell>
          <cell r="E72">
            <v>9.93</v>
          </cell>
          <cell r="F72" t="str">
            <v/>
          </cell>
          <cell r="G72" t="str">
            <v/>
          </cell>
          <cell r="H72" t="str">
            <v/>
          </cell>
          <cell r="I72" t="str">
            <v/>
          </cell>
          <cell r="J72" t="str">
            <v/>
          </cell>
          <cell r="K72" t="str">
            <v/>
          </cell>
          <cell r="L72" t="str">
            <v/>
          </cell>
          <cell r="M72" t="str">
            <v/>
          </cell>
          <cell r="N72" t="str">
            <v/>
          </cell>
          <cell r="O72">
            <v>1.1947000000000001</v>
          </cell>
        </row>
        <row r="73">
          <cell r="A73" t="str">
            <v>A12102</v>
          </cell>
          <cell r="B73" t="str">
            <v>122/02/17</v>
          </cell>
          <cell r="C73">
            <v>1.125</v>
          </cell>
          <cell r="D73">
            <v>8.9</v>
          </cell>
          <cell r="E73">
            <v>9.5</v>
          </cell>
          <cell r="F73" t="str">
            <v/>
          </cell>
          <cell r="G73" t="str">
            <v/>
          </cell>
          <cell r="H73" t="str">
            <v/>
          </cell>
          <cell r="I73" t="str">
            <v/>
          </cell>
          <cell r="J73" t="str">
            <v/>
          </cell>
          <cell r="K73" t="str">
            <v/>
          </cell>
          <cell r="L73" t="str">
            <v/>
          </cell>
          <cell r="M73" t="str">
            <v/>
          </cell>
          <cell r="N73" t="str">
            <v/>
          </cell>
          <cell r="O73">
            <v>1.19</v>
          </cell>
        </row>
        <row r="74">
          <cell r="A74" t="str">
            <v>A12107R</v>
          </cell>
          <cell r="B74" t="str">
            <v>122/06/09</v>
          </cell>
          <cell r="C74">
            <v>1.125</v>
          </cell>
          <cell r="D74">
            <v>9.19</v>
          </cell>
          <cell r="E74">
            <v>9.8000000000000007</v>
          </cell>
          <cell r="F74">
            <v>1.1948000000000001</v>
          </cell>
          <cell r="G74">
            <v>1.1915</v>
          </cell>
          <cell r="H74">
            <v>1.1930000000000001</v>
          </cell>
          <cell r="I74">
            <v>3.5</v>
          </cell>
          <cell r="J74" t="str">
            <v/>
          </cell>
          <cell r="K74" t="str">
            <v/>
          </cell>
          <cell r="L74" t="str">
            <v/>
          </cell>
          <cell r="M74" t="str">
            <v/>
          </cell>
          <cell r="N74" t="str">
            <v/>
          </cell>
          <cell r="O74">
            <v>1.1952</v>
          </cell>
        </row>
        <row r="75">
          <cell r="A75" t="str">
            <v>A93106</v>
          </cell>
          <cell r="B75" t="str">
            <v>123/05/27</v>
          </cell>
          <cell r="C75">
            <v>3.875</v>
          </cell>
          <cell r="D75">
            <v>9.06</v>
          </cell>
          <cell r="E75">
            <v>10.77</v>
          </cell>
          <cell r="F75" t="str">
            <v/>
          </cell>
          <cell r="G75" t="str">
            <v/>
          </cell>
          <cell r="H75" t="str">
            <v/>
          </cell>
          <cell r="I75" t="str">
            <v/>
          </cell>
          <cell r="J75" t="str">
            <v/>
          </cell>
          <cell r="K75" t="str">
            <v/>
          </cell>
          <cell r="L75" t="str">
            <v/>
          </cell>
          <cell r="M75" t="str">
            <v/>
          </cell>
          <cell r="N75" t="str">
            <v/>
          </cell>
          <cell r="O75">
            <v>1.2036</v>
          </cell>
        </row>
        <row r="76">
          <cell r="A76" t="str">
            <v>A12107</v>
          </cell>
          <cell r="B76" t="str">
            <v>122/06/09</v>
          </cell>
          <cell r="C76">
            <v>1.125</v>
          </cell>
          <cell r="D76">
            <v>9.1999999999999993</v>
          </cell>
          <cell r="E76">
            <v>9.8000000000000007</v>
          </cell>
          <cell r="F76" t="str">
            <v/>
          </cell>
          <cell r="G76" t="str">
            <v/>
          </cell>
          <cell r="H76" t="str">
            <v/>
          </cell>
          <cell r="I76" t="str">
            <v/>
          </cell>
          <cell r="J76" t="str">
            <v/>
          </cell>
          <cell r="K76" t="str">
            <v/>
          </cell>
          <cell r="L76" t="str">
            <v/>
          </cell>
          <cell r="M76" t="str">
            <v/>
          </cell>
          <cell r="N76" t="str">
            <v/>
          </cell>
          <cell r="O76">
            <v>1.1953</v>
          </cell>
        </row>
        <row r="77">
          <cell r="A77" t="str">
            <v>A03103</v>
          </cell>
          <cell r="B77" t="str">
            <v>123/01/29</v>
          </cell>
          <cell r="C77">
            <v>2</v>
          </cell>
          <cell r="D77">
            <v>9.36</v>
          </cell>
          <cell r="E77">
            <v>10.45</v>
          </cell>
          <cell r="F77" t="str">
            <v/>
          </cell>
          <cell r="G77" t="str">
            <v/>
          </cell>
          <cell r="H77" t="str">
            <v/>
          </cell>
          <cell r="I77" t="str">
            <v/>
          </cell>
          <cell r="J77" t="str">
            <v/>
          </cell>
          <cell r="K77" t="str">
            <v/>
          </cell>
          <cell r="L77" t="str">
            <v/>
          </cell>
          <cell r="M77" t="str">
            <v/>
          </cell>
          <cell r="N77" t="str">
            <v/>
          </cell>
          <cell r="O77">
            <v>1.2038</v>
          </cell>
        </row>
        <row r="78">
          <cell r="A78" t="str">
            <v>A03111</v>
          </cell>
          <cell r="B78" t="str">
            <v>123/07/31</v>
          </cell>
          <cell r="C78">
            <v>2.125</v>
          </cell>
          <cell r="D78">
            <v>9.8000000000000007</v>
          </cell>
          <cell r="E78">
            <v>10.95</v>
          </cell>
          <cell r="F78" t="str">
            <v/>
          </cell>
          <cell r="G78" t="str">
            <v/>
          </cell>
          <cell r="H78" t="str">
            <v/>
          </cell>
          <cell r="I78" t="str">
            <v/>
          </cell>
          <cell r="J78" t="str">
            <v/>
          </cell>
          <cell r="K78" t="str">
            <v/>
          </cell>
          <cell r="L78" t="str">
            <v/>
          </cell>
          <cell r="M78" t="str">
            <v/>
          </cell>
          <cell r="N78" t="str">
            <v/>
          </cell>
          <cell r="O78">
            <v>1.2126999999999999</v>
          </cell>
        </row>
        <row r="79">
          <cell r="A79" t="str">
            <v>A03107</v>
          </cell>
          <cell r="B79" t="str">
            <v>123/04/25</v>
          </cell>
          <cell r="C79">
            <v>1.875</v>
          </cell>
          <cell r="D79">
            <v>9.64</v>
          </cell>
          <cell r="E79">
            <v>10.68</v>
          </cell>
          <cell r="F79" t="str">
            <v/>
          </cell>
          <cell r="G79" t="str">
            <v/>
          </cell>
          <cell r="H79" t="str">
            <v/>
          </cell>
          <cell r="I79" t="str">
            <v/>
          </cell>
          <cell r="J79" t="str">
            <v/>
          </cell>
          <cell r="K79" t="str">
            <v/>
          </cell>
          <cell r="L79" t="str">
            <v/>
          </cell>
          <cell r="M79" t="str">
            <v/>
          </cell>
          <cell r="N79" t="str">
            <v/>
          </cell>
          <cell r="O79">
            <v>1.2087000000000001</v>
          </cell>
        </row>
        <row r="80">
          <cell r="A80" t="str">
            <v>A03114</v>
          </cell>
          <cell r="B80" t="str">
            <v>123/10/02</v>
          </cell>
          <cell r="C80">
            <v>2.25</v>
          </cell>
          <cell r="D80">
            <v>9.73</v>
          </cell>
          <cell r="E80">
            <v>11.12</v>
          </cell>
          <cell r="F80" t="str">
            <v/>
          </cell>
          <cell r="G80" t="str">
            <v/>
          </cell>
          <cell r="H80" t="str">
            <v/>
          </cell>
          <cell r="I80" t="str">
            <v/>
          </cell>
          <cell r="J80" t="str">
            <v/>
          </cell>
          <cell r="K80" t="str">
            <v/>
          </cell>
          <cell r="L80" t="str">
            <v/>
          </cell>
          <cell r="M80" t="str">
            <v/>
          </cell>
          <cell r="N80" t="str">
            <v/>
          </cell>
          <cell r="O80">
            <v>1.2155</v>
          </cell>
        </row>
        <row r="81">
          <cell r="A81" t="str">
            <v>A04102</v>
          </cell>
          <cell r="B81" t="str">
            <v>124/01/23</v>
          </cell>
          <cell r="C81">
            <v>2</v>
          </cell>
          <cell r="D81">
            <v>10.14</v>
          </cell>
          <cell r="E81">
            <v>11.43</v>
          </cell>
          <cell r="F81" t="str">
            <v/>
          </cell>
          <cell r="G81" t="str">
            <v/>
          </cell>
          <cell r="H81" t="str">
            <v/>
          </cell>
          <cell r="I81" t="str">
            <v/>
          </cell>
          <cell r="J81" t="str">
            <v/>
          </cell>
          <cell r="K81" t="str">
            <v/>
          </cell>
          <cell r="L81" t="str">
            <v/>
          </cell>
          <cell r="M81" t="str">
            <v/>
          </cell>
          <cell r="N81" t="str">
            <v/>
          </cell>
          <cell r="O81">
            <v>1.2224999999999999</v>
          </cell>
        </row>
        <row r="82">
          <cell r="A82" t="str">
            <v>A04107</v>
          </cell>
          <cell r="B82" t="str">
            <v>124/04/15</v>
          </cell>
          <cell r="C82">
            <v>2.125</v>
          </cell>
          <cell r="D82">
            <v>10.31</v>
          </cell>
          <cell r="E82">
            <v>11.65</v>
          </cell>
          <cell r="F82" t="str">
            <v/>
          </cell>
          <cell r="G82" t="str">
            <v/>
          </cell>
          <cell r="H82" t="str">
            <v/>
          </cell>
          <cell r="I82" t="str">
            <v/>
          </cell>
          <cell r="J82" t="str">
            <v/>
          </cell>
          <cell r="K82" t="str">
            <v/>
          </cell>
          <cell r="L82" t="str">
            <v/>
          </cell>
          <cell r="M82" t="str">
            <v/>
          </cell>
          <cell r="N82" t="str">
            <v/>
          </cell>
          <cell r="O82">
            <v>1.2262999999999999</v>
          </cell>
        </row>
        <row r="83">
          <cell r="A83" t="str">
            <v>A04114</v>
          </cell>
          <cell r="B83" t="str">
            <v>124/10/26</v>
          </cell>
          <cell r="C83">
            <v>1.75</v>
          </cell>
          <cell r="D83">
            <v>10.83</v>
          </cell>
          <cell r="E83">
            <v>12.18</v>
          </cell>
          <cell r="F83" t="str">
            <v/>
          </cell>
          <cell r="G83" t="str">
            <v/>
          </cell>
          <cell r="H83" t="str">
            <v/>
          </cell>
          <cell r="I83" t="str">
            <v/>
          </cell>
          <cell r="J83" t="str">
            <v/>
          </cell>
          <cell r="K83" t="str">
            <v/>
          </cell>
          <cell r="L83" t="str">
            <v/>
          </cell>
          <cell r="M83" t="str">
            <v/>
          </cell>
          <cell r="N83" t="str">
            <v/>
          </cell>
          <cell r="O83">
            <v>1.2386999999999999</v>
          </cell>
        </row>
        <row r="84">
          <cell r="A84" t="str">
            <v>A05102</v>
          </cell>
          <cell r="B84" t="str">
            <v>125/01/22</v>
          </cell>
          <cell r="C84">
            <v>1.375</v>
          </cell>
          <cell r="D84">
            <v>11.28</v>
          </cell>
          <cell r="E84">
            <v>12.42</v>
          </cell>
          <cell r="F84" t="str">
            <v/>
          </cell>
          <cell r="G84" t="str">
            <v/>
          </cell>
          <cell r="H84" t="str">
            <v/>
          </cell>
          <cell r="I84" t="str">
            <v/>
          </cell>
          <cell r="J84" t="str">
            <v/>
          </cell>
          <cell r="K84" t="str">
            <v/>
          </cell>
          <cell r="L84" t="str">
            <v/>
          </cell>
          <cell r="M84" t="str">
            <v/>
          </cell>
          <cell r="N84" t="str">
            <v/>
          </cell>
          <cell r="O84">
            <v>1.2454000000000001</v>
          </cell>
        </row>
        <row r="85">
          <cell r="A85" t="str">
            <v>A05106</v>
          </cell>
          <cell r="B85" t="str">
            <v>125/04/08</v>
          </cell>
          <cell r="C85">
            <v>1.25</v>
          </cell>
          <cell r="D85">
            <v>11.56</v>
          </cell>
          <cell r="E85">
            <v>12.64</v>
          </cell>
          <cell r="F85" t="str">
            <v/>
          </cell>
          <cell r="G85" t="str">
            <v/>
          </cell>
          <cell r="H85" t="str">
            <v/>
          </cell>
          <cell r="I85" t="str">
            <v/>
          </cell>
          <cell r="J85" t="str">
            <v/>
          </cell>
          <cell r="K85" t="str">
            <v/>
          </cell>
          <cell r="L85" t="str">
            <v/>
          </cell>
          <cell r="M85" t="str">
            <v/>
          </cell>
          <cell r="N85" t="str">
            <v/>
          </cell>
          <cell r="O85">
            <v>1.2504</v>
          </cell>
        </row>
        <row r="86">
          <cell r="A86" t="str">
            <v>A05109</v>
          </cell>
          <cell r="B86" t="str">
            <v>125/07/19</v>
          </cell>
          <cell r="C86">
            <v>1.125</v>
          </cell>
          <cell r="D86">
            <v>11.92</v>
          </cell>
          <cell r="E86">
            <v>12.91</v>
          </cell>
          <cell r="F86" t="str">
            <v/>
          </cell>
          <cell r="G86" t="str">
            <v/>
          </cell>
          <cell r="H86" t="str">
            <v/>
          </cell>
          <cell r="I86" t="str">
            <v/>
          </cell>
          <cell r="J86" t="str">
            <v/>
          </cell>
          <cell r="K86" t="str">
            <v/>
          </cell>
          <cell r="L86" t="str">
            <v/>
          </cell>
          <cell r="M86" t="str">
            <v/>
          </cell>
          <cell r="N86" t="str">
            <v/>
          </cell>
          <cell r="O86">
            <v>1.2571000000000001</v>
          </cell>
        </row>
        <row r="87">
          <cell r="A87" t="str">
            <v>A06103</v>
          </cell>
          <cell r="B87" t="str">
            <v>126/02/20</v>
          </cell>
          <cell r="C87">
            <v>1.75</v>
          </cell>
          <cell r="D87">
            <v>11.94</v>
          </cell>
          <cell r="E87">
            <v>13.51</v>
          </cell>
          <cell r="F87" t="str">
            <v/>
          </cell>
          <cell r="G87" t="str">
            <v/>
          </cell>
          <cell r="H87" t="str">
            <v/>
          </cell>
          <cell r="I87" t="str">
            <v/>
          </cell>
          <cell r="J87" t="str">
            <v/>
          </cell>
          <cell r="K87" t="str">
            <v/>
          </cell>
          <cell r="L87" t="str">
            <v/>
          </cell>
          <cell r="M87" t="str">
            <v/>
          </cell>
          <cell r="N87" t="str">
            <v/>
          </cell>
          <cell r="O87">
            <v>1.2662</v>
          </cell>
        </row>
        <row r="88">
          <cell r="A88" t="str">
            <v>A06108</v>
          </cell>
          <cell r="B88" t="str">
            <v>126/08/18</v>
          </cell>
          <cell r="C88">
            <v>1.5</v>
          </cell>
          <cell r="D88">
            <v>12.58</v>
          </cell>
          <cell r="E88">
            <v>14</v>
          </cell>
          <cell r="F88" t="str">
            <v/>
          </cell>
          <cell r="G88" t="str">
            <v/>
          </cell>
          <cell r="H88" t="str">
            <v/>
          </cell>
          <cell r="I88" t="str">
            <v/>
          </cell>
          <cell r="J88" t="str">
            <v/>
          </cell>
          <cell r="K88" t="str">
            <v/>
          </cell>
          <cell r="L88" t="str">
            <v/>
          </cell>
          <cell r="M88" t="str">
            <v/>
          </cell>
          <cell r="N88" t="str">
            <v/>
          </cell>
          <cell r="O88">
            <v>1.2782</v>
          </cell>
        </row>
        <row r="89">
          <cell r="A89" t="str">
            <v>A07103</v>
          </cell>
          <cell r="B89" t="str">
            <v>127/03/13</v>
          </cell>
          <cell r="C89">
            <v>1.375</v>
          </cell>
          <cell r="D89">
            <v>13.05</v>
          </cell>
          <cell r="E89">
            <v>14.56</v>
          </cell>
          <cell r="F89" t="str">
            <v/>
          </cell>
          <cell r="G89" t="str">
            <v/>
          </cell>
          <cell r="H89" t="str">
            <v/>
          </cell>
          <cell r="I89" t="str">
            <v/>
          </cell>
          <cell r="J89" t="str">
            <v/>
          </cell>
          <cell r="K89" t="str">
            <v/>
          </cell>
          <cell r="L89" t="str">
            <v/>
          </cell>
          <cell r="M89" t="str">
            <v/>
          </cell>
          <cell r="N89" t="str">
            <v/>
          </cell>
          <cell r="O89">
            <v>1.2914000000000001</v>
          </cell>
        </row>
        <row r="90">
          <cell r="A90" t="str">
            <v>A07108</v>
          </cell>
          <cell r="B90" t="str">
            <v>127/09/21</v>
          </cell>
          <cell r="C90">
            <v>1.125</v>
          </cell>
          <cell r="D90">
            <v>13.62</v>
          </cell>
          <cell r="E90">
            <v>15.09</v>
          </cell>
          <cell r="F90" t="str">
            <v/>
          </cell>
          <cell r="G90" t="str">
            <v/>
          </cell>
          <cell r="H90" t="str">
            <v/>
          </cell>
          <cell r="I90" t="str">
            <v/>
          </cell>
          <cell r="J90" t="str">
            <v/>
          </cell>
          <cell r="K90" t="str">
            <v/>
          </cell>
          <cell r="L90" t="str">
            <v/>
          </cell>
          <cell r="M90" t="str">
            <v/>
          </cell>
          <cell r="N90" t="str">
            <v/>
          </cell>
          <cell r="O90">
            <v>1.3048999999999999</v>
          </cell>
        </row>
        <row r="91">
          <cell r="A91" t="str">
            <v>A99102</v>
          </cell>
          <cell r="B91" t="str">
            <v>129/01/28</v>
          </cell>
          <cell r="C91">
            <v>2.25</v>
          </cell>
          <cell r="D91">
            <v>13.77</v>
          </cell>
          <cell r="E91">
            <v>16.440000000000001</v>
          </cell>
          <cell r="F91" t="str">
            <v/>
          </cell>
          <cell r="G91" t="str">
            <v/>
          </cell>
          <cell r="H91" t="str">
            <v/>
          </cell>
          <cell r="I91" t="str">
            <v/>
          </cell>
          <cell r="J91" t="str">
            <v/>
          </cell>
          <cell r="K91" t="str">
            <v/>
          </cell>
          <cell r="L91" t="str">
            <v/>
          </cell>
          <cell r="M91" t="str">
            <v/>
          </cell>
          <cell r="N91" t="str">
            <v/>
          </cell>
          <cell r="O91">
            <v>1.3258000000000001</v>
          </cell>
        </row>
        <row r="92">
          <cell r="A92" t="str">
            <v>A08102</v>
          </cell>
          <cell r="B92" t="str">
            <v>128/01/28</v>
          </cell>
          <cell r="C92">
            <v>1.125</v>
          </cell>
          <cell r="D92">
            <v>13.96</v>
          </cell>
          <cell r="E92">
            <v>15.44</v>
          </cell>
          <cell r="F92" t="str">
            <v/>
          </cell>
          <cell r="G92" t="str">
            <v/>
          </cell>
          <cell r="H92" t="str">
            <v/>
          </cell>
          <cell r="I92" t="str">
            <v/>
          </cell>
          <cell r="J92" t="str">
            <v/>
          </cell>
          <cell r="K92" t="str">
            <v/>
          </cell>
          <cell r="L92" t="str">
            <v/>
          </cell>
          <cell r="M92" t="str">
            <v/>
          </cell>
          <cell r="N92" t="str">
            <v/>
          </cell>
          <cell r="O92">
            <v>1.3129</v>
          </cell>
        </row>
        <row r="93">
          <cell r="A93" t="str">
            <v>A08104</v>
          </cell>
          <cell r="B93" t="str">
            <v>128/03/04</v>
          </cell>
          <cell r="C93">
            <v>1.125</v>
          </cell>
          <cell r="D93">
            <v>14.06</v>
          </cell>
          <cell r="E93">
            <v>15.54</v>
          </cell>
          <cell r="F93" t="str">
            <v/>
          </cell>
          <cell r="G93" t="str">
            <v/>
          </cell>
          <cell r="H93" t="str">
            <v/>
          </cell>
          <cell r="I93" t="str">
            <v/>
          </cell>
          <cell r="J93" t="str">
            <v/>
          </cell>
          <cell r="K93" t="str">
            <v/>
          </cell>
          <cell r="L93" t="str">
            <v/>
          </cell>
          <cell r="M93" t="str">
            <v/>
          </cell>
          <cell r="N93" t="str">
            <v/>
          </cell>
          <cell r="O93">
            <v>1.3149999999999999</v>
          </cell>
        </row>
        <row r="94">
          <cell r="A94" t="str">
            <v>A99109</v>
          </cell>
          <cell r="B94" t="str">
            <v>129/12/28</v>
          </cell>
          <cell r="C94">
            <v>2.125</v>
          </cell>
          <cell r="D94">
            <v>14.49</v>
          </cell>
          <cell r="E94">
            <v>17.36</v>
          </cell>
          <cell r="F94" t="str">
            <v/>
          </cell>
          <cell r="G94" t="str">
            <v/>
          </cell>
          <cell r="H94" t="str">
            <v/>
          </cell>
          <cell r="I94" t="str">
            <v/>
          </cell>
          <cell r="J94" t="str">
            <v/>
          </cell>
          <cell r="K94" t="str">
            <v/>
          </cell>
          <cell r="L94" t="str">
            <v/>
          </cell>
          <cell r="M94" t="str">
            <v/>
          </cell>
          <cell r="N94" t="str">
            <v/>
          </cell>
          <cell r="O94">
            <v>1.3466</v>
          </cell>
        </row>
        <row r="95">
          <cell r="A95" t="str">
            <v>A00104</v>
          </cell>
          <cell r="B95" t="str">
            <v>130/02/22</v>
          </cell>
          <cell r="C95">
            <v>2</v>
          </cell>
          <cell r="D95">
            <v>14.75</v>
          </cell>
          <cell r="E95">
            <v>17.510000000000002</v>
          </cell>
          <cell r="F95" t="str">
            <v/>
          </cell>
          <cell r="G95" t="str">
            <v/>
          </cell>
          <cell r="H95" t="str">
            <v/>
          </cell>
          <cell r="I95" t="str">
            <v/>
          </cell>
          <cell r="J95" t="str">
            <v/>
          </cell>
          <cell r="K95" t="str">
            <v/>
          </cell>
          <cell r="L95" t="str">
            <v/>
          </cell>
          <cell r="M95" t="str">
            <v/>
          </cell>
          <cell r="N95" t="str">
            <v/>
          </cell>
          <cell r="O95">
            <v>1.351</v>
          </cell>
        </row>
        <row r="96">
          <cell r="A96" t="str">
            <v>A08108</v>
          </cell>
          <cell r="B96" t="str">
            <v>128/09/06</v>
          </cell>
          <cell r="C96">
            <v>0.75</v>
          </cell>
          <cell r="D96">
            <v>14.81</v>
          </cell>
          <cell r="E96">
            <v>16.05</v>
          </cell>
          <cell r="F96" t="str">
            <v/>
          </cell>
          <cell r="G96" t="str">
            <v/>
          </cell>
          <cell r="H96" t="str">
            <v/>
          </cell>
          <cell r="I96" t="str">
            <v/>
          </cell>
          <cell r="J96" t="str">
            <v/>
          </cell>
          <cell r="K96" t="str">
            <v/>
          </cell>
          <cell r="L96" t="str">
            <v/>
          </cell>
          <cell r="M96" t="str">
            <v/>
          </cell>
          <cell r="N96" t="str">
            <v/>
          </cell>
          <cell r="O96">
            <v>1.3301000000000001</v>
          </cell>
        </row>
        <row r="97">
          <cell r="A97" t="str">
            <v>A00108</v>
          </cell>
          <cell r="B97" t="str">
            <v>130/08/22</v>
          </cell>
          <cell r="C97">
            <v>1.875</v>
          </cell>
          <cell r="D97">
            <v>15.35</v>
          </cell>
          <cell r="E97">
            <v>18.010000000000002</v>
          </cell>
          <cell r="F97" t="str">
            <v/>
          </cell>
          <cell r="G97" t="str">
            <v/>
          </cell>
          <cell r="H97" t="str">
            <v/>
          </cell>
          <cell r="I97" t="str">
            <v/>
          </cell>
          <cell r="J97" t="str">
            <v/>
          </cell>
          <cell r="K97" t="str">
            <v/>
          </cell>
          <cell r="L97" t="str">
            <v/>
          </cell>
          <cell r="M97" t="str">
            <v/>
          </cell>
          <cell r="N97" t="str">
            <v/>
          </cell>
          <cell r="O97">
            <v>1.3631</v>
          </cell>
        </row>
        <row r="98">
          <cell r="A98" t="str">
            <v>A09102</v>
          </cell>
          <cell r="B98" t="str">
            <v>129/01/17</v>
          </cell>
          <cell r="C98">
            <v>0.75</v>
          </cell>
          <cell r="D98">
            <v>15.17</v>
          </cell>
          <cell r="E98">
            <v>16.41</v>
          </cell>
          <cell r="F98" t="str">
            <v/>
          </cell>
          <cell r="G98" t="str">
            <v/>
          </cell>
          <cell r="H98" t="str">
            <v/>
          </cell>
          <cell r="I98" t="str">
            <v/>
          </cell>
          <cell r="J98" t="str">
            <v/>
          </cell>
          <cell r="K98" t="str">
            <v/>
          </cell>
          <cell r="L98" t="str">
            <v/>
          </cell>
          <cell r="M98" t="str">
            <v/>
          </cell>
          <cell r="N98" t="str">
            <v/>
          </cell>
          <cell r="O98">
            <v>1.3384</v>
          </cell>
        </row>
        <row r="99">
          <cell r="A99" t="str">
            <v>A09104</v>
          </cell>
          <cell r="B99" t="str">
            <v>129/03/09</v>
          </cell>
          <cell r="C99">
            <v>0.5</v>
          </cell>
          <cell r="D99">
            <v>15.62</v>
          </cell>
          <cell r="E99">
            <v>16.55</v>
          </cell>
          <cell r="F99" t="str">
            <v/>
          </cell>
          <cell r="G99" t="str">
            <v/>
          </cell>
          <cell r="H99" t="str">
            <v/>
          </cell>
          <cell r="I99" t="str">
            <v/>
          </cell>
          <cell r="J99" t="str">
            <v/>
          </cell>
          <cell r="K99" t="str">
            <v/>
          </cell>
          <cell r="L99" t="str">
            <v/>
          </cell>
          <cell r="M99" t="str">
            <v/>
          </cell>
          <cell r="N99" t="str">
            <v/>
          </cell>
          <cell r="O99">
            <v>1.3443000000000001</v>
          </cell>
        </row>
        <row r="100">
          <cell r="A100" t="str">
            <v>A01104</v>
          </cell>
          <cell r="B100" t="str">
            <v>131/02/13</v>
          </cell>
          <cell r="C100">
            <v>1.75</v>
          </cell>
          <cell r="D100">
            <v>15.69</v>
          </cell>
          <cell r="E100">
            <v>18.489999999999998</v>
          </cell>
          <cell r="F100" t="str">
            <v/>
          </cell>
          <cell r="G100" t="str">
            <v/>
          </cell>
          <cell r="H100" t="str">
            <v/>
          </cell>
          <cell r="I100" t="str">
            <v/>
          </cell>
          <cell r="J100" t="str">
            <v/>
          </cell>
          <cell r="K100" t="str">
            <v/>
          </cell>
          <cell r="L100" t="str">
            <v/>
          </cell>
          <cell r="M100" t="str">
            <v/>
          </cell>
          <cell r="N100" t="str">
            <v/>
          </cell>
          <cell r="O100">
            <v>1.3749</v>
          </cell>
        </row>
        <row r="101">
          <cell r="A101" t="str">
            <v>A02109</v>
          </cell>
          <cell r="B101" t="str">
            <v>132/08/02</v>
          </cell>
          <cell r="C101">
            <v>2.5</v>
          </cell>
          <cell r="D101">
            <v>16.09</v>
          </cell>
          <cell r="E101">
            <v>19.95</v>
          </cell>
          <cell r="F101" t="str">
            <v/>
          </cell>
          <cell r="G101" t="str">
            <v/>
          </cell>
          <cell r="H101" t="str">
            <v/>
          </cell>
          <cell r="I101" t="str">
            <v/>
          </cell>
          <cell r="J101" t="str">
            <v/>
          </cell>
          <cell r="K101" t="str">
            <v/>
          </cell>
          <cell r="L101" t="str">
            <v/>
          </cell>
          <cell r="M101" t="str">
            <v/>
          </cell>
          <cell r="N101" t="str">
            <v/>
          </cell>
          <cell r="O101">
            <v>1.3982000000000001</v>
          </cell>
        </row>
        <row r="102">
          <cell r="A102" t="str">
            <v>A11109</v>
          </cell>
          <cell r="B102" t="str">
            <v>131/09/30</v>
          </cell>
          <cell r="C102">
            <v>1.875</v>
          </cell>
          <cell r="D102">
            <v>15.9</v>
          </cell>
          <cell r="E102">
            <v>19.11</v>
          </cell>
          <cell r="F102" t="str">
            <v/>
          </cell>
          <cell r="G102" t="str">
            <v/>
          </cell>
          <cell r="H102" t="str">
            <v/>
          </cell>
          <cell r="I102" t="str">
            <v/>
          </cell>
          <cell r="J102" t="str">
            <v/>
          </cell>
          <cell r="K102" t="str">
            <v/>
          </cell>
          <cell r="L102" t="str">
            <v/>
          </cell>
          <cell r="M102" t="str">
            <v/>
          </cell>
          <cell r="N102" t="str">
            <v/>
          </cell>
          <cell r="O102">
            <v>1.3873</v>
          </cell>
        </row>
        <row r="103">
          <cell r="A103" t="str">
            <v>A09108</v>
          </cell>
          <cell r="B103" t="str">
            <v>129/09/18</v>
          </cell>
          <cell r="C103">
            <v>0.5</v>
          </cell>
          <cell r="D103">
            <v>16.04</v>
          </cell>
          <cell r="E103">
            <v>17.079999999999998</v>
          </cell>
          <cell r="F103" t="str">
            <v/>
          </cell>
          <cell r="G103" t="str">
            <v/>
          </cell>
          <cell r="H103" t="str">
            <v/>
          </cell>
          <cell r="I103" t="str">
            <v/>
          </cell>
          <cell r="J103" t="str">
            <v/>
          </cell>
          <cell r="K103" t="str">
            <v/>
          </cell>
          <cell r="L103" t="str">
            <v/>
          </cell>
          <cell r="M103" t="str">
            <v/>
          </cell>
          <cell r="N103" t="str">
            <v/>
          </cell>
          <cell r="O103">
            <v>1.3568</v>
          </cell>
        </row>
        <row r="104">
          <cell r="A104" t="str">
            <v>A01108</v>
          </cell>
          <cell r="B104" t="str">
            <v>131/08/24</v>
          </cell>
          <cell r="C104">
            <v>1.625</v>
          </cell>
          <cell r="D104">
            <v>16.079999999999998</v>
          </cell>
          <cell r="E104">
            <v>19.010000000000002</v>
          </cell>
          <cell r="F104" t="str">
            <v/>
          </cell>
          <cell r="G104" t="str">
            <v/>
          </cell>
          <cell r="H104" t="str">
            <v/>
          </cell>
          <cell r="I104" t="str">
            <v/>
          </cell>
          <cell r="J104" t="str">
            <v/>
          </cell>
          <cell r="K104" t="str">
            <v/>
          </cell>
          <cell r="L104" t="str">
            <v/>
          </cell>
          <cell r="M104" t="str">
            <v/>
          </cell>
          <cell r="N104" t="str">
            <v/>
          </cell>
          <cell r="O104">
            <v>1.3877999999999999</v>
          </cell>
        </row>
        <row r="105">
          <cell r="A105" t="str">
            <v>A10102</v>
          </cell>
          <cell r="B105" t="str">
            <v>130/01/29</v>
          </cell>
          <cell r="C105">
            <v>0.5</v>
          </cell>
          <cell r="D105">
            <v>16.399999999999999</v>
          </cell>
          <cell r="E105">
            <v>17.45</v>
          </cell>
          <cell r="F105" t="str">
            <v/>
          </cell>
          <cell r="G105" t="str">
            <v/>
          </cell>
          <cell r="H105" t="str">
            <v/>
          </cell>
          <cell r="I105" t="str">
            <v/>
          </cell>
          <cell r="J105" t="str">
            <v/>
          </cell>
          <cell r="K105" t="str">
            <v/>
          </cell>
          <cell r="L105" t="str">
            <v/>
          </cell>
          <cell r="M105" t="str">
            <v/>
          </cell>
          <cell r="N105" t="str">
            <v/>
          </cell>
          <cell r="O105">
            <v>1.3653999999999999</v>
          </cell>
        </row>
        <row r="106">
          <cell r="A106" t="str">
            <v>A02105</v>
          </cell>
          <cell r="B106" t="str">
            <v>132/02/26</v>
          </cell>
          <cell r="C106">
            <v>1.75</v>
          </cell>
          <cell r="D106">
            <v>16.440000000000001</v>
          </cell>
          <cell r="E106">
            <v>19.52</v>
          </cell>
          <cell r="F106" t="str">
            <v/>
          </cell>
          <cell r="G106" t="str">
            <v/>
          </cell>
          <cell r="H106" t="str">
            <v/>
          </cell>
          <cell r="I106" t="str">
            <v/>
          </cell>
          <cell r="J106" t="str">
            <v/>
          </cell>
          <cell r="K106" t="str">
            <v/>
          </cell>
          <cell r="L106" t="str">
            <v/>
          </cell>
          <cell r="M106" t="str">
            <v/>
          </cell>
          <cell r="N106" t="str">
            <v/>
          </cell>
          <cell r="O106">
            <v>1.3975</v>
          </cell>
        </row>
        <row r="107">
          <cell r="A107" t="str">
            <v>A09113</v>
          </cell>
          <cell r="B107" t="str">
            <v>129/12/29</v>
          </cell>
          <cell r="C107">
            <v>0.375</v>
          </cell>
          <cell r="D107">
            <v>16.5</v>
          </cell>
          <cell r="E107">
            <v>17.36</v>
          </cell>
          <cell r="F107" t="str">
            <v/>
          </cell>
          <cell r="G107" t="str">
            <v/>
          </cell>
          <cell r="H107" t="str">
            <v/>
          </cell>
          <cell r="I107" t="str">
            <v/>
          </cell>
          <cell r="J107" t="str">
            <v/>
          </cell>
          <cell r="K107" t="str">
            <v/>
          </cell>
          <cell r="L107" t="str">
            <v/>
          </cell>
          <cell r="M107" t="str">
            <v/>
          </cell>
          <cell r="N107" t="str">
            <v/>
          </cell>
          <cell r="O107">
            <v>1.3649</v>
          </cell>
        </row>
        <row r="108">
          <cell r="A108" t="str">
            <v>A11101</v>
          </cell>
          <cell r="B108" t="str">
            <v>131/01/18</v>
          </cell>
          <cell r="C108">
            <v>1</v>
          </cell>
          <cell r="D108">
            <v>16.510000000000002</v>
          </cell>
          <cell r="E108">
            <v>18.420000000000002</v>
          </cell>
          <cell r="F108" t="str">
            <v/>
          </cell>
          <cell r="G108" t="str">
            <v/>
          </cell>
          <cell r="H108" t="str">
            <v/>
          </cell>
          <cell r="I108" t="str">
            <v/>
          </cell>
          <cell r="J108" t="str">
            <v/>
          </cell>
          <cell r="K108" t="str">
            <v/>
          </cell>
          <cell r="L108" t="str">
            <v/>
          </cell>
          <cell r="M108" t="str">
            <v/>
          </cell>
          <cell r="N108" t="str">
            <v/>
          </cell>
          <cell r="O108">
            <v>1.3818999999999999</v>
          </cell>
        </row>
        <row r="109">
          <cell r="A109" t="str">
            <v>A10105</v>
          </cell>
          <cell r="B109" t="str">
            <v>130/05/21</v>
          </cell>
          <cell r="C109">
            <v>0.625</v>
          </cell>
          <cell r="D109">
            <v>16.52</v>
          </cell>
          <cell r="E109">
            <v>17.75</v>
          </cell>
          <cell r="F109" t="str">
            <v/>
          </cell>
          <cell r="G109" t="str">
            <v/>
          </cell>
          <cell r="H109" t="str">
            <v/>
          </cell>
          <cell r="I109" t="str">
            <v/>
          </cell>
          <cell r="J109" t="str">
            <v/>
          </cell>
          <cell r="K109" t="str">
            <v/>
          </cell>
          <cell r="L109" t="str">
            <v/>
          </cell>
          <cell r="M109" t="str">
            <v/>
          </cell>
          <cell r="N109" t="str">
            <v/>
          </cell>
          <cell r="O109">
            <v>1.3712</v>
          </cell>
        </row>
        <row r="110">
          <cell r="A110" t="str">
            <v>A03112</v>
          </cell>
          <cell r="B110" t="str">
            <v>133/08/04</v>
          </cell>
          <cell r="C110">
            <v>2.25</v>
          </cell>
          <cell r="D110">
            <v>16.989999999999998</v>
          </cell>
          <cell r="E110">
            <v>20.96</v>
          </cell>
          <cell r="F110" t="str">
            <v/>
          </cell>
          <cell r="G110" t="str">
            <v/>
          </cell>
          <cell r="H110" t="str">
            <v/>
          </cell>
          <cell r="I110" t="str">
            <v/>
          </cell>
          <cell r="J110" t="str">
            <v/>
          </cell>
          <cell r="K110" t="str">
            <v/>
          </cell>
          <cell r="L110" t="str">
            <v/>
          </cell>
          <cell r="M110" t="str">
            <v/>
          </cell>
          <cell r="N110" t="str">
            <v/>
          </cell>
          <cell r="O110">
            <v>1.4221999999999999</v>
          </cell>
        </row>
        <row r="111">
          <cell r="A111" t="str">
            <v>A03105</v>
          </cell>
          <cell r="B111" t="str">
            <v>133/02/26</v>
          </cell>
          <cell r="C111">
            <v>2.125</v>
          </cell>
          <cell r="D111">
            <v>16.7</v>
          </cell>
          <cell r="E111">
            <v>20.52</v>
          </cell>
          <cell r="F111" t="str">
            <v/>
          </cell>
          <cell r="G111" t="str">
            <v/>
          </cell>
          <cell r="H111" t="str">
            <v/>
          </cell>
          <cell r="I111" t="str">
            <v/>
          </cell>
          <cell r="J111" t="str">
            <v/>
          </cell>
          <cell r="K111" t="str">
            <v/>
          </cell>
          <cell r="L111" t="str">
            <v/>
          </cell>
          <cell r="M111" t="str">
            <v/>
          </cell>
          <cell r="N111" t="str">
            <v/>
          </cell>
          <cell r="O111">
            <v>1.4145000000000001</v>
          </cell>
        </row>
        <row r="112">
          <cell r="A112" t="str">
            <v>A11104</v>
          </cell>
          <cell r="B112" t="str">
            <v>131/03/04</v>
          </cell>
          <cell r="C112">
            <v>0.875</v>
          </cell>
          <cell r="D112">
            <v>16.809999999999999</v>
          </cell>
          <cell r="E112">
            <v>18.54</v>
          </cell>
          <cell r="F112" t="str">
            <v/>
          </cell>
          <cell r="G112" t="str">
            <v/>
          </cell>
          <cell r="H112" t="str">
            <v/>
          </cell>
          <cell r="I112" t="str">
            <v/>
          </cell>
          <cell r="J112" t="str">
            <v/>
          </cell>
          <cell r="K112" t="str">
            <v/>
          </cell>
          <cell r="L112" t="str">
            <v/>
          </cell>
          <cell r="M112" t="str">
            <v/>
          </cell>
          <cell r="N112" t="str">
            <v/>
          </cell>
          <cell r="O112">
            <v>1.3863000000000001</v>
          </cell>
        </row>
        <row r="113">
          <cell r="A113" t="str">
            <v>A10112</v>
          </cell>
          <cell r="B113" t="str">
            <v>130/11/12</v>
          </cell>
          <cell r="C113">
            <v>0.625</v>
          </cell>
          <cell r="D113">
            <v>16.87</v>
          </cell>
          <cell r="E113">
            <v>18.23</v>
          </cell>
          <cell r="F113" t="str">
            <v/>
          </cell>
          <cell r="G113" t="str">
            <v/>
          </cell>
          <cell r="H113" t="str">
            <v/>
          </cell>
          <cell r="I113" t="str">
            <v/>
          </cell>
          <cell r="J113" t="str">
            <v/>
          </cell>
          <cell r="K113" t="str">
            <v/>
          </cell>
          <cell r="L113" t="str">
            <v/>
          </cell>
          <cell r="M113" t="str">
            <v/>
          </cell>
          <cell r="N113" t="str">
            <v/>
          </cell>
          <cell r="O113">
            <v>1.3824000000000001</v>
          </cell>
        </row>
        <row r="114">
          <cell r="A114" t="str">
            <v>A12104</v>
          </cell>
          <cell r="B114" t="str">
            <v>132/03/03</v>
          </cell>
          <cell r="C114">
            <v>1.375</v>
          </cell>
          <cell r="D114">
            <v>16.91</v>
          </cell>
          <cell r="E114">
            <v>19.54</v>
          </cell>
          <cell r="F114">
            <v>1.3859999999999999</v>
          </cell>
          <cell r="G114">
            <v>1.3859999999999999</v>
          </cell>
          <cell r="H114">
            <v>1.3859999999999999</v>
          </cell>
          <cell r="I114">
            <v>1.5</v>
          </cell>
          <cell r="J114">
            <v>1.385</v>
          </cell>
          <cell r="K114">
            <v>1.385</v>
          </cell>
          <cell r="L114">
            <v>1.385</v>
          </cell>
          <cell r="M114">
            <v>2</v>
          </cell>
          <cell r="N114">
            <v>1.5</v>
          </cell>
          <cell r="O114">
            <v>1.4026000000000001</v>
          </cell>
        </row>
        <row r="115">
          <cell r="A115" t="str">
            <v>A10110</v>
          </cell>
          <cell r="B115" t="str">
            <v>130/09/29</v>
          </cell>
          <cell r="C115">
            <v>0.5</v>
          </cell>
          <cell r="D115">
            <v>16.95</v>
          </cell>
          <cell r="E115">
            <v>18.11</v>
          </cell>
          <cell r="F115" t="str">
            <v/>
          </cell>
          <cell r="G115" t="str">
            <v/>
          </cell>
          <cell r="H115" t="str">
            <v/>
          </cell>
          <cell r="I115" t="str">
            <v/>
          </cell>
          <cell r="J115" t="str">
            <v/>
          </cell>
          <cell r="K115" t="str">
            <v/>
          </cell>
          <cell r="L115" t="str">
            <v/>
          </cell>
          <cell r="M115" t="str">
            <v/>
          </cell>
          <cell r="N115" t="str">
            <v/>
          </cell>
          <cell r="O115">
            <v>1.3812</v>
          </cell>
        </row>
        <row r="116">
          <cell r="A116" t="str">
            <v>A03116</v>
          </cell>
          <cell r="B116" t="str">
            <v>133/11/26</v>
          </cell>
          <cell r="C116">
            <v>2.25</v>
          </cell>
          <cell r="D116">
            <v>16.97</v>
          </cell>
          <cell r="E116">
            <v>21.27</v>
          </cell>
          <cell r="F116" t="str">
            <v/>
          </cell>
          <cell r="G116" t="str">
            <v/>
          </cell>
          <cell r="H116" t="str">
            <v/>
          </cell>
          <cell r="I116" t="str">
            <v/>
          </cell>
          <cell r="J116" t="str">
            <v/>
          </cell>
          <cell r="K116" t="str">
            <v/>
          </cell>
          <cell r="L116" t="str">
            <v/>
          </cell>
          <cell r="M116" t="str">
            <v/>
          </cell>
          <cell r="N116" t="str">
            <v/>
          </cell>
          <cell r="O116">
            <v>1.4287000000000001</v>
          </cell>
        </row>
        <row r="117">
          <cell r="A117" t="str">
            <v>A04104</v>
          </cell>
          <cell r="B117" t="str">
            <v>134/02/13</v>
          </cell>
          <cell r="C117">
            <v>2.375</v>
          </cell>
          <cell r="D117">
            <v>17.04</v>
          </cell>
          <cell r="E117">
            <v>21.49</v>
          </cell>
          <cell r="F117" t="str">
            <v/>
          </cell>
          <cell r="G117" t="str">
            <v/>
          </cell>
          <cell r="H117" t="str">
            <v/>
          </cell>
          <cell r="I117" t="str">
            <v/>
          </cell>
          <cell r="J117" t="str">
            <v/>
          </cell>
          <cell r="K117" t="str">
            <v/>
          </cell>
          <cell r="L117" t="str">
            <v/>
          </cell>
          <cell r="M117" t="str">
            <v/>
          </cell>
          <cell r="N117" t="str">
            <v/>
          </cell>
          <cell r="O117">
            <v>1.4316</v>
          </cell>
        </row>
        <row r="118">
          <cell r="A118" t="str">
            <v>A03108</v>
          </cell>
          <cell r="B118" t="str">
            <v>133/05/28</v>
          </cell>
          <cell r="C118">
            <v>2</v>
          </cell>
          <cell r="D118">
            <v>17.09</v>
          </cell>
          <cell r="E118">
            <v>20.77</v>
          </cell>
          <cell r="F118" t="str">
            <v/>
          </cell>
          <cell r="G118" t="str">
            <v/>
          </cell>
          <cell r="H118" t="str">
            <v/>
          </cell>
          <cell r="I118" t="str">
            <v/>
          </cell>
          <cell r="J118" t="str">
            <v/>
          </cell>
          <cell r="K118" t="str">
            <v/>
          </cell>
          <cell r="L118" t="str">
            <v/>
          </cell>
          <cell r="M118" t="str">
            <v/>
          </cell>
          <cell r="N118" t="str">
            <v/>
          </cell>
          <cell r="O118">
            <v>1.4214</v>
          </cell>
        </row>
        <row r="119">
          <cell r="A119" t="str">
            <v>A12109</v>
          </cell>
          <cell r="B119" t="str">
            <v>132/09/22</v>
          </cell>
          <cell r="C119">
            <v>1.375</v>
          </cell>
          <cell r="D119">
            <v>17.37</v>
          </cell>
          <cell r="E119">
            <v>20</v>
          </cell>
          <cell r="F119" t="str">
            <v/>
          </cell>
          <cell r="G119" t="str">
            <v/>
          </cell>
          <cell r="H119" t="str">
            <v/>
          </cell>
          <cell r="I119" t="str">
            <v/>
          </cell>
          <cell r="J119" t="str">
            <v/>
          </cell>
          <cell r="K119" t="str">
            <v/>
          </cell>
          <cell r="L119" t="str">
            <v/>
          </cell>
          <cell r="M119" t="str">
            <v/>
          </cell>
          <cell r="N119" t="str">
            <v/>
          </cell>
          <cell r="O119">
            <v>1.4131</v>
          </cell>
        </row>
        <row r="120">
          <cell r="A120" t="str">
            <v>A04108</v>
          </cell>
          <cell r="B120" t="str">
            <v>134/05/15</v>
          </cell>
          <cell r="C120">
            <v>2.375</v>
          </cell>
          <cell r="D120">
            <v>17.29</v>
          </cell>
          <cell r="E120">
            <v>21.74</v>
          </cell>
          <cell r="F120" t="str">
            <v/>
          </cell>
          <cell r="G120" t="str">
            <v/>
          </cell>
          <cell r="H120" t="str">
            <v/>
          </cell>
          <cell r="I120" t="str">
            <v/>
          </cell>
          <cell r="J120" t="str">
            <v/>
          </cell>
          <cell r="K120" t="str">
            <v/>
          </cell>
          <cell r="L120" t="str">
            <v/>
          </cell>
          <cell r="M120" t="str">
            <v/>
          </cell>
          <cell r="N120" t="str">
            <v/>
          </cell>
          <cell r="O120">
            <v>1.4368000000000001</v>
          </cell>
        </row>
        <row r="121">
          <cell r="A121" t="str">
            <v>A04111</v>
          </cell>
          <cell r="B121" t="str">
            <v>134/08/10</v>
          </cell>
          <cell r="C121">
            <v>2.25</v>
          </cell>
          <cell r="D121">
            <v>17.66</v>
          </cell>
          <cell r="E121">
            <v>21.97</v>
          </cell>
          <cell r="F121" t="str">
            <v/>
          </cell>
          <cell r="G121" t="str">
            <v/>
          </cell>
          <cell r="H121" t="str">
            <v/>
          </cell>
          <cell r="I121" t="str">
            <v/>
          </cell>
          <cell r="J121" t="str">
            <v/>
          </cell>
          <cell r="K121" t="str">
            <v/>
          </cell>
          <cell r="L121" t="str">
            <v/>
          </cell>
          <cell r="M121" t="str">
            <v/>
          </cell>
          <cell r="N121" t="str">
            <v/>
          </cell>
          <cell r="O121">
            <v>1.4434</v>
          </cell>
        </row>
        <row r="122">
          <cell r="A122" t="str">
            <v>A05114</v>
          </cell>
          <cell r="B122" t="str">
            <v>135/11/25</v>
          </cell>
          <cell r="C122">
            <v>2</v>
          </cell>
          <cell r="D122">
            <v>18.55</v>
          </cell>
          <cell r="E122">
            <v>23.27</v>
          </cell>
          <cell r="F122" t="str">
            <v/>
          </cell>
          <cell r="G122" t="str">
            <v/>
          </cell>
          <cell r="H122" t="str">
            <v/>
          </cell>
          <cell r="I122" t="str">
            <v/>
          </cell>
          <cell r="J122" t="str">
            <v/>
          </cell>
          <cell r="K122" t="str">
            <v/>
          </cell>
          <cell r="L122" t="str">
            <v/>
          </cell>
          <cell r="M122" t="str">
            <v/>
          </cell>
          <cell r="N122" t="str">
            <v/>
          </cell>
          <cell r="O122">
            <v>1.4738</v>
          </cell>
        </row>
        <row r="123">
          <cell r="A123" t="str">
            <v>A05107</v>
          </cell>
          <cell r="B123" t="str">
            <v>135/05/20</v>
          </cell>
          <cell r="C123">
            <v>1.625</v>
          </cell>
          <cell r="D123">
            <v>18.899999999999999</v>
          </cell>
          <cell r="E123">
            <v>22.75</v>
          </cell>
          <cell r="F123" t="str">
            <v/>
          </cell>
          <cell r="G123" t="str">
            <v/>
          </cell>
          <cell r="H123" t="str">
            <v/>
          </cell>
          <cell r="I123" t="str">
            <v/>
          </cell>
          <cell r="J123" t="str">
            <v/>
          </cell>
          <cell r="K123" t="str">
            <v/>
          </cell>
          <cell r="L123" t="str">
            <v/>
          </cell>
          <cell r="M123" t="str">
            <v/>
          </cell>
          <cell r="N123" t="str">
            <v/>
          </cell>
          <cell r="O123">
            <v>1.4691000000000001</v>
          </cell>
        </row>
        <row r="124">
          <cell r="A124" t="str">
            <v>A06106</v>
          </cell>
          <cell r="B124" t="str">
            <v>136/05/26</v>
          </cell>
          <cell r="C124">
            <v>1.875</v>
          </cell>
          <cell r="D124">
            <v>19.21</v>
          </cell>
          <cell r="E124">
            <v>23.77</v>
          </cell>
          <cell r="F124" t="str">
            <v/>
          </cell>
          <cell r="G124" t="str">
            <v/>
          </cell>
          <cell r="H124" t="str">
            <v/>
          </cell>
          <cell r="I124" t="str">
            <v/>
          </cell>
          <cell r="J124" t="str">
            <v/>
          </cell>
          <cell r="K124" t="str">
            <v/>
          </cell>
          <cell r="L124" t="str">
            <v/>
          </cell>
          <cell r="M124" t="str">
            <v/>
          </cell>
          <cell r="N124" t="str">
            <v/>
          </cell>
          <cell r="O124">
            <v>1.4862</v>
          </cell>
        </row>
        <row r="125">
          <cell r="A125" t="str">
            <v>A05110</v>
          </cell>
          <cell r="B125" t="str">
            <v>135/08/05</v>
          </cell>
          <cell r="C125">
            <v>1.375</v>
          </cell>
          <cell r="D125">
            <v>19.5</v>
          </cell>
          <cell r="E125">
            <v>22.96</v>
          </cell>
          <cell r="F125" t="str">
            <v/>
          </cell>
          <cell r="G125" t="str">
            <v/>
          </cell>
          <cell r="H125" t="str">
            <v/>
          </cell>
          <cell r="I125" t="str">
            <v/>
          </cell>
          <cell r="J125" t="str">
            <v/>
          </cell>
          <cell r="K125" t="str">
            <v/>
          </cell>
          <cell r="L125" t="str">
            <v/>
          </cell>
          <cell r="M125" t="str">
            <v/>
          </cell>
          <cell r="N125" t="str">
            <v/>
          </cell>
          <cell r="O125">
            <v>1.478</v>
          </cell>
        </row>
        <row r="126">
          <cell r="A126" t="str">
            <v>A06111</v>
          </cell>
          <cell r="B126" t="str">
            <v>136/11/24</v>
          </cell>
          <cell r="C126">
            <v>1.625</v>
          </cell>
          <cell r="D126">
            <v>19.77</v>
          </cell>
          <cell r="E126">
            <v>24.26</v>
          </cell>
          <cell r="F126" t="str">
            <v/>
          </cell>
          <cell r="G126" t="str">
            <v/>
          </cell>
          <cell r="H126" t="str">
            <v/>
          </cell>
          <cell r="I126" t="str">
            <v/>
          </cell>
          <cell r="J126" t="str">
            <v/>
          </cell>
          <cell r="K126" t="str">
            <v/>
          </cell>
          <cell r="L126" t="str">
            <v/>
          </cell>
          <cell r="M126" t="str">
            <v/>
          </cell>
          <cell r="N126" t="str">
            <v/>
          </cell>
          <cell r="O126">
            <v>1.5008999999999999</v>
          </cell>
        </row>
        <row r="127">
          <cell r="A127" t="str">
            <v>A07104</v>
          </cell>
          <cell r="B127" t="str">
            <v>137/05/18</v>
          </cell>
          <cell r="C127">
            <v>1.5</v>
          </cell>
          <cell r="D127">
            <v>20.45</v>
          </cell>
          <cell r="E127">
            <v>24.75</v>
          </cell>
          <cell r="F127" t="str">
            <v/>
          </cell>
          <cell r="G127" t="str">
            <v/>
          </cell>
          <cell r="H127" t="str">
            <v/>
          </cell>
          <cell r="I127" t="str">
            <v/>
          </cell>
          <cell r="J127" t="str">
            <v/>
          </cell>
          <cell r="K127" t="str">
            <v/>
          </cell>
          <cell r="L127" t="str">
            <v/>
          </cell>
          <cell r="M127" t="str">
            <v/>
          </cell>
          <cell r="N127" t="str">
            <v/>
          </cell>
          <cell r="O127">
            <v>1.5133000000000001</v>
          </cell>
        </row>
        <row r="128">
          <cell r="A128" t="str">
            <v>A07110</v>
          </cell>
          <cell r="B128" t="str">
            <v>137/11/09</v>
          </cell>
          <cell r="C128">
            <v>1.375</v>
          </cell>
          <cell r="D128">
            <v>20.85</v>
          </cell>
          <cell r="E128">
            <v>25.22</v>
          </cell>
          <cell r="F128" t="str">
            <v/>
          </cell>
          <cell r="G128" t="str">
            <v/>
          </cell>
          <cell r="H128" t="str">
            <v/>
          </cell>
          <cell r="I128" t="str">
            <v/>
          </cell>
          <cell r="J128" t="str">
            <v/>
          </cell>
          <cell r="K128" t="str">
            <v/>
          </cell>
          <cell r="L128" t="str">
            <v/>
          </cell>
          <cell r="M128" t="str">
            <v/>
          </cell>
          <cell r="N128" t="str">
            <v/>
          </cell>
          <cell r="O128">
            <v>1.5259</v>
          </cell>
        </row>
        <row r="129">
          <cell r="A129" t="str">
            <v>A11111</v>
          </cell>
          <cell r="B129" t="str">
            <v>141/11/11</v>
          </cell>
          <cell r="C129">
            <v>2.375</v>
          </cell>
          <cell r="D129">
            <v>21.45</v>
          </cell>
          <cell r="E129">
            <v>29.23</v>
          </cell>
          <cell r="F129" t="str">
            <v/>
          </cell>
          <cell r="G129" t="str">
            <v/>
          </cell>
          <cell r="H129" t="str">
            <v/>
          </cell>
          <cell r="I129" t="str">
            <v/>
          </cell>
          <cell r="J129" t="str">
            <v/>
          </cell>
          <cell r="K129" t="str">
            <v/>
          </cell>
          <cell r="L129" t="str">
            <v/>
          </cell>
          <cell r="M129" t="str">
            <v/>
          </cell>
          <cell r="N129" t="str">
            <v/>
          </cell>
          <cell r="O129">
            <v>1.581</v>
          </cell>
        </row>
        <row r="130">
          <cell r="A130" t="str">
            <v>A08105</v>
          </cell>
          <cell r="B130" t="str">
            <v>138/05/17</v>
          </cell>
          <cell r="C130">
            <v>1.125</v>
          </cell>
          <cell r="D130">
            <v>21.89</v>
          </cell>
          <cell r="E130">
            <v>25.74</v>
          </cell>
          <cell r="F130" t="str">
            <v/>
          </cell>
          <cell r="G130" t="str">
            <v/>
          </cell>
          <cell r="H130" t="str">
            <v/>
          </cell>
          <cell r="I130" t="str">
            <v/>
          </cell>
          <cell r="J130" t="str">
            <v/>
          </cell>
          <cell r="K130" t="str">
            <v/>
          </cell>
          <cell r="L130" t="str">
            <v/>
          </cell>
          <cell r="M130" t="str">
            <v/>
          </cell>
          <cell r="N130" t="str">
            <v/>
          </cell>
          <cell r="O130">
            <v>1.5423</v>
          </cell>
        </row>
        <row r="131">
          <cell r="A131" t="str">
            <v>A11105</v>
          </cell>
          <cell r="B131" t="str">
            <v>141/05/20</v>
          </cell>
          <cell r="C131">
            <v>2</v>
          </cell>
          <cell r="D131">
            <v>22.03</v>
          </cell>
          <cell r="E131">
            <v>28.75</v>
          </cell>
          <cell r="F131" t="str">
            <v/>
          </cell>
          <cell r="G131" t="str">
            <v/>
          </cell>
          <cell r="H131" t="str">
            <v/>
          </cell>
          <cell r="I131" t="str">
            <v/>
          </cell>
          <cell r="J131" t="str">
            <v/>
          </cell>
          <cell r="K131" t="str">
            <v/>
          </cell>
          <cell r="L131" t="str">
            <v/>
          </cell>
          <cell r="M131" t="str">
            <v/>
          </cell>
          <cell r="N131" t="str">
            <v/>
          </cell>
          <cell r="O131">
            <v>1.5808</v>
          </cell>
        </row>
        <row r="132">
          <cell r="A132" t="str">
            <v>A08110</v>
          </cell>
          <cell r="B132" t="str">
            <v>138/11/08</v>
          </cell>
          <cell r="C132">
            <v>1</v>
          </cell>
          <cell r="D132">
            <v>22.39</v>
          </cell>
          <cell r="E132">
            <v>26.22</v>
          </cell>
          <cell r="F132" t="str">
            <v/>
          </cell>
          <cell r="G132" t="str">
            <v/>
          </cell>
          <cell r="H132" t="str">
            <v/>
          </cell>
          <cell r="I132" t="str">
            <v/>
          </cell>
          <cell r="J132" t="str">
            <v/>
          </cell>
          <cell r="K132" t="str">
            <v/>
          </cell>
          <cell r="L132" t="str">
            <v/>
          </cell>
          <cell r="M132" t="str">
            <v/>
          </cell>
          <cell r="N132" t="str">
            <v/>
          </cell>
          <cell r="O132">
            <v>1.5555000000000001</v>
          </cell>
        </row>
        <row r="133">
          <cell r="A133" t="str">
            <v>A09105</v>
          </cell>
          <cell r="B133" t="str">
            <v>139/05/12</v>
          </cell>
          <cell r="C133">
            <v>0.75</v>
          </cell>
          <cell r="D133">
            <v>23.56</v>
          </cell>
          <cell r="E133">
            <v>26.73</v>
          </cell>
          <cell r="F133" t="str">
            <v/>
          </cell>
          <cell r="G133" t="str">
            <v/>
          </cell>
          <cell r="H133" t="str">
            <v/>
          </cell>
          <cell r="I133" t="str">
            <v/>
          </cell>
          <cell r="J133" t="str">
            <v/>
          </cell>
          <cell r="K133" t="str">
            <v/>
          </cell>
          <cell r="L133" t="str">
            <v/>
          </cell>
          <cell r="M133" t="str">
            <v/>
          </cell>
          <cell r="N133" t="str">
            <v/>
          </cell>
          <cell r="O133">
            <v>1.5729</v>
          </cell>
        </row>
        <row r="134">
          <cell r="A134" t="str">
            <v>A10113</v>
          </cell>
          <cell r="B134" t="str">
            <v>140/12/23</v>
          </cell>
          <cell r="C134">
            <v>1.125</v>
          </cell>
          <cell r="D134">
            <v>23.56</v>
          </cell>
          <cell r="E134">
            <v>28.34</v>
          </cell>
          <cell r="F134" t="str">
            <v/>
          </cell>
          <cell r="G134" t="str">
            <v/>
          </cell>
          <cell r="H134" t="str">
            <v/>
          </cell>
          <cell r="I134" t="str">
            <v/>
          </cell>
          <cell r="J134" t="str">
            <v/>
          </cell>
          <cell r="K134" t="str">
            <v/>
          </cell>
          <cell r="L134" t="str">
            <v/>
          </cell>
          <cell r="M134" t="str">
            <v/>
          </cell>
          <cell r="N134" t="str">
            <v/>
          </cell>
          <cell r="O134">
            <v>1.5953999999999999</v>
          </cell>
        </row>
        <row r="135">
          <cell r="A135" t="str">
            <v>A12105</v>
          </cell>
          <cell r="B135" t="str">
            <v>142/05/12</v>
          </cell>
          <cell r="C135">
            <v>1.5</v>
          </cell>
          <cell r="D135">
            <v>23.63</v>
          </cell>
          <cell r="E135">
            <v>29.73</v>
          </cell>
          <cell r="F135" t="str">
            <v/>
          </cell>
          <cell r="G135" t="str">
            <v/>
          </cell>
          <cell r="H135" t="str">
            <v/>
          </cell>
          <cell r="I135" t="str">
            <v/>
          </cell>
          <cell r="J135" t="str">
            <v/>
          </cell>
          <cell r="K135" t="str">
            <v/>
          </cell>
          <cell r="L135" t="str">
            <v/>
          </cell>
          <cell r="M135" t="str">
            <v/>
          </cell>
          <cell r="N135" t="str">
            <v/>
          </cell>
          <cell r="O135">
            <v>1.6112</v>
          </cell>
        </row>
        <row r="136">
          <cell r="A136" t="str">
            <v>A10104</v>
          </cell>
          <cell r="B136" t="str">
            <v>140/02/25</v>
          </cell>
          <cell r="C136">
            <v>0.625</v>
          </cell>
          <cell r="D136">
            <v>24.52</v>
          </cell>
          <cell r="E136">
            <v>27.52</v>
          </cell>
          <cell r="F136" t="str">
            <v/>
          </cell>
          <cell r="G136" t="str">
            <v/>
          </cell>
          <cell r="H136" t="str">
            <v/>
          </cell>
          <cell r="I136" t="str">
            <v/>
          </cell>
          <cell r="J136" t="str">
            <v/>
          </cell>
          <cell r="K136" t="str">
            <v/>
          </cell>
          <cell r="L136" t="str">
            <v/>
          </cell>
          <cell r="M136" t="str">
            <v/>
          </cell>
          <cell r="N136" t="str">
            <v/>
          </cell>
          <cell r="O136">
            <v>1.5934999999999999</v>
          </cell>
        </row>
        <row r="137">
          <cell r="A137" t="str">
            <v>A09111</v>
          </cell>
          <cell r="B137" t="str">
            <v>139/11/27</v>
          </cell>
          <cell r="C137">
            <v>0.375</v>
          </cell>
          <cell r="D137">
            <v>25.18</v>
          </cell>
          <cell r="E137">
            <v>27.27</v>
          </cell>
          <cell r="F137" t="str">
            <v/>
          </cell>
          <cell r="G137" t="str">
            <v/>
          </cell>
          <cell r="H137" t="str">
            <v/>
          </cell>
          <cell r="I137" t="str">
            <v/>
          </cell>
          <cell r="J137" t="str">
            <v/>
          </cell>
          <cell r="K137" t="str">
            <v/>
          </cell>
          <cell r="L137" t="str">
            <v/>
          </cell>
          <cell r="M137" t="str">
            <v/>
          </cell>
          <cell r="N137" t="str">
            <v/>
          </cell>
          <cell r="O137">
            <v>1.5962000000000001</v>
          </cell>
        </row>
        <row r="138">
          <cell r="A138" t="str">
            <v>B618D7</v>
          </cell>
          <cell r="B138" t="str">
            <v>P11台積5B</v>
          </cell>
          <cell r="C138">
            <v>3.79</v>
          </cell>
          <cell r="D138">
            <v>4.01</v>
          </cell>
          <cell r="E138"/>
          <cell r="F138">
            <v>1.5629999999999999</v>
          </cell>
          <cell r="G138">
            <v>1.56</v>
          </cell>
          <cell r="H138">
            <v>1.5615000000000001</v>
          </cell>
          <cell r="I138">
            <v>2</v>
          </cell>
          <cell r="J138" t="str">
            <v/>
          </cell>
          <cell r="K138" t="str">
            <v/>
          </cell>
          <cell r="L138" t="str">
            <v/>
          </cell>
          <cell r="M138" t="str">
            <v/>
          </cell>
          <cell r="N138" t="str">
            <v/>
          </cell>
          <cell r="O138" t="e">
            <v>#N/A</v>
          </cell>
        </row>
        <row r="139">
          <cell r="A139" t="str">
            <v>B618DC</v>
          </cell>
          <cell r="B139" t="str">
            <v>P11台積6C</v>
          </cell>
          <cell r="C139">
            <v>8.19</v>
          </cell>
          <cell r="D139">
            <v>9.17</v>
          </cell>
          <cell r="E139"/>
          <cell r="F139">
            <v>1.76</v>
          </cell>
          <cell r="G139">
            <v>1.76</v>
          </cell>
          <cell r="H139">
            <v>1.76</v>
          </cell>
          <cell r="I139">
            <v>4</v>
          </cell>
          <cell r="J139" t="str">
            <v/>
          </cell>
          <cell r="K139" t="str">
            <v/>
          </cell>
          <cell r="L139" t="str">
            <v/>
          </cell>
          <cell r="M139" t="str">
            <v/>
          </cell>
          <cell r="N139" t="str">
            <v/>
          </cell>
          <cell r="O139" t="e">
            <v>#N/A</v>
          </cell>
        </row>
        <row r="140">
          <cell r="A140" t="str">
            <v>B801AQ</v>
          </cell>
          <cell r="B140" t="str">
            <v>P12中鋼1A</v>
          </cell>
          <cell r="C140">
            <v>2.78</v>
          </cell>
          <cell r="D140">
            <v>2.88</v>
          </cell>
          <cell r="E140"/>
          <cell r="F140">
            <v>1.4850000000000001</v>
          </cell>
          <cell r="G140">
            <v>1.4850000000000001</v>
          </cell>
          <cell r="H140">
            <v>1.4850000000000001</v>
          </cell>
          <cell r="I140">
            <v>2</v>
          </cell>
          <cell r="J140" t="str">
            <v/>
          </cell>
          <cell r="K140" t="str">
            <v/>
          </cell>
          <cell r="L140" t="str">
            <v/>
          </cell>
          <cell r="M140" t="str">
            <v/>
          </cell>
          <cell r="N140" t="str">
            <v/>
          </cell>
          <cell r="O140" t="e">
            <v>#N/A</v>
          </cell>
        </row>
        <row r="141">
          <cell r="A141" t="str">
            <v>B85410</v>
          </cell>
          <cell r="B141" t="str">
            <v>P12中龍1</v>
          </cell>
          <cell r="C141">
            <v>2.72</v>
          </cell>
          <cell r="D141">
            <v>2.81</v>
          </cell>
          <cell r="E141"/>
          <cell r="F141">
            <v>1.52</v>
          </cell>
          <cell r="G141">
            <v>1.52</v>
          </cell>
          <cell r="H141">
            <v>1.52</v>
          </cell>
          <cell r="I141">
            <v>1</v>
          </cell>
          <cell r="J141" t="str">
            <v/>
          </cell>
          <cell r="K141" t="str">
            <v/>
          </cell>
          <cell r="L141" t="str">
            <v/>
          </cell>
          <cell r="M141" t="str">
            <v/>
          </cell>
          <cell r="N141" t="str">
            <v/>
          </cell>
          <cell r="O141" t="e">
            <v>#N/A</v>
          </cell>
        </row>
        <row r="142">
          <cell r="A142" t="str">
            <v>G107BT</v>
          </cell>
          <cell r="B142" t="str">
            <v>P08北富銀5</v>
          </cell>
          <cell r="C142" t="str">
            <v>TWD</v>
          </cell>
          <cell r="D142">
            <v>5.8</v>
          </cell>
          <cell r="E142">
            <v>6.1</v>
          </cell>
          <cell r="F142">
            <v>1.899</v>
          </cell>
          <cell r="G142">
            <v>1.899</v>
          </cell>
          <cell r="H142">
            <v>1.899</v>
          </cell>
          <cell r="I142">
            <v>1</v>
          </cell>
          <cell r="J142">
            <v>1.9</v>
          </cell>
          <cell r="K142">
            <v>1.88</v>
          </cell>
          <cell r="L142">
            <v>1.89</v>
          </cell>
          <cell r="M142">
            <v>2</v>
          </cell>
          <cell r="N142">
            <v>2</v>
          </cell>
          <cell r="O142" t="e">
            <v>#N/A</v>
          </cell>
        </row>
        <row r="143">
          <cell r="A143" t="str">
            <v>B618DN</v>
          </cell>
          <cell r="B143" t="str">
            <v>P12台積4A</v>
          </cell>
          <cell r="C143" t="str">
            <v>TWD</v>
          </cell>
          <cell r="D143">
            <v>4.76</v>
          </cell>
          <cell r="E143">
            <v>4.99</v>
          </cell>
          <cell r="F143">
            <v>1.61</v>
          </cell>
          <cell r="G143">
            <v>1.61</v>
          </cell>
          <cell r="H143">
            <v>1.61</v>
          </cell>
          <cell r="I143">
            <v>1</v>
          </cell>
          <cell r="J143">
            <v>1.605</v>
          </cell>
          <cell r="K143">
            <v>1.605</v>
          </cell>
          <cell r="L143">
            <v>1.605</v>
          </cell>
          <cell r="M143">
            <v>1</v>
          </cell>
          <cell r="N143">
            <v>1</v>
          </cell>
          <cell r="O143" t="e">
            <v>#N/A</v>
          </cell>
        </row>
        <row r="144">
          <cell r="A144" t="str">
            <v>B718A6</v>
          </cell>
          <cell r="B144" t="str">
            <v>P11中油2C</v>
          </cell>
          <cell r="C144" t="str">
            <v>TWD</v>
          </cell>
          <cell r="D144">
            <v>7.76</v>
          </cell>
          <cell r="E144">
            <v>8.9600000000000009</v>
          </cell>
          <cell r="F144" t="str">
            <v/>
          </cell>
          <cell r="G144" t="str">
            <v/>
          </cell>
          <cell r="H144" t="str">
            <v/>
          </cell>
          <cell r="I144" t="str">
            <v/>
          </cell>
          <cell r="J144">
            <v>1.67</v>
          </cell>
          <cell r="K144">
            <v>1.667</v>
          </cell>
          <cell r="L144">
            <v>1.6679999999999999</v>
          </cell>
          <cell r="M144">
            <v>3</v>
          </cell>
          <cell r="N144">
            <v>6</v>
          </cell>
          <cell r="O144" t="e">
            <v>#N/A</v>
          </cell>
        </row>
        <row r="145">
          <cell r="A145" t="str">
            <v>B903YG</v>
          </cell>
          <cell r="B145" t="str">
            <v>P11台電4D</v>
          </cell>
          <cell r="C145" t="str">
            <v>TWD</v>
          </cell>
          <cell r="D145">
            <v>8.23</v>
          </cell>
          <cell r="E145">
            <v>8.99</v>
          </cell>
          <cell r="F145" t="str">
            <v/>
          </cell>
          <cell r="G145" t="str">
            <v/>
          </cell>
          <cell r="H145" t="str">
            <v/>
          </cell>
          <cell r="I145" t="str">
            <v/>
          </cell>
          <cell r="J145">
            <v>1.71</v>
          </cell>
          <cell r="K145">
            <v>1.708</v>
          </cell>
          <cell r="L145">
            <v>1.7090000000000001</v>
          </cell>
          <cell r="M145">
            <v>2</v>
          </cell>
          <cell r="N145">
            <v>4</v>
          </cell>
          <cell r="O145" t="e">
            <v>#N/A</v>
          </cell>
        </row>
        <row r="146">
          <cell r="A146" t="str">
            <v>B903Z6</v>
          </cell>
          <cell r="B146" t="str">
            <v>P12台電4B</v>
          </cell>
          <cell r="C146" t="str">
            <v>TWD</v>
          </cell>
          <cell r="D146">
            <v>4.76</v>
          </cell>
          <cell r="E146">
            <v>4.99</v>
          </cell>
          <cell r="F146" t="str">
            <v/>
          </cell>
          <cell r="G146" t="str">
            <v/>
          </cell>
          <cell r="H146" t="str">
            <v/>
          </cell>
          <cell r="I146" t="str">
            <v/>
          </cell>
          <cell r="J146">
            <v>1.57</v>
          </cell>
          <cell r="K146">
            <v>1.57</v>
          </cell>
          <cell r="L146">
            <v>1.57</v>
          </cell>
          <cell r="M146">
            <v>1</v>
          </cell>
          <cell r="N146">
            <v>5</v>
          </cell>
          <cell r="O146" t="e">
            <v>#N/A</v>
          </cell>
        </row>
        <row r="147">
          <cell r="A147" t="str">
            <v>B903Z8</v>
          </cell>
          <cell r="B147" t="str">
            <v>P12台電4D</v>
          </cell>
          <cell r="C147" t="str">
            <v>TWD</v>
          </cell>
          <cell r="D147">
            <v>9.11</v>
          </cell>
          <cell r="E147">
            <v>9.99</v>
          </cell>
          <cell r="F147" t="str">
            <v/>
          </cell>
          <cell r="G147" t="str">
            <v/>
          </cell>
          <cell r="H147" t="str">
            <v/>
          </cell>
          <cell r="I147" t="str">
            <v/>
          </cell>
          <cell r="J147">
            <v>1.72</v>
          </cell>
          <cell r="K147">
            <v>1.72</v>
          </cell>
          <cell r="L147">
            <v>1.72</v>
          </cell>
          <cell r="M147">
            <v>1</v>
          </cell>
          <cell r="N147">
            <v>2</v>
          </cell>
          <cell r="O147" t="e">
            <v>#N/A</v>
          </cell>
        </row>
        <row r="148">
          <cell r="A148" t="str">
            <v>B95458</v>
          </cell>
          <cell r="B148" t="str">
            <v>P09中控2B</v>
          </cell>
          <cell r="C148" t="str">
            <v>TWD</v>
          </cell>
          <cell r="D148">
            <v>3.95</v>
          </cell>
          <cell r="E148">
            <v>4.08</v>
          </cell>
          <cell r="F148" t="str">
            <v/>
          </cell>
          <cell r="G148" t="str">
            <v/>
          </cell>
          <cell r="H148" t="str">
            <v/>
          </cell>
          <cell r="I148" t="str">
            <v/>
          </cell>
          <cell r="J148">
            <v>1.605</v>
          </cell>
          <cell r="K148">
            <v>1.6</v>
          </cell>
          <cell r="L148">
            <v>1.6015999999999999</v>
          </cell>
          <cell r="M148">
            <v>3</v>
          </cell>
          <cell r="N148">
            <v>9</v>
          </cell>
          <cell r="O148" t="e">
            <v>#N/A</v>
          </cell>
        </row>
        <row r="149">
          <cell r="A149" t="str">
            <v>B98913</v>
          </cell>
          <cell r="B149" t="str">
            <v>P12國泰金1</v>
          </cell>
          <cell r="C149" t="str">
            <v>TWD</v>
          </cell>
          <cell r="D149">
            <v>4.5999999999999996</v>
          </cell>
          <cell r="E149">
            <v>4.82</v>
          </cell>
          <cell r="F149" t="str">
            <v/>
          </cell>
          <cell r="G149" t="str">
            <v/>
          </cell>
          <cell r="H149" t="str">
            <v/>
          </cell>
          <cell r="I149" t="str">
            <v/>
          </cell>
          <cell r="J149">
            <v>1.6</v>
          </cell>
          <cell r="K149">
            <v>1.6</v>
          </cell>
          <cell r="L149">
            <v>1.6</v>
          </cell>
          <cell r="M149">
            <v>1</v>
          </cell>
          <cell r="N149">
            <v>1</v>
          </cell>
          <cell r="O149" t="e">
            <v>#N/A</v>
          </cell>
        </row>
        <row r="150">
          <cell r="A150" t="str">
            <v>F02222</v>
          </cell>
          <cell r="B150" t="str">
            <v>16SG6</v>
          </cell>
          <cell r="C150" t="str">
            <v>NZD</v>
          </cell>
          <cell r="D150">
            <v>0</v>
          </cell>
          <cell r="E150">
            <v>0.84</v>
          </cell>
          <cell r="F150" t="str">
            <v/>
          </cell>
          <cell r="G150" t="str">
            <v/>
          </cell>
          <cell r="H150" t="str">
            <v/>
          </cell>
          <cell r="I150" t="str">
            <v/>
          </cell>
          <cell r="J150" t="str">
            <v>-</v>
          </cell>
          <cell r="K150" t="str">
            <v>-</v>
          </cell>
          <cell r="L150" t="str">
            <v>-</v>
          </cell>
          <cell r="M150">
            <v>2</v>
          </cell>
          <cell r="N150">
            <v>8.0000000000000004E-4</v>
          </cell>
          <cell r="O150" t="e">
            <v>#N/A</v>
          </cell>
        </row>
        <row r="151">
          <cell r="M151"/>
        </row>
        <row r="152">
          <cell r="M152"/>
        </row>
        <row r="153">
          <cell r="M153"/>
        </row>
        <row r="154">
          <cell r="M154"/>
        </row>
        <row r="155">
          <cell r="M155"/>
        </row>
        <row r="156">
          <cell r="M156"/>
        </row>
        <row r="157">
          <cell r="M157"/>
        </row>
        <row r="158">
          <cell r="M158"/>
        </row>
        <row r="159">
          <cell r="M159"/>
        </row>
        <row r="160">
          <cell r="M160"/>
        </row>
        <row r="161">
          <cell r="M161"/>
        </row>
        <row r="162">
          <cell r="M162"/>
        </row>
        <row r="163">
          <cell r="M163"/>
        </row>
        <row r="164">
          <cell r="M164"/>
        </row>
        <row r="165">
          <cell r="M165"/>
        </row>
        <row r="166">
          <cell r="M166"/>
        </row>
        <row r="167">
          <cell r="M167"/>
        </row>
        <row r="168">
          <cell r="M168"/>
        </row>
        <row r="169">
          <cell r="M169"/>
        </row>
        <row r="170">
          <cell r="M170"/>
        </row>
        <row r="171">
          <cell r="M171"/>
        </row>
        <row r="172">
          <cell r="M172"/>
        </row>
        <row r="173">
          <cell r="M173"/>
        </row>
        <row r="174">
          <cell r="M174"/>
        </row>
        <row r="175">
          <cell r="M175"/>
        </row>
        <row r="176">
          <cell r="M176"/>
        </row>
        <row r="177">
          <cell r="M177"/>
        </row>
        <row r="178">
          <cell r="M178"/>
        </row>
        <row r="179">
          <cell r="M179"/>
        </row>
        <row r="180">
          <cell r="M180"/>
        </row>
        <row r="181">
          <cell r="M181"/>
        </row>
        <row r="182">
          <cell r="M182"/>
        </row>
        <row r="183">
          <cell r="M183"/>
        </row>
        <row r="184">
          <cell r="M184"/>
        </row>
        <row r="185">
          <cell r="M185"/>
        </row>
        <row r="186">
          <cell r="M186"/>
        </row>
        <row r="187">
          <cell r="M187"/>
        </row>
        <row r="188">
          <cell r="M188"/>
        </row>
        <row r="189">
          <cell r="M189"/>
        </row>
        <row r="190">
          <cell r="M190"/>
        </row>
        <row r="191">
          <cell r="M191"/>
        </row>
        <row r="192">
          <cell r="M192"/>
        </row>
        <row r="193">
          <cell r="M193"/>
        </row>
        <row r="194">
          <cell r="M194"/>
        </row>
        <row r="195">
          <cell r="M195"/>
        </row>
        <row r="196">
          <cell r="M196"/>
        </row>
        <row r="197">
          <cell r="M197"/>
        </row>
        <row r="198">
          <cell r="M198"/>
        </row>
        <row r="199">
          <cell r="M199"/>
        </row>
        <row r="200">
          <cell r="M200"/>
        </row>
        <row r="201">
          <cell r="M201"/>
        </row>
        <row r="202">
          <cell r="M202"/>
        </row>
        <row r="203">
          <cell r="M203"/>
        </row>
        <row r="204">
          <cell r="M204"/>
        </row>
        <row r="205">
          <cell r="M205"/>
        </row>
        <row r="206">
          <cell r="M206"/>
        </row>
        <row r="207">
          <cell r="M207"/>
        </row>
        <row r="208">
          <cell r="M208"/>
        </row>
        <row r="209">
          <cell r="M209"/>
        </row>
        <row r="210">
          <cell r="M210"/>
        </row>
        <row r="211">
          <cell r="M211"/>
        </row>
        <row r="212">
          <cell r="M212"/>
        </row>
        <row r="213">
          <cell r="M213"/>
        </row>
        <row r="214">
          <cell r="M214"/>
        </row>
        <row r="215">
          <cell r="M215"/>
        </row>
        <row r="216">
          <cell r="M216"/>
        </row>
        <row r="217">
          <cell r="M217"/>
        </row>
        <row r="218">
          <cell r="M218"/>
        </row>
        <row r="219">
          <cell r="M219"/>
        </row>
        <row r="220">
          <cell r="M220"/>
        </row>
        <row r="221">
          <cell r="M221"/>
        </row>
        <row r="222">
          <cell r="M222"/>
        </row>
        <row r="223">
          <cell r="M223"/>
        </row>
        <row r="224">
          <cell r="M224"/>
        </row>
        <row r="225">
          <cell r="M225"/>
        </row>
        <row r="226">
          <cell r="M226"/>
        </row>
        <row r="227">
          <cell r="M227"/>
        </row>
        <row r="228">
          <cell r="M228"/>
        </row>
        <row r="229">
          <cell r="M229"/>
        </row>
        <row r="230">
          <cell r="M230"/>
        </row>
        <row r="231">
          <cell r="M231"/>
        </row>
        <row r="232">
          <cell r="M232"/>
        </row>
        <row r="233">
          <cell r="M233"/>
        </row>
        <row r="234">
          <cell r="M234"/>
        </row>
        <row r="235">
          <cell r="M235"/>
        </row>
        <row r="236">
          <cell r="M236"/>
        </row>
        <row r="237">
          <cell r="M237"/>
        </row>
        <row r="238">
          <cell r="M238"/>
        </row>
        <row r="239">
          <cell r="M239"/>
        </row>
        <row r="240">
          <cell r="M240"/>
        </row>
        <row r="241">
          <cell r="M241"/>
        </row>
        <row r="242">
          <cell r="M242"/>
        </row>
        <row r="243">
          <cell r="M243"/>
        </row>
        <row r="244">
          <cell r="M244"/>
        </row>
        <row r="245">
          <cell r="M245"/>
        </row>
        <row r="246">
          <cell r="M246"/>
        </row>
        <row r="247">
          <cell r="M247"/>
        </row>
        <row r="248">
          <cell r="M248"/>
        </row>
        <row r="249">
          <cell r="M249"/>
        </row>
        <row r="250">
          <cell r="M250"/>
        </row>
        <row r="251">
          <cell r="M251"/>
        </row>
        <row r="252">
          <cell r="M252"/>
        </row>
        <row r="253">
          <cell r="M253"/>
        </row>
        <row r="254">
          <cell r="M254"/>
        </row>
        <row r="255">
          <cell r="M255"/>
        </row>
        <row r="256">
          <cell r="M256"/>
        </row>
        <row r="257">
          <cell r="M257"/>
        </row>
        <row r="258">
          <cell r="M258"/>
        </row>
        <row r="259">
          <cell r="M259"/>
        </row>
        <row r="260">
          <cell r="M260"/>
        </row>
        <row r="261">
          <cell r="M261"/>
        </row>
        <row r="262">
          <cell r="M262"/>
        </row>
        <row r="263">
          <cell r="M263"/>
        </row>
        <row r="264">
          <cell r="M264"/>
        </row>
        <row r="265">
          <cell r="M265"/>
        </row>
        <row r="266">
          <cell r="M266"/>
        </row>
        <row r="267">
          <cell r="M267"/>
        </row>
        <row r="268">
          <cell r="M268"/>
        </row>
        <row r="269">
          <cell r="M269"/>
        </row>
        <row r="270">
          <cell r="M270"/>
        </row>
        <row r="271">
          <cell r="M271"/>
        </row>
        <row r="272">
          <cell r="M272"/>
        </row>
        <row r="273">
          <cell r="M273"/>
        </row>
        <row r="274">
          <cell r="M274"/>
        </row>
        <row r="275">
          <cell r="M275"/>
        </row>
        <row r="276">
          <cell r="M276"/>
        </row>
        <row r="277">
          <cell r="M277"/>
        </row>
        <row r="278">
          <cell r="M278"/>
        </row>
        <row r="279">
          <cell r="M279"/>
        </row>
        <row r="280">
          <cell r="M280"/>
        </row>
        <row r="281">
          <cell r="M281"/>
        </row>
        <row r="282">
          <cell r="M282"/>
        </row>
        <row r="283">
          <cell r="M283"/>
        </row>
        <row r="284">
          <cell r="M284"/>
        </row>
        <row r="285">
          <cell r="M285"/>
        </row>
        <row r="286">
          <cell r="M286"/>
        </row>
        <row r="287">
          <cell r="M287"/>
        </row>
        <row r="288">
          <cell r="M288"/>
        </row>
        <row r="289">
          <cell r="M289"/>
        </row>
        <row r="290">
          <cell r="M290"/>
        </row>
        <row r="291">
          <cell r="M291"/>
        </row>
        <row r="292">
          <cell r="M292"/>
        </row>
        <row r="293">
          <cell r="M293"/>
        </row>
        <row r="294">
          <cell r="M294"/>
        </row>
        <row r="295">
          <cell r="M295"/>
        </row>
        <row r="296">
          <cell r="M296"/>
        </row>
        <row r="297">
          <cell r="M297"/>
        </row>
        <row r="298">
          <cell r="M298"/>
        </row>
        <row r="299">
          <cell r="M299"/>
        </row>
        <row r="300">
          <cell r="M300"/>
        </row>
        <row r="301">
          <cell r="M301"/>
        </row>
        <row r="302">
          <cell r="M302"/>
        </row>
        <row r="303">
          <cell r="M303"/>
        </row>
        <row r="304">
          <cell r="M304"/>
        </row>
        <row r="305">
          <cell r="M305"/>
        </row>
        <row r="306">
          <cell r="M306"/>
        </row>
        <row r="307">
          <cell r="M307"/>
        </row>
        <row r="308">
          <cell r="M308"/>
        </row>
        <row r="309">
          <cell r="M309"/>
        </row>
        <row r="310">
          <cell r="M310"/>
        </row>
        <row r="311">
          <cell r="M311"/>
        </row>
        <row r="312">
          <cell r="M312"/>
        </row>
        <row r="313">
          <cell r="M313"/>
        </row>
        <row r="314">
          <cell r="M314"/>
        </row>
        <row r="315">
          <cell r="M315"/>
        </row>
        <row r="316">
          <cell r="M316"/>
        </row>
        <row r="317">
          <cell r="M317"/>
        </row>
        <row r="318">
          <cell r="M318"/>
        </row>
        <row r="319">
          <cell r="M319"/>
        </row>
        <row r="320">
          <cell r="M320"/>
        </row>
        <row r="321">
          <cell r="M321"/>
        </row>
      </sheetData>
    </sheetDataSet>
  </externalBook>
</externalLink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9.bin"/><Relationship Id="rId4" Type="http://schemas.openxmlformats.org/officeDocument/2006/relationships/ctrlProp" Target="../ctrlProps/ctrlProp1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76">
    <pageSetUpPr fitToPage="1"/>
  </sheetPr>
  <dimension ref="A1:T145"/>
  <sheetViews>
    <sheetView zoomScale="90" workbookViewId="0">
      <pane xSplit="1" ySplit="3" topLeftCell="B4" activePane="bottomRight" state="frozen"/>
      <selection sqref="A1:IV65536"/>
      <selection pane="topRight" sqref="A1:IV65536"/>
      <selection pane="bottomLeft" sqref="A1:IV65536"/>
      <selection pane="bottomRight" activeCell="H29" sqref="H29"/>
    </sheetView>
  </sheetViews>
  <sheetFormatPr defaultRowHeight="16.5" x14ac:dyDescent="0.25"/>
  <cols>
    <col min="1" max="1" width="9" style="7" customWidth="1"/>
    <col min="2" max="2" width="10.5" style="8" bestFit="1" customWidth="1"/>
    <col min="3" max="3" width="6.625" style="8" bestFit="1" customWidth="1"/>
    <col min="4" max="4" width="7.125" style="8" bestFit="1" customWidth="1"/>
    <col min="5" max="15" width="9" style="8"/>
    <col min="16" max="16" width="4" style="8" customWidth="1"/>
    <col min="17" max="17" width="6.625" style="28" customWidth="1"/>
    <col min="18" max="18" width="8.625" style="28" customWidth="1"/>
    <col min="19" max="19" width="11.375" style="31" bestFit="1" customWidth="1"/>
    <col min="20" max="20" width="11.25" style="31" bestFit="1" customWidth="1"/>
    <col min="21" max="256" width="9" style="8"/>
    <col min="257" max="257" width="9" style="8" customWidth="1"/>
    <col min="258" max="258" width="10.5" style="8" bestFit="1" customWidth="1"/>
    <col min="259" max="259" width="6.625" style="8" bestFit="1" customWidth="1"/>
    <col min="260" max="260" width="7.125" style="8" bestFit="1" customWidth="1"/>
    <col min="261" max="271" width="9" style="8"/>
    <col min="272" max="272" width="4" style="8" customWidth="1"/>
    <col min="273" max="273" width="6.625" style="8" customWidth="1"/>
    <col min="274" max="274" width="8.625" style="8" customWidth="1"/>
    <col min="275" max="275" width="11.375" style="8" bestFit="1" customWidth="1"/>
    <col min="276" max="276" width="11.25" style="8" bestFit="1" customWidth="1"/>
    <col min="277" max="512" width="9" style="8"/>
    <col min="513" max="513" width="9" style="8" customWidth="1"/>
    <col min="514" max="514" width="10.5" style="8" bestFit="1" customWidth="1"/>
    <col min="515" max="515" width="6.625" style="8" bestFit="1" customWidth="1"/>
    <col min="516" max="516" width="7.125" style="8" bestFit="1" customWidth="1"/>
    <col min="517" max="527" width="9" style="8"/>
    <col min="528" max="528" width="4" style="8" customWidth="1"/>
    <col min="529" max="529" width="6.625" style="8" customWidth="1"/>
    <col min="530" max="530" width="8.625" style="8" customWidth="1"/>
    <col min="531" max="531" width="11.375" style="8" bestFit="1" customWidth="1"/>
    <col min="532" max="532" width="11.25" style="8" bestFit="1" customWidth="1"/>
    <col min="533" max="768" width="9" style="8"/>
    <col min="769" max="769" width="9" style="8" customWidth="1"/>
    <col min="770" max="770" width="10.5" style="8" bestFit="1" customWidth="1"/>
    <col min="771" max="771" width="6.625" style="8" bestFit="1" customWidth="1"/>
    <col min="772" max="772" width="7.125" style="8" bestFit="1" customWidth="1"/>
    <col min="773" max="783" width="9" style="8"/>
    <col min="784" max="784" width="4" style="8" customWidth="1"/>
    <col min="785" max="785" width="6.625" style="8" customWidth="1"/>
    <col min="786" max="786" width="8.625" style="8" customWidth="1"/>
    <col min="787" max="787" width="11.375" style="8" bestFit="1" customWidth="1"/>
    <col min="788" max="788" width="11.25" style="8" bestFit="1" customWidth="1"/>
    <col min="789" max="1024" width="9" style="8"/>
    <col min="1025" max="1025" width="9" style="8" customWidth="1"/>
    <col min="1026" max="1026" width="10.5" style="8" bestFit="1" customWidth="1"/>
    <col min="1027" max="1027" width="6.625" style="8" bestFit="1" customWidth="1"/>
    <col min="1028" max="1028" width="7.125" style="8" bestFit="1" customWidth="1"/>
    <col min="1029" max="1039" width="9" style="8"/>
    <col min="1040" max="1040" width="4" style="8" customWidth="1"/>
    <col min="1041" max="1041" width="6.625" style="8" customWidth="1"/>
    <col min="1042" max="1042" width="8.625" style="8" customWidth="1"/>
    <col min="1043" max="1043" width="11.375" style="8" bestFit="1" customWidth="1"/>
    <col min="1044" max="1044" width="11.25" style="8" bestFit="1" customWidth="1"/>
    <col min="1045" max="1280" width="9" style="8"/>
    <col min="1281" max="1281" width="9" style="8" customWidth="1"/>
    <col min="1282" max="1282" width="10.5" style="8" bestFit="1" customWidth="1"/>
    <col min="1283" max="1283" width="6.625" style="8" bestFit="1" customWidth="1"/>
    <col min="1284" max="1284" width="7.125" style="8" bestFit="1" customWidth="1"/>
    <col min="1285" max="1295" width="9" style="8"/>
    <col min="1296" max="1296" width="4" style="8" customWidth="1"/>
    <col min="1297" max="1297" width="6.625" style="8" customWidth="1"/>
    <col min="1298" max="1298" width="8.625" style="8" customWidth="1"/>
    <col min="1299" max="1299" width="11.375" style="8" bestFit="1" customWidth="1"/>
    <col min="1300" max="1300" width="11.25" style="8" bestFit="1" customWidth="1"/>
    <col min="1301" max="1536" width="9" style="8"/>
    <col min="1537" max="1537" width="9" style="8" customWidth="1"/>
    <col min="1538" max="1538" width="10.5" style="8" bestFit="1" customWidth="1"/>
    <col min="1539" max="1539" width="6.625" style="8" bestFit="1" customWidth="1"/>
    <col min="1540" max="1540" width="7.125" style="8" bestFit="1" customWidth="1"/>
    <col min="1541" max="1551" width="9" style="8"/>
    <col min="1552" max="1552" width="4" style="8" customWidth="1"/>
    <col min="1553" max="1553" width="6.625" style="8" customWidth="1"/>
    <col min="1554" max="1554" width="8.625" style="8" customWidth="1"/>
    <col min="1555" max="1555" width="11.375" style="8" bestFit="1" customWidth="1"/>
    <col min="1556" max="1556" width="11.25" style="8" bestFit="1" customWidth="1"/>
    <col min="1557" max="1792" width="9" style="8"/>
    <col min="1793" max="1793" width="9" style="8" customWidth="1"/>
    <col min="1794" max="1794" width="10.5" style="8" bestFit="1" customWidth="1"/>
    <col min="1795" max="1795" width="6.625" style="8" bestFit="1" customWidth="1"/>
    <col min="1796" max="1796" width="7.125" style="8" bestFit="1" customWidth="1"/>
    <col min="1797" max="1807" width="9" style="8"/>
    <col min="1808" max="1808" width="4" style="8" customWidth="1"/>
    <col min="1809" max="1809" width="6.625" style="8" customWidth="1"/>
    <col min="1810" max="1810" width="8.625" style="8" customWidth="1"/>
    <col min="1811" max="1811" width="11.375" style="8" bestFit="1" customWidth="1"/>
    <col min="1812" max="1812" width="11.25" style="8" bestFit="1" customWidth="1"/>
    <col min="1813" max="2048" width="9" style="8"/>
    <col min="2049" max="2049" width="9" style="8" customWidth="1"/>
    <col min="2050" max="2050" width="10.5" style="8" bestFit="1" customWidth="1"/>
    <col min="2051" max="2051" width="6.625" style="8" bestFit="1" customWidth="1"/>
    <col min="2052" max="2052" width="7.125" style="8" bestFit="1" customWidth="1"/>
    <col min="2053" max="2063" width="9" style="8"/>
    <col min="2064" max="2064" width="4" style="8" customWidth="1"/>
    <col min="2065" max="2065" width="6.625" style="8" customWidth="1"/>
    <col min="2066" max="2066" width="8.625" style="8" customWidth="1"/>
    <col min="2067" max="2067" width="11.375" style="8" bestFit="1" customWidth="1"/>
    <col min="2068" max="2068" width="11.25" style="8" bestFit="1" customWidth="1"/>
    <col min="2069" max="2304" width="9" style="8"/>
    <col min="2305" max="2305" width="9" style="8" customWidth="1"/>
    <col min="2306" max="2306" width="10.5" style="8" bestFit="1" customWidth="1"/>
    <col min="2307" max="2307" width="6.625" style="8" bestFit="1" customWidth="1"/>
    <col min="2308" max="2308" width="7.125" style="8" bestFit="1" customWidth="1"/>
    <col min="2309" max="2319" width="9" style="8"/>
    <col min="2320" max="2320" width="4" style="8" customWidth="1"/>
    <col min="2321" max="2321" width="6.625" style="8" customWidth="1"/>
    <col min="2322" max="2322" width="8.625" style="8" customWidth="1"/>
    <col min="2323" max="2323" width="11.375" style="8" bestFit="1" customWidth="1"/>
    <col min="2324" max="2324" width="11.25" style="8" bestFit="1" customWidth="1"/>
    <col min="2325" max="2560" width="9" style="8"/>
    <col min="2561" max="2561" width="9" style="8" customWidth="1"/>
    <col min="2562" max="2562" width="10.5" style="8" bestFit="1" customWidth="1"/>
    <col min="2563" max="2563" width="6.625" style="8" bestFit="1" customWidth="1"/>
    <col min="2564" max="2564" width="7.125" style="8" bestFit="1" customWidth="1"/>
    <col min="2565" max="2575" width="9" style="8"/>
    <col min="2576" max="2576" width="4" style="8" customWidth="1"/>
    <col min="2577" max="2577" width="6.625" style="8" customWidth="1"/>
    <col min="2578" max="2578" width="8.625" style="8" customWidth="1"/>
    <col min="2579" max="2579" width="11.375" style="8" bestFit="1" customWidth="1"/>
    <col min="2580" max="2580" width="11.25" style="8" bestFit="1" customWidth="1"/>
    <col min="2581" max="2816" width="9" style="8"/>
    <col min="2817" max="2817" width="9" style="8" customWidth="1"/>
    <col min="2818" max="2818" width="10.5" style="8" bestFit="1" customWidth="1"/>
    <col min="2819" max="2819" width="6.625" style="8" bestFit="1" customWidth="1"/>
    <col min="2820" max="2820" width="7.125" style="8" bestFit="1" customWidth="1"/>
    <col min="2821" max="2831" width="9" style="8"/>
    <col min="2832" max="2832" width="4" style="8" customWidth="1"/>
    <col min="2833" max="2833" width="6.625" style="8" customWidth="1"/>
    <col min="2834" max="2834" width="8.625" style="8" customWidth="1"/>
    <col min="2835" max="2835" width="11.375" style="8" bestFit="1" customWidth="1"/>
    <col min="2836" max="2836" width="11.25" style="8" bestFit="1" customWidth="1"/>
    <col min="2837" max="3072" width="9" style="8"/>
    <col min="3073" max="3073" width="9" style="8" customWidth="1"/>
    <col min="3074" max="3074" width="10.5" style="8" bestFit="1" customWidth="1"/>
    <col min="3075" max="3075" width="6.625" style="8" bestFit="1" customWidth="1"/>
    <col min="3076" max="3076" width="7.125" style="8" bestFit="1" customWidth="1"/>
    <col min="3077" max="3087" width="9" style="8"/>
    <col min="3088" max="3088" width="4" style="8" customWidth="1"/>
    <col min="3089" max="3089" width="6.625" style="8" customWidth="1"/>
    <col min="3090" max="3090" width="8.625" style="8" customWidth="1"/>
    <col min="3091" max="3091" width="11.375" style="8" bestFit="1" customWidth="1"/>
    <col min="3092" max="3092" width="11.25" style="8" bestFit="1" customWidth="1"/>
    <col min="3093" max="3328" width="9" style="8"/>
    <col min="3329" max="3329" width="9" style="8" customWidth="1"/>
    <col min="3330" max="3330" width="10.5" style="8" bestFit="1" customWidth="1"/>
    <col min="3331" max="3331" width="6.625" style="8" bestFit="1" customWidth="1"/>
    <col min="3332" max="3332" width="7.125" style="8" bestFit="1" customWidth="1"/>
    <col min="3333" max="3343" width="9" style="8"/>
    <col min="3344" max="3344" width="4" style="8" customWidth="1"/>
    <col min="3345" max="3345" width="6.625" style="8" customWidth="1"/>
    <col min="3346" max="3346" width="8.625" style="8" customWidth="1"/>
    <col min="3347" max="3347" width="11.375" style="8" bestFit="1" customWidth="1"/>
    <col min="3348" max="3348" width="11.25" style="8" bestFit="1" customWidth="1"/>
    <col min="3349" max="3584" width="9" style="8"/>
    <col min="3585" max="3585" width="9" style="8" customWidth="1"/>
    <col min="3586" max="3586" width="10.5" style="8" bestFit="1" customWidth="1"/>
    <col min="3587" max="3587" width="6.625" style="8" bestFit="1" customWidth="1"/>
    <col min="3588" max="3588" width="7.125" style="8" bestFit="1" customWidth="1"/>
    <col min="3589" max="3599" width="9" style="8"/>
    <col min="3600" max="3600" width="4" style="8" customWidth="1"/>
    <col min="3601" max="3601" width="6.625" style="8" customWidth="1"/>
    <col min="3602" max="3602" width="8.625" style="8" customWidth="1"/>
    <col min="3603" max="3603" width="11.375" style="8" bestFit="1" customWidth="1"/>
    <col min="3604" max="3604" width="11.25" style="8" bestFit="1" customWidth="1"/>
    <col min="3605" max="3840" width="9" style="8"/>
    <col min="3841" max="3841" width="9" style="8" customWidth="1"/>
    <col min="3842" max="3842" width="10.5" style="8" bestFit="1" customWidth="1"/>
    <col min="3843" max="3843" width="6.625" style="8" bestFit="1" customWidth="1"/>
    <col min="3844" max="3844" width="7.125" style="8" bestFit="1" customWidth="1"/>
    <col min="3845" max="3855" width="9" style="8"/>
    <col min="3856" max="3856" width="4" style="8" customWidth="1"/>
    <col min="3857" max="3857" width="6.625" style="8" customWidth="1"/>
    <col min="3858" max="3858" width="8.625" style="8" customWidth="1"/>
    <col min="3859" max="3859" width="11.375" style="8" bestFit="1" customWidth="1"/>
    <col min="3860" max="3860" width="11.25" style="8" bestFit="1" customWidth="1"/>
    <col min="3861" max="4096" width="9" style="8"/>
    <col min="4097" max="4097" width="9" style="8" customWidth="1"/>
    <col min="4098" max="4098" width="10.5" style="8" bestFit="1" customWidth="1"/>
    <col min="4099" max="4099" width="6.625" style="8" bestFit="1" customWidth="1"/>
    <col min="4100" max="4100" width="7.125" style="8" bestFit="1" customWidth="1"/>
    <col min="4101" max="4111" width="9" style="8"/>
    <col min="4112" max="4112" width="4" style="8" customWidth="1"/>
    <col min="4113" max="4113" width="6.625" style="8" customWidth="1"/>
    <col min="4114" max="4114" width="8.625" style="8" customWidth="1"/>
    <col min="4115" max="4115" width="11.375" style="8" bestFit="1" customWidth="1"/>
    <col min="4116" max="4116" width="11.25" style="8" bestFit="1" customWidth="1"/>
    <col min="4117" max="4352" width="9" style="8"/>
    <col min="4353" max="4353" width="9" style="8" customWidth="1"/>
    <col min="4354" max="4354" width="10.5" style="8" bestFit="1" customWidth="1"/>
    <col min="4355" max="4355" width="6.625" style="8" bestFit="1" customWidth="1"/>
    <col min="4356" max="4356" width="7.125" style="8" bestFit="1" customWidth="1"/>
    <col min="4357" max="4367" width="9" style="8"/>
    <col min="4368" max="4368" width="4" style="8" customWidth="1"/>
    <col min="4369" max="4369" width="6.625" style="8" customWidth="1"/>
    <col min="4370" max="4370" width="8.625" style="8" customWidth="1"/>
    <col min="4371" max="4371" width="11.375" style="8" bestFit="1" customWidth="1"/>
    <col min="4372" max="4372" width="11.25" style="8" bestFit="1" customWidth="1"/>
    <col min="4373" max="4608" width="9" style="8"/>
    <col min="4609" max="4609" width="9" style="8" customWidth="1"/>
    <col min="4610" max="4610" width="10.5" style="8" bestFit="1" customWidth="1"/>
    <col min="4611" max="4611" width="6.625" style="8" bestFit="1" customWidth="1"/>
    <col min="4612" max="4612" width="7.125" style="8" bestFit="1" customWidth="1"/>
    <col min="4613" max="4623" width="9" style="8"/>
    <col min="4624" max="4624" width="4" style="8" customWidth="1"/>
    <col min="4625" max="4625" width="6.625" style="8" customWidth="1"/>
    <col min="4626" max="4626" width="8.625" style="8" customWidth="1"/>
    <col min="4627" max="4627" width="11.375" style="8" bestFit="1" customWidth="1"/>
    <col min="4628" max="4628" width="11.25" style="8" bestFit="1" customWidth="1"/>
    <col min="4629" max="4864" width="9" style="8"/>
    <col min="4865" max="4865" width="9" style="8" customWidth="1"/>
    <col min="4866" max="4866" width="10.5" style="8" bestFit="1" customWidth="1"/>
    <col min="4867" max="4867" width="6.625" style="8" bestFit="1" customWidth="1"/>
    <col min="4868" max="4868" width="7.125" style="8" bestFit="1" customWidth="1"/>
    <col min="4869" max="4879" width="9" style="8"/>
    <col min="4880" max="4880" width="4" style="8" customWidth="1"/>
    <col min="4881" max="4881" width="6.625" style="8" customWidth="1"/>
    <col min="4882" max="4882" width="8.625" style="8" customWidth="1"/>
    <col min="4883" max="4883" width="11.375" style="8" bestFit="1" customWidth="1"/>
    <col min="4884" max="4884" width="11.25" style="8" bestFit="1" customWidth="1"/>
    <col min="4885" max="5120" width="9" style="8"/>
    <col min="5121" max="5121" width="9" style="8" customWidth="1"/>
    <col min="5122" max="5122" width="10.5" style="8" bestFit="1" customWidth="1"/>
    <col min="5123" max="5123" width="6.625" style="8" bestFit="1" customWidth="1"/>
    <col min="5124" max="5124" width="7.125" style="8" bestFit="1" customWidth="1"/>
    <col min="5125" max="5135" width="9" style="8"/>
    <col min="5136" max="5136" width="4" style="8" customWidth="1"/>
    <col min="5137" max="5137" width="6.625" style="8" customWidth="1"/>
    <col min="5138" max="5138" width="8.625" style="8" customWidth="1"/>
    <col min="5139" max="5139" width="11.375" style="8" bestFit="1" customWidth="1"/>
    <col min="5140" max="5140" width="11.25" style="8" bestFit="1" customWidth="1"/>
    <col min="5141" max="5376" width="9" style="8"/>
    <col min="5377" max="5377" width="9" style="8" customWidth="1"/>
    <col min="5378" max="5378" width="10.5" style="8" bestFit="1" customWidth="1"/>
    <col min="5379" max="5379" width="6.625" style="8" bestFit="1" customWidth="1"/>
    <col min="5380" max="5380" width="7.125" style="8" bestFit="1" customWidth="1"/>
    <col min="5381" max="5391" width="9" style="8"/>
    <col min="5392" max="5392" width="4" style="8" customWidth="1"/>
    <col min="5393" max="5393" width="6.625" style="8" customWidth="1"/>
    <col min="5394" max="5394" width="8.625" style="8" customWidth="1"/>
    <col min="5395" max="5395" width="11.375" style="8" bestFit="1" customWidth="1"/>
    <col min="5396" max="5396" width="11.25" style="8" bestFit="1" customWidth="1"/>
    <col min="5397" max="5632" width="9" style="8"/>
    <col min="5633" max="5633" width="9" style="8" customWidth="1"/>
    <col min="5634" max="5634" width="10.5" style="8" bestFit="1" customWidth="1"/>
    <col min="5635" max="5635" width="6.625" style="8" bestFit="1" customWidth="1"/>
    <col min="5636" max="5636" width="7.125" style="8" bestFit="1" customWidth="1"/>
    <col min="5637" max="5647" width="9" style="8"/>
    <col min="5648" max="5648" width="4" style="8" customWidth="1"/>
    <col min="5649" max="5649" width="6.625" style="8" customWidth="1"/>
    <col min="5650" max="5650" width="8.625" style="8" customWidth="1"/>
    <col min="5651" max="5651" width="11.375" style="8" bestFit="1" customWidth="1"/>
    <col min="5652" max="5652" width="11.25" style="8" bestFit="1" customWidth="1"/>
    <col min="5653" max="5888" width="9" style="8"/>
    <col min="5889" max="5889" width="9" style="8" customWidth="1"/>
    <col min="5890" max="5890" width="10.5" style="8" bestFit="1" customWidth="1"/>
    <col min="5891" max="5891" width="6.625" style="8" bestFit="1" customWidth="1"/>
    <col min="5892" max="5892" width="7.125" style="8" bestFit="1" customWidth="1"/>
    <col min="5893" max="5903" width="9" style="8"/>
    <col min="5904" max="5904" width="4" style="8" customWidth="1"/>
    <col min="5905" max="5905" width="6.625" style="8" customWidth="1"/>
    <col min="5906" max="5906" width="8.625" style="8" customWidth="1"/>
    <col min="5907" max="5907" width="11.375" style="8" bestFit="1" customWidth="1"/>
    <col min="5908" max="5908" width="11.25" style="8" bestFit="1" customWidth="1"/>
    <col min="5909" max="6144" width="9" style="8"/>
    <col min="6145" max="6145" width="9" style="8" customWidth="1"/>
    <col min="6146" max="6146" width="10.5" style="8" bestFit="1" customWidth="1"/>
    <col min="6147" max="6147" width="6.625" style="8" bestFit="1" customWidth="1"/>
    <col min="6148" max="6148" width="7.125" style="8" bestFit="1" customWidth="1"/>
    <col min="6149" max="6159" width="9" style="8"/>
    <col min="6160" max="6160" width="4" style="8" customWidth="1"/>
    <col min="6161" max="6161" width="6.625" style="8" customWidth="1"/>
    <col min="6162" max="6162" width="8.625" style="8" customWidth="1"/>
    <col min="6163" max="6163" width="11.375" style="8" bestFit="1" customWidth="1"/>
    <col min="6164" max="6164" width="11.25" style="8" bestFit="1" customWidth="1"/>
    <col min="6165" max="6400" width="9" style="8"/>
    <col min="6401" max="6401" width="9" style="8" customWidth="1"/>
    <col min="6402" max="6402" width="10.5" style="8" bestFit="1" customWidth="1"/>
    <col min="6403" max="6403" width="6.625" style="8" bestFit="1" customWidth="1"/>
    <col min="6404" max="6404" width="7.125" style="8" bestFit="1" customWidth="1"/>
    <col min="6405" max="6415" width="9" style="8"/>
    <col min="6416" max="6416" width="4" style="8" customWidth="1"/>
    <col min="6417" max="6417" width="6.625" style="8" customWidth="1"/>
    <col min="6418" max="6418" width="8.625" style="8" customWidth="1"/>
    <col min="6419" max="6419" width="11.375" style="8" bestFit="1" customWidth="1"/>
    <col min="6420" max="6420" width="11.25" style="8" bestFit="1" customWidth="1"/>
    <col min="6421" max="6656" width="9" style="8"/>
    <col min="6657" max="6657" width="9" style="8" customWidth="1"/>
    <col min="6658" max="6658" width="10.5" style="8" bestFit="1" customWidth="1"/>
    <col min="6659" max="6659" width="6.625" style="8" bestFit="1" customWidth="1"/>
    <col min="6660" max="6660" width="7.125" style="8" bestFit="1" customWidth="1"/>
    <col min="6661" max="6671" width="9" style="8"/>
    <col min="6672" max="6672" width="4" style="8" customWidth="1"/>
    <col min="6673" max="6673" width="6.625" style="8" customWidth="1"/>
    <col min="6674" max="6674" width="8.625" style="8" customWidth="1"/>
    <col min="6675" max="6675" width="11.375" style="8" bestFit="1" customWidth="1"/>
    <col min="6676" max="6676" width="11.25" style="8" bestFit="1" customWidth="1"/>
    <col min="6677" max="6912" width="9" style="8"/>
    <col min="6913" max="6913" width="9" style="8" customWidth="1"/>
    <col min="6914" max="6914" width="10.5" style="8" bestFit="1" customWidth="1"/>
    <col min="6915" max="6915" width="6.625" style="8" bestFit="1" customWidth="1"/>
    <col min="6916" max="6916" width="7.125" style="8" bestFit="1" customWidth="1"/>
    <col min="6917" max="6927" width="9" style="8"/>
    <col min="6928" max="6928" width="4" style="8" customWidth="1"/>
    <col min="6929" max="6929" width="6.625" style="8" customWidth="1"/>
    <col min="6930" max="6930" width="8.625" style="8" customWidth="1"/>
    <col min="6931" max="6931" width="11.375" style="8" bestFit="1" customWidth="1"/>
    <col min="6932" max="6932" width="11.25" style="8" bestFit="1" customWidth="1"/>
    <col min="6933" max="7168" width="9" style="8"/>
    <col min="7169" max="7169" width="9" style="8" customWidth="1"/>
    <col min="7170" max="7170" width="10.5" style="8" bestFit="1" customWidth="1"/>
    <col min="7171" max="7171" width="6.625" style="8" bestFit="1" customWidth="1"/>
    <col min="7172" max="7172" width="7.125" style="8" bestFit="1" customWidth="1"/>
    <col min="7173" max="7183" width="9" style="8"/>
    <col min="7184" max="7184" width="4" style="8" customWidth="1"/>
    <col min="7185" max="7185" width="6.625" style="8" customWidth="1"/>
    <col min="7186" max="7186" width="8.625" style="8" customWidth="1"/>
    <col min="7187" max="7187" width="11.375" style="8" bestFit="1" customWidth="1"/>
    <col min="7188" max="7188" width="11.25" style="8" bestFit="1" customWidth="1"/>
    <col min="7189" max="7424" width="9" style="8"/>
    <col min="7425" max="7425" width="9" style="8" customWidth="1"/>
    <col min="7426" max="7426" width="10.5" style="8" bestFit="1" customWidth="1"/>
    <col min="7427" max="7427" width="6.625" style="8" bestFit="1" customWidth="1"/>
    <col min="7428" max="7428" width="7.125" style="8" bestFit="1" customWidth="1"/>
    <col min="7429" max="7439" width="9" style="8"/>
    <col min="7440" max="7440" width="4" style="8" customWidth="1"/>
    <col min="7441" max="7441" width="6.625" style="8" customWidth="1"/>
    <col min="7442" max="7442" width="8.625" style="8" customWidth="1"/>
    <col min="7443" max="7443" width="11.375" style="8" bestFit="1" customWidth="1"/>
    <col min="7444" max="7444" width="11.25" style="8" bestFit="1" customWidth="1"/>
    <col min="7445" max="7680" width="9" style="8"/>
    <col min="7681" max="7681" width="9" style="8" customWidth="1"/>
    <col min="7682" max="7682" width="10.5" style="8" bestFit="1" customWidth="1"/>
    <col min="7683" max="7683" width="6.625" style="8" bestFit="1" customWidth="1"/>
    <col min="7684" max="7684" width="7.125" style="8" bestFit="1" customWidth="1"/>
    <col min="7685" max="7695" width="9" style="8"/>
    <col min="7696" max="7696" width="4" style="8" customWidth="1"/>
    <col min="7697" max="7697" width="6.625" style="8" customWidth="1"/>
    <col min="7698" max="7698" width="8.625" style="8" customWidth="1"/>
    <col min="7699" max="7699" width="11.375" style="8" bestFit="1" customWidth="1"/>
    <col min="7700" max="7700" width="11.25" style="8" bestFit="1" customWidth="1"/>
    <col min="7701" max="7936" width="9" style="8"/>
    <col min="7937" max="7937" width="9" style="8" customWidth="1"/>
    <col min="7938" max="7938" width="10.5" style="8" bestFit="1" customWidth="1"/>
    <col min="7939" max="7939" width="6.625" style="8" bestFit="1" customWidth="1"/>
    <col min="7940" max="7940" width="7.125" style="8" bestFit="1" customWidth="1"/>
    <col min="7941" max="7951" width="9" style="8"/>
    <col min="7952" max="7952" width="4" style="8" customWidth="1"/>
    <col min="7953" max="7953" width="6.625" style="8" customWidth="1"/>
    <col min="7954" max="7954" width="8.625" style="8" customWidth="1"/>
    <col min="7955" max="7955" width="11.375" style="8" bestFit="1" customWidth="1"/>
    <col min="7956" max="7956" width="11.25" style="8" bestFit="1" customWidth="1"/>
    <col min="7957" max="8192" width="9" style="8"/>
    <col min="8193" max="8193" width="9" style="8" customWidth="1"/>
    <col min="8194" max="8194" width="10.5" style="8" bestFit="1" customWidth="1"/>
    <col min="8195" max="8195" width="6.625" style="8" bestFit="1" customWidth="1"/>
    <col min="8196" max="8196" width="7.125" style="8" bestFit="1" customWidth="1"/>
    <col min="8197" max="8207" width="9" style="8"/>
    <col min="8208" max="8208" width="4" style="8" customWidth="1"/>
    <col min="8209" max="8209" width="6.625" style="8" customWidth="1"/>
    <col min="8210" max="8210" width="8.625" style="8" customWidth="1"/>
    <col min="8211" max="8211" width="11.375" style="8" bestFit="1" customWidth="1"/>
    <col min="8212" max="8212" width="11.25" style="8" bestFit="1" customWidth="1"/>
    <col min="8213" max="8448" width="9" style="8"/>
    <col min="8449" max="8449" width="9" style="8" customWidth="1"/>
    <col min="8450" max="8450" width="10.5" style="8" bestFit="1" customWidth="1"/>
    <col min="8451" max="8451" width="6.625" style="8" bestFit="1" customWidth="1"/>
    <col min="8452" max="8452" width="7.125" style="8" bestFit="1" customWidth="1"/>
    <col min="8453" max="8463" width="9" style="8"/>
    <col min="8464" max="8464" width="4" style="8" customWidth="1"/>
    <col min="8465" max="8465" width="6.625" style="8" customWidth="1"/>
    <col min="8466" max="8466" width="8.625" style="8" customWidth="1"/>
    <col min="8467" max="8467" width="11.375" style="8" bestFit="1" customWidth="1"/>
    <col min="8468" max="8468" width="11.25" style="8" bestFit="1" customWidth="1"/>
    <col min="8469" max="8704" width="9" style="8"/>
    <col min="8705" max="8705" width="9" style="8" customWidth="1"/>
    <col min="8706" max="8706" width="10.5" style="8" bestFit="1" customWidth="1"/>
    <col min="8707" max="8707" width="6.625" style="8" bestFit="1" customWidth="1"/>
    <col min="8708" max="8708" width="7.125" style="8" bestFit="1" customWidth="1"/>
    <col min="8709" max="8719" width="9" style="8"/>
    <col min="8720" max="8720" width="4" style="8" customWidth="1"/>
    <col min="8721" max="8721" width="6.625" style="8" customWidth="1"/>
    <col min="8722" max="8722" width="8.625" style="8" customWidth="1"/>
    <col min="8723" max="8723" width="11.375" style="8" bestFit="1" customWidth="1"/>
    <col min="8724" max="8724" width="11.25" style="8" bestFit="1" customWidth="1"/>
    <col min="8725" max="8960" width="9" style="8"/>
    <col min="8961" max="8961" width="9" style="8" customWidth="1"/>
    <col min="8962" max="8962" width="10.5" style="8" bestFit="1" customWidth="1"/>
    <col min="8963" max="8963" width="6.625" style="8" bestFit="1" customWidth="1"/>
    <col min="8964" max="8964" width="7.125" style="8" bestFit="1" customWidth="1"/>
    <col min="8965" max="8975" width="9" style="8"/>
    <col min="8976" max="8976" width="4" style="8" customWidth="1"/>
    <col min="8977" max="8977" width="6.625" style="8" customWidth="1"/>
    <col min="8978" max="8978" width="8.625" style="8" customWidth="1"/>
    <col min="8979" max="8979" width="11.375" style="8" bestFit="1" customWidth="1"/>
    <col min="8980" max="8980" width="11.25" style="8" bestFit="1" customWidth="1"/>
    <col min="8981" max="9216" width="9" style="8"/>
    <col min="9217" max="9217" width="9" style="8" customWidth="1"/>
    <col min="9218" max="9218" width="10.5" style="8" bestFit="1" customWidth="1"/>
    <col min="9219" max="9219" width="6.625" style="8" bestFit="1" customWidth="1"/>
    <col min="9220" max="9220" width="7.125" style="8" bestFit="1" customWidth="1"/>
    <col min="9221" max="9231" width="9" style="8"/>
    <col min="9232" max="9232" width="4" style="8" customWidth="1"/>
    <col min="9233" max="9233" width="6.625" style="8" customWidth="1"/>
    <col min="9234" max="9234" width="8.625" style="8" customWidth="1"/>
    <col min="9235" max="9235" width="11.375" style="8" bestFit="1" customWidth="1"/>
    <col min="9236" max="9236" width="11.25" style="8" bestFit="1" customWidth="1"/>
    <col min="9237" max="9472" width="9" style="8"/>
    <col min="9473" max="9473" width="9" style="8" customWidth="1"/>
    <col min="9474" max="9474" width="10.5" style="8" bestFit="1" customWidth="1"/>
    <col min="9475" max="9475" width="6.625" style="8" bestFit="1" customWidth="1"/>
    <col min="9476" max="9476" width="7.125" style="8" bestFit="1" customWidth="1"/>
    <col min="9477" max="9487" width="9" style="8"/>
    <col min="9488" max="9488" width="4" style="8" customWidth="1"/>
    <col min="9489" max="9489" width="6.625" style="8" customWidth="1"/>
    <col min="9490" max="9490" width="8.625" style="8" customWidth="1"/>
    <col min="9491" max="9491" width="11.375" style="8" bestFit="1" customWidth="1"/>
    <col min="9492" max="9492" width="11.25" style="8" bestFit="1" customWidth="1"/>
    <col min="9493" max="9728" width="9" style="8"/>
    <col min="9729" max="9729" width="9" style="8" customWidth="1"/>
    <col min="9730" max="9730" width="10.5" style="8" bestFit="1" customWidth="1"/>
    <col min="9731" max="9731" width="6.625" style="8" bestFit="1" customWidth="1"/>
    <col min="9732" max="9732" width="7.125" style="8" bestFit="1" customWidth="1"/>
    <col min="9733" max="9743" width="9" style="8"/>
    <col min="9744" max="9744" width="4" style="8" customWidth="1"/>
    <col min="9745" max="9745" width="6.625" style="8" customWidth="1"/>
    <col min="9746" max="9746" width="8.625" style="8" customWidth="1"/>
    <col min="9747" max="9747" width="11.375" style="8" bestFit="1" customWidth="1"/>
    <col min="9748" max="9748" width="11.25" style="8" bestFit="1" customWidth="1"/>
    <col min="9749" max="9984" width="9" style="8"/>
    <col min="9985" max="9985" width="9" style="8" customWidth="1"/>
    <col min="9986" max="9986" width="10.5" style="8" bestFit="1" customWidth="1"/>
    <col min="9987" max="9987" width="6.625" style="8" bestFit="1" customWidth="1"/>
    <col min="9988" max="9988" width="7.125" style="8" bestFit="1" customWidth="1"/>
    <col min="9989" max="9999" width="9" style="8"/>
    <col min="10000" max="10000" width="4" style="8" customWidth="1"/>
    <col min="10001" max="10001" width="6.625" style="8" customWidth="1"/>
    <col min="10002" max="10002" width="8.625" style="8" customWidth="1"/>
    <col min="10003" max="10003" width="11.375" style="8" bestFit="1" customWidth="1"/>
    <col min="10004" max="10004" width="11.25" style="8" bestFit="1" customWidth="1"/>
    <col min="10005" max="10240" width="9" style="8"/>
    <col min="10241" max="10241" width="9" style="8" customWidth="1"/>
    <col min="10242" max="10242" width="10.5" style="8" bestFit="1" customWidth="1"/>
    <col min="10243" max="10243" width="6.625" style="8" bestFit="1" customWidth="1"/>
    <col min="10244" max="10244" width="7.125" style="8" bestFit="1" customWidth="1"/>
    <col min="10245" max="10255" width="9" style="8"/>
    <col min="10256" max="10256" width="4" style="8" customWidth="1"/>
    <col min="10257" max="10257" width="6.625" style="8" customWidth="1"/>
    <col min="10258" max="10258" width="8.625" style="8" customWidth="1"/>
    <col min="10259" max="10259" width="11.375" style="8" bestFit="1" customWidth="1"/>
    <col min="10260" max="10260" width="11.25" style="8" bestFit="1" customWidth="1"/>
    <col min="10261" max="10496" width="9" style="8"/>
    <col min="10497" max="10497" width="9" style="8" customWidth="1"/>
    <col min="10498" max="10498" width="10.5" style="8" bestFit="1" customWidth="1"/>
    <col min="10499" max="10499" width="6.625" style="8" bestFit="1" customWidth="1"/>
    <col min="10500" max="10500" width="7.125" style="8" bestFit="1" customWidth="1"/>
    <col min="10501" max="10511" width="9" style="8"/>
    <col min="10512" max="10512" width="4" style="8" customWidth="1"/>
    <col min="10513" max="10513" width="6.625" style="8" customWidth="1"/>
    <col min="10514" max="10514" width="8.625" style="8" customWidth="1"/>
    <col min="10515" max="10515" width="11.375" style="8" bestFit="1" customWidth="1"/>
    <col min="10516" max="10516" width="11.25" style="8" bestFit="1" customWidth="1"/>
    <col min="10517" max="10752" width="9" style="8"/>
    <col min="10753" max="10753" width="9" style="8" customWidth="1"/>
    <col min="10754" max="10754" width="10.5" style="8" bestFit="1" customWidth="1"/>
    <col min="10755" max="10755" width="6.625" style="8" bestFit="1" customWidth="1"/>
    <col min="10756" max="10756" width="7.125" style="8" bestFit="1" customWidth="1"/>
    <col min="10757" max="10767" width="9" style="8"/>
    <col min="10768" max="10768" width="4" style="8" customWidth="1"/>
    <col min="10769" max="10769" width="6.625" style="8" customWidth="1"/>
    <col min="10770" max="10770" width="8.625" style="8" customWidth="1"/>
    <col min="10771" max="10771" width="11.375" style="8" bestFit="1" customWidth="1"/>
    <col min="10772" max="10772" width="11.25" style="8" bestFit="1" customWidth="1"/>
    <col min="10773" max="11008" width="9" style="8"/>
    <col min="11009" max="11009" width="9" style="8" customWidth="1"/>
    <col min="11010" max="11010" width="10.5" style="8" bestFit="1" customWidth="1"/>
    <col min="11011" max="11011" width="6.625" style="8" bestFit="1" customWidth="1"/>
    <col min="11012" max="11012" width="7.125" style="8" bestFit="1" customWidth="1"/>
    <col min="11013" max="11023" width="9" style="8"/>
    <col min="11024" max="11024" width="4" style="8" customWidth="1"/>
    <col min="11025" max="11025" width="6.625" style="8" customWidth="1"/>
    <col min="11026" max="11026" width="8.625" style="8" customWidth="1"/>
    <col min="11027" max="11027" width="11.375" style="8" bestFit="1" customWidth="1"/>
    <col min="11028" max="11028" width="11.25" style="8" bestFit="1" customWidth="1"/>
    <col min="11029" max="11264" width="9" style="8"/>
    <col min="11265" max="11265" width="9" style="8" customWidth="1"/>
    <col min="11266" max="11266" width="10.5" style="8" bestFit="1" customWidth="1"/>
    <col min="11267" max="11267" width="6.625" style="8" bestFit="1" customWidth="1"/>
    <col min="11268" max="11268" width="7.125" style="8" bestFit="1" customWidth="1"/>
    <col min="11269" max="11279" width="9" style="8"/>
    <col min="11280" max="11280" width="4" style="8" customWidth="1"/>
    <col min="11281" max="11281" width="6.625" style="8" customWidth="1"/>
    <col min="11282" max="11282" width="8.625" style="8" customWidth="1"/>
    <col min="11283" max="11283" width="11.375" style="8" bestFit="1" customWidth="1"/>
    <col min="11284" max="11284" width="11.25" style="8" bestFit="1" customWidth="1"/>
    <col min="11285" max="11520" width="9" style="8"/>
    <col min="11521" max="11521" width="9" style="8" customWidth="1"/>
    <col min="11522" max="11522" width="10.5" style="8" bestFit="1" customWidth="1"/>
    <col min="11523" max="11523" width="6.625" style="8" bestFit="1" customWidth="1"/>
    <col min="11524" max="11524" width="7.125" style="8" bestFit="1" customWidth="1"/>
    <col min="11525" max="11535" width="9" style="8"/>
    <col min="11536" max="11536" width="4" style="8" customWidth="1"/>
    <col min="11537" max="11537" width="6.625" style="8" customWidth="1"/>
    <col min="11538" max="11538" width="8.625" style="8" customWidth="1"/>
    <col min="11539" max="11539" width="11.375" style="8" bestFit="1" customWidth="1"/>
    <col min="11540" max="11540" width="11.25" style="8" bestFit="1" customWidth="1"/>
    <col min="11541" max="11776" width="9" style="8"/>
    <col min="11777" max="11777" width="9" style="8" customWidth="1"/>
    <col min="11778" max="11778" width="10.5" style="8" bestFit="1" customWidth="1"/>
    <col min="11779" max="11779" width="6.625" style="8" bestFit="1" customWidth="1"/>
    <col min="11780" max="11780" width="7.125" style="8" bestFit="1" customWidth="1"/>
    <col min="11781" max="11791" width="9" style="8"/>
    <col min="11792" max="11792" width="4" style="8" customWidth="1"/>
    <col min="11793" max="11793" width="6.625" style="8" customWidth="1"/>
    <col min="11794" max="11794" width="8.625" style="8" customWidth="1"/>
    <col min="11795" max="11795" width="11.375" style="8" bestFit="1" customWidth="1"/>
    <col min="11796" max="11796" width="11.25" style="8" bestFit="1" customWidth="1"/>
    <col min="11797" max="12032" width="9" style="8"/>
    <col min="12033" max="12033" width="9" style="8" customWidth="1"/>
    <col min="12034" max="12034" width="10.5" style="8" bestFit="1" customWidth="1"/>
    <col min="12035" max="12035" width="6.625" style="8" bestFit="1" customWidth="1"/>
    <col min="12036" max="12036" width="7.125" style="8" bestFit="1" customWidth="1"/>
    <col min="12037" max="12047" width="9" style="8"/>
    <col min="12048" max="12048" width="4" style="8" customWidth="1"/>
    <col min="12049" max="12049" width="6.625" style="8" customWidth="1"/>
    <col min="12050" max="12050" width="8.625" style="8" customWidth="1"/>
    <col min="12051" max="12051" width="11.375" style="8" bestFit="1" customWidth="1"/>
    <col min="12052" max="12052" width="11.25" style="8" bestFit="1" customWidth="1"/>
    <col min="12053" max="12288" width="9" style="8"/>
    <col min="12289" max="12289" width="9" style="8" customWidth="1"/>
    <col min="12290" max="12290" width="10.5" style="8" bestFit="1" customWidth="1"/>
    <col min="12291" max="12291" width="6.625" style="8" bestFit="1" customWidth="1"/>
    <col min="12292" max="12292" width="7.125" style="8" bestFit="1" customWidth="1"/>
    <col min="12293" max="12303" width="9" style="8"/>
    <col min="12304" max="12304" width="4" style="8" customWidth="1"/>
    <col min="12305" max="12305" width="6.625" style="8" customWidth="1"/>
    <col min="12306" max="12306" width="8.625" style="8" customWidth="1"/>
    <col min="12307" max="12307" width="11.375" style="8" bestFit="1" customWidth="1"/>
    <col min="12308" max="12308" width="11.25" style="8" bestFit="1" customWidth="1"/>
    <col min="12309" max="12544" width="9" style="8"/>
    <col min="12545" max="12545" width="9" style="8" customWidth="1"/>
    <col min="12546" max="12546" width="10.5" style="8" bestFit="1" customWidth="1"/>
    <col min="12547" max="12547" width="6.625" style="8" bestFit="1" customWidth="1"/>
    <col min="12548" max="12548" width="7.125" style="8" bestFit="1" customWidth="1"/>
    <col min="12549" max="12559" width="9" style="8"/>
    <col min="12560" max="12560" width="4" style="8" customWidth="1"/>
    <col min="12561" max="12561" width="6.625" style="8" customWidth="1"/>
    <col min="12562" max="12562" width="8.625" style="8" customWidth="1"/>
    <col min="12563" max="12563" width="11.375" style="8" bestFit="1" customWidth="1"/>
    <col min="12564" max="12564" width="11.25" style="8" bestFit="1" customWidth="1"/>
    <col min="12565" max="12800" width="9" style="8"/>
    <col min="12801" max="12801" width="9" style="8" customWidth="1"/>
    <col min="12802" max="12802" width="10.5" style="8" bestFit="1" customWidth="1"/>
    <col min="12803" max="12803" width="6.625" style="8" bestFit="1" customWidth="1"/>
    <col min="12804" max="12804" width="7.125" style="8" bestFit="1" customWidth="1"/>
    <col min="12805" max="12815" width="9" style="8"/>
    <col min="12816" max="12816" width="4" style="8" customWidth="1"/>
    <col min="12817" max="12817" width="6.625" style="8" customWidth="1"/>
    <col min="12818" max="12818" width="8.625" style="8" customWidth="1"/>
    <col min="12819" max="12819" width="11.375" style="8" bestFit="1" customWidth="1"/>
    <col min="12820" max="12820" width="11.25" style="8" bestFit="1" customWidth="1"/>
    <col min="12821" max="13056" width="9" style="8"/>
    <col min="13057" max="13057" width="9" style="8" customWidth="1"/>
    <col min="13058" max="13058" width="10.5" style="8" bestFit="1" customWidth="1"/>
    <col min="13059" max="13059" width="6.625" style="8" bestFit="1" customWidth="1"/>
    <col min="13060" max="13060" width="7.125" style="8" bestFit="1" customWidth="1"/>
    <col min="13061" max="13071" width="9" style="8"/>
    <col min="13072" max="13072" width="4" style="8" customWidth="1"/>
    <col min="13073" max="13073" width="6.625" style="8" customWidth="1"/>
    <col min="13074" max="13074" width="8.625" style="8" customWidth="1"/>
    <col min="13075" max="13075" width="11.375" style="8" bestFit="1" customWidth="1"/>
    <col min="13076" max="13076" width="11.25" style="8" bestFit="1" customWidth="1"/>
    <col min="13077" max="13312" width="9" style="8"/>
    <col min="13313" max="13313" width="9" style="8" customWidth="1"/>
    <col min="13314" max="13314" width="10.5" style="8" bestFit="1" customWidth="1"/>
    <col min="13315" max="13315" width="6.625" style="8" bestFit="1" customWidth="1"/>
    <col min="13316" max="13316" width="7.125" style="8" bestFit="1" customWidth="1"/>
    <col min="13317" max="13327" width="9" style="8"/>
    <col min="13328" max="13328" width="4" style="8" customWidth="1"/>
    <col min="13329" max="13329" width="6.625" style="8" customWidth="1"/>
    <col min="13330" max="13330" width="8.625" style="8" customWidth="1"/>
    <col min="13331" max="13331" width="11.375" style="8" bestFit="1" customWidth="1"/>
    <col min="13332" max="13332" width="11.25" style="8" bestFit="1" customWidth="1"/>
    <col min="13333" max="13568" width="9" style="8"/>
    <col min="13569" max="13569" width="9" style="8" customWidth="1"/>
    <col min="13570" max="13570" width="10.5" style="8" bestFit="1" customWidth="1"/>
    <col min="13571" max="13571" width="6.625" style="8" bestFit="1" customWidth="1"/>
    <col min="13572" max="13572" width="7.125" style="8" bestFit="1" customWidth="1"/>
    <col min="13573" max="13583" width="9" style="8"/>
    <col min="13584" max="13584" width="4" style="8" customWidth="1"/>
    <col min="13585" max="13585" width="6.625" style="8" customWidth="1"/>
    <col min="13586" max="13586" width="8.625" style="8" customWidth="1"/>
    <col min="13587" max="13587" width="11.375" style="8" bestFit="1" customWidth="1"/>
    <col min="13588" max="13588" width="11.25" style="8" bestFit="1" customWidth="1"/>
    <col min="13589" max="13824" width="9" style="8"/>
    <col min="13825" max="13825" width="9" style="8" customWidth="1"/>
    <col min="13826" max="13826" width="10.5" style="8" bestFit="1" customWidth="1"/>
    <col min="13827" max="13827" width="6.625" style="8" bestFit="1" customWidth="1"/>
    <col min="13828" max="13828" width="7.125" style="8" bestFit="1" customWidth="1"/>
    <col min="13829" max="13839" width="9" style="8"/>
    <col min="13840" max="13840" width="4" style="8" customWidth="1"/>
    <col min="13841" max="13841" width="6.625" style="8" customWidth="1"/>
    <col min="13842" max="13842" width="8.625" style="8" customWidth="1"/>
    <col min="13843" max="13843" width="11.375" style="8" bestFit="1" customWidth="1"/>
    <col min="13844" max="13844" width="11.25" style="8" bestFit="1" customWidth="1"/>
    <col min="13845" max="14080" width="9" style="8"/>
    <col min="14081" max="14081" width="9" style="8" customWidth="1"/>
    <col min="14082" max="14082" width="10.5" style="8" bestFit="1" customWidth="1"/>
    <col min="14083" max="14083" width="6.625" style="8" bestFit="1" customWidth="1"/>
    <col min="14084" max="14084" width="7.125" style="8" bestFit="1" customWidth="1"/>
    <col min="14085" max="14095" width="9" style="8"/>
    <col min="14096" max="14096" width="4" style="8" customWidth="1"/>
    <col min="14097" max="14097" width="6.625" style="8" customWidth="1"/>
    <col min="14098" max="14098" width="8.625" style="8" customWidth="1"/>
    <col min="14099" max="14099" width="11.375" style="8" bestFit="1" customWidth="1"/>
    <col min="14100" max="14100" width="11.25" style="8" bestFit="1" customWidth="1"/>
    <col min="14101" max="14336" width="9" style="8"/>
    <col min="14337" max="14337" width="9" style="8" customWidth="1"/>
    <col min="14338" max="14338" width="10.5" style="8" bestFit="1" customWidth="1"/>
    <col min="14339" max="14339" width="6.625" style="8" bestFit="1" customWidth="1"/>
    <col min="14340" max="14340" width="7.125" style="8" bestFit="1" customWidth="1"/>
    <col min="14341" max="14351" width="9" style="8"/>
    <col min="14352" max="14352" width="4" style="8" customWidth="1"/>
    <col min="14353" max="14353" width="6.625" style="8" customWidth="1"/>
    <col min="14354" max="14354" width="8.625" style="8" customWidth="1"/>
    <col min="14355" max="14355" width="11.375" style="8" bestFit="1" customWidth="1"/>
    <col min="14356" max="14356" width="11.25" style="8" bestFit="1" customWidth="1"/>
    <col min="14357" max="14592" width="9" style="8"/>
    <col min="14593" max="14593" width="9" style="8" customWidth="1"/>
    <col min="14594" max="14594" width="10.5" style="8" bestFit="1" customWidth="1"/>
    <col min="14595" max="14595" width="6.625" style="8" bestFit="1" customWidth="1"/>
    <col min="14596" max="14596" width="7.125" style="8" bestFit="1" customWidth="1"/>
    <col min="14597" max="14607" width="9" style="8"/>
    <col min="14608" max="14608" width="4" style="8" customWidth="1"/>
    <col min="14609" max="14609" width="6.625" style="8" customWidth="1"/>
    <col min="14610" max="14610" width="8.625" style="8" customWidth="1"/>
    <col min="14611" max="14611" width="11.375" style="8" bestFit="1" customWidth="1"/>
    <col min="14612" max="14612" width="11.25" style="8" bestFit="1" customWidth="1"/>
    <col min="14613" max="14848" width="9" style="8"/>
    <col min="14849" max="14849" width="9" style="8" customWidth="1"/>
    <col min="14850" max="14850" width="10.5" style="8" bestFit="1" customWidth="1"/>
    <col min="14851" max="14851" width="6.625" style="8" bestFit="1" customWidth="1"/>
    <col min="14852" max="14852" width="7.125" style="8" bestFit="1" customWidth="1"/>
    <col min="14853" max="14863" width="9" style="8"/>
    <col min="14864" max="14864" width="4" style="8" customWidth="1"/>
    <col min="14865" max="14865" width="6.625" style="8" customWidth="1"/>
    <col min="14866" max="14866" width="8.625" style="8" customWidth="1"/>
    <col min="14867" max="14867" width="11.375" style="8" bestFit="1" customWidth="1"/>
    <col min="14868" max="14868" width="11.25" style="8" bestFit="1" customWidth="1"/>
    <col min="14869" max="15104" width="9" style="8"/>
    <col min="15105" max="15105" width="9" style="8" customWidth="1"/>
    <col min="15106" max="15106" width="10.5" style="8" bestFit="1" customWidth="1"/>
    <col min="15107" max="15107" width="6.625" style="8" bestFit="1" customWidth="1"/>
    <col min="15108" max="15108" width="7.125" style="8" bestFit="1" customWidth="1"/>
    <col min="15109" max="15119" width="9" style="8"/>
    <col min="15120" max="15120" width="4" style="8" customWidth="1"/>
    <col min="15121" max="15121" width="6.625" style="8" customWidth="1"/>
    <col min="15122" max="15122" width="8.625" style="8" customWidth="1"/>
    <col min="15123" max="15123" width="11.375" style="8" bestFit="1" customWidth="1"/>
    <col min="15124" max="15124" width="11.25" style="8" bestFit="1" customWidth="1"/>
    <col min="15125" max="15360" width="9" style="8"/>
    <col min="15361" max="15361" width="9" style="8" customWidth="1"/>
    <col min="15362" max="15362" width="10.5" style="8" bestFit="1" customWidth="1"/>
    <col min="15363" max="15363" width="6.625" style="8" bestFit="1" customWidth="1"/>
    <col min="15364" max="15364" width="7.125" style="8" bestFit="1" customWidth="1"/>
    <col min="15365" max="15375" width="9" style="8"/>
    <col min="15376" max="15376" width="4" style="8" customWidth="1"/>
    <col min="15377" max="15377" width="6.625" style="8" customWidth="1"/>
    <col min="15378" max="15378" width="8.625" style="8" customWidth="1"/>
    <col min="15379" max="15379" width="11.375" style="8" bestFit="1" customWidth="1"/>
    <col min="15380" max="15380" width="11.25" style="8" bestFit="1" customWidth="1"/>
    <col min="15381" max="15616" width="9" style="8"/>
    <col min="15617" max="15617" width="9" style="8" customWidth="1"/>
    <col min="15618" max="15618" width="10.5" style="8" bestFit="1" customWidth="1"/>
    <col min="15619" max="15619" width="6.625" style="8" bestFit="1" customWidth="1"/>
    <col min="15620" max="15620" width="7.125" style="8" bestFit="1" customWidth="1"/>
    <col min="15621" max="15631" width="9" style="8"/>
    <col min="15632" max="15632" width="4" style="8" customWidth="1"/>
    <col min="15633" max="15633" width="6.625" style="8" customWidth="1"/>
    <col min="15634" max="15634" width="8.625" style="8" customWidth="1"/>
    <col min="15635" max="15635" width="11.375" style="8" bestFit="1" customWidth="1"/>
    <col min="15636" max="15636" width="11.25" style="8" bestFit="1" customWidth="1"/>
    <col min="15637" max="15872" width="9" style="8"/>
    <col min="15873" max="15873" width="9" style="8" customWidth="1"/>
    <col min="15874" max="15874" width="10.5" style="8" bestFit="1" customWidth="1"/>
    <col min="15875" max="15875" width="6.625" style="8" bestFit="1" customWidth="1"/>
    <col min="15876" max="15876" width="7.125" style="8" bestFit="1" customWidth="1"/>
    <col min="15877" max="15887" width="9" style="8"/>
    <col min="15888" max="15888" width="4" style="8" customWidth="1"/>
    <col min="15889" max="15889" width="6.625" style="8" customWidth="1"/>
    <col min="15890" max="15890" width="8.625" style="8" customWidth="1"/>
    <col min="15891" max="15891" width="11.375" style="8" bestFit="1" customWidth="1"/>
    <col min="15892" max="15892" width="11.25" style="8" bestFit="1" customWidth="1"/>
    <col min="15893" max="16128" width="9" style="8"/>
    <col min="16129" max="16129" width="9" style="8" customWidth="1"/>
    <col min="16130" max="16130" width="10.5" style="8" bestFit="1" customWidth="1"/>
    <col min="16131" max="16131" width="6.625" style="8" bestFit="1" customWidth="1"/>
    <col min="16132" max="16132" width="7.125" style="8" bestFit="1" customWidth="1"/>
    <col min="16133" max="16143" width="9" style="8"/>
    <col min="16144" max="16144" width="4" style="8" customWidth="1"/>
    <col min="16145" max="16145" width="6.625" style="8" customWidth="1"/>
    <col min="16146" max="16146" width="8.625" style="8" customWidth="1"/>
    <col min="16147" max="16147" width="11.375" style="8" bestFit="1" customWidth="1"/>
    <col min="16148" max="16148" width="11.25" style="8" bestFit="1" customWidth="1"/>
    <col min="16149" max="16384" width="9" style="8"/>
  </cols>
  <sheetData>
    <row r="1" spans="1:20" ht="16.5" customHeight="1" x14ac:dyDescent="0.25">
      <c r="F1" s="93" t="s">
        <v>402</v>
      </c>
      <c r="G1" s="94"/>
      <c r="H1" s="94"/>
      <c r="I1" s="95"/>
      <c r="J1" s="93" t="s">
        <v>409</v>
      </c>
      <c r="K1" s="94"/>
      <c r="L1" s="94"/>
      <c r="M1" s="94"/>
      <c r="N1" s="95"/>
      <c r="O1" s="8" t="s">
        <v>415</v>
      </c>
      <c r="Q1" s="96" t="s">
        <v>416</v>
      </c>
      <c r="R1" s="97"/>
      <c r="S1" s="97"/>
      <c r="T1" s="97"/>
    </row>
    <row r="2" spans="1:20" ht="28.5" x14ac:dyDescent="0.25">
      <c r="D2" s="9" t="s">
        <v>389</v>
      </c>
      <c r="E2" s="9" t="s">
        <v>390</v>
      </c>
      <c r="F2" s="98" t="s">
        <v>417</v>
      </c>
      <c r="G2" s="99"/>
      <c r="H2" s="99"/>
      <c r="I2" s="10" t="s">
        <v>392</v>
      </c>
      <c r="J2" s="98" t="s">
        <v>417</v>
      </c>
      <c r="K2" s="99"/>
      <c r="L2" s="99"/>
      <c r="M2" s="10" t="s">
        <v>418</v>
      </c>
      <c r="N2" s="10" t="s">
        <v>392</v>
      </c>
      <c r="O2" s="100" t="s">
        <v>419</v>
      </c>
      <c r="Q2" s="11" t="s">
        <v>420</v>
      </c>
      <c r="R2" s="12"/>
      <c r="S2" s="13"/>
      <c r="T2" s="13"/>
    </row>
    <row r="3" spans="1:20" ht="45.75" x14ac:dyDescent="0.25">
      <c r="B3" s="8" t="s">
        <v>421</v>
      </c>
      <c r="C3" s="8" t="s">
        <v>352</v>
      </c>
      <c r="D3" s="14" t="s">
        <v>105</v>
      </c>
      <c r="E3" s="14" t="s">
        <v>106</v>
      </c>
      <c r="F3" s="15" t="s">
        <v>422</v>
      </c>
      <c r="G3" s="15" t="s">
        <v>403</v>
      </c>
      <c r="H3" s="15" t="s">
        <v>410</v>
      </c>
      <c r="I3" s="16" t="s">
        <v>423</v>
      </c>
      <c r="J3" s="15" t="s">
        <v>422</v>
      </c>
      <c r="K3" s="15" t="s">
        <v>424</v>
      </c>
      <c r="L3" s="15" t="s">
        <v>425</v>
      </c>
      <c r="M3" s="17" t="s">
        <v>107</v>
      </c>
      <c r="N3" s="16" t="s">
        <v>401</v>
      </c>
      <c r="O3" s="100"/>
      <c r="Q3" s="46" t="s">
        <v>426</v>
      </c>
      <c r="R3" s="18" t="s">
        <v>108</v>
      </c>
      <c r="S3" s="19" t="s">
        <v>406</v>
      </c>
      <c r="T3" s="19" t="s">
        <v>109</v>
      </c>
    </row>
    <row r="4" spans="1:20" x14ac:dyDescent="0.25">
      <c r="A4" s="26" t="s">
        <v>274</v>
      </c>
      <c r="B4" s="49" t="s">
        <v>221</v>
      </c>
      <c r="C4" s="50">
        <v>0.25</v>
      </c>
      <c r="D4" s="49">
        <v>0.05</v>
      </c>
      <c r="E4" s="49">
        <v>0.05</v>
      </c>
      <c r="F4" s="20" t="s">
        <v>0</v>
      </c>
      <c r="G4" s="20" t="s">
        <v>0</v>
      </c>
      <c r="H4" s="20" t="s">
        <v>0</v>
      </c>
      <c r="I4" s="22" t="s">
        <v>0</v>
      </c>
      <c r="J4" s="20" t="s">
        <v>0</v>
      </c>
      <c r="K4" s="20" t="s">
        <v>0</v>
      </c>
      <c r="L4" s="20" t="s">
        <v>0</v>
      </c>
      <c r="M4" s="23" t="s">
        <v>0</v>
      </c>
      <c r="N4" s="22" t="s">
        <v>0</v>
      </c>
      <c r="O4" s="22">
        <v>0.99019999999999997</v>
      </c>
      <c r="Q4" s="24" t="s">
        <v>322</v>
      </c>
      <c r="R4" s="24" t="s">
        <v>427</v>
      </c>
      <c r="S4" s="25">
        <v>100000000</v>
      </c>
      <c r="T4" s="25">
        <v>100000000</v>
      </c>
    </row>
    <row r="5" spans="1:20" x14ac:dyDescent="0.25">
      <c r="A5" s="26" t="s">
        <v>33</v>
      </c>
      <c r="B5" s="49" t="s">
        <v>110</v>
      </c>
      <c r="C5" s="50">
        <v>1.75</v>
      </c>
      <c r="D5" s="49">
        <v>0.11</v>
      </c>
      <c r="E5" s="49">
        <v>0.11</v>
      </c>
      <c r="F5" s="20" t="s">
        <v>0</v>
      </c>
      <c r="G5" s="20" t="s">
        <v>0</v>
      </c>
      <c r="H5" s="20" t="s">
        <v>0</v>
      </c>
      <c r="I5" s="22" t="s">
        <v>0</v>
      </c>
      <c r="J5" s="20" t="s">
        <v>0</v>
      </c>
      <c r="K5" s="20" t="s">
        <v>0</v>
      </c>
      <c r="L5" s="20" t="s">
        <v>0</v>
      </c>
      <c r="M5" s="23" t="s">
        <v>0</v>
      </c>
      <c r="N5" s="22" t="s">
        <v>0</v>
      </c>
      <c r="O5" s="22">
        <v>0.97670000000000001</v>
      </c>
      <c r="Q5" s="24" t="s">
        <v>377</v>
      </c>
      <c r="R5" s="24" t="s">
        <v>428</v>
      </c>
      <c r="S5" s="25">
        <v>50000000</v>
      </c>
      <c r="T5" s="25">
        <v>150000000</v>
      </c>
    </row>
    <row r="6" spans="1:20" x14ac:dyDescent="0.25">
      <c r="A6" s="26" t="s">
        <v>37</v>
      </c>
      <c r="B6" s="49" t="s">
        <v>111</v>
      </c>
      <c r="C6" s="50">
        <v>0.75</v>
      </c>
      <c r="D6" s="49">
        <v>0.28999999999999998</v>
      </c>
      <c r="E6" s="49">
        <v>0.28999999999999998</v>
      </c>
      <c r="F6" s="20" t="s">
        <v>0</v>
      </c>
      <c r="G6" s="20" t="s">
        <v>0</v>
      </c>
      <c r="H6" s="20" t="s">
        <v>0</v>
      </c>
      <c r="I6" s="22" t="s">
        <v>0</v>
      </c>
      <c r="J6" s="20" t="s">
        <v>0</v>
      </c>
      <c r="K6" s="20" t="s">
        <v>0</v>
      </c>
      <c r="L6" s="20" t="s">
        <v>0</v>
      </c>
      <c r="M6" s="23" t="s">
        <v>0</v>
      </c>
      <c r="N6" s="22" t="s">
        <v>0</v>
      </c>
      <c r="O6" s="22">
        <v>0.97330000000000005</v>
      </c>
      <c r="Q6" s="26" t="s">
        <v>0</v>
      </c>
      <c r="R6" s="26" t="s">
        <v>429</v>
      </c>
      <c r="S6" s="27">
        <v>150000000</v>
      </c>
      <c r="T6" s="27">
        <v>50000000</v>
      </c>
    </row>
    <row r="7" spans="1:20" x14ac:dyDescent="0.25">
      <c r="A7" s="26" t="s">
        <v>27</v>
      </c>
      <c r="B7" s="49" t="s">
        <v>113</v>
      </c>
      <c r="C7" s="50">
        <v>0.625</v>
      </c>
      <c r="D7" s="49">
        <v>0.43</v>
      </c>
      <c r="E7" s="49">
        <v>0.43</v>
      </c>
      <c r="F7" s="20" t="s">
        <v>0</v>
      </c>
      <c r="G7" s="20" t="s">
        <v>0</v>
      </c>
      <c r="H7" s="20" t="s">
        <v>0</v>
      </c>
      <c r="I7" s="22" t="s">
        <v>0</v>
      </c>
      <c r="J7" s="20" t="s">
        <v>0</v>
      </c>
      <c r="K7" s="20" t="s">
        <v>0</v>
      </c>
      <c r="L7" s="20" t="s">
        <v>0</v>
      </c>
      <c r="M7" s="23" t="s">
        <v>0</v>
      </c>
      <c r="N7" s="22" t="s">
        <v>0</v>
      </c>
      <c r="O7" s="22">
        <v>0.97440000000000004</v>
      </c>
      <c r="Q7" s="24" t="s">
        <v>399</v>
      </c>
      <c r="R7" s="24" t="s">
        <v>430</v>
      </c>
      <c r="S7" s="25">
        <v>500000000</v>
      </c>
      <c r="T7" s="25">
        <v>500000000</v>
      </c>
    </row>
    <row r="8" spans="1:20" x14ac:dyDescent="0.25">
      <c r="A8" s="26" t="s">
        <v>9</v>
      </c>
      <c r="B8" s="49" t="s">
        <v>112</v>
      </c>
      <c r="C8" s="50">
        <v>3</v>
      </c>
      <c r="D8" s="49">
        <v>0.5</v>
      </c>
      <c r="E8" s="49">
        <v>0.51</v>
      </c>
      <c r="F8" s="20" t="s">
        <v>0</v>
      </c>
      <c r="G8" s="20" t="s">
        <v>0</v>
      </c>
      <c r="H8" s="20" t="s">
        <v>0</v>
      </c>
      <c r="I8" s="22" t="s">
        <v>0</v>
      </c>
      <c r="J8" s="20" t="s">
        <v>0</v>
      </c>
      <c r="K8" s="20" t="s">
        <v>0</v>
      </c>
      <c r="L8" s="20" t="s">
        <v>0</v>
      </c>
      <c r="M8" s="23" t="s">
        <v>0</v>
      </c>
      <c r="N8" s="22" t="s">
        <v>0</v>
      </c>
      <c r="O8" s="22">
        <v>0.97509999999999997</v>
      </c>
      <c r="Q8" s="24" t="s">
        <v>431</v>
      </c>
      <c r="R8" s="24" t="s">
        <v>428</v>
      </c>
      <c r="S8" s="25">
        <v>350000000</v>
      </c>
      <c r="T8" s="25">
        <v>350000000</v>
      </c>
    </row>
    <row r="9" spans="1:20" x14ac:dyDescent="0.25">
      <c r="A9" s="26" t="s">
        <v>52</v>
      </c>
      <c r="B9" s="49" t="s">
        <v>114</v>
      </c>
      <c r="C9" s="50">
        <v>1.5</v>
      </c>
      <c r="D9" s="49">
        <v>0.56000000000000005</v>
      </c>
      <c r="E9" s="49">
        <v>0.56999999999999995</v>
      </c>
      <c r="F9" s="20" t="s">
        <v>0</v>
      </c>
      <c r="G9" s="20" t="s">
        <v>0</v>
      </c>
      <c r="H9" s="20" t="s">
        <v>0</v>
      </c>
      <c r="I9" s="22" t="s">
        <v>0</v>
      </c>
      <c r="J9" s="20" t="s">
        <v>0</v>
      </c>
      <c r="K9" s="20" t="s">
        <v>0</v>
      </c>
      <c r="L9" s="20" t="s">
        <v>0</v>
      </c>
      <c r="M9" s="23" t="s">
        <v>0</v>
      </c>
      <c r="N9" s="22" t="s">
        <v>0</v>
      </c>
      <c r="O9" s="22">
        <v>0.97560000000000002</v>
      </c>
      <c r="Q9" s="24" t="s">
        <v>432</v>
      </c>
      <c r="R9" s="24" t="s">
        <v>428</v>
      </c>
      <c r="S9" s="25">
        <v>300000000</v>
      </c>
      <c r="T9" s="25">
        <v>300000000</v>
      </c>
    </row>
    <row r="10" spans="1:20" x14ac:dyDescent="0.25">
      <c r="A10" s="26" t="s">
        <v>277</v>
      </c>
      <c r="B10" s="49" t="s">
        <v>246</v>
      </c>
      <c r="C10" s="50">
        <v>0.75</v>
      </c>
      <c r="D10" s="49">
        <v>0.64</v>
      </c>
      <c r="E10" s="49">
        <v>0.64</v>
      </c>
      <c r="F10" s="20" t="s">
        <v>0</v>
      </c>
      <c r="G10" s="20" t="s">
        <v>0</v>
      </c>
      <c r="H10" s="20" t="s">
        <v>0</v>
      </c>
      <c r="I10" s="22" t="s">
        <v>0</v>
      </c>
      <c r="J10" s="20" t="s">
        <v>0</v>
      </c>
      <c r="K10" s="20" t="s">
        <v>0</v>
      </c>
      <c r="L10" s="20" t="s">
        <v>0</v>
      </c>
      <c r="M10" s="23" t="s">
        <v>0</v>
      </c>
      <c r="N10" s="22" t="s">
        <v>0</v>
      </c>
      <c r="O10" s="22">
        <v>0.97629999999999995</v>
      </c>
      <c r="Q10" s="24" t="s">
        <v>433</v>
      </c>
      <c r="R10" s="24" t="s">
        <v>427</v>
      </c>
      <c r="S10" s="25">
        <v>200000000</v>
      </c>
      <c r="T10" s="25">
        <v>0</v>
      </c>
    </row>
    <row r="11" spans="1:20" x14ac:dyDescent="0.25">
      <c r="A11" s="26" t="s">
        <v>5</v>
      </c>
      <c r="B11" s="49" t="s">
        <v>115</v>
      </c>
      <c r="C11" s="50">
        <v>0.5</v>
      </c>
      <c r="D11" s="49">
        <v>0.93</v>
      </c>
      <c r="E11" s="49">
        <v>0.94</v>
      </c>
      <c r="F11" s="20" t="s">
        <v>0</v>
      </c>
      <c r="G11" s="20" t="s">
        <v>0</v>
      </c>
      <c r="H11" s="20" t="s">
        <v>0</v>
      </c>
      <c r="I11" s="22" t="s">
        <v>0</v>
      </c>
      <c r="J11" s="20" t="s">
        <v>0</v>
      </c>
      <c r="K11" s="20" t="s">
        <v>0</v>
      </c>
      <c r="L11" s="20" t="s">
        <v>0</v>
      </c>
      <c r="M11" s="23" t="s">
        <v>0</v>
      </c>
      <c r="N11" s="22" t="s">
        <v>0</v>
      </c>
      <c r="O11" s="22">
        <v>0.97809999999999997</v>
      </c>
      <c r="Q11" s="26" t="s">
        <v>0</v>
      </c>
      <c r="R11" s="26" t="s">
        <v>430</v>
      </c>
      <c r="S11" s="27">
        <v>0</v>
      </c>
      <c r="T11" s="27">
        <v>200000000</v>
      </c>
    </row>
    <row r="12" spans="1:20" x14ac:dyDescent="0.25">
      <c r="A12" s="26" t="s">
        <v>42</v>
      </c>
      <c r="B12" s="49" t="s">
        <v>116</v>
      </c>
      <c r="C12" s="50">
        <v>1.625</v>
      </c>
      <c r="D12" s="49">
        <v>1.1000000000000001</v>
      </c>
      <c r="E12" s="49">
        <v>1.1299999999999999</v>
      </c>
      <c r="F12" s="20" t="s">
        <v>0</v>
      </c>
      <c r="G12" s="20" t="s">
        <v>0</v>
      </c>
      <c r="H12" s="20" t="s">
        <v>0</v>
      </c>
      <c r="I12" s="22" t="s">
        <v>0</v>
      </c>
      <c r="J12" s="20" t="s">
        <v>0</v>
      </c>
      <c r="K12" s="20" t="s">
        <v>0</v>
      </c>
      <c r="L12" s="20" t="s">
        <v>0</v>
      </c>
      <c r="M12" s="23" t="s">
        <v>0</v>
      </c>
      <c r="N12" s="22" t="s">
        <v>0</v>
      </c>
      <c r="O12" s="22">
        <v>0.97850000000000004</v>
      </c>
      <c r="Q12" s="24" t="s">
        <v>404</v>
      </c>
      <c r="R12" s="24" t="s">
        <v>428</v>
      </c>
      <c r="S12" s="25">
        <v>300000000</v>
      </c>
      <c r="T12" s="25">
        <v>0</v>
      </c>
    </row>
    <row r="13" spans="1:20" x14ac:dyDescent="0.25">
      <c r="A13" s="26" t="s">
        <v>10</v>
      </c>
      <c r="B13" s="49" t="s">
        <v>117</v>
      </c>
      <c r="C13" s="50">
        <v>3</v>
      </c>
      <c r="D13" s="49">
        <v>1.24</v>
      </c>
      <c r="E13" s="49">
        <v>1.28</v>
      </c>
      <c r="F13" s="20" t="s">
        <v>0</v>
      </c>
      <c r="G13" s="20" t="s">
        <v>0</v>
      </c>
      <c r="H13" s="20" t="s">
        <v>0</v>
      </c>
      <c r="I13" s="22" t="s">
        <v>0</v>
      </c>
      <c r="J13" s="20" t="s">
        <v>0</v>
      </c>
      <c r="K13" s="20" t="s">
        <v>0</v>
      </c>
      <c r="L13" s="20" t="s">
        <v>0</v>
      </c>
      <c r="M13" s="23" t="s">
        <v>0</v>
      </c>
      <c r="N13" s="22" t="s">
        <v>0</v>
      </c>
      <c r="O13" s="22">
        <v>0.9788</v>
      </c>
      <c r="Q13" s="32" t="s">
        <v>0</v>
      </c>
      <c r="R13" s="32" t="s">
        <v>434</v>
      </c>
      <c r="S13" s="36">
        <v>0</v>
      </c>
      <c r="T13" s="36">
        <v>300000000</v>
      </c>
    </row>
    <row r="14" spans="1:20" x14ac:dyDescent="0.25">
      <c r="A14" s="26" t="s">
        <v>275</v>
      </c>
      <c r="B14" s="49" t="s">
        <v>119</v>
      </c>
      <c r="C14" s="50">
        <v>0.5</v>
      </c>
      <c r="D14" s="49">
        <v>1.4</v>
      </c>
      <c r="E14" s="49">
        <v>1.42</v>
      </c>
      <c r="F14" s="20" t="s">
        <v>0</v>
      </c>
      <c r="G14" s="20" t="s">
        <v>0</v>
      </c>
      <c r="H14" s="20" t="s">
        <v>0</v>
      </c>
      <c r="I14" s="22" t="s">
        <v>0</v>
      </c>
      <c r="J14" s="20" t="s">
        <v>0</v>
      </c>
      <c r="K14" s="20" t="s">
        <v>0</v>
      </c>
      <c r="L14" s="20" t="s">
        <v>0</v>
      </c>
      <c r="M14" s="23" t="s">
        <v>0</v>
      </c>
      <c r="N14" s="22" t="s">
        <v>0</v>
      </c>
      <c r="O14" s="22">
        <v>0.97929999999999995</v>
      </c>
      <c r="S14" s="29"/>
      <c r="T14" s="29"/>
    </row>
    <row r="15" spans="1:20" x14ac:dyDescent="0.25">
      <c r="A15" s="26" t="s">
        <v>7</v>
      </c>
      <c r="B15" s="49" t="s">
        <v>118</v>
      </c>
      <c r="C15" s="50">
        <v>2.375</v>
      </c>
      <c r="D15" s="49">
        <v>1.51</v>
      </c>
      <c r="E15" s="49">
        <v>1.55</v>
      </c>
      <c r="F15" s="20" t="s">
        <v>0</v>
      </c>
      <c r="G15" s="20" t="s">
        <v>0</v>
      </c>
      <c r="H15" s="20" t="s">
        <v>0</v>
      </c>
      <c r="I15" s="22" t="s">
        <v>0</v>
      </c>
      <c r="J15" s="20" t="s">
        <v>0</v>
      </c>
      <c r="K15" s="20" t="s">
        <v>0</v>
      </c>
      <c r="L15" s="20" t="s">
        <v>0</v>
      </c>
      <c r="M15" s="23" t="s">
        <v>0</v>
      </c>
      <c r="N15" s="22" t="s">
        <v>0</v>
      </c>
      <c r="O15" s="22">
        <v>0.98009999999999997</v>
      </c>
      <c r="Q15" s="30"/>
      <c r="R15" s="30"/>
      <c r="S15" s="30"/>
      <c r="T15" s="30"/>
    </row>
    <row r="16" spans="1:20" x14ac:dyDescent="0.25">
      <c r="A16" s="26" t="s">
        <v>322</v>
      </c>
      <c r="B16" s="49" t="s">
        <v>323</v>
      </c>
      <c r="C16" s="50">
        <v>1</v>
      </c>
      <c r="D16" s="49">
        <v>1.52</v>
      </c>
      <c r="E16" s="49">
        <v>1.54</v>
      </c>
      <c r="F16" s="20">
        <v>1.002</v>
      </c>
      <c r="G16" s="20">
        <v>1.0009999999999999</v>
      </c>
      <c r="H16" s="20">
        <v>1.0015000000000001</v>
      </c>
      <c r="I16" s="22">
        <v>2</v>
      </c>
      <c r="J16" s="20" t="s">
        <v>0</v>
      </c>
      <c r="K16" s="20" t="s">
        <v>0</v>
      </c>
      <c r="L16" s="20" t="s">
        <v>0</v>
      </c>
      <c r="M16" s="23" t="s">
        <v>0</v>
      </c>
      <c r="N16" s="22" t="s">
        <v>0</v>
      </c>
      <c r="O16" s="22">
        <v>0.98009999999999997</v>
      </c>
    </row>
    <row r="17" spans="1:15" x14ac:dyDescent="0.25">
      <c r="A17" s="26" t="s">
        <v>31</v>
      </c>
      <c r="B17" s="49" t="s">
        <v>120</v>
      </c>
      <c r="C17" s="50">
        <v>1.625</v>
      </c>
      <c r="D17" s="49">
        <v>1.56</v>
      </c>
      <c r="E17" s="49">
        <v>1.59</v>
      </c>
      <c r="F17" s="20" t="s">
        <v>0</v>
      </c>
      <c r="G17" s="20" t="s">
        <v>0</v>
      </c>
      <c r="H17" s="20" t="s">
        <v>0</v>
      </c>
      <c r="I17" s="22" t="s">
        <v>0</v>
      </c>
      <c r="J17" s="20" t="s">
        <v>0</v>
      </c>
      <c r="K17" s="20" t="s">
        <v>0</v>
      </c>
      <c r="L17" s="20" t="s">
        <v>0</v>
      </c>
      <c r="M17" s="23" t="s">
        <v>0</v>
      </c>
      <c r="N17" s="22" t="s">
        <v>0</v>
      </c>
      <c r="O17" s="22">
        <v>0.98050000000000004</v>
      </c>
    </row>
    <row r="18" spans="1:15" x14ac:dyDescent="0.25">
      <c r="A18" s="26" t="s">
        <v>278</v>
      </c>
      <c r="B18" s="49" t="s">
        <v>121</v>
      </c>
      <c r="C18" s="50">
        <v>0.25</v>
      </c>
      <c r="D18" s="49">
        <v>1.92</v>
      </c>
      <c r="E18" s="49">
        <v>1.94</v>
      </c>
      <c r="F18" s="20" t="s">
        <v>0</v>
      </c>
      <c r="G18" s="20" t="s">
        <v>0</v>
      </c>
      <c r="H18" s="20" t="s">
        <v>0</v>
      </c>
      <c r="I18" s="22" t="s">
        <v>0</v>
      </c>
      <c r="J18" s="20" t="s">
        <v>0</v>
      </c>
      <c r="K18" s="20" t="s">
        <v>0</v>
      </c>
      <c r="L18" s="20" t="s">
        <v>0</v>
      </c>
      <c r="M18" s="23" t="s">
        <v>0</v>
      </c>
      <c r="N18" s="22" t="s">
        <v>0</v>
      </c>
      <c r="O18" s="22">
        <v>0.98529999999999995</v>
      </c>
    </row>
    <row r="19" spans="1:15" x14ac:dyDescent="0.25">
      <c r="A19" s="26" t="s">
        <v>38</v>
      </c>
      <c r="B19" s="49" t="s">
        <v>122</v>
      </c>
      <c r="C19" s="50">
        <v>1.125</v>
      </c>
      <c r="D19" s="49">
        <v>2.04</v>
      </c>
      <c r="E19" s="49">
        <v>2.09</v>
      </c>
      <c r="F19" s="20" t="s">
        <v>0</v>
      </c>
      <c r="G19" s="20" t="s">
        <v>0</v>
      </c>
      <c r="H19" s="20" t="s">
        <v>0</v>
      </c>
      <c r="I19" s="22" t="s">
        <v>0</v>
      </c>
      <c r="J19" s="20" t="s">
        <v>0</v>
      </c>
      <c r="K19" s="20" t="s">
        <v>0</v>
      </c>
      <c r="L19" s="20" t="s">
        <v>0</v>
      </c>
      <c r="M19" s="23" t="s">
        <v>0</v>
      </c>
      <c r="N19" s="22" t="s">
        <v>0</v>
      </c>
      <c r="O19" s="22">
        <v>0.98850000000000005</v>
      </c>
    </row>
    <row r="20" spans="1:15" x14ac:dyDescent="0.25">
      <c r="A20" s="26" t="s">
        <v>279</v>
      </c>
      <c r="B20" s="49" t="s">
        <v>124</v>
      </c>
      <c r="C20" s="50">
        <v>0.125</v>
      </c>
      <c r="D20" s="49">
        <v>2.2999999999999998</v>
      </c>
      <c r="E20" s="49">
        <v>2.33</v>
      </c>
      <c r="F20" s="20" t="s">
        <v>0</v>
      </c>
      <c r="G20" s="20" t="s">
        <v>0</v>
      </c>
      <c r="H20" s="20" t="s">
        <v>0</v>
      </c>
      <c r="I20" s="22" t="s">
        <v>0</v>
      </c>
      <c r="J20" s="20" t="s">
        <v>0</v>
      </c>
      <c r="K20" s="20" t="s">
        <v>0</v>
      </c>
      <c r="L20" s="20" t="s">
        <v>0</v>
      </c>
      <c r="M20" s="23" t="s">
        <v>0</v>
      </c>
      <c r="N20" s="22" t="s">
        <v>0</v>
      </c>
      <c r="O20" s="22">
        <v>0.99560000000000004</v>
      </c>
    </row>
    <row r="21" spans="1:15" x14ac:dyDescent="0.25">
      <c r="A21" s="26" t="s">
        <v>280</v>
      </c>
      <c r="B21" s="49" t="s">
        <v>125</v>
      </c>
      <c r="C21" s="50">
        <v>0.25</v>
      </c>
      <c r="D21" s="49">
        <v>2.4</v>
      </c>
      <c r="E21" s="49">
        <v>2.4300000000000002</v>
      </c>
      <c r="F21" s="20" t="s">
        <v>0</v>
      </c>
      <c r="G21" s="20" t="s">
        <v>0</v>
      </c>
      <c r="H21" s="20" t="s">
        <v>0</v>
      </c>
      <c r="I21" s="22" t="s">
        <v>0</v>
      </c>
      <c r="J21" s="20" t="s">
        <v>0</v>
      </c>
      <c r="K21" s="20" t="s">
        <v>0</v>
      </c>
      <c r="L21" s="20" t="s">
        <v>0</v>
      </c>
      <c r="M21" s="23" t="s">
        <v>0</v>
      </c>
      <c r="N21" s="22" t="s">
        <v>0</v>
      </c>
      <c r="O21" s="22">
        <v>0.999</v>
      </c>
    </row>
    <row r="22" spans="1:15" x14ac:dyDescent="0.25">
      <c r="A22" s="26" t="s">
        <v>8</v>
      </c>
      <c r="B22" s="49" t="s">
        <v>123</v>
      </c>
      <c r="C22" s="50">
        <v>1.875</v>
      </c>
      <c r="D22" s="49">
        <v>2.4700000000000002</v>
      </c>
      <c r="E22" s="49">
        <v>2.5499999999999998</v>
      </c>
      <c r="F22" s="20" t="s">
        <v>0</v>
      </c>
      <c r="G22" s="20" t="s">
        <v>0</v>
      </c>
      <c r="H22" s="20" t="s">
        <v>0</v>
      </c>
      <c r="I22" s="22" t="s">
        <v>0</v>
      </c>
      <c r="J22" s="20" t="s">
        <v>0</v>
      </c>
      <c r="K22" s="20" t="s">
        <v>0</v>
      </c>
      <c r="L22" s="20" t="s">
        <v>0</v>
      </c>
      <c r="M22" s="23" t="s">
        <v>0</v>
      </c>
      <c r="N22" s="22" t="s">
        <v>0</v>
      </c>
      <c r="O22" s="22">
        <v>1.0031000000000001</v>
      </c>
    </row>
    <row r="23" spans="1:15" x14ac:dyDescent="0.25">
      <c r="A23" s="26" t="s">
        <v>59</v>
      </c>
      <c r="B23" s="49" t="s">
        <v>126</v>
      </c>
      <c r="C23" s="50">
        <v>0.75</v>
      </c>
      <c r="D23" s="49">
        <v>2.52</v>
      </c>
      <c r="E23" s="49">
        <v>2.57</v>
      </c>
      <c r="F23" s="20" t="s">
        <v>0</v>
      </c>
      <c r="G23" s="20" t="s">
        <v>0</v>
      </c>
      <c r="H23" s="20" t="s">
        <v>0</v>
      </c>
      <c r="I23" s="22" t="s">
        <v>0</v>
      </c>
      <c r="J23" s="20" t="s">
        <v>0</v>
      </c>
      <c r="K23" s="20" t="s">
        <v>0</v>
      </c>
      <c r="L23" s="20" t="s">
        <v>0</v>
      </c>
      <c r="M23" s="23" t="s">
        <v>0</v>
      </c>
      <c r="N23" s="22" t="s">
        <v>0</v>
      </c>
      <c r="O23" s="22">
        <v>1.0043</v>
      </c>
    </row>
    <row r="24" spans="1:15" x14ac:dyDescent="0.25">
      <c r="A24" s="26" t="s">
        <v>281</v>
      </c>
      <c r="B24" s="49" t="s">
        <v>222</v>
      </c>
      <c r="C24" s="50">
        <v>0.25</v>
      </c>
      <c r="D24" s="49">
        <v>2.93</v>
      </c>
      <c r="E24" s="49">
        <v>2.97</v>
      </c>
      <c r="F24" s="20" t="s">
        <v>0</v>
      </c>
      <c r="G24" s="20" t="s">
        <v>0</v>
      </c>
      <c r="H24" s="20" t="s">
        <v>0</v>
      </c>
      <c r="I24" s="22" t="s">
        <v>0</v>
      </c>
      <c r="J24" s="20" t="s">
        <v>0</v>
      </c>
      <c r="K24" s="20" t="s">
        <v>0</v>
      </c>
      <c r="L24" s="20" t="s">
        <v>0</v>
      </c>
      <c r="M24" s="23" t="s">
        <v>0</v>
      </c>
      <c r="N24" s="22" t="s">
        <v>0</v>
      </c>
      <c r="O24" s="22">
        <v>1.0226</v>
      </c>
    </row>
    <row r="25" spans="1:15" x14ac:dyDescent="0.25">
      <c r="A25" s="26" t="s">
        <v>56</v>
      </c>
      <c r="B25" s="49" t="s">
        <v>128</v>
      </c>
      <c r="C25" s="50">
        <v>0.625</v>
      </c>
      <c r="D25" s="49">
        <v>3.01</v>
      </c>
      <c r="E25" s="49">
        <v>3.08</v>
      </c>
      <c r="F25" s="20" t="s">
        <v>0</v>
      </c>
      <c r="G25" s="20" t="s">
        <v>0</v>
      </c>
      <c r="H25" s="20" t="s">
        <v>0</v>
      </c>
      <c r="I25" s="22" t="s">
        <v>0</v>
      </c>
      <c r="J25" s="20" t="s">
        <v>0</v>
      </c>
      <c r="K25" s="20" t="s">
        <v>0</v>
      </c>
      <c r="L25" s="20" t="s">
        <v>0</v>
      </c>
      <c r="M25" s="23" t="s">
        <v>0</v>
      </c>
      <c r="N25" s="22" t="s">
        <v>0</v>
      </c>
      <c r="O25" s="22">
        <v>1.0275000000000001</v>
      </c>
    </row>
    <row r="26" spans="1:15" x14ac:dyDescent="0.25">
      <c r="A26" s="26" t="s">
        <v>11</v>
      </c>
      <c r="B26" s="49" t="s">
        <v>127</v>
      </c>
      <c r="C26" s="50">
        <v>2.125</v>
      </c>
      <c r="D26" s="49">
        <v>3.1</v>
      </c>
      <c r="E26" s="49">
        <v>3.26</v>
      </c>
      <c r="F26" s="20" t="s">
        <v>0</v>
      </c>
      <c r="G26" s="20" t="s">
        <v>0</v>
      </c>
      <c r="H26" s="20" t="s">
        <v>0</v>
      </c>
      <c r="I26" s="22" t="s">
        <v>0</v>
      </c>
      <c r="J26" s="20" t="s">
        <v>0</v>
      </c>
      <c r="K26" s="20" t="s">
        <v>0</v>
      </c>
      <c r="L26" s="20" t="s">
        <v>0</v>
      </c>
      <c r="M26" s="23" t="s">
        <v>0</v>
      </c>
      <c r="N26" s="22" t="s">
        <v>0</v>
      </c>
      <c r="O26" s="22">
        <v>1.0348999999999999</v>
      </c>
    </row>
    <row r="27" spans="1:15" x14ac:dyDescent="0.25">
      <c r="A27" s="26" t="s">
        <v>12</v>
      </c>
      <c r="B27" s="49" t="s">
        <v>129</v>
      </c>
      <c r="C27" s="50">
        <v>2</v>
      </c>
      <c r="D27" s="49">
        <v>3.37</v>
      </c>
      <c r="E27" s="49">
        <v>3.52</v>
      </c>
      <c r="F27" s="20" t="s">
        <v>0</v>
      </c>
      <c r="G27" s="20" t="s">
        <v>0</v>
      </c>
      <c r="H27" s="20" t="s">
        <v>0</v>
      </c>
      <c r="I27" s="22" t="s">
        <v>0</v>
      </c>
      <c r="J27" s="20" t="s">
        <v>0</v>
      </c>
      <c r="K27" s="20" t="s">
        <v>0</v>
      </c>
      <c r="L27" s="20" t="s">
        <v>0</v>
      </c>
      <c r="M27" s="23" t="s">
        <v>0</v>
      </c>
      <c r="N27" s="22" t="s">
        <v>0</v>
      </c>
      <c r="O27" s="22">
        <v>1.0466</v>
      </c>
    </row>
    <row r="28" spans="1:15" x14ac:dyDescent="0.25">
      <c r="A28" s="26" t="s">
        <v>32</v>
      </c>
      <c r="B28" s="49" t="s">
        <v>130</v>
      </c>
      <c r="C28" s="50">
        <v>1.125</v>
      </c>
      <c r="D28" s="49">
        <v>3.46</v>
      </c>
      <c r="E28" s="49">
        <v>3.56</v>
      </c>
      <c r="F28" s="20" t="s">
        <v>0</v>
      </c>
      <c r="G28" s="20" t="s">
        <v>0</v>
      </c>
      <c r="H28" s="20" t="s">
        <v>0</v>
      </c>
      <c r="I28" s="22" t="s">
        <v>0</v>
      </c>
      <c r="J28" s="20" t="s">
        <v>0</v>
      </c>
      <c r="K28" s="20" t="s">
        <v>0</v>
      </c>
      <c r="L28" s="20" t="s">
        <v>0</v>
      </c>
      <c r="M28" s="23" t="s">
        <v>0</v>
      </c>
      <c r="N28" s="22" t="s">
        <v>0</v>
      </c>
      <c r="O28" s="22">
        <v>1.0489999999999999</v>
      </c>
    </row>
    <row r="29" spans="1:15" x14ac:dyDescent="0.25">
      <c r="A29" s="26" t="s">
        <v>282</v>
      </c>
      <c r="B29" s="49" t="s">
        <v>247</v>
      </c>
      <c r="C29" s="50">
        <v>0.5</v>
      </c>
      <c r="D29" s="49">
        <v>3.48</v>
      </c>
      <c r="E29" s="49">
        <v>3.55</v>
      </c>
      <c r="F29" s="20" t="s">
        <v>0</v>
      </c>
      <c r="G29" s="20" t="s">
        <v>0</v>
      </c>
      <c r="H29" s="20" t="s">
        <v>0</v>
      </c>
      <c r="I29" s="22" t="s">
        <v>0</v>
      </c>
      <c r="J29" s="20" t="s">
        <v>0</v>
      </c>
      <c r="K29" s="20" t="s">
        <v>0</v>
      </c>
      <c r="L29" s="20" t="s">
        <v>0</v>
      </c>
      <c r="M29" s="23" t="s">
        <v>0</v>
      </c>
      <c r="N29" s="22" t="s">
        <v>0</v>
      </c>
      <c r="O29" s="22">
        <v>1.0488</v>
      </c>
    </row>
    <row r="30" spans="1:15" x14ac:dyDescent="0.25">
      <c r="A30" s="26" t="s">
        <v>263</v>
      </c>
      <c r="B30" s="49" t="s">
        <v>265</v>
      </c>
      <c r="C30" s="50">
        <v>1</v>
      </c>
      <c r="D30" s="49">
        <v>3.77</v>
      </c>
      <c r="E30" s="49">
        <v>3.87</v>
      </c>
      <c r="F30" s="20" t="s">
        <v>0</v>
      </c>
      <c r="G30" s="20" t="s">
        <v>0</v>
      </c>
      <c r="H30" s="20" t="s">
        <v>0</v>
      </c>
      <c r="I30" s="22" t="s">
        <v>0</v>
      </c>
      <c r="J30" s="20" t="s">
        <v>0</v>
      </c>
      <c r="K30" s="20" t="s">
        <v>0</v>
      </c>
      <c r="L30" s="20" t="s">
        <v>0</v>
      </c>
      <c r="M30" s="23" t="s">
        <v>0</v>
      </c>
      <c r="N30" s="22" t="s">
        <v>0</v>
      </c>
      <c r="O30" s="22">
        <v>1.0613999999999999</v>
      </c>
    </row>
    <row r="31" spans="1:15" x14ac:dyDescent="0.25">
      <c r="A31" s="26" t="s">
        <v>304</v>
      </c>
      <c r="B31" s="49" t="s">
        <v>305</v>
      </c>
      <c r="C31" s="50">
        <v>1.25</v>
      </c>
      <c r="D31" s="49">
        <v>3.96</v>
      </c>
      <c r="E31" s="49">
        <v>4.12</v>
      </c>
      <c r="F31" s="20" t="s">
        <v>0</v>
      </c>
      <c r="G31" s="20" t="s">
        <v>0</v>
      </c>
      <c r="H31" s="20" t="s">
        <v>0</v>
      </c>
      <c r="I31" s="22" t="s">
        <v>0</v>
      </c>
      <c r="J31" s="20" t="s">
        <v>0</v>
      </c>
      <c r="K31" s="20" t="s">
        <v>0</v>
      </c>
      <c r="L31" s="20" t="s">
        <v>0</v>
      </c>
      <c r="M31" s="23" t="s">
        <v>0</v>
      </c>
      <c r="N31" s="22" t="s">
        <v>0</v>
      </c>
      <c r="O31" s="22">
        <v>1.0697000000000001</v>
      </c>
    </row>
    <row r="32" spans="1:15" x14ac:dyDescent="0.25">
      <c r="A32" s="26" t="s">
        <v>13</v>
      </c>
      <c r="B32" s="49" t="s">
        <v>131</v>
      </c>
      <c r="C32" s="50">
        <v>3</v>
      </c>
      <c r="D32" s="49">
        <v>3.96</v>
      </c>
      <c r="E32" s="49">
        <v>4.2699999999999996</v>
      </c>
      <c r="F32" s="20" t="s">
        <v>0</v>
      </c>
      <c r="G32" s="20" t="s">
        <v>0</v>
      </c>
      <c r="H32" s="20" t="s">
        <v>0</v>
      </c>
      <c r="I32" s="22" t="s">
        <v>0</v>
      </c>
      <c r="J32" s="20" t="s">
        <v>0</v>
      </c>
      <c r="K32" s="20" t="s">
        <v>0</v>
      </c>
      <c r="L32" s="20" t="s">
        <v>0</v>
      </c>
      <c r="M32" s="23" t="s">
        <v>0</v>
      </c>
      <c r="N32" s="22" t="s">
        <v>0</v>
      </c>
      <c r="O32" s="22">
        <v>1.0722</v>
      </c>
    </row>
    <row r="33" spans="1:15" x14ac:dyDescent="0.25">
      <c r="A33" s="26" t="s">
        <v>1</v>
      </c>
      <c r="B33" s="49" t="s">
        <v>132</v>
      </c>
      <c r="C33" s="50">
        <v>1</v>
      </c>
      <c r="D33" s="49">
        <v>3.97</v>
      </c>
      <c r="E33" s="49">
        <v>4.12</v>
      </c>
      <c r="F33" s="20" t="s">
        <v>0</v>
      </c>
      <c r="G33" s="20" t="s">
        <v>0</v>
      </c>
      <c r="H33" s="20" t="s">
        <v>0</v>
      </c>
      <c r="I33" s="22" t="s">
        <v>0</v>
      </c>
      <c r="J33" s="20" t="s">
        <v>0</v>
      </c>
      <c r="K33" s="20" t="s">
        <v>0</v>
      </c>
      <c r="L33" s="20" t="s">
        <v>0</v>
      </c>
      <c r="M33" s="23" t="s">
        <v>0</v>
      </c>
      <c r="N33" s="22" t="s">
        <v>0</v>
      </c>
      <c r="O33" s="22">
        <v>1.0697000000000001</v>
      </c>
    </row>
    <row r="34" spans="1:15" x14ac:dyDescent="0.25">
      <c r="A34" s="26" t="s">
        <v>60</v>
      </c>
      <c r="B34" s="49" t="s">
        <v>134</v>
      </c>
      <c r="C34" s="50">
        <v>1.375</v>
      </c>
      <c r="D34" s="49">
        <v>4.24</v>
      </c>
      <c r="E34" s="49">
        <v>4.42</v>
      </c>
      <c r="F34" s="20" t="s">
        <v>0</v>
      </c>
      <c r="G34" s="20" t="s">
        <v>0</v>
      </c>
      <c r="H34" s="20" t="s">
        <v>0</v>
      </c>
      <c r="I34" s="22" t="s">
        <v>0</v>
      </c>
      <c r="J34" s="20" t="s">
        <v>0</v>
      </c>
      <c r="K34" s="20" t="s">
        <v>0</v>
      </c>
      <c r="L34" s="20" t="s">
        <v>0</v>
      </c>
      <c r="M34" s="23" t="s">
        <v>0</v>
      </c>
      <c r="N34" s="22" t="s">
        <v>0</v>
      </c>
      <c r="O34" s="22">
        <v>1.0777000000000001</v>
      </c>
    </row>
    <row r="35" spans="1:15" x14ac:dyDescent="0.25">
      <c r="A35" s="26" t="s">
        <v>14</v>
      </c>
      <c r="B35" s="49" t="s">
        <v>133</v>
      </c>
      <c r="C35" s="50">
        <v>2.5</v>
      </c>
      <c r="D35" s="49">
        <v>4.24</v>
      </c>
      <c r="E35" s="49">
        <v>4.5199999999999996</v>
      </c>
      <c r="F35" s="20" t="s">
        <v>0</v>
      </c>
      <c r="G35" s="20" t="s">
        <v>0</v>
      </c>
      <c r="H35" s="20" t="s">
        <v>0</v>
      </c>
      <c r="I35" s="22" t="s">
        <v>0</v>
      </c>
      <c r="J35" s="20" t="s">
        <v>0</v>
      </c>
      <c r="K35" s="20" t="s">
        <v>0</v>
      </c>
      <c r="L35" s="20" t="s">
        <v>0</v>
      </c>
      <c r="M35" s="23" t="s">
        <v>0</v>
      </c>
      <c r="N35" s="22" t="s">
        <v>0</v>
      </c>
      <c r="O35" s="22">
        <v>1.0788</v>
      </c>
    </row>
    <row r="36" spans="1:15" x14ac:dyDescent="0.25">
      <c r="A36" s="26" t="s">
        <v>326</v>
      </c>
      <c r="B36" s="49" t="s">
        <v>325</v>
      </c>
      <c r="C36" s="50">
        <v>1</v>
      </c>
      <c r="D36" s="49">
        <v>4.3</v>
      </c>
      <c r="E36" s="49">
        <v>4.4400000000000004</v>
      </c>
      <c r="F36" s="20" t="s">
        <v>0</v>
      </c>
      <c r="G36" s="20" t="s">
        <v>0</v>
      </c>
      <c r="H36" s="20" t="s">
        <v>0</v>
      </c>
      <c r="I36" s="22" t="s">
        <v>0</v>
      </c>
      <c r="J36" s="20" t="s">
        <v>0</v>
      </c>
      <c r="K36" s="20" t="s">
        <v>0</v>
      </c>
      <c r="L36" s="20" t="s">
        <v>0</v>
      </c>
      <c r="M36" s="23" t="s">
        <v>0</v>
      </c>
      <c r="N36" s="22" t="s">
        <v>0</v>
      </c>
      <c r="O36" s="22">
        <v>1.0787</v>
      </c>
    </row>
    <row r="37" spans="1:15" x14ac:dyDescent="0.25">
      <c r="A37" s="26" t="s">
        <v>35</v>
      </c>
      <c r="B37" s="49" t="s">
        <v>135</v>
      </c>
      <c r="C37" s="50">
        <v>1</v>
      </c>
      <c r="D37" s="49">
        <v>4.3600000000000003</v>
      </c>
      <c r="E37" s="49">
        <v>4.5</v>
      </c>
      <c r="F37" s="20" t="s">
        <v>0</v>
      </c>
      <c r="G37" s="20" t="s">
        <v>0</v>
      </c>
      <c r="H37" s="20" t="s">
        <v>0</v>
      </c>
      <c r="I37" s="22" t="s">
        <v>0</v>
      </c>
      <c r="J37" s="20" t="s">
        <v>0</v>
      </c>
      <c r="K37" s="20" t="s">
        <v>0</v>
      </c>
      <c r="L37" s="20" t="s">
        <v>0</v>
      </c>
      <c r="M37" s="23" t="s">
        <v>0</v>
      </c>
      <c r="N37" s="22" t="s">
        <v>0</v>
      </c>
      <c r="O37" s="22">
        <v>1.08</v>
      </c>
    </row>
    <row r="38" spans="1:15" x14ac:dyDescent="0.25">
      <c r="A38" s="26" t="s">
        <v>15</v>
      </c>
      <c r="B38" s="49" t="s">
        <v>136</v>
      </c>
      <c r="C38" s="50">
        <v>2.625</v>
      </c>
      <c r="D38" s="49">
        <v>4.6100000000000003</v>
      </c>
      <c r="E38" s="49">
        <v>5.0199999999999996</v>
      </c>
      <c r="F38" s="20" t="s">
        <v>0</v>
      </c>
      <c r="G38" s="20" t="s">
        <v>0</v>
      </c>
      <c r="H38" s="20" t="s">
        <v>0</v>
      </c>
      <c r="I38" s="22" t="s">
        <v>0</v>
      </c>
      <c r="J38" s="20" t="s">
        <v>0</v>
      </c>
      <c r="K38" s="20" t="s">
        <v>0</v>
      </c>
      <c r="L38" s="20" t="s">
        <v>0</v>
      </c>
      <c r="M38" s="23" t="s">
        <v>0</v>
      </c>
      <c r="N38" s="22" t="s">
        <v>0</v>
      </c>
      <c r="O38" s="22">
        <v>1.0878000000000001</v>
      </c>
    </row>
    <row r="39" spans="1:15" x14ac:dyDescent="0.25">
      <c r="A39" s="26" t="s">
        <v>359</v>
      </c>
      <c r="B39" s="49" t="s">
        <v>360</v>
      </c>
      <c r="C39" s="50">
        <v>1</v>
      </c>
      <c r="D39" s="49">
        <v>4.6500000000000004</v>
      </c>
      <c r="E39" s="49">
        <v>4.8</v>
      </c>
      <c r="F39" s="20" t="s">
        <v>0</v>
      </c>
      <c r="G39" s="20" t="s">
        <v>0</v>
      </c>
      <c r="H39" s="20" t="s">
        <v>0</v>
      </c>
      <c r="I39" s="22" t="s">
        <v>0</v>
      </c>
      <c r="J39" s="20" t="s">
        <v>0</v>
      </c>
      <c r="K39" s="20" t="s">
        <v>0</v>
      </c>
      <c r="L39" s="20" t="s">
        <v>0</v>
      </c>
      <c r="M39" s="23" t="s">
        <v>0</v>
      </c>
      <c r="N39" s="22" t="s">
        <v>0</v>
      </c>
      <c r="O39" s="22">
        <v>1.0862000000000001</v>
      </c>
    </row>
    <row r="40" spans="1:15" x14ac:dyDescent="0.25">
      <c r="A40" s="26" t="s">
        <v>2</v>
      </c>
      <c r="B40" s="49" t="s">
        <v>137</v>
      </c>
      <c r="C40" s="50">
        <v>0.875</v>
      </c>
      <c r="D40" s="49">
        <v>4.6900000000000004</v>
      </c>
      <c r="E40" s="49">
        <v>4.83</v>
      </c>
      <c r="F40" s="20" t="s">
        <v>0</v>
      </c>
      <c r="G40" s="20" t="s">
        <v>0</v>
      </c>
      <c r="H40" s="20" t="s">
        <v>0</v>
      </c>
      <c r="I40" s="22" t="s">
        <v>0</v>
      </c>
      <c r="J40" s="20" t="s">
        <v>0</v>
      </c>
      <c r="K40" s="20" t="s">
        <v>0</v>
      </c>
      <c r="L40" s="20" t="s">
        <v>0</v>
      </c>
      <c r="M40" s="23" t="s">
        <v>0</v>
      </c>
      <c r="N40" s="22" t="s">
        <v>0</v>
      </c>
      <c r="O40" s="22">
        <v>1.0869</v>
      </c>
    </row>
    <row r="41" spans="1:15" x14ac:dyDescent="0.25">
      <c r="A41" s="26" t="s">
        <v>378</v>
      </c>
      <c r="B41" s="49" t="s">
        <v>379</v>
      </c>
      <c r="C41" s="50">
        <v>1</v>
      </c>
      <c r="D41" s="49">
        <v>4.8499999999999996</v>
      </c>
      <c r="E41" s="49">
        <v>5</v>
      </c>
      <c r="F41" s="20" t="s">
        <v>0</v>
      </c>
      <c r="G41" s="20" t="s">
        <v>0</v>
      </c>
      <c r="H41" s="20" t="s">
        <v>0</v>
      </c>
      <c r="I41" s="22" t="s">
        <v>0</v>
      </c>
      <c r="J41" s="20" t="s">
        <v>0</v>
      </c>
      <c r="K41" s="20" t="s">
        <v>0</v>
      </c>
      <c r="L41" s="20" t="s">
        <v>0</v>
      </c>
      <c r="M41" s="23" t="s">
        <v>0</v>
      </c>
      <c r="N41" s="22" t="s">
        <v>0</v>
      </c>
      <c r="O41" s="22">
        <v>1.0894999999999999</v>
      </c>
    </row>
    <row r="42" spans="1:15" x14ac:dyDescent="0.25">
      <c r="A42" s="26" t="s">
        <v>283</v>
      </c>
      <c r="B42" s="49" t="s">
        <v>223</v>
      </c>
      <c r="C42" s="50">
        <v>0.25</v>
      </c>
      <c r="D42" s="49">
        <v>4.9400000000000004</v>
      </c>
      <c r="E42" s="49">
        <v>5.03</v>
      </c>
      <c r="F42" s="20" t="s">
        <v>0</v>
      </c>
      <c r="G42" s="20" t="s">
        <v>0</v>
      </c>
      <c r="H42" s="20" t="s">
        <v>0</v>
      </c>
      <c r="I42" s="22" t="s">
        <v>0</v>
      </c>
      <c r="J42" s="20" t="s">
        <v>0</v>
      </c>
      <c r="K42" s="20" t="s">
        <v>0</v>
      </c>
      <c r="L42" s="20" t="s">
        <v>0</v>
      </c>
      <c r="M42" s="23" t="s">
        <v>0</v>
      </c>
      <c r="N42" s="22" t="s">
        <v>0</v>
      </c>
      <c r="O42" s="22">
        <v>1.0909</v>
      </c>
    </row>
    <row r="43" spans="1:15" x14ac:dyDescent="0.25">
      <c r="A43" s="26" t="s">
        <v>28</v>
      </c>
      <c r="B43" s="49" t="s">
        <v>139</v>
      </c>
      <c r="C43" s="50">
        <v>0.875</v>
      </c>
      <c r="D43" s="49">
        <v>5</v>
      </c>
      <c r="E43" s="49">
        <v>5.19</v>
      </c>
      <c r="F43" s="20" t="s">
        <v>0</v>
      </c>
      <c r="G43" s="20" t="s">
        <v>0</v>
      </c>
      <c r="H43" s="20" t="s">
        <v>0</v>
      </c>
      <c r="I43" s="22" t="s">
        <v>0</v>
      </c>
      <c r="J43" s="20" t="s">
        <v>0</v>
      </c>
      <c r="K43" s="20" t="s">
        <v>0</v>
      </c>
      <c r="L43" s="20" t="s">
        <v>0</v>
      </c>
      <c r="M43" s="23" t="s">
        <v>0</v>
      </c>
      <c r="N43" s="22" t="s">
        <v>0</v>
      </c>
      <c r="O43" s="22">
        <v>1.0921000000000001</v>
      </c>
    </row>
    <row r="44" spans="1:15" x14ac:dyDescent="0.25">
      <c r="A44" s="26" t="s">
        <v>16</v>
      </c>
      <c r="B44" s="49" t="s">
        <v>138</v>
      </c>
      <c r="C44" s="50">
        <v>2.125</v>
      </c>
      <c r="D44" s="49">
        <v>5.17</v>
      </c>
      <c r="E44" s="49">
        <v>5.53</v>
      </c>
      <c r="F44" s="20" t="s">
        <v>0</v>
      </c>
      <c r="G44" s="20" t="s">
        <v>0</v>
      </c>
      <c r="H44" s="20" t="s">
        <v>0</v>
      </c>
      <c r="I44" s="22" t="s">
        <v>0</v>
      </c>
      <c r="J44" s="20" t="s">
        <v>0</v>
      </c>
      <c r="K44" s="20" t="s">
        <v>0</v>
      </c>
      <c r="L44" s="20" t="s">
        <v>0</v>
      </c>
      <c r="M44" s="23" t="s">
        <v>0</v>
      </c>
      <c r="N44" s="22" t="s">
        <v>0</v>
      </c>
      <c r="O44" s="22">
        <v>1.0938000000000001</v>
      </c>
    </row>
    <row r="45" spans="1:15" x14ac:dyDescent="0.25">
      <c r="A45" s="26" t="s">
        <v>3</v>
      </c>
      <c r="B45" s="49" t="s">
        <v>140</v>
      </c>
      <c r="C45" s="50">
        <v>0.75</v>
      </c>
      <c r="D45" s="49">
        <v>5.34</v>
      </c>
      <c r="E45" s="49">
        <v>5.52</v>
      </c>
      <c r="F45" s="20" t="s">
        <v>0</v>
      </c>
      <c r="G45" s="20" t="s">
        <v>0</v>
      </c>
      <c r="H45" s="20" t="s">
        <v>0</v>
      </c>
      <c r="I45" s="22" t="s">
        <v>0</v>
      </c>
      <c r="J45" s="20" t="s">
        <v>0</v>
      </c>
      <c r="K45" s="20" t="s">
        <v>0</v>
      </c>
      <c r="L45" s="20" t="s">
        <v>0</v>
      </c>
      <c r="M45" s="23" t="s">
        <v>0</v>
      </c>
      <c r="N45" s="22" t="s">
        <v>0</v>
      </c>
      <c r="O45" s="22">
        <v>1.0954999999999999</v>
      </c>
    </row>
    <row r="46" spans="1:15" x14ac:dyDescent="0.25">
      <c r="A46" s="26" t="s">
        <v>17</v>
      </c>
      <c r="B46" s="49" t="s">
        <v>141</v>
      </c>
      <c r="C46" s="50">
        <v>2.125</v>
      </c>
      <c r="D46" s="49">
        <v>5.54</v>
      </c>
      <c r="E46" s="49">
        <v>6.01</v>
      </c>
      <c r="F46" s="20" t="s">
        <v>0</v>
      </c>
      <c r="G46" s="20" t="s">
        <v>0</v>
      </c>
      <c r="H46" s="20" t="s">
        <v>0</v>
      </c>
      <c r="I46" s="22" t="s">
        <v>0</v>
      </c>
      <c r="J46" s="20" t="s">
        <v>0</v>
      </c>
      <c r="K46" s="20" t="s">
        <v>0</v>
      </c>
      <c r="L46" s="20" t="s">
        <v>0</v>
      </c>
      <c r="M46" s="23" t="s">
        <v>0</v>
      </c>
      <c r="N46" s="22" t="s">
        <v>0</v>
      </c>
      <c r="O46" s="22">
        <v>1.0986</v>
      </c>
    </row>
    <row r="47" spans="1:15" x14ac:dyDescent="0.25">
      <c r="A47" s="26" t="s">
        <v>4</v>
      </c>
      <c r="B47" s="49" t="s">
        <v>142</v>
      </c>
      <c r="C47" s="50">
        <v>0.625</v>
      </c>
      <c r="D47" s="49">
        <v>5.72</v>
      </c>
      <c r="E47" s="49">
        <v>5.88</v>
      </c>
      <c r="F47" s="20" t="s">
        <v>0</v>
      </c>
      <c r="G47" s="20" t="s">
        <v>0</v>
      </c>
      <c r="H47" s="20" t="s">
        <v>0</v>
      </c>
      <c r="I47" s="22" t="s">
        <v>0</v>
      </c>
      <c r="J47" s="20" t="s">
        <v>0</v>
      </c>
      <c r="K47" s="20" t="s">
        <v>0</v>
      </c>
      <c r="L47" s="20" t="s">
        <v>0</v>
      </c>
      <c r="M47" s="23" t="s">
        <v>0</v>
      </c>
      <c r="N47" s="22" t="s">
        <v>0</v>
      </c>
      <c r="O47" s="22">
        <v>1.099</v>
      </c>
    </row>
    <row r="48" spans="1:15" x14ac:dyDescent="0.25">
      <c r="A48" s="26" t="s">
        <v>6</v>
      </c>
      <c r="B48" s="49" t="s">
        <v>144</v>
      </c>
      <c r="C48" s="50">
        <v>0.625</v>
      </c>
      <c r="D48" s="49">
        <v>5.98</v>
      </c>
      <c r="E48" s="49">
        <v>6.18</v>
      </c>
      <c r="F48" s="20" t="s">
        <v>0</v>
      </c>
      <c r="G48" s="20" t="s">
        <v>0</v>
      </c>
      <c r="H48" s="20" t="s">
        <v>0</v>
      </c>
      <c r="I48" s="22" t="s">
        <v>0</v>
      </c>
      <c r="J48" s="20" t="s">
        <v>0</v>
      </c>
      <c r="K48" s="20" t="s">
        <v>0</v>
      </c>
      <c r="L48" s="20" t="s">
        <v>0</v>
      </c>
      <c r="M48" s="23" t="s">
        <v>0</v>
      </c>
      <c r="N48" s="22" t="s">
        <v>0</v>
      </c>
      <c r="O48" s="22">
        <v>1.1024</v>
      </c>
    </row>
    <row r="49" spans="1:15" x14ac:dyDescent="0.25">
      <c r="A49" s="26" t="s">
        <v>18</v>
      </c>
      <c r="B49" s="49" t="s">
        <v>143</v>
      </c>
      <c r="C49" s="50">
        <v>1.875</v>
      </c>
      <c r="D49" s="49">
        <v>6.11</v>
      </c>
      <c r="E49" s="49">
        <v>6.54</v>
      </c>
      <c r="F49" s="20" t="s">
        <v>0</v>
      </c>
      <c r="G49" s="20" t="s">
        <v>0</v>
      </c>
      <c r="H49" s="20" t="s">
        <v>0</v>
      </c>
      <c r="I49" s="22" t="s">
        <v>0</v>
      </c>
      <c r="J49" s="20" t="s">
        <v>0</v>
      </c>
      <c r="K49" s="20" t="s">
        <v>0</v>
      </c>
      <c r="L49" s="20" t="s">
        <v>0</v>
      </c>
      <c r="M49" s="23" t="s">
        <v>0</v>
      </c>
      <c r="N49" s="22" t="s">
        <v>0</v>
      </c>
      <c r="O49" s="22">
        <v>1.1062000000000001</v>
      </c>
    </row>
    <row r="50" spans="1:15" x14ac:dyDescent="0.25">
      <c r="A50" s="26" t="s">
        <v>284</v>
      </c>
      <c r="B50" s="49" t="s">
        <v>145</v>
      </c>
      <c r="C50" s="50">
        <v>0.5</v>
      </c>
      <c r="D50" s="49">
        <v>6.36</v>
      </c>
      <c r="E50" s="49">
        <v>6.54</v>
      </c>
      <c r="F50" s="20" t="s">
        <v>0</v>
      </c>
      <c r="G50" s="20" t="s">
        <v>0</v>
      </c>
      <c r="H50" s="20" t="s">
        <v>0</v>
      </c>
      <c r="I50" s="22" t="s">
        <v>0</v>
      </c>
      <c r="J50" s="20" t="s">
        <v>0</v>
      </c>
      <c r="K50" s="20" t="s">
        <v>0</v>
      </c>
      <c r="L50" s="20" t="s">
        <v>0</v>
      </c>
      <c r="M50" s="23" t="s">
        <v>0</v>
      </c>
      <c r="N50" s="22" t="s">
        <v>0</v>
      </c>
      <c r="O50" s="22">
        <v>1.1081000000000001</v>
      </c>
    </row>
    <row r="51" spans="1:15" x14ac:dyDescent="0.25">
      <c r="A51" s="26" t="s">
        <v>19</v>
      </c>
      <c r="B51" s="49" t="s">
        <v>146</v>
      </c>
      <c r="C51" s="50">
        <v>1.75</v>
      </c>
      <c r="D51" s="49">
        <v>6.48</v>
      </c>
      <c r="E51" s="49">
        <v>7.01</v>
      </c>
      <c r="F51" s="20" t="s">
        <v>0</v>
      </c>
      <c r="G51" s="20" t="s">
        <v>0</v>
      </c>
      <c r="H51" s="20" t="s">
        <v>0</v>
      </c>
      <c r="I51" s="22" t="s">
        <v>0</v>
      </c>
      <c r="J51" s="20" t="s">
        <v>0</v>
      </c>
      <c r="K51" s="20" t="s">
        <v>0</v>
      </c>
      <c r="L51" s="20" t="s">
        <v>0</v>
      </c>
      <c r="M51" s="23" t="s">
        <v>0</v>
      </c>
      <c r="N51" s="22" t="s">
        <v>0</v>
      </c>
      <c r="O51" s="22">
        <v>1.1172</v>
      </c>
    </row>
    <row r="52" spans="1:15" x14ac:dyDescent="0.25">
      <c r="A52" s="26" t="s">
        <v>285</v>
      </c>
      <c r="B52" s="49" t="s">
        <v>149</v>
      </c>
      <c r="C52" s="50">
        <v>0.375</v>
      </c>
      <c r="D52" s="49">
        <v>6.68</v>
      </c>
      <c r="E52" s="49">
        <v>6.84</v>
      </c>
      <c r="F52" s="20" t="s">
        <v>0</v>
      </c>
      <c r="G52" s="20" t="s">
        <v>0</v>
      </c>
      <c r="H52" s="20" t="s">
        <v>0</v>
      </c>
      <c r="I52" s="22" t="s">
        <v>0</v>
      </c>
      <c r="J52" s="20" t="s">
        <v>0</v>
      </c>
      <c r="K52" s="20" t="s">
        <v>0</v>
      </c>
      <c r="L52" s="20" t="s">
        <v>0</v>
      </c>
      <c r="M52" s="23" t="s">
        <v>0</v>
      </c>
      <c r="N52" s="22" t="s">
        <v>0</v>
      </c>
      <c r="O52" s="22">
        <v>1.1148</v>
      </c>
    </row>
    <row r="53" spans="1:15" x14ac:dyDescent="0.25">
      <c r="A53" s="26" t="s">
        <v>50</v>
      </c>
      <c r="B53" s="49" t="s">
        <v>147</v>
      </c>
      <c r="C53" s="50">
        <v>2.125</v>
      </c>
      <c r="D53" s="49">
        <v>6.82</v>
      </c>
      <c r="E53" s="49">
        <v>7.43</v>
      </c>
      <c r="F53" s="20" t="s">
        <v>0</v>
      </c>
      <c r="G53" s="20" t="s">
        <v>0</v>
      </c>
      <c r="H53" s="20" t="s">
        <v>0</v>
      </c>
      <c r="I53" s="22" t="s">
        <v>0</v>
      </c>
      <c r="J53" s="20" t="s">
        <v>0</v>
      </c>
      <c r="K53" s="20" t="s">
        <v>0</v>
      </c>
      <c r="L53" s="20" t="s">
        <v>0</v>
      </c>
      <c r="M53" s="23" t="s">
        <v>0</v>
      </c>
      <c r="N53" s="22" t="s">
        <v>0</v>
      </c>
      <c r="O53" s="22">
        <v>1.1304000000000001</v>
      </c>
    </row>
    <row r="54" spans="1:15" x14ac:dyDescent="0.25">
      <c r="A54" s="26" t="s">
        <v>286</v>
      </c>
      <c r="B54" s="49" t="s">
        <v>151</v>
      </c>
      <c r="C54" s="50">
        <v>0.25</v>
      </c>
      <c r="D54" s="49">
        <v>7.03</v>
      </c>
      <c r="E54" s="49">
        <v>7.18</v>
      </c>
      <c r="F54" s="20" t="s">
        <v>0</v>
      </c>
      <c r="G54" s="20" t="s">
        <v>0</v>
      </c>
      <c r="H54" s="20" t="s">
        <v>0</v>
      </c>
      <c r="I54" s="22" t="s">
        <v>0</v>
      </c>
      <c r="J54" s="20" t="s">
        <v>0</v>
      </c>
      <c r="K54" s="20" t="s">
        <v>0</v>
      </c>
      <c r="L54" s="20" t="s">
        <v>0</v>
      </c>
      <c r="M54" s="23" t="s">
        <v>0</v>
      </c>
      <c r="N54" s="22" t="s">
        <v>0</v>
      </c>
      <c r="O54" s="22">
        <v>1.125</v>
      </c>
    </row>
    <row r="55" spans="1:15" x14ac:dyDescent="0.25">
      <c r="A55" s="26" t="s">
        <v>20</v>
      </c>
      <c r="B55" s="49" t="s">
        <v>148</v>
      </c>
      <c r="C55" s="50">
        <v>3.625</v>
      </c>
      <c r="D55" s="49">
        <v>7.03</v>
      </c>
      <c r="E55" s="49">
        <v>7.94</v>
      </c>
      <c r="F55" s="20" t="s">
        <v>0</v>
      </c>
      <c r="G55" s="20" t="s">
        <v>0</v>
      </c>
      <c r="H55" s="20" t="s">
        <v>0</v>
      </c>
      <c r="I55" s="22" t="s">
        <v>0</v>
      </c>
      <c r="J55" s="20" t="s">
        <v>0</v>
      </c>
      <c r="K55" s="20" t="s">
        <v>0</v>
      </c>
      <c r="L55" s="20" t="s">
        <v>0</v>
      </c>
      <c r="M55" s="23" t="s">
        <v>0</v>
      </c>
      <c r="N55" s="22" t="s">
        <v>0</v>
      </c>
      <c r="O55" s="22">
        <v>1.1457999999999999</v>
      </c>
    </row>
    <row r="56" spans="1:15" x14ac:dyDescent="0.25">
      <c r="A56" s="26" t="s">
        <v>58</v>
      </c>
      <c r="B56" s="49" t="s">
        <v>150</v>
      </c>
      <c r="C56" s="50">
        <v>1.75</v>
      </c>
      <c r="D56" s="49">
        <v>7.26</v>
      </c>
      <c r="E56" s="49">
        <v>7.8</v>
      </c>
      <c r="F56" s="20" t="s">
        <v>0</v>
      </c>
      <c r="G56" s="20" t="s">
        <v>0</v>
      </c>
      <c r="H56" s="20" t="s">
        <v>0</v>
      </c>
      <c r="I56" s="22" t="s">
        <v>0</v>
      </c>
      <c r="J56" s="20" t="s">
        <v>0</v>
      </c>
      <c r="K56" s="20" t="s">
        <v>0</v>
      </c>
      <c r="L56" s="20" t="s">
        <v>0</v>
      </c>
      <c r="M56" s="23" t="s">
        <v>0</v>
      </c>
      <c r="N56" s="22" t="s">
        <v>0</v>
      </c>
      <c r="O56" s="22">
        <v>1.1448</v>
      </c>
    </row>
    <row r="57" spans="1:15" x14ac:dyDescent="0.25">
      <c r="A57" s="26" t="s">
        <v>61</v>
      </c>
      <c r="B57" s="49" t="s">
        <v>153</v>
      </c>
      <c r="C57" s="50">
        <v>1.875</v>
      </c>
      <c r="D57" s="49">
        <v>7.41</v>
      </c>
      <c r="E57" s="49">
        <v>7.98</v>
      </c>
      <c r="F57" s="20" t="s">
        <v>0</v>
      </c>
      <c r="G57" s="20" t="s">
        <v>0</v>
      </c>
      <c r="H57" s="20" t="s">
        <v>0</v>
      </c>
      <c r="I57" s="22" t="s">
        <v>0</v>
      </c>
      <c r="J57" s="20" t="s">
        <v>0</v>
      </c>
      <c r="K57" s="20" t="s">
        <v>0</v>
      </c>
      <c r="L57" s="20" t="s">
        <v>0</v>
      </c>
      <c r="M57" s="23" t="s">
        <v>0</v>
      </c>
      <c r="N57" s="22" t="s">
        <v>0</v>
      </c>
      <c r="O57" s="22">
        <v>1.1513</v>
      </c>
    </row>
    <row r="58" spans="1:15" x14ac:dyDescent="0.25">
      <c r="A58" s="26" t="s">
        <v>287</v>
      </c>
      <c r="B58" s="49" t="s">
        <v>152</v>
      </c>
      <c r="C58" s="50">
        <v>0.25</v>
      </c>
      <c r="D58" s="49">
        <v>7.38</v>
      </c>
      <c r="E58" s="49">
        <v>7.54</v>
      </c>
      <c r="F58" s="20" t="s">
        <v>0</v>
      </c>
      <c r="G58" s="20" t="s">
        <v>0</v>
      </c>
      <c r="H58" s="20" t="s">
        <v>0</v>
      </c>
      <c r="I58" s="22" t="s">
        <v>0</v>
      </c>
      <c r="J58" s="20" t="s">
        <v>0</v>
      </c>
      <c r="K58" s="20" t="s">
        <v>0</v>
      </c>
      <c r="L58" s="20" t="s">
        <v>0</v>
      </c>
      <c r="M58" s="23" t="s">
        <v>0</v>
      </c>
      <c r="N58" s="22" t="s">
        <v>0</v>
      </c>
      <c r="O58" s="22">
        <v>1.1384000000000001</v>
      </c>
    </row>
    <row r="59" spans="1:15" x14ac:dyDescent="0.25">
      <c r="A59" s="26" t="s">
        <v>288</v>
      </c>
      <c r="B59" s="49" t="s">
        <v>212</v>
      </c>
      <c r="C59" s="50">
        <v>0.375</v>
      </c>
      <c r="D59" s="49">
        <v>7.55</v>
      </c>
      <c r="E59" s="49">
        <v>7.74</v>
      </c>
      <c r="F59" s="20" t="s">
        <v>0</v>
      </c>
      <c r="G59" s="20" t="s">
        <v>0</v>
      </c>
      <c r="H59" s="20" t="s">
        <v>0</v>
      </c>
      <c r="I59" s="22" t="s">
        <v>0</v>
      </c>
      <c r="J59" s="20" t="s">
        <v>0</v>
      </c>
      <c r="K59" s="20" t="s">
        <v>0</v>
      </c>
      <c r="L59" s="20" t="s">
        <v>0</v>
      </c>
      <c r="M59" s="23" t="s">
        <v>0</v>
      </c>
      <c r="N59" s="22" t="s">
        <v>0</v>
      </c>
      <c r="O59" s="22">
        <v>1.1459999999999999</v>
      </c>
    </row>
    <row r="60" spans="1:15" x14ac:dyDescent="0.25">
      <c r="A60" s="26" t="s">
        <v>276</v>
      </c>
      <c r="B60" s="49" t="s">
        <v>216</v>
      </c>
      <c r="C60" s="50">
        <v>0.375</v>
      </c>
      <c r="D60" s="49">
        <v>7.68</v>
      </c>
      <c r="E60" s="49">
        <v>7.87</v>
      </c>
      <c r="F60" s="20" t="s">
        <v>0</v>
      </c>
      <c r="G60" s="20" t="s">
        <v>0</v>
      </c>
      <c r="H60" s="20" t="s">
        <v>0</v>
      </c>
      <c r="I60" s="22" t="s">
        <v>0</v>
      </c>
      <c r="J60" s="20" t="s">
        <v>0</v>
      </c>
      <c r="K60" s="20" t="s">
        <v>0</v>
      </c>
      <c r="L60" s="20" t="s">
        <v>0</v>
      </c>
      <c r="M60" s="23" t="s">
        <v>0</v>
      </c>
      <c r="N60" s="22" t="s">
        <v>0</v>
      </c>
      <c r="O60" s="22">
        <v>1.1511</v>
      </c>
    </row>
    <row r="61" spans="1:15" x14ac:dyDescent="0.25">
      <c r="A61" s="26" t="s">
        <v>43</v>
      </c>
      <c r="B61" s="49" t="s">
        <v>154</v>
      </c>
      <c r="C61" s="50">
        <v>1.625</v>
      </c>
      <c r="D61" s="49">
        <v>7.82</v>
      </c>
      <c r="E61" s="49">
        <v>8.4499999999999993</v>
      </c>
      <c r="F61" s="20" t="s">
        <v>0</v>
      </c>
      <c r="G61" s="20" t="s">
        <v>0</v>
      </c>
      <c r="H61" s="20" t="s">
        <v>0</v>
      </c>
      <c r="I61" s="22" t="s">
        <v>0</v>
      </c>
      <c r="J61" s="20" t="s">
        <v>0</v>
      </c>
      <c r="K61" s="20" t="s">
        <v>0</v>
      </c>
      <c r="L61" s="20" t="s">
        <v>0</v>
      </c>
      <c r="M61" s="23" t="s">
        <v>0</v>
      </c>
      <c r="N61" s="22" t="s">
        <v>0</v>
      </c>
      <c r="O61" s="22">
        <v>1.1662999999999999</v>
      </c>
    </row>
    <row r="62" spans="1:15" x14ac:dyDescent="0.25">
      <c r="A62" s="26" t="s">
        <v>289</v>
      </c>
      <c r="B62" s="49" t="s">
        <v>232</v>
      </c>
      <c r="C62" s="50">
        <v>0.5</v>
      </c>
      <c r="D62" s="49">
        <v>7.93</v>
      </c>
      <c r="E62" s="49">
        <v>8.1999999999999993</v>
      </c>
      <c r="F62" s="20" t="s">
        <v>0</v>
      </c>
      <c r="G62" s="20" t="s">
        <v>0</v>
      </c>
      <c r="H62" s="20" t="s">
        <v>0</v>
      </c>
      <c r="I62" s="22" t="s">
        <v>0</v>
      </c>
      <c r="J62" s="20" t="s">
        <v>0</v>
      </c>
      <c r="K62" s="20" t="s">
        <v>0</v>
      </c>
      <c r="L62" s="20" t="s">
        <v>0</v>
      </c>
      <c r="M62" s="23" t="s">
        <v>0</v>
      </c>
      <c r="N62" s="22" t="s">
        <v>0</v>
      </c>
      <c r="O62" s="22">
        <v>1.1626000000000001</v>
      </c>
    </row>
    <row r="63" spans="1:15" x14ac:dyDescent="0.25">
      <c r="A63" s="26" t="s">
        <v>25</v>
      </c>
      <c r="B63" s="49" t="s">
        <v>155</v>
      </c>
      <c r="C63" s="50">
        <v>1.625</v>
      </c>
      <c r="D63" s="49">
        <v>7.97</v>
      </c>
      <c r="E63" s="49">
        <v>8.6</v>
      </c>
      <c r="F63" s="20" t="s">
        <v>0</v>
      </c>
      <c r="G63" s="20" t="s">
        <v>0</v>
      </c>
      <c r="H63" s="20" t="s">
        <v>0</v>
      </c>
      <c r="I63" s="22" t="s">
        <v>0</v>
      </c>
      <c r="J63" s="20" t="s">
        <v>0</v>
      </c>
      <c r="K63" s="20" t="s">
        <v>0</v>
      </c>
      <c r="L63" s="20" t="s">
        <v>0</v>
      </c>
      <c r="M63" s="23" t="s">
        <v>0</v>
      </c>
      <c r="N63" s="22" t="s">
        <v>0</v>
      </c>
      <c r="O63" s="22">
        <v>1.1698</v>
      </c>
    </row>
    <row r="64" spans="1:15" x14ac:dyDescent="0.25">
      <c r="A64" s="26" t="s">
        <v>290</v>
      </c>
      <c r="B64" s="49" t="s">
        <v>248</v>
      </c>
      <c r="C64" s="50">
        <v>0.75</v>
      </c>
      <c r="D64" s="49">
        <v>8.06</v>
      </c>
      <c r="E64" s="49">
        <v>8.42</v>
      </c>
      <c r="F64" s="20" t="s">
        <v>0</v>
      </c>
      <c r="G64" s="20" t="s">
        <v>0</v>
      </c>
      <c r="H64" s="20" t="s">
        <v>0</v>
      </c>
      <c r="I64" s="22" t="s">
        <v>0</v>
      </c>
      <c r="J64" s="20" t="s">
        <v>0</v>
      </c>
      <c r="K64" s="20" t="s">
        <v>0</v>
      </c>
      <c r="L64" s="20" t="s">
        <v>0</v>
      </c>
      <c r="M64" s="23" t="s">
        <v>0</v>
      </c>
      <c r="N64" s="22" t="s">
        <v>0</v>
      </c>
      <c r="O64" s="22">
        <v>1.1682999999999999</v>
      </c>
    </row>
    <row r="65" spans="1:15" x14ac:dyDescent="0.25">
      <c r="A65" s="26" t="s">
        <v>245</v>
      </c>
      <c r="B65" s="49" t="s">
        <v>249</v>
      </c>
      <c r="C65" s="50">
        <v>0.625</v>
      </c>
      <c r="D65" s="49">
        <v>8.2100000000000009</v>
      </c>
      <c r="E65" s="49">
        <v>8.5299999999999994</v>
      </c>
      <c r="F65" s="20" t="s">
        <v>0</v>
      </c>
      <c r="G65" s="20" t="s">
        <v>0</v>
      </c>
      <c r="H65" s="20" t="s">
        <v>0</v>
      </c>
      <c r="I65" s="22" t="s">
        <v>0</v>
      </c>
      <c r="J65" s="20" t="s">
        <v>0</v>
      </c>
      <c r="K65" s="20" t="s">
        <v>0</v>
      </c>
      <c r="L65" s="20" t="s">
        <v>0</v>
      </c>
      <c r="M65" s="23" t="s">
        <v>0</v>
      </c>
      <c r="N65" s="22" t="s">
        <v>0</v>
      </c>
      <c r="O65" s="22">
        <v>1.1714</v>
      </c>
    </row>
    <row r="66" spans="1:15" x14ac:dyDescent="0.25">
      <c r="A66" s="26" t="s">
        <v>29</v>
      </c>
      <c r="B66" s="49" t="s">
        <v>156</v>
      </c>
      <c r="C66" s="50">
        <v>1.5</v>
      </c>
      <c r="D66" s="49">
        <v>8.2799999999999994</v>
      </c>
      <c r="E66" s="49">
        <v>9.01</v>
      </c>
      <c r="F66" s="20" t="s">
        <v>0</v>
      </c>
      <c r="G66" s="20" t="s">
        <v>0</v>
      </c>
      <c r="H66" s="20" t="s">
        <v>0</v>
      </c>
      <c r="I66" s="22" t="s">
        <v>0</v>
      </c>
      <c r="J66" s="20" t="s">
        <v>0</v>
      </c>
      <c r="K66" s="20" t="s">
        <v>0</v>
      </c>
      <c r="L66" s="20" t="s">
        <v>0</v>
      </c>
      <c r="M66" s="23" t="s">
        <v>0</v>
      </c>
      <c r="N66" s="22" t="s">
        <v>0</v>
      </c>
      <c r="O66" s="22">
        <v>1.1766000000000001</v>
      </c>
    </row>
    <row r="67" spans="1:15" x14ac:dyDescent="0.25">
      <c r="A67" s="26" t="s">
        <v>264</v>
      </c>
      <c r="B67" s="49" t="s">
        <v>266</v>
      </c>
      <c r="C67" s="50">
        <v>1.25</v>
      </c>
      <c r="D67" s="49">
        <v>8.36</v>
      </c>
      <c r="E67" s="49">
        <v>8.89</v>
      </c>
      <c r="F67" s="20" t="s">
        <v>0</v>
      </c>
      <c r="G67" s="20" t="s">
        <v>0</v>
      </c>
      <c r="H67" s="20" t="s">
        <v>0</v>
      </c>
      <c r="I67" s="22" t="s">
        <v>0</v>
      </c>
      <c r="J67" s="20" t="s">
        <v>0</v>
      </c>
      <c r="K67" s="20" t="s">
        <v>0</v>
      </c>
      <c r="L67" s="20" t="s">
        <v>0</v>
      </c>
      <c r="M67" s="23" t="s">
        <v>0</v>
      </c>
      <c r="N67" s="22" t="s">
        <v>0</v>
      </c>
      <c r="O67" s="22">
        <v>1.1758999999999999</v>
      </c>
    </row>
    <row r="68" spans="1:15" x14ac:dyDescent="0.25">
      <c r="A68" s="26" t="s">
        <v>313</v>
      </c>
      <c r="B68" s="49" t="s">
        <v>314</v>
      </c>
      <c r="C68" s="50">
        <v>1.75</v>
      </c>
      <c r="D68" s="49">
        <v>8.3699999999999992</v>
      </c>
      <c r="E68" s="49">
        <v>9.19</v>
      </c>
      <c r="F68" s="20" t="s">
        <v>0</v>
      </c>
      <c r="G68" s="20" t="s">
        <v>0</v>
      </c>
      <c r="H68" s="20" t="s">
        <v>0</v>
      </c>
      <c r="I68" s="22" t="s">
        <v>0</v>
      </c>
      <c r="J68" s="20" t="s">
        <v>0</v>
      </c>
      <c r="K68" s="20" t="s">
        <v>0</v>
      </c>
      <c r="L68" s="20" t="s">
        <v>0</v>
      </c>
      <c r="M68" s="23" t="s">
        <v>0</v>
      </c>
      <c r="N68" s="22" t="s">
        <v>0</v>
      </c>
      <c r="O68" s="22">
        <v>1.1778999999999999</v>
      </c>
    </row>
    <row r="69" spans="1:15" x14ac:dyDescent="0.25">
      <c r="A69" s="26" t="s">
        <v>53</v>
      </c>
      <c r="B69" s="49" t="s">
        <v>159</v>
      </c>
      <c r="C69" s="50">
        <v>1.5</v>
      </c>
      <c r="D69" s="49">
        <v>8.74</v>
      </c>
      <c r="E69" s="49">
        <v>9.4700000000000006</v>
      </c>
      <c r="F69" s="20" t="s">
        <v>0</v>
      </c>
      <c r="G69" s="20" t="s">
        <v>0</v>
      </c>
      <c r="H69" s="20" t="s">
        <v>0</v>
      </c>
      <c r="I69" s="22" t="s">
        <v>0</v>
      </c>
      <c r="J69" s="20" t="s">
        <v>0</v>
      </c>
      <c r="K69" s="20" t="s">
        <v>0</v>
      </c>
      <c r="L69" s="20" t="s">
        <v>0</v>
      </c>
      <c r="M69" s="23" t="s">
        <v>0</v>
      </c>
      <c r="N69" s="22" t="s">
        <v>0</v>
      </c>
      <c r="O69" s="22">
        <v>1.181</v>
      </c>
    </row>
    <row r="70" spans="1:15" x14ac:dyDescent="0.25">
      <c r="A70" s="26" t="s">
        <v>329</v>
      </c>
      <c r="B70" s="49" t="s">
        <v>330</v>
      </c>
      <c r="C70" s="50">
        <v>1.25</v>
      </c>
      <c r="D70" s="49">
        <v>8.7799999999999994</v>
      </c>
      <c r="E70" s="49">
        <v>9.42</v>
      </c>
      <c r="F70" s="20" t="s">
        <v>0</v>
      </c>
      <c r="G70" s="20" t="s">
        <v>0</v>
      </c>
      <c r="H70" s="20" t="s">
        <v>0</v>
      </c>
      <c r="I70" s="22" t="s">
        <v>0</v>
      </c>
      <c r="J70" s="20" t="s">
        <v>0</v>
      </c>
      <c r="K70" s="20" t="s">
        <v>0</v>
      </c>
      <c r="L70" s="20" t="s">
        <v>0</v>
      </c>
      <c r="M70" s="23" t="s">
        <v>0</v>
      </c>
      <c r="N70" s="22" t="s">
        <v>0</v>
      </c>
      <c r="O70" s="22">
        <v>1.1814</v>
      </c>
    </row>
    <row r="71" spans="1:15" x14ac:dyDescent="0.25">
      <c r="A71" s="26" t="s">
        <v>62</v>
      </c>
      <c r="B71" s="49" t="s">
        <v>158</v>
      </c>
      <c r="C71" s="50">
        <v>1.75</v>
      </c>
      <c r="D71" s="49">
        <v>8.7899999999999991</v>
      </c>
      <c r="E71" s="49">
        <v>9.6199999999999992</v>
      </c>
      <c r="F71" s="20" t="s">
        <v>0</v>
      </c>
      <c r="G71" s="20" t="s">
        <v>0</v>
      </c>
      <c r="H71" s="20" t="s">
        <v>0</v>
      </c>
      <c r="I71" s="22" t="s">
        <v>0</v>
      </c>
      <c r="J71" s="20" t="s">
        <v>0</v>
      </c>
      <c r="K71" s="20" t="s">
        <v>0</v>
      </c>
      <c r="L71" s="20" t="s">
        <v>0</v>
      </c>
      <c r="M71" s="23" t="s">
        <v>0</v>
      </c>
      <c r="N71" s="22" t="s">
        <v>0</v>
      </c>
      <c r="O71" s="22">
        <v>1.1814</v>
      </c>
    </row>
    <row r="72" spans="1:15" x14ac:dyDescent="0.25">
      <c r="A72" s="26" t="s">
        <v>30</v>
      </c>
      <c r="B72" s="49" t="s">
        <v>160</v>
      </c>
      <c r="C72" s="50">
        <v>2</v>
      </c>
      <c r="D72" s="49">
        <v>9.0500000000000007</v>
      </c>
      <c r="E72" s="49">
        <v>9.9600000000000009</v>
      </c>
      <c r="F72" s="20" t="s">
        <v>0</v>
      </c>
      <c r="G72" s="20" t="s">
        <v>0</v>
      </c>
      <c r="H72" s="20" t="s">
        <v>0</v>
      </c>
      <c r="I72" s="22" t="s">
        <v>0</v>
      </c>
      <c r="J72" s="20" t="s">
        <v>0</v>
      </c>
      <c r="K72" s="20" t="s">
        <v>0</v>
      </c>
      <c r="L72" s="20" t="s">
        <v>0</v>
      </c>
      <c r="M72" s="23" t="s">
        <v>0</v>
      </c>
      <c r="N72" s="22" t="s">
        <v>0</v>
      </c>
      <c r="O72" s="22">
        <v>1.1834</v>
      </c>
    </row>
    <row r="73" spans="1:15" x14ac:dyDescent="0.25">
      <c r="A73" s="26" t="s">
        <v>327</v>
      </c>
      <c r="B73" s="49" t="s">
        <v>328</v>
      </c>
      <c r="C73" s="50">
        <v>1.125</v>
      </c>
      <c r="D73" s="49">
        <v>8.93</v>
      </c>
      <c r="E73" s="49">
        <v>9.5299999999999994</v>
      </c>
      <c r="F73" s="20" t="s">
        <v>0</v>
      </c>
      <c r="G73" s="20" t="s">
        <v>0</v>
      </c>
      <c r="H73" s="20" t="s">
        <v>0</v>
      </c>
      <c r="I73" s="22" t="s">
        <v>0</v>
      </c>
      <c r="J73" s="20" t="s">
        <v>0</v>
      </c>
      <c r="K73" s="20" t="s">
        <v>0</v>
      </c>
      <c r="L73" s="20" t="s">
        <v>0</v>
      </c>
      <c r="M73" s="23" t="s">
        <v>0</v>
      </c>
      <c r="N73" s="22" t="s">
        <v>0</v>
      </c>
      <c r="O73" s="22">
        <v>1.1827000000000001</v>
      </c>
    </row>
    <row r="74" spans="1:15" x14ac:dyDescent="0.25">
      <c r="A74" s="26" t="s">
        <v>21</v>
      </c>
      <c r="B74" s="49" t="s">
        <v>157</v>
      </c>
      <c r="C74" s="50">
        <v>3.875</v>
      </c>
      <c r="D74" s="49">
        <v>9.1</v>
      </c>
      <c r="E74" s="49">
        <v>10.8</v>
      </c>
      <c r="F74" s="20" t="s">
        <v>0</v>
      </c>
      <c r="G74" s="20" t="s">
        <v>0</v>
      </c>
      <c r="H74" s="20" t="s">
        <v>0</v>
      </c>
      <c r="I74" s="22" t="s">
        <v>0</v>
      </c>
      <c r="J74" s="20" t="s">
        <v>0</v>
      </c>
      <c r="K74" s="20" t="s">
        <v>0</v>
      </c>
      <c r="L74" s="20" t="s">
        <v>0</v>
      </c>
      <c r="M74" s="23" t="s">
        <v>0</v>
      </c>
      <c r="N74" s="22" t="s">
        <v>0</v>
      </c>
      <c r="O74" s="22">
        <v>1.1869000000000001</v>
      </c>
    </row>
    <row r="75" spans="1:15" x14ac:dyDescent="0.25">
      <c r="A75" s="26" t="s">
        <v>377</v>
      </c>
      <c r="B75" s="49" t="s">
        <v>362</v>
      </c>
      <c r="C75" s="50">
        <v>1.125</v>
      </c>
      <c r="D75" s="49">
        <v>9.19</v>
      </c>
      <c r="E75" s="49">
        <v>9.83</v>
      </c>
      <c r="F75" s="20">
        <v>1.1819999999999999</v>
      </c>
      <c r="G75" s="20">
        <v>1.18</v>
      </c>
      <c r="H75" s="20">
        <v>1.181</v>
      </c>
      <c r="I75" s="22">
        <v>2</v>
      </c>
      <c r="J75" s="20" t="s">
        <v>0</v>
      </c>
      <c r="K75" s="20" t="s">
        <v>0</v>
      </c>
      <c r="L75" s="20" t="s">
        <v>0</v>
      </c>
      <c r="M75" s="23" t="s">
        <v>0</v>
      </c>
      <c r="N75" s="22" t="s">
        <v>0</v>
      </c>
      <c r="O75" s="22">
        <v>1.1847000000000001</v>
      </c>
    </row>
    <row r="76" spans="1:15" x14ac:dyDescent="0.25">
      <c r="A76" s="26" t="s">
        <v>361</v>
      </c>
      <c r="B76" s="49" t="s">
        <v>362</v>
      </c>
      <c r="C76" s="50">
        <v>1.125</v>
      </c>
      <c r="D76" s="49">
        <v>9.24</v>
      </c>
      <c r="E76" s="49">
        <v>9.83</v>
      </c>
      <c r="F76" s="20" t="s">
        <v>0</v>
      </c>
      <c r="G76" s="20" t="s">
        <v>0</v>
      </c>
      <c r="H76" s="20" t="s">
        <v>0</v>
      </c>
      <c r="I76" s="22" t="s">
        <v>0</v>
      </c>
      <c r="J76" s="20" t="s">
        <v>0</v>
      </c>
      <c r="K76" s="20" t="s">
        <v>0</v>
      </c>
      <c r="L76" s="20" t="s">
        <v>0</v>
      </c>
      <c r="M76" s="23" t="s">
        <v>0</v>
      </c>
      <c r="N76" s="22" t="s">
        <v>0</v>
      </c>
      <c r="O76" s="22">
        <v>1.1851</v>
      </c>
    </row>
    <row r="77" spans="1:15" x14ac:dyDescent="0.25">
      <c r="A77" s="26" t="s">
        <v>63</v>
      </c>
      <c r="B77" s="49" t="s">
        <v>161</v>
      </c>
      <c r="C77" s="50">
        <v>2</v>
      </c>
      <c r="D77" s="49">
        <v>9.39</v>
      </c>
      <c r="E77" s="49">
        <v>10.48</v>
      </c>
      <c r="F77" s="20" t="s">
        <v>0</v>
      </c>
      <c r="G77" s="20" t="s">
        <v>0</v>
      </c>
      <c r="H77" s="20" t="s">
        <v>0</v>
      </c>
      <c r="I77" s="22" t="s">
        <v>0</v>
      </c>
      <c r="J77" s="20" t="s">
        <v>0</v>
      </c>
      <c r="K77" s="20" t="s">
        <v>0</v>
      </c>
      <c r="L77" s="20" t="s">
        <v>0</v>
      </c>
      <c r="M77" s="23" t="s">
        <v>0</v>
      </c>
      <c r="N77" s="22" t="s">
        <v>0</v>
      </c>
      <c r="O77" s="22">
        <v>1.1884999999999999</v>
      </c>
    </row>
    <row r="78" spans="1:15" x14ac:dyDescent="0.25">
      <c r="A78" s="26" t="s">
        <v>65</v>
      </c>
      <c r="B78" s="49" t="s">
        <v>163</v>
      </c>
      <c r="C78" s="50">
        <v>2.125</v>
      </c>
      <c r="D78" s="49">
        <v>9.84</v>
      </c>
      <c r="E78" s="49">
        <v>10.98</v>
      </c>
      <c r="F78" s="20" t="s">
        <v>0</v>
      </c>
      <c r="G78" s="20" t="s">
        <v>0</v>
      </c>
      <c r="H78" s="20" t="s">
        <v>0</v>
      </c>
      <c r="I78" s="22" t="s">
        <v>0</v>
      </c>
      <c r="J78" s="20" t="s">
        <v>0</v>
      </c>
      <c r="K78" s="20" t="s">
        <v>0</v>
      </c>
      <c r="L78" s="20" t="s">
        <v>0</v>
      </c>
      <c r="M78" s="23" t="s">
        <v>0</v>
      </c>
      <c r="N78" s="22" t="s">
        <v>0</v>
      </c>
      <c r="O78" s="22">
        <v>1.1940999999999999</v>
      </c>
    </row>
    <row r="79" spans="1:15" x14ac:dyDescent="0.25">
      <c r="A79" s="26" t="s">
        <v>44</v>
      </c>
      <c r="B79" s="49" t="s">
        <v>162</v>
      </c>
      <c r="C79" s="50">
        <v>1.875</v>
      </c>
      <c r="D79" s="49">
        <v>9.68</v>
      </c>
      <c r="E79" s="49">
        <v>10.71</v>
      </c>
      <c r="F79" s="20" t="s">
        <v>0</v>
      </c>
      <c r="G79" s="20" t="s">
        <v>0</v>
      </c>
      <c r="H79" s="20" t="s">
        <v>0</v>
      </c>
      <c r="I79" s="22" t="s">
        <v>0</v>
      </c>
      <c r="J79" s="20" t="s">
        <v>0</v>
      </c>
      <c r="K79" s="20" t="s">
        <v>0</v>
      </c>
      <c r="L79" s="20" t="s">
        <v>0</v>
      </c>
      <c r="M79" s="23" t="s">
        <v>0</v>
      </c>
      <c r="N79" s="22" t="s">
        <v>0</v>
      </c>
      <c r="O79" s="22">
        <v>1.1916</v>
      </c>
    </row>
    <row r="80" spans="1:15" x14ac:dyDescent="0.25">
      <c r="A80" s="26" t="s">
        <v>64</v>
      </c>
      <c r="B80" s="49" t="s">
        <v>164</v>
      </c>
      <c r="C80" s="50">
        <v>2.25</v>
      </c>
      <c r="D80" s="49">
        <v>9.77</v>
      </c>
      <c r="E80" s="49">
        <v>11.15</v>
      </c>
      <c r="F80" s="20" t="s">
        <v>0</v>
      </c>
      <c r="G80" s="20" t="s">
        <v>0</v>
      </c>
      <c r="H80" s="20" t="s">
        <v>0</v>
      </c>
      <c r="I80" s="22" t="s">
        <v>0</v>
      </c>
      <c r="J80" s="20" t="s">
        <v>0</v>
      </c>
      <c r="K80" s="20" t="s">
        <v>0</v>
      </c>
      <c r="L80" s="20" t="s">
        <v>0</v>
      </c>
      <c r="M80" s="23" t="s">
        <v>0</v>
      </c>
      <c r="N80" s="22" t="s">
        <v>0</v>
      </c>
      <c r="O80" s="22">
        <v>1.196</v>
      </c>
    </row>
    <row r="81" spans="1:15" x14ac:dyDescent="0.25">
      <c r="A81" s="26" t="s">
        <v>26</v>
      </c>
      <c r="B81" s="49" t="s">
        <v>165</v>
      </c>
      <c r="C81" s="50">
        <v>2</v>
      </c>
      <c r="D81" s="49">
        <v>10.18</v>
      </c>
      <c r="E81" s="49">
        <v>11.46</v>
      </c>
      <c r="F81" s="20" t="s">
        <v>0</v>
      </c>
      <c r="G81" s="20" t="s">
        <v>0</v>
      </c>
      <c r="H81" s="20" t="s">
        <v>0</v>
      </c>
      <c r="I81" s="22" t="s">
        <v>0</v>
      </c>
      <c r="J81" s="20" t="s">
        <v>0</v>
      </c>
      <c r="K81" s="20" t="s">
        <v>0</v>
      </c>
      <c r="L81" s="20" t="s">
        <v>0</v>
      </c>
      <c r="M81" s="23" t="s">
        <v>0</v>
      </c>
      <c r="N81" s="22" t="s">
        <v>0</v>
      </c>
      <c r="O81" s="22">
        <v>1.2011000000000001</v>
      </c>
    </row>
    <row r="82" spans="1:15" x14ac:dyDescent="0.25">
      <c r="A82" s="26" t="s">
        <v>49</v>
      </c>
      <c r="B82" s="49" t="s">
        <v>166</v>
      </c>
      <c r="C82" s="50">
        <v>2.125</v>
      </c>
      <c r="D82" s="49">
        <v>10.35</v>
      </c>
      <c r="E82" s="49">
        <v>11.68</v>
      </c>
      <c r="F82" s="20" t="s">
        <v>0</v>
      </c>
      <c r="G82" s="20" t="s">
        <v>0</v>
      </c>
      <c r="H82" s="20" t="s">
        <v>0</v>
      </c>
      <c r="I82" s="22" t="s">
        <v>0</v>
      </c>
      <c r="J82" s="20" t="s">
        <v>0</v>
      </c>
      <c r="K82" s="20" t="s">
        <v>0</v>
      </c>
      <c r="L82" s="20" t="s">
        <v>0</v>
      </c>
      <c r="M82" s="23" t="s">
        <v>0</v>
      </c>
      <c r="N82" s="22" t="s">
        <v>0</v>
      </c>
      <c r="O82" s="22">
        <v>1.204</v>
      </c>
    </row>
    <row r="83" spans="1:15" x14ac:dyDescent="0.25">
      <c r="A83" s="26" t="s">
        <v>54</v>
      </c>
      <c r="B83" s="49" t="s">
        <v>167</v>
      </c>
      <c r="C83" s="50">
        <v>1.75</v>
      </c>
      <c r="D83" s="49">
        <v>10.87</v>
      </c>
      <c r="E83" s="49">
        <v>12.21</v>
      </c>
      <c r="F83" s="20" t="s">
        <v>0</v>
      </c>
      <c r="G83" s="20" t="s">
        <v>0</v>
      </c>
      <c r="H83" s="20" t="s">
        <v>0</v>
      </c>
      <c r="I83" s="22" t="s">
        <v>0</v>
      </c>
      <c r="J83" s="20" t="s">
        <v>0</v>
      </c>
      <c r="K83" s="20" t="s">
        <v>0</v>
      </c>
      <c r="L83" s="20" t="s">
        <v>0</v>
      </c>
      <c r="M83" s="23" t="s">
        <v>0</v>
      </c>
      <c r="N83" s="22" t="s">
        <v>0</v>
      </c>
      <c r="O83" s="22">
        <v>1.2137</v>
      </c>
    </row>
    <row r="84" spans="1:15" x14ac:dyDescent="0.25">
      <c r="A84" s="26" t="s">
        <v>39</v>
      </c>
      <c r="B84" s="49" t="s">
        <v>168</v>
      </c>
      <c r="C84" s="50">
        <v>1.375</v>
      </c>
      <c r="D84" s="49">
        <v>11.32</v>
      </c>
      <c r="E84" s="49">
        <v>12.45</v>
      </c>
      <c r="F84" s="20" t="s">
        <v>0</v>
      </c>
      <c r="G84" s="20" t="s">
        <v>0</v>
      </c>
      <c r="H84" s="20" t="s">
        <v>0</v>
      </c>
      <c r="I84" s="22" t="s">
        <v>0</v>
      </c>
      <c r="J84" s="20" t="s">
        <v>0</v>
      </c>
      <c r="K84" s="20" t="s">
        <v>0</v>
      </c>
      <c r="L84" s="20" t="s">
        <v>0</v>
      </c>
      <c r="M84" s="23" t="s">
        <v>0</v>
      </c>
      <c r="N84" s="22" t="s">
        <v>0</v>
      </c>
      <c r="O84" s="22">
        <v>1.2192000000000001</v>
      </c>
    </row>
    <row r="85" spans="1:15" x14ac:dyDescent="0.25">
      <c r="A85" s="26" t="s">
        <v>34</v>
      </c>
      <c r="B85" s="49" t="s">
        <v>169</v>
      </c>
      <c r="C85" s="50">
        <v>1.25</v>
      </c>
      <c r="D85" s="49">
        <v>11.6</v>
      </c>
      <c r="E85" s="49">
        <v>12.67</v>
      </c>
      <c r="F85" s="20" t="s">
        <v>0</v>
      </c>
      <c r="G85" s="20" t="s">
        <v>0</v>
      </c>
      <c r="H85" s="20" t="s">
        <v>0</v>
      </c>
      <c r="I85" s="22" t="s">
        <v>0</v>
      </c>
      <c r="J85" s="20" t="s">
        <v>0</v>
      </c>
      <c r="K85" s="20" t="s">
        <v>0</v>
      </c>
      <c r="L85" s="20" t="s">
        <v>0</v>
      </c>
      <c r="M85" s="23" t="s">
        <v>0</v>
      </c>
      <c r="N85" s="22" t="s">
        <v>0</v>
      </c>
      <c r="O85" s="22">
        <v>1.2233000000000001</v>
      </c>
    </row>
    <row r="86" spans="1:15" x14ac:dyDescent="0.25">
      <c r="A86" s="26" t="s">
        <v>45</v>
      </c>
      <c r="B86" s="49" t="s">
        <v>171</v>
      </c>
      <c r="C86" s="50">
        <v>1.125</v>
      </c>
      <c r="D86" s="49">
        <v>11.96</v>
      </c>
      <c r="E86" s="49">
        <v>12.95</v>
      </c>
      <c r="F86" s="20" t="s">
        <v>0</v>
      </c>
      <c r="G86" s="20" t="s">
        <v>0</v>
      </c>
      <c r="H86" s="20" t="s">
        <v>0</v>
      </c>
      <c r="I86" s="22" t="s">
        <v>0</v>
      </c>
      <c r="J86" s="20" t="s">
        <v>0</v>
      </c>
      <c r="K86" s="20" t="s">
        <v>0</v>
      </c>
      <c r="L86" s="20" t="s">
        <v>0</v>
      </c>
      <c r="M86" s="23" t="s">
        <v>0</v>
      </c>
      <c r="N86" s="22" t="s">
        <v>0</v>
      </c>
      <c r="O86" s="22">
        <v>1.2289000000000001</v>
      </c>
    </row>
    <row r="87" spans="1:15" x14ac:dyDescent="0.25">
      <c r="A87" s="26" t="s">
        <v>36</v>
      </c>
      <c r="B87" s="49" t="s">
        <v>170</v>
      </c>
      <c r="C87" s="50">
        <v>1.75</v>
      </c>
      <c r="D87" s="49">
        <v>11.98</v>
      </c>
      <c r="E87" s="49">
        <v>13.54</v>
      </c>
      <c r="F87" s="20" t="s">
        <v>0</v>
      </c>
      <c r="G87" s="20" t="s">
        <v>0</v>
      </c>
      <c r="H87" s="20" t="s">
        <v>0</v>
      </c>
      <c r="I87" s="22" t="s">
        <v>0</v>
      </c>
      <c r="J87" s="20" t="s">
        <v>0</v>
      </c>
      <c r="K87" s="20" t="s">
        <v>0</v>
      </c>
      <c r="L87" s="20" t="s">
        <v>0</v>
      </c>
      <c r="M87" s="23" t="s">
        <v>0</v>
      </c>
      <c r="N87" s="22" t="s">
        <v>0</v>
      </c>
      <c r="O87" s="22">
        <v>1.2367999999999999</v>
      </c>
    </row>
    <row r="88" spans="1:15" x14ac:dyDescent="0.25">
      <c r="A88" s="26" t="s">
        <v>66</v>
      </c>
      <c r="B88" s="49" t="s">
        <v>172</v>
      </c>
      <c r="C88" s="50">
        <v>1.5</v>
      </c>
      <c r="D88" s="49">
        <v>12.44</v>
      </c>
      <c r="E88" s="49">
        <v>14.03</v>
      </c>
      <c r="F88" s="20" t="s">
        <v>0</v>
      </c>
      <c r="G88" s="20" t="s">
        <v>0</v>
      </c>
      <c r="H88" s="20" t="s">
        <v>0</v>
      </c>
      <c r="I88" s="22" t="s">
        <v>0</v>
      </c>
      <c r="J88" s="20" t="s">
        <v>0</v>
      </c>
      <c r="K88" s="20" t="s">
        <v>0</v>
      </c>
      <c r="L88" s="20" t="s">
        <v>0</v>
      </c>
      <c r="M88" s="23" t="s">
        <v>0</v>
      </c>
      <c r="N88" s="22" t="s">
        <v>0</v>
      </c>
      <c r="O88" s="22">
        <v>1.2474000000000001</v>
      </c>
    </row>
    <row r="89" spans="1:15" x14ac:dyDescent="0.25">
      <c r="A89" s="26" t="s">
        <v>67</v>
      </c>
      <c r="B89" s="49" t="s">
        <v>173</v>
      </c>
      <c r="C89" s="50">
        <v>1.375</v>
      </c>
      <c r="D89" s="49">
        <v>13.1</v>
      </c>
      <c r="E89" s="49">
        <v>14.59</v>
      </c>
      <c r="F89" s="20" t="s">
        <v>0</v>
      </c>
      <c r="G89" s="20" t="s">
        <v>0</v>
      </c>
      <c r="H89" s="20" t="s">
        <v>0</v>
      </c>
      <c r="I89" s="22" t="s">
        <v>0</v>
      </c>
      <c r="J89" s="20" t="s">
        <v>0</v>
      </c>
      <c r="K89" s="20" t="s">
        <v>0</v>
      </c>
      <c r="L89" s="20" t="s">
        <v>0</v>
      </c>
      <c r="M89" s="23" t="s">
        <v>0</v>
      </c>
      <c r="N89" s="22" t="s">
        <v>0</v>
      </c>
      <c r="O89" s="22">
        <v>1.2592000000000001</v>
      </c>
    </row>
    <row r="90" spans="1:15" x14ac:dyDescent="0.25">
      <c r="A90" s="26" t="s">
        <v>68</v>
      </c>
      <c r="B90" s="49" t="s">
        <v>175</v>
      </c>
      <c r="C90" s="50">
        <v>1.125</v>
      </c>
      <c r="D90" s="49">
        <v>13.66</v>
      </c>
      <c r="E90" s="49">
        <v>15.12</v>
      </c>
      <c r="F90" s="20" t="s">
        <v>0</v>
      </c>
      <c r="G90" s="20" t="s">
        <v>0</v>
      </c>
      <c r="H90" s="20" t="s">
        <v>0</v>
      </c>
      <c r="I90" s="22" t="s">
        <v>0</v>
      </c>
      <c r="J90" s="20" t="s">
        <v>0</v>
      </c>
      <c r="K90" s="20" t="s">
        <v>0</v>
      </c>
      <c r="L90" s="20" t="s">
        <v>0</v>
      </c>
      <c r="M90" s="23" t="s">
        <v>0</v>
      </c>
      <c r="N90" s="22" t="s">
        <v>0</v>
      </c>
      <c r="O90" s="22">
        <v>1.2716000000000001</v>
      </c>
    </row>
    <row r="91" spans="1:15" x14ac:dyDescent="0.25">
      <c r="A91" s="26" t="s">
        <v>22</v>
      </c>
      <c r="B91" s="49" t="s">
        <v>174</v>
      </c>
      <c r="C91" s="50">
        <v>2.25</v>
      </c>
      <c r="D91" s="49">
        <v>13.82</v>
      </c>
      <c r="E91" s="49">
        <v>16.47</v>
      </c>
      <c r="F91" s="20" t="s">
        <v>0</v>
      </c>
      <c r="G91" s="20" t="s">
        <v>0</v>
      </c>
      <c r="H91" s="20" t="s">
        <v>0</v>
      </c>
      <c r="I91" s="22" t="s">
        <v>0</v>
      </c>
      <c r="J91" s="20" t="s">
        <v>0</v>
      </c>
      <c r="K91" s="20" t="s">
        <v>0</v>
      </c>
      <c r="L91" s="20" t="s">
        <v>0</v>
      </c>
      <c r="M91" s="23" t="s">
        <v>0</v>
      </c>
      <c r="N91" s="22" t="s">
        <v>0</v>
      </c>
      <c r="O91" s="22">
        <v>1.2914000000000001</v>
      </c>
    </row>
    <row r="92" spans="1:15" x14ac:dyDescent="0.25">
      <c r="A92" s="26" t="s">
        <v>291</v>
      </c>
      <c r="B92" s="49" t="s">
        <v>176</v>
      </c>
      <c r="C92" s="50">
        <v>1.125</v>
      </c>
      <c r="D92" s="49">
        <v>14.01</v>
      </c>
      <c r="E92" s="49">
        <v>15.47</v>
      </c>
      <c r="F92" s="20" t="s">
        <v>0</v>
      </c>
      <c r="G92" s="20" t="s">
        <v>0</v>
      </c>
      <c r="H92" s="20" t="s">
        <v>0</v>
      </c>
      <c r="I92" s="22" t="s">
        <v>0</v>
      </c>
      <c r="J92" s="20" t="s">
        <v>0</v>
      </c>
      <c r="K92" s="20" t="s">
        <v>0</v>
      </c>
      <c r="L92" s="20" t="s">
        <v>0</v>
      </c>
      <c r="M92" s="23" t="s">
        <v>0</v>
      </c>
      <c r="N92" s="22" t="s">
        <v>0</v>
      </c>
      <c r="O92" s="22">
        <v>1.2787999999999999</v>
      </c>
    </row>
    <row r="93" spans="1:15" x14ac:dyDescent="0.25">
      <c r="A93" s="26" t="s">
        <v>292</v>
      </c>
      <c r="B93" s="49" t="s">
        <v>177</v>
      </c>
      <c r="C93" s="50">
        <v>1.125</v>
      </c>
      <c r="D93" s="49">
        <v>14.1</v>
      </c>
      <c r="E93" s="49">
        <v>15.57</v>
      </c>
      <c r="F93" s="20" t="s">
        <v>0</v>
      </c>
      <c r="G93" s="20" t="s">
        <v>0</v>
      </c>
      <c r="H93" s="20" t="s">
        <v>0</v>
      </c>
      <c r="I93" s="22" t="s">
        <v>0</v>
      </c>
      <c r="J93" s="20" t="s">
        <v>0</v>
      </c>
      <c r="K93" s="20" t="s">
        <v>0</v>
      </c>
      <c r="L93" s="20" t="s">
        <v>0</v>
      </c>
      <c r="M93" s="23" t="s">
        <v>0</v>
      </c>
      <c r="N93" s="22" t="s">
        <v>0</v>
      </c>
      <c r="O93" s="22">
        <v>1.2807999999999999</v>
      </c>
    </row>
    <row r="94" spans="1:15" x14ac:dyDescent="0.25">
      <c r="A94" s="26" t="s">
        <v>46</v>
      </c>
      <c r="B94" s="49" t="s">
        <v>178</v>
      </c>
      <c r="C94" s="50">
        <v>2.125</v>
      </c>
      <c r="D94" s="49">
        <v>14.54</v>
      </c>
      <c r="E94" s="49">
        <v>17.39</v>
      </c>
      <c r="F94" s="20" t="s">
        <v>0</v>
      </c>
      <c r="G94" s="20" t="s">
        <v>0</v>
      </c>
      <c r="H94" s="20" t="s">
        <v>0</v>
      </c>
      <c r="I94" s="22" t="s">
        <v>0</v>
      </c>
      <c r="J94" s="20" t="s">
        <v>0</v>
      </c>
      <c r="K94" s="20" t="s">
        <v>0</v>
      </c>
      <c r="L94" s="20" t="s">
        <v>0</v>
      </c>
      <c r="M94" s="23" t="s">
        <v>0</v>
      </c>
      <c r="N94" s="22" t="s">
        <v>0</v>
      </c>
      <c r="O94" s="22">
        <v>1.3106</v>
      </c>
    </row>
    <row r="95" spans="1:15" x14ac:dyDescent="0.25">
      <c r="A95" s="26" t="s">
        <v>23</v>
      </c>
      <c r="B95" s="49" t="s">
        <v>179</v>
      </c>
      <c r="C95" s="50">
        <v>2</v>
      </c>
      <c r="D95" s="49">
        <v>14.8</v>
      </c>
      <c r="E95" s="49">
        <v>17.54</v>
      </c>
      <c r="F95" s="20" t="s">
        <v>0</v>
      </c>
      <c r="G95" s="20" t="s">
        <v>0</v>
      </c>
      <c r="H95" s="20" t="s">
        <v>0</v>
      </c>
      <c r="I95" s="22" t="s">
        <v>0</v>
      </c>
      <c r="J95" s="20" t="s">
        <v>0</v>
      </c>
      <c r="K95" s="20" t="s">
        <v>0</v>
      </c>
      <c r="L95" s="20" t="s">
        <v>0</v>
      </c>
      <c r="M95" s="23" t="s">
        <v>0</v>
      </c>
      <c r="N95" s="22" t="s">
        <v>0</v>
      </c>
      <c r="O95" s="22">
        <v>1.3147</v>
      </c>
    </row>
    <row r="96" spans="1:15" x14ac:dyDescent="0.25">
      <c r="A96" s="26" t="s">
        <v>40</v>
      </c>
      <c r="B96" s="49" t="s">
        <v>180</v>
      </c>
      <c r="C96" s="50">
        <v>0.75</v>
      </c>
      <c r="D96" s="49">
        <v>14.85</v>
      </c>
      <c r="E96" s="49">
        <v>16.079999999999998</v>
      </c>
      <c r="F96" s="20" t="s">
        <v>0</v>
      </c>
      <c r="G96" s="20" t="s">
        <v>0</v>
      </c>
      <c r="H96" s="20" t="s">
        <v>0</v>
      </c>
      <c r="I96" s="22" t="s">
        <v>0</v>
      </c>
      <c r="J96" s="20" t="s">
        <v>0</v>
      </c>
      <c r="K96" s="20" t="s">
        <v>0</v>
      </c>
      <c r="L96" s="20" t="s">
        <v>0</v>
      </c>
      <c r="M96" s="23" t="s">
        <v>0</v>
      </c>
      <c r="N96" s="22" t="s">
        <v>0</v>
      </c>
      <c r="O96" s="22">
        <v>1.2945</v>
      </c>
    </row>
    <row r="97" spans="1:15" x14ac:dyDescent="0.25">
      <c r="A97" s="26" t="s">
        <v>47</v>
      </c>
      <c r="B97" s="49" t="s">
        <v>181</v>
      </c>
      <c r="C97" s="50">
        <v>1.875</v>
      </c>
      <c r="D97" s="49">
        <v>15.14</v>
      </c>
      <c r="E97" s="49">
        <v>18.04</v>
      </c>
      <c r="F97" s="20" t="s">
        <v>0</v>
      </c>
      <c r="G97" s="20" t="s">
        <v>0</v>
      </c>
      <c r="H97" s="20" t="s">
        <v>0</v>
      </c>
      <c r="I97" s="22" t="s">
        <v>0</v>
      </c>
      <c r="J97" s="20" t="s">
        <v>0</v>
      </c>
      <c r="K97" s="20" t="s">
        <v>0</v>
      </c>
      <c r="L97" s="20" t="s">
        <v>0</v>
      </c>
      <c r="M97" s="23" t="s">
        <v>0</v>
      </c>
      <c r="N97" s="22" t="s">
        <v>0</v>
      </c>
      <c r="O97" s="22">
        <v>1.3259000000000001</v>
      </c>
    </row>
    <row r="98" spans="1:15" x14ac:dyDescent="0.25">
      <c r="A98" s="26" t="s">
        <v>293</v>
      </c>
      <c r="B98" s="49" t="s">
        <v>182</v>
      </c>
      <c r="C98" s="50">
        <v>0.75</v>
      </c>
      <c r="D98" s="49">
        <v>15.21</v>
      </c>
      <c r="E98" s="49">
        <v>16.440000000000001</v>
      </c>
      <c r="F98" s="20" t="s">
        <v>0</v>
      </c>
      <c r="G98" s="20" t="s">
        <v>0</v>
      </c>
      <c r="H98" s="20" t="s">
        <v>0</v>
      </c>
      <c r="I98" s="22" t="s">
        <v>0</v>
      </c>
      <c r="J98" s="20" t="s">
        <v>0</v>
      </c>
      <c r="K98" s="20" t="s">
        <v>0</v>
      </c>
      <c r="L98" s="20" t="s">
        <v>0</v>
      </c>
      <c r="M98" s="23" t="s">
        <v>0</v>
      </c>
      <c r="N98" s="22" t="s">
        <v>0</v>
      </c>
      <c r="O98" s="22">
        <v>1.3023</v>
      </c>
    </row>
    <row r="99" spans="1:15" x14ac:dyDescent="0.25">
      <c r="A99" s="26" t="s">
        <v>294</v>
      </c>
      <c r="B99" s="49" t="s">
        <v>184</v>
      </c>
      <c r="C99" s="50">
        <v>0.5</v>
      </c>
      <c r="D99" s="49">
        <v>15.66</v>
      </c>
      <c r="E99" s="49">
        <v>16.579999999999998</v>
      </c>
      <c r="F99" s="20" t="s">
        <v>0</v>
      </c>
      <c r="G99" s="20" t="s">
        <v>0</v>
      </c>
      <c r="H99" s="20" t="s">
        <v>0</v>
      </c>
      <c r="I99" s="22" t="s">
        <v>0</v>
      </c>
      <c r="J99" s="20" t="s">
        <v>0</v>
      </c>
      <c r="K99" s="20" t="s">
        <v>0</v>
      </c>
      <c r="L99" s="20" t="s">
        <v>0</v>
      </c>
      <c r="M99" s="23" t="s">
        <v>0</v>
      </c>
      <c r="N99" s="22" t="s">
        <v>0</v>
      </c>
      <c r="O99" s="22">
        <v>1.3076000000000001</v>
      </c>
    </row>
    <row r="100" spans="1:15" x14ac:dyDescent="0.25">
      <c r="A100" s="26" t="s">
        <v>24</v>
      </c>
      <c r="B100" s="49" t="s">
        <v>183</v>
      </c>
      <c r="C100" s="50">
        <v>1.75</v>
      </c>
      <c r="D100" s="49">
        <v>15.74</v>
      </c>
      <c r="E100" s="49">
        <v>18.52</v>
      </c>
      <c r="F100" s="20" t="s">
        <v>0</v>
      </c>
      <c r="G100" s="20" t="s">
        <v>0</v>
      </c>
      <c r="H100" s="20" t="s">
        <v>0</v>
      </c>
      <c r="I100" s="22" t="s">
        <v>0</v>
      </c>
      <c r="J100" s="20" t="s">
        <v>0</v>
      </c>
      <c r="K100" s="20" t="s">
        <v>0</v>
      </c>
      <c r="L100" s="20" t="s">
        <v>0</v>
      </c>
      <c r="M100" s="23" t="s">
        <v>0</v>
      </c>
      <c r="N100" s="22" t="s">
        <v>0</v>
      </c>
      <c r="O100" s="22">
        <v>1.3366</v>
      </c>
    </row>
    <row r="101" spans="1:15" x14ac:dyDescent="0.25">
      <c r="A101" s="26" t="s">
        <v>69</v>
      </c>
      <c r="B101" s="49" t="s">
        <v>185</v>
      </c>
      <c r="C101" s="50">
        <v>2.5</v>
      </c>
      <c r="D101" s="49">
        <v>16.149999999999999</v>
      </c>
      <c r="E101" s="49">
        <v>19.98</v>
      </c>
      <c r="F101" s="20" t="s">
        <v>0</v>
      </c>
      <c r="G101" s="20" t="s">
        <v>0</v>
      </c>
      <c r="H101" s="20" t="s">
        <v>0</v>
      </c>
      <c r="I101" s="22" t="s">
        <v>0</v>
      </c>
      <c r="J101" s="20" t="s">
        <v>0</v>
      </c>
      <c r="K101" s="20" t="s">
        <v>0</v>
      </c>
      <c r="L101" s="20" t="s">
        <v>0</v>
      </c>
      <c r="M101" s="23" t="s">
        <v>0</v>
      </c>
      <c r="N101" s="22" t="s">
        <v>0</v>
      </c>
      <c r="O101" s="22">
        <v>1.3581000000000001</v>
      </c>
    </row>
    <row r="102" spans="1:15" x14ac:dyDescent="0.25">
      <c r="A102" s="26" t="s">
        <v>311</v>
      </c>
      <c r="B102" s="49" t="s">
        <v>306</v>
      </c>
      <c r="C102" s="50">
        <v>1.875</v>
      </c>
      <c r="D102" s="49">
        <v>15.95</v>
      </c>
      <c r="E102" s="49">
        <v>19.14</v>
      </c>
      <c r="F102" s="20" t="s">
        <v>0</v>
      </c>
      <c r="G102" s="20" t="s">
        <v>0</v>
      </c>
      <c r="H102" s="20" t="s">
        <v>0</v>
      </c>
      <c r="I102" s="22" t="s">
        <v>0</v>
      </c>
      <c r="J102" s="20" t="s">
        <v>0</v>
      </c>
      <c r="K102" s="20" t="s">
        <v>0</v>
      </c>
      <c r="L102" s="20" t="s">
        <v>0</v>
      </c>
      <c r="M102" s="23" t="s">
        <v>0</v>
      </c>
      <c r="N102" s="22" t="s">
        <v>0</v>
      </c>
      <c r="O102" s="22">
        <v>1.3480000000000001</v>
      </c>
    </row>
    <row r="103" spans="1:15" x14ac:dyDescent="0.25">
      <c r="A103" s="26" t="s">
        <v>295</v>
      </c>
      <c r="B103" s="49" t="s">
        <v>187</v>
      </c>
      <c r="C103" s="50">
        <v>0.5</v>
      </c>
      <c r="D103" s="49">
        <v>16.09</v>
      </c>
      <c r="E103" s="49">
        <v>17.11</v>
      </c>
      <c r="F103" s="20" t="s">
        <v>0</v>
      </c>
      <c r="G103" s="20" t="s">
        <v>0</v>
      </c>
      <c r="H103" s="20" t="s">
        <v>0</v>
      </c>
      <c r="I103" s="22" t="s">
        <v>0</v>
      </c>
      <c r="J103" s="20" t="s">
        <v>0</v>
      </c>
      <c r="K103" s="20" t="s">
        <v>0</v>
      </c>
      <c r="L103" s="20" t="s">
        <v>0</v>
      </c>
      <c r="M103" s="23" t="s">
        <v>0</v>
      </c>
      <c r="N103" s="22" t="s">
        <v>0</v>
      </c>
      <c r="O103" s="22">
        <v>1.3191999999999999</v>
      </c>
    </row>
    <row r="104" spans="1:15" x14ac:dyDescent="0.25">
      <c r="A104" s="26" t="s">
        <v>70</v>
      </c>
      <c r="B104" s="49" t="s">
        <v>186</v>
      </c>
      <c r="C104" s="50">
        <v>1.625</v>
      </c>
      <c r="D104" s="49">
        <v>16.14</v>
      </c>
      <c r="E104" s="49">
        <v>19.04</v>
      </c>
      <c r="F104" s="20" t="s">
        <v>0</v>
      </c>
      <c r="G104" s="20" t="s">
        <v>0</v>
      </c>
      <c r="H104" s="20" t="s">
        <v>0</v>
      </c>
      <c r="I104" s="22" t="s">
        <v>0</v>
      </c>
      <c r="J104" s="20" t="s">
        <v>0</v>
      </c>
      <c r="K104" s="20" t="s">
        <v>0</v>
      </c>
      <c r="L104" s="20" t="s">
        <v>0</v>
      </c>
      <c r="M104" s="23" t="s">
        <v>0</v>
      </c>
      <c r="N104" s="22" t="s">
        <v>0</v>
      </c>
      <c r="O104" s="22">
        <v>1.3485</v>
      </c>
    </row>
    <row r="105" spans="1:15" x14ac:dyDescent="0.25">
      <c r="A105" s="26" t="s">
        <v>297</v>
      </c>
      <c r="B105" s="49" t="s">
        <v>193</v>
      </c>
      <c r="C105" s="50">
        <v>0.5</v>
      </c>
      <c r="D105" s="49">
        <v>16.440000000000001</v>
      </c>
      <c r="E105" s="49">
        <v>17.48</v>
      </c>
      <c r="F105" s="20" t="s">
        <v>0</v>
      </c>
      <c r="G105" s="20" t="s">
        <v>0</v>
      </c>
      <c r="H105" s="20" t="s">
        <v>0</v>
      </c>
      <c r="I105" s="22" t="s">
        <v>0</v>
      </c>
      <c r="J105" s="20" t="s">
        <v>0</v>
      </c>
      <c r="K105" s="20" t="s">
        <v>0</v>
      </c>
      <c r="L105" s="20" t="s">
        <v>0</v>
      </c>
      <c r="M105" s="23" t="s">
        <v>0</v>
      </c>
      <c r="N105" s="22" t="s">
        <v>0</v>
      </c>
      <c r="O105" s="22">
        <v>1.3271999999999999</v>
      </c>
    </row>
    <row r="106" spans="1:15" x14ac:dyDescent="0.25">
      <c r="A106" s="26" t="s">
        <v>41</v>
      </c>
      <c r="B106" s="49" t="s">
        <v>188</v>
      </c>
      <c r="C106" s="50">
        <v>1.75</v>
      </c>
      <c r="D106" s="49">
        <v>16.489999999999998</v>
      </c>
      <c r="E106" s="49">
        <v>19.55</v>
      </c>
      <c r="F106" s="20" t="s">
        <v>0</v>
      </c>
      <c r="G106" s="20" t="s">
        <v>0</v>
      </c>
      <c r="H106" s="20" t="s">
        <v>0</v>
      </c>
      <c r="I106" s="22" t="s">
        <v>0</v>
      </c>
      <c r="J106" s="20" t="s">
        <v>0</v>
      </c>
      <c r="K106" s="20" t="s">
        <v>0</v>
      </c>
      <c r="L106" s="20" t="s">
        <v>0</v>
      </c>
      <c r="M106" s="23" t="s">
        <v>0</v>
      </c>
      <c r="N106" s="22" t="s">
        <v>0</v>
      </c>
      <c r="O106" s="22">
        <v>1.3573999999999999</v>
      </c>
    </row>
    <row r="107" spans="1:15" x14ac:dyDescent="0.25">
      <c r="A107" s="26" t="s">
        <v>260</v>
      </c>
      <c r="B107" s="49" t="s">
        <v>192</v>
      </c>
      <c r="C107" s="50">
        <v>0.375</v>
      </c>
      <c r="D107" s="49">
        <v>16.55</v>
      </c>
      <c r="E107" s="49">
        <v>17.39</v>
      </c>
      <c r="F107" s="20" t="s">
        <v>0</v>
      </c>
      <c r="G107" s="20" t="s">
        <v>0</v>
      </c>
      <c r="H107" s="20" t="s">
        <v>0</v>
      </c>
      <c r="I107" s="22" t="s">
        <v>0</v>
      </c>
      <c r="J107" s="20" t="s">
        <v>0</v>
      </c>
      <c r="K107" s="20" t="s">
        <v>0</v>
      </c>
      <c r="L107" s="20" t="s">
        <v>0</v>
      </c>
      <c r="M107" s="23" t="s">
        <v>0</v>
      </c>
      <c r="N107" s="22" t="s">
        <v>0</v>
      </c>
      <c r="O107" s="22">
        <v>1.3267</v>
      </c>
    </row>
    <row r="108" spans="1:15" x14ac:dyDescent="0.25">
      <c r="A108" s="26" t="s">
        <v>256</v>
      </c>
      <c r="B108" s="49" t="s">
        <v>250</v>
      </c>
      <c r="C108" s="50">
        <v>1</v>
      </c>
      <c r="D108" s="49">
        <v>16.559999999999999</v>
      </c>
      <c r="E108" s="49">
        <v>18.45</v>
      </c>
      <c r="F108" s="20" t="s">
        <v>0</v>
      </c>
      <c r="G108" s="20" t="s">
        <v>0</v>
      </c>
      <c r="H108" s="20" t="s">
        <v>0</v>
      </c>
      <c r="I108" s="22" t="s">
        <v>0</v>
      </c>
      <c r="J108" s="20" t="s">
        <v>0</v>
      </c>
      <c r="K108" s="20" t="s">
        <v>0</v>
      </c>
      <c r="L108" s="20" t="s">
        <v>0</v>
      </c>
      <c r="M108" s="23" t="s">
        <v>0</v>
      </c>
      <c r="N108" s="22" t="s">
        <v>0</v>
      </c>
      <c r="O108" s="22">
        <v>1.3428</v>
      </c>
    </row>
    <row r="109" spans="1:15" x14ac:dyDescent="0.25">
      <c r="A109" s="26" t="s">
        <v>296</v>
      </c>
      <c r="B109" s="49" t="s">
        <v>213</v>
      </c>
      <c r="C109" s="50">
        <v>0.625</v>
      </c>
      <c r="D109" s="49">
        <v>16.57</v>
      </c>
      <c r="E109" s="49">
        <v>17.78</v>
      </c>
      <c r="F109" s="20" t="s">
        <v>0</v>
      </c>
      <c r="G109" s="20" t="s">
        <v>0</v>
      </c>
      <c r="H109" s="20" t="s">
        <v>0</v>
      </c>
      <c r="I109" s="22" t="s">
        <v>0</v>
      </c>
      <c r="J109" s="20" t="s">
        <v>0</v>
      </c>
      <c r="K109" s="20" t="s">
        <v>0</v>
      </c>
      <c r="L109" s="20" t="s">
        <v>0</v>
      </c>
      <c r="M109" s="23" t="s">
        <v>0</v>
      </c>
      <c r="N109" s="22" t="s">
        <v>0</v>
      </c>
      <c r="O109" s="22">
        <v>1.3326</v>
      </c>
    </row>
    <row r="110" spans="1:15" x14ac:dyDescent="0.25">
      <c r="A110" s="26" t="s">
        <v>72</v>
      </c>
      <c r="B110" s="49" t="s">
        <v>190</v>
      </c>
      <c r="C110" s="50">
        <v>2.25</v>
      </c>
      <c r="D110" s="49">
        <v>17.05</v>
      </c>
      <c r="E110" s="49">
        <v>20.99</v>
      </c>
      <c r="F110" s="20" t="s">
        <v>0</v>
      </c>
      <c r="G110" s="20" t="s">
        <v>0</v>
      </c>
      <c r="H110" s="20" t="s">
        <v>0</v>
      </c>
      <c r="I110" s="22" t="s">
        <v>0</v>
      </c>
      <c r="J110" s="20" t="s">
        <v>0</v>
      </c>
      <c r="K110" s="20" t="s">
        <v>0</v>
      </c>
      <c r="L110" s="20" t="s">
        <v>0</v>
      </c>
      <c r="M110" s="23" t="s">
        <v>0</v>
      </c>
      <c r="N110" s="22" t="s">
        <v>0</v>
      </c>
      <c r="O110" s="22">
        <v>1.3794</v>
      </c>
    </row>
    <row r="111" spans="1:15" x14ac:dyDescent="0.25">
      <c r="A111" s="26" t="s">
        <v>48</v>
      </c>
      <c r="B111" s="49" t="s">
        <v>189</v>
      </c>
      <c r="C111" s="50">
        <v>2.125</v>
      </c>
      <c r="D111" s="49">
        <v>16.760000000000002</v>
      </c>
      <c r="E111" s="49">
        <v>20.55</v>
      </c>
      <c r="F111" s="20" t="s">
        <v>0</v>
      </c>
      <c r="G111" s="20" t="s">
        <v>0</v>
      </c>
      <c r="H111" s="20" t="s">
        <v>0</v>
      </c>
      <c r="I111" s="22" t="s">
        <v>0</v>
      </c>
      <c r="J111" s="20" t="s">
        <v>0</v>
      </c>
      <c r="K111" s="20" t="s">
        <v>0</v>
      </c>
      <c r="L111" s="20" t="s">
        <v>0</v>
      </c>
      <c r="M111" s="23" t="s">
        <v>0</v>
      </c>
      <c r="N111" s="22" t="s">
        <v>0</v>
      </c>
      <c r="O111" s="22">
        <v>1.3727</v>
      </c>
    </row>
    <row r="112" spans="1:15" x14ac:dyDescent="0.25">
      <c r="A112" s="26" t="s">
        <v>259</v>
      </c>
      <c r="B112" s="49" t="s">
        <v>251</v>
      </c>
      <c r="C112" s="50">
        <v>0.875</v>
      </c>
      <c r="D112" s="49">
        <v>16.850000000000001</v>
      </c>
      <c r="E112" s="49">
        <v>18.57</v>
      </c>
      <c r="F112" s="20" t="s">
        <v>0</v>
      </c>
      <c r="G112" s="20" t="s">
        <v>0</v>
      </c>
      <c r="H112" s="20" t="s">
        <v>0</v>
      </c>
      <c r="I112" s="22" t="s">
        <v>0</v>
      </c>
      <c r="J112" s="20" t="s">
        <v>0</v>
      </c>
      <c r="K112" s="20" t="s">
        <v>0</v>
      </c>
      <c r="L112" s="20" t="s">
        <v>0</v>
      </c>
      <c r="M112" s="23" t="s">
        <v>0</v>
      </c>
      <c r="N112" s="22" t="s">
        <v>0</v>
      </c>
      <c r="O112" s="22">
        <v>1.3468</v>
      </c>
    </row>
    <row r="113" spans="1:15" x14ac:dyDescent="0.25">
      <c r="A113" s="26" t="s">
        <v>298</v>
      </c>
      <c r="B113" s="49" t="s">
        <v>233</v>
      </c>
      <c r="C113" s="50">
        <v>0.625</v>
      </c>
      <c r="D113" s="49">
        <v>16.920000000000002</v>
      </c>
      <c r="E113" s="49">
        <v>18.260000000000002</v>
      </c>
      <c r="F113" s="20" t="s">
        <v>0</v>
      </c>
      <c r="G113" s="20" t="s">
        <v>0</v>
      </c>
      <c r="H113" s="20" t="s">
        <v>0</v>
      </c>
      <c r="I113" s="22" t="s">
        <v>0</v>
      </c>
      <c r="J113" s="20" t="s">
        <v>0</v>
      </c>
      <c r="K113" s="20" t="s">
        <v>0</v>
      </c>
      <c r="L113" s="20" t="s">
        <v>0</v>
      </c>
      <c r="M113" s="23" t="s">
        <v>0</v>
      </c>
      <c r="N113" s="22" t="s">
        <v>0</v>
      </c>
      <c r="O113" s="22">
        <v>1.3431</v>
      </c>
    </row>
    <row r="114" spans="1:15" x14ac:dyDescent="0.25">
      <c r="A114" s="26" t="s">
        <v>331</v>
      </c>
      <c r="B114" s="49" t="s">
        <v>332</v>
      </c>
      <c r="C114" s="50">
        <v>1.375</v>
      </c>
      <c r="D114" s="49">
        <v>16.96</v>
      </c>
      <c r="E114" s="49">
        <v>19.57</v>
      </c>
      <c r="F114" s="20" t="s">
        <v>0</v>
      </c>
      <c r="G114" s="20" t="s">
        <v>0</v>
      </c>
      <c r="H114" s="20" t="s">
        <v>0</v>
      </c>
      <c r="I114" s="22" t="s">
        <v>0</v>
      </c>
      <c r="J114" s="20" t="s">
        <v>0</v>
      </c>
      <c r="K114" s="20" t="s">
        <v>0</v>
      </c>
      <c r="L114" s="20" t="s">
        <v>0</v>
      </c>
      <c r="M114" s="23" t="s">
        <v>0</v>
      </c>
      <c r="N114" s="22" t="s">
        <v>0</v>
      </c>
      <c r="O114" s="22">
        <v>1.3619000000000001</v>
      </c>
    </row>
    <row r="115" spans="1:15" x14ac:dyDescent="0.25">
      <c r="A115" s="26" t="s">
        <v>299</v>
      </c>
      <c r="B115" s="49" t="s">
        <v>224</v>
      </c>
      <c r="C115" s="50">
        <v>0.5</v>
      </c>
      <c r="D115" s="49">
        <v>17</v>
      </c>
      <c r="E115" s="49">
        <v>18.14</v>
      </c>
      <c r="F115" s="20" t="s">
        <v>0</v>
      </c>
      <c r="G115" s="20" t="s">
        <v>0</v>
      </c>
      <c r="H115" s="20" t="s">
        <v>0</v>
      </c>
      <c r="I115" s="22" t="s">
        <v>0</v>
      </c>
      <c r="J115" s="20" t="s">
        <v>0</v>
      </c>
      <c r="K115" s="20" t="s">
        <v>0</v>
      </c>
      <c r="L115" s="20" t="s">
        <v>0</v>
      </c>
      <c r="M115" s="23" t="s">
        <v>0</v>
      </c>
      <c r="N115" s="22" t="s">
        <v>0</v>
      </c>
      <c r="O115" s="22">
        <v>1.3419000000000001</v>
      </c>
    </row>
    <row r="116" spans="1:15" x14ac:dyDescent="0.25">
      <c r="A116" s="26" t="s">
        <v>71</v>
      </c>
      <c r="B116" s="49" t="s">
        <v>195</v>
      </c>
      <c r="C116" s="50">
        <v>2.25</v>
      </c>
      <c r="D116" s="49">
        <v>17.03</v>
      </c>
      <c r="E116" s="49">
        <v>21.3</v>
      </c>
      <c r="F116" s="20" t="s">
        <v>0</v>
      </c>
      <c r="G116" s="20" t="s">
        <v>0</v>
      </c>
      <c r="H116" s="20" t="s">
        <v>0</v>
      </c>
      <c r="I116" s="22" t="s">
        <v>0</v>
      </c>
      <c r="J116" s="20" t="s">
        <v>0</v>
      </c>
      <c r="K116" s="20" t="s">
        <v>0</v>
      </c>
      <c r="L116" s="20" t="s">
        <v>0</v>
      </c>
      <c r="M116" s="23" t="s">
        <v>0</v>
      </c>
      <c r="N116" s="22" t="s">
        <v>0</v>
      </c>
      <c r="O116" s="22">
        <v>1.3851</v>
      </c>
    </row>
    <row r="117" spans="1:15" x14ac:dyDescent="0.25">
      <c r="A117" s="26" t="s">
        <v>55</v>
      </c>
      <c r="B117" s="49" t="s">
        <v>191</v>
      </c>
      <c r="C117" s="50">
        <v>2.375</v>
      </c>
      <c r="D117" s="49">
        <v>17.11</v>
      </c>
      <c r="E117" s="49">
        <v>21.52</v>
      </c>
      <c r="F117" s="20" t="s">
        <v>0</v>
      </c>
      <c r="G117" s="20" t="s">
        <v>0</v>
      </c>
      <c r="H117" s="20" t="s">
        <v>0</v>
      </c>
      <c r="I117" s="22" t="s">
        <v>0</v>
      </c>
      <c r="J117" s="20" t="s">
        <v>0</v>
      </c>
      <c r="K117" s="20" t="s">
        <v>0</v>
      </c>
      <c r="L117" s="20" t="s">
        <v>0</v>
      </c>
      <c r="M117" s="23" t="s">
        <v>0</v>
      </c>
      <c r="N117" s="22" t="s">
        <v>0</v>
      </c>
      <c r="O117" s="22">
        <v>1.3875</v>
      </c>
    </row>
    <row r="118" spans="1:15" x14ac:dyDescent="0.25">
      <c r="A118" s="26" t="s">
        <v>73</v>
      </c>
      <c r="B118" s="49" t="s">
        <v>194</v>
      </c>
      <c r="C118" s="50">
        <v>2</v>
      </c>
      <c r="D118" s="49">
        <v>17.14</v>
      </c>
      <c r="E118" s="49">
        <v>20.8</v>
      </c>
      <c r="F118" s="20" t="s">
        <v>0</v>
      </c>
      <c r="G118" s="20" t="s">
        <v>0</v>
      </c>
      <c r="H118" s="20" t="s">
        <v>0</v>
      </c>
      <c r="I118" s="22" t="s">
        <v>0</v>
      </c>
      <c r="J118" s="20" t="s">
        <v>0</v>
      </c>
      <c r="K118" s="20" t="s">
        <v>0</v>
      </c>
      <c r="L118" s="20" t="s">
        <v>0</v>
      </c>
      <c r="M118" s="23" t="s">
        <v>0</v>
      </c>
      <c r="N118" s="22" t="s">
        <v>0</v>
      </c>
      <c r="O118" s="22">
        <v>1.3788</v>
      </c>
    </row>
    <row r="119" spans="1:15" x14ac:dyDescent="0.25">
      <c r="A119" s="26" t="s">
        <v>380</v>
      </c>
      <c r="B119" s="49" t="s">
        <v>381</v>
      </c>
      <c r="C119" s="50">
        <v>1.375</v>
      </c>
      <c r="D119" s="49">
        <v>17.38</v>
      </c>
      <c r="E119" s="49">
        <v>20</v>
      </c>
      <c r="F119" s="20" t="s">
        <v>0</v>
      </c>
      <c r="G119" s="20" t="s">
        <v>0</v>
      </c>
      <c r="H119" s="20" t="s">
        <v>0</v>
      </c>
      <c r="I119" s="22" t="s">
        <v>0</v>
      </c>
      <c r="J119" s="20" t="s">
        <v>0</v>
      </c>
      <c r="K119" s="20" t="s">
        <v>0</v>
      </c>
      <c r="L119" s="20" t="s">
        <v>0</v>
      </c>
      <c r="M119" s="23" t="s">
        <v>0</v>
      </c>
      <c r="N119" s="22" t="s">
        <v>0</v>
      </c>
      <c r="O119" s="22">
        <v>1.3707</v>
      </c>
    </row>
    <row r="120" spans="1:15" x14ac:dyDescent="0.25">
      <c r="A120" s="26" t="s">
        <v>74</v>
      </c>
      <c r="B120" s="49" t="s">
        <v>196</v>
      </c>
      <c r="C120" s="50">
        <v>2.375</v>
      </c>
      <c r="D120" s="49">
        <v>17.350000000000001</v>
      </c>
      <c r="E120" s="49">
        <v>21.77</v>
      </c>
      <c r="F120" s="20" t="s">
        <v>0</v>
      </c>
      <c r="G120" s="20" t="s">
        <v>0</v>
      </c>
      <c r="H120" s="20" t="s">
        <v>0</v>
      </c>
      <c r="I120" s="22" t="s">
        <v>0</v>
      </c>
      <c r="J120" s="20" t="s">
        <v>0</v>
      </c>
      <c r="K120" s="20" t="s">
        <v>0</v>
      </c>
      <c r="L120" s="20" t="s">
        <v>0</v>
      </c>
      <c r="M120" s="23" t="s">
        <v>0</v>
      </c>
      <c r="N120" s="22" t="s">
        <v>0</v>
      </c>
      <c r="O120" s="22">
        <v>1.3919999999999999</v>
      </c>
    </row>
    <row r="121" spans="1:15" x14ac:dyDescent="0.25">
      <c r="A121" s="26" t="s">
        <v>75</v>
      </c>
      <c r="B121" s="49" t="s">
        <v>197</v>
      </c>
      <c r="C121" s="50">
        <v>2.25</v>
      </c>
      <c r="D121" s="49">
        <v>17.38</v>
      </c>
      <c r="E121" s="49">
        <v>22</v>
      </c>
      <c r="F121" s="20" t="s">
        <v>0</v>
      </c>
      <c r="G121" s="20" t="s">
        <v>0</v>
      </c>
      <c r="H121" s="20" t="s">
        <v>0</v>
      </c>
      <c r="I121" s="22" t="s">
        <v>0</v>
      </c>
      <c r="J121" s="20" t="s">
        <v>0</v>
      </c>
      <c r="K121" s="20" t="s">
        <v>0</v>
      </c>
      <c r="L121" s="20" t="s">
        <v>0</v>
      </c>
      <c r="M121" s="23" t="s">
        <v>0</v>
      </c>
      <c r="N121" s="22" t="s">
        <v>0</v>
      </c>
      <c r="O121" s="22">
        <v>1.3976999999999999</v>
      </c>
    </row>
    <row r="122" spans="1:15" x14ac:dyDescent="0.25">
      <c r="A122" s="26" t="s">
        <v>76</v>
      </c>
      <c r="B122" s="49" t="s">
        <v>198</v>
      </c>
      <c r="C122" s="50">
        <v>2</v>
      </c>
      <c r="D122" s="49">
        <v>18.62</v>
      </c>
      <c r="E122" s="49">
        <v>23.3</v>
      </c>
      <c r="F122" s="20" t="s">
        <v>0</v>
      </c>
      <c r="G122" s="20" t="s">
        <v>0</v>
      </c>
      <c r="H122" s="20" t="s">
        <v>0</v>
      </c>
      <c r="I122" s="22" t="s">
        <v>0</v>
      </c>
      <c r="J122" s="20" t="s">
        <v>0</v>
      </c>
      <c r="K122" s="20" t="s">
        <v>0</v>
      </c>
      <c r="L122" s="20" t="s">
        <v>0</v>
      </c>
      <c r="M122" s="23" t="s">
        <v>0</v>
      </c>
      <c r="N122" s="22" t="s">
        <v>0</v>
      </c>
      <c r="O122" s="22">
        <v>1.4231</v>
      </c>
    </row>
    <row r="123" spans="1:15" x14ac:dyDescent="0.25">
      <c r="A123" s="26" t="s">
        <v>77</v>
      </c>
      <c r="B123" s="49" t="s">
        <v>199</v>
      </c>
      <c r="C123" s="50">
        <v>1.625</v>
      </c>
      <c r="D123" s="49">
        <v>18.97</v>
      </c>
      <c r="E123" s="49">
        <v>22.78</v>
      </c>
      <c r="F123" s="20" t="s">
        <v>0</v>
      </c>
      <c r="G123" s="20" t="s">
        <v>0</v>
      </c>
      <c r="H123" s="20" t="s">
        <v>0</v>
      </c>
      <c r="I123" s="22" t="s">
        <v>0</v>
      </c>
      <c r="J123" s="20" t="s">
        <v>0</v>
      </c>
      <c r="K123" s="20" t="s">
        <v>0</v>
      </c>
      <c r="L123" s="20" t="s">
        <v>0</v>
      </c>
      <c r="M123" s="23" t="s">
        <v>0</v>
      </c>
      <c r="N123" s="22" t="s">
        <v>0</v>
      </c>
      <c r="O123" s="22">
        <v>1.4196</v>
      </c>
    </row>
    <row r="124" spans="1:15" x14ac:dyDescent="0.25">
      <c r="A124" s="26" t="s">
        <v>78</v>
      </c>
      <c r="B124" s="49" t="s">
        <v>200</v>
      </c>
      <c r="C124" s="50">
        <v>1.875</v>
      </c>
      <c r="D124" s="49">
        <v>19.29</v>
      </c>
      <c r="E124" s="49">
        <v>23.8</v>
      </c>
      <c r="F124" s="20" t="s">
        <v>0</v>
      </c>
      <c r="G124" s="20" t="s">
        <v>0</v>
      </c>
      <c r="H124" s="20" t="s">
        <v>0</v>
      </c>
      <c r="I124" s="22" t="s">
        <v>0</v>
      </c>
      <c r="J124" s="20" t="s">
        <v>0</v>
      </c>
      <c r="K124" s="20" t="s">
        <v>0</v>
      </c>
      <c r="L124" s="20" t="s">
        <v>0</v>
      </c>
      <c r="M124" s="23" t="s">
        <v>0</v>
      </c>
      <c r="N124" s="22" t="s">
        <v>0</v>
      </c>
      <c r="O124" s="22">
        <v>1.4331</v>
      </c>
    </row>
    <row r="125" spans="1:15" x14ac:dyDescent="0.25">
      <c r="A125" s="26" t="s">
        <v>79</v>
      </c>
      <c r="B125" s="49" t="s">
        <v>201</v>
      </c>
      <c r="C125" s="50">
        <v>1.375</v>
      </c>
      <c r="D125" s="49">
        <v>19.559999999999999</v>
      </c>
      <c r="E125" s="49">
        <v>22.99</v>
      </c>
      <c r="F125" s="20" t="s">
        <v>0</v>
      </c>
      <c r="G125" s="20" t="s">
        <v>0</v>
      </c>
      <c r="H125" s="20" t="s">
        <v>0</v>
      </c>
      <c r="I125" s="22" t="s">
        <v>0</v>
      </c>
      <c r="J125" s="20" t="s">
        <v>0</v>
      </c>
      <c r="K125" s="20" t="s">
        <v>0</v>
      </c>
      <c r="L125" s="20" t="s">
        <v>0</v>
      </c>
      <c r="M125" s="23" t="s">
        <v>0</v>
      </c>
      <c r="N125" s="22" t="s">
        <v>0</v>
      </c>
      <c r="O125" s="22">
        <v>1.4272</v>
      </c>
    </row>
    <row r="126" spans="1:15" x14ac:dyDescent="0.25">
      <c r="A126" s="26" t="s">
        <v>80</v>
      </c>
      <c r="B126" s="49" t="s">
        <v>202</v>
      </c>
      <c r="C126" s="50">
        <v>1.625</v>
      </c>
      <c r="D126" s="49">
        <v>19.84</v>
      </c>
      <c r="E126" s="49">
        <v>24.29</v>
      </c>
      <c r="F126" s="20" t="s">
        <v>0</v>
      </c>
      <c r="G126" s="20" t="s">
        <v>0</v>
      </c>
      <c r="H126" s="20" t="s">
        <v>0</v>
      </c>
      <c r="I126" s="22" t="s">
        <v>0</v>
      </c>
      <c r="J126" s="20" t="s">
        <v>0</v>
      </c>
      <c r="K126" s="20" t="s">
        <v>0</v>
      </c>
      <c r="L126" s="20" t="s">
        <v>0</v>
      </c>
      <c r="M126" s="23" t="s">
        <v>0</v>
      </c>
      <c r="N126" s="22" t="s">
        <v>0</v>
      </c>
      <c r="O126" s="22">
        <v>1.4451000000000001</v>
      </c>
    </row>
    <row r="127" spans="1:15" x14ac:dyDescent="0.25">
      <c r="A127" s="26" t="s">
        <v>81</v>
      </c>
      <c r="B127" s="49" t="s">
        <v>203</v>
      </c>
      <c r="C127" s="50">
        <v>1.5</v>
      </c>
      <c r="D127" s="49">
        <v>20.53</v>
      </c>
      <c r="E127" s="49">
        <v>24.78</v>
      </c>
      <c r="F127" s="20" t="s">
        <v>0</v>
      </c>
      <c r="G127" s="20" t="s">
        <v>0</v>
      </c>
      <c r="H127" s="20" t="s">
        <v>0</v>
      </c>
      <c r="I127" s="22" t="s">
        <v>0</v>
      </c>
      <c r="J127" s="20" t="s">
        <v>0</v>
      </c>
      <c r="K127" s="20" t="s">
        <v>0</v>
      </c>
      <c r="L127" s="20" t="s">
        <v>0</v>
      </c>
      <c r="M127" s="23" t="s">
        <v>0</v>
      </c>
      <c r="N127" s="22" t="s">
        <v>0</v>
      </c>
      <c r="O127" s="22">
        <v>1.4547000000000001</v>
      </c>
    </row>
    <row r="128" spans="1:15" x14ac:dyDescent="0.25">
      <c r="A128" s="26" t="s">
        <v>57</v>
      </c>
      <c r="B128" s="49" t="s">
        <v>204</v>
      </c>
      <c r="C128" s="50">
        <v>1.375</v>
      </c>
      <c r="D128" s="49">
        <v>20.93</v>
      </c>
      <c r="E128" s="49">
        <v>25.25</v>
      </c>
      <c r="F128" s="20" t="s">
        <v>0</v>
      </c>
      <c r="G128" s="20" t="s">
        <v>0</v>
      </c>
      <c r="H128" s="20" t="s">
        <v>0</v>
      </c>
      <c r="I128" s="22" t="s">
        <v>0</v>
      </c>
      <c r="J128" s="20" t="s">
        <v>0</v>
      </c>
      <c r="K128" s="20" t="s">
        <v>0</v>
      </c>
      <c r="L128" s="20" t="s">
        <v>0</v>
      </c>
      <c r="M128" s="23" t="s">
        <v>0</v>
      </c>
      <c r="N128" s="22" t="s">
        <v>0</v>
      </c>
      <c r="O128" s="22">
        <v>1.4641999999999999</v>
      </c>
    </row>
    <row r="129" spans="1:15" x14ac:dyDescent="0.25">
      <c r="A129" s="26" t="s">
        <v>320</v>
      </c>
      <c r="B129" s="49" t="s">
        <v>315</v>
      </c>
      <c r="C129" s="50">
        <v>2.375</v>
      </c>
      <c r="D129" s="49">
        <v>21.58</v>
      </c>
      <c r="E129" s="49">
        <v>29.26</v>
      </c>
      <c r="F129" s="20" t="s">
        <v>0</v>
      </c>
      <c r="G129" s="20" t="s">
        <v>0</v>
      </c>
      <c r="H129" s="20" t="s">
        <v>0</v>
      </c>
      <c r="I129" s="22" t="s">
        <v>0</v>
      </c>
      <c r="J129" s="20" t="s">
        <v>0</v>
      </c>
      <c r="K129" s="20" t="s">
        <v>0</v>
      </c>
      <c r="L129" s="20" t="s">
        <v>0</v>
      </c>
      <c r="M129" s="23" t="s">
        <v>0</v>
      </c>
      <c r="N129" s="22" t="s">
        <v>0</v>
      </c>
      <c r="O129" s="22">
        <v>1.4944999999999999</v>
      </c>
    </row>
    <row r="130" spans="1:15" x14ac:dyDescent="0.25">
      <c r="A130" s="26" t="s">
        <v>84</v>
      </c>
      <c r="B130" s="49" t="s">
        <v>205</v>
      </c>
      <c r="C130" s="50">
        <v>1.125</v>
      </c>
      <c r="D130" s="49">
        <v>21.97</v>
      </c>
      <c r="E130" s="49">
        <v>25.77</v>
      </c>
      <c r="F130" s="20" t="s">
        <v>0</v>
      </c>
      <c r="G130" s="20" t="s">
        <v>0</v>
      </c>
      <c r="H130" s="20" t="s">
        <v>0</v>
      </c>
      <c r="I130" s="22" t="s">
        <v>0</v>
      </c>
      <c r="J130" s="20" t="s">
        <v>0</v>
      </c>
      <c r="K130" s="20" t="s">
        <v>0</v>
      </c>
      <c r="L130" s="20" t="s">
        <v>0</v>
      </c>
      <c r="M130" s="23" t="s">
        <v>0</v>
      </c>
      <c r="N130" s="22" t="s">
        <v>0</v>
      </c>
      <c r="O130" s="22">
        <v>1.4765999999999999</v>
      </c>
    </row>
    <row r="131" spans="1:15" x14ac:dyDescent="0.25">
      <c r="A131" s="26" t="s">
        <v>268</v>
      </c>
      <c r="B131" s="49" t="s">
        <v>267</v>
      </c>
      <c r="C131" s="50">
        <v>2</v>
      </c>
      <c r="D131" s="49">
        <v>22.15</v>
      </c>
      <c r="E131" s="49">
        <v>28.78</v>
      </c>
      <c r="F131" s="20" t="s">
        <v>0</v>
      </c>
      <c r="G131" s="20" t="s">
        <v>0</v>
      </c>
      <c r="H131" s="20" t="s">
        <v>0</v>
      </c>
      <c r="I131" s="22" t="s">
        <v>0</v>
      </c>
      <c r="J131" s="20" t="s">
        <v>0</v>
      </c>
      <c r="K131" s="20" t="s">
        <v>0</v>
      </c>
      <c r="L131" s="20" t="s">
        <v>0</v>
      </c>
      <c r="M131" s="23" t="s">
        <v>0</v>
      </c>
      <c r="N131" s="22" t="s">
        <v>0</v>
      </c>
      <c r="O131" s="22">
        <v>1.4964999999999999</v>
      </c>
    </row>
    <row r="132" spans="1:15" x14ac:dyDescent="0.25">
      <c r="A132" s="26" t="s">
        <v>51</v>
      </c>
      <c r="B132" s="49" t="s">
        <v>206</v>
      </c>
      <c r="C132" s="50">
        <v>1</v>
      </c>
      <c r="D132" s="49">
        <v>22.47</v>
      </c>
      <c r="E132" s="49">
        <v>26.25</v>
      </c>
      <c r="F132" s="20" t="s">
        <v>0</v>
      </c>
      <c r="G132" s="20" t="s">
        <v>0</v>
      </c>
      <c r="H132" s="20" t="s">
        <v>0</v>
      </c>
      <c r="I132" s="22" t="s">
        <v>0</v>
      </c>
      <c r="J132" s="20" t="s">
        <v>0</v>
      </c>
      <c r="K132" s="20" t="s">
        <v>0</v>
      </c>
      <c r="L132" s="20" t="s">
        <v>0</v>
      </c>
      <c r="M132" s="23" t="s">
        <v>0</v>
      </c>
      <c r="N132" s="22" t="s">
        <v>0</v>
      </c>
      <c r="O132" s="22">
        <v>1.4861</v>
      </c>
    </row>
    <row r="133" spans="1:15" x14ac:dyDescent="0.25">
      <c r="A133" s="26" t="s">
        <v>300</v>
      </c>
      <c r="B133" s="49" t="s">
        <v>207</v>
      </c>
      <c r="C133" s="50">
        <v>0.75</v>
      </c>
      <c r="D133" s="49">
        <v>23.65</v>
      </c>
      <c r="E133" s="49">
        <v>26.76</v>
      </c>
      <c r="F133" s="20" t="s">
        <v>0</v>
      </c>
      <c r="G133" s="20" t="s">
        <v>0</v>
      </c>
      <c r="H133" s="20" t="s">
        <v>0</v>
      </c>
      <c r="I133" s="22" t="s">
        <v>0</v>
      </c>
      <c r="J133" s="20" t="s">
        <v>0</v>
      </c>
      <c r="K133" s="20" t="s">
        <v>0</v>
      </c>
      <c r="L133" s="20" t="s">
        <v>0</v>
      </c>
      <c r="M133" s="23" t="s">
        <v>0</v>
      </c>
      <c r="N133" s="22" t="s">
        <v>0</v>
      </c>
      <c r="O133" s="22">
        <v>1.4986999999999999</v>
      </c>
    </row>
    <row r="134" spans="1:15" x14ac:dyDescent="0.25">
      <c r="A134" s="26" t="s">
        <v>301</v>
      </c>
      <c r="B134" s="49" t="s">
        <v>238</v>
      </c>
      <c r="C134" s="50">
        <v>1.125</v>
      </c>
      <c r="D134" s="49">
        <v>23.67</v>
      </c>
      <c r="E134" s="49">
        <v>28.37</v>
      </c>
      <c r="F134" s="20" t="s">
        <v>0</v>
      </c>
      <c r="G134" s="20" t="s">
        <v>0</v>
      </c>
      <c r="H134" s="20" t="s">
        <v>0</v>
      </c>
      <c r="I134" s="22" t="s">
        <v>0</v>
      </c>
      <c r="J134" s="20" t="s">
        <v>0</v>
      </c>
      <c r="K134" s="20" t="s">
        <v>0</v>
      </c>
      <c r="L134" s="20" t="s">
        <v>0</v>
      </c>
      <c r="M134" s="23" t="s">
        <v>0</v>
      </c>
      <c r="N134" s="22" t="s">
        <v>0</v>
      </c>
      <c r="O134" s="22">
        <v>1.5098</v>
      </c>
    </row>
    <row r="135" spans="1:15" x14ac:dyDescent="0.25">
      <c r="A135" s="26" t="s">
        <v>363</v>
      </c>
      <c r="B135" s="49" t="s">
        <v>364</v>
      </c>
      <c r="C135" s="50">
        <v>1.5</v>
      </c>
      <c r="D135" s="49">
        <v>23.76</v>
      </c>
      <c r="E135" s="49">
        <v>29.76</v>
      </c>
      <c r="F135" s="20" t="s">
        <v>0</v>
      </c>
      <c r="G135" s="20" t="s">
        <v>0</v>
      </c>
      <c r="H135" s="20" t="s">
        <v>0</v>
      </c>
      <c r="I135" s="22" t="s">
        <v>0</v>
      </c>
      <c r="J135" s="20" t="s">
        <v>0</v>
      </c>
      <c r="K135" s="20" t="s">
        <v>0</v>
      </c>
      <c r="L135" s="20" t="s">
        <v>0</v>
      </c>
      <c r="M135" s="23" t="s">
        <v>0</v>
      </c>
      <c r="N135" s="22" t="s">
        <v>0</v>
      </c>
      <c r="O135" s="22">
        <v>1.5147999999999999</v>
      </c>
    </row>
    <row r="136" spans="1:15" x14ac:dyDescent="0.25">
      <c r="A136" s="26" t="s">
        <v>302</v>
      </c>
      <c r="B136" s="49" t="s">
        <v>209</v>
      </c>
      <c r="C136" s="50">
        <v>0.625</v>
      </c>
      <c r="D136" s="49">
        <v>24.61</v>
      </c>
      <c r="E136" s="49">
        <v>27.55</v>
      </c>
      <c r="F136" s="20" t="s">
        <v>0</v>
      </c>
      <c r="G136" s="20" t="s">
        <v>0</v>
      </c>
      <c r="H136" s="20" t="s">
        <v>0</v>
      </c>
      <c r="I136" s="22" t="s">
        <v>0</v>
      </c>
      <c r="J136" s="20" t="s">
        <v>0</v>
      </c>
      <c r="K136" s="20" t="s">
        <v>0</v>
      </c>
      <c r="L136" s="20" t="s">
        <v>0</v>
      </c>
      <c r="M136" s="23" t="s">
        <v>0</v>
      </c>
      <c r="N136" s="22" t="s">
        <v>0</v>
      </c>
      <c r="O136" s="22">
        <v>1.5121</v>
      </c>
    </row>
    <row r="137" spans="1:15" x14ac:dyDescent="0.25">
      <c r="A137" s="32" t="s">
        <v>303</v>
      </c>
      <c r="B137" s="49" t="s">
        <v>208</v>
      </c>
      <c r="C137" s="50">
        <v>0.375</v>
      </c>
      <c r="D137" s="49">
        <v>25.26</v>
      </c>
      <c r="E137" s="49">
        <v>27.3</v>
      </c>
      <c r="F137" s="20" t="s">
        <v>0</v>
      </c>
      <c r="G137" s="20" t="s">
        <v>0</v>
      </c>
      <c r="H137" s="20" t="s">
        <v>0</v>
      </c>
      <c r="I137" s="22" t="s">
        <v>0</v>
      </c>
      <c r="J137" s="20" t="s">
        <v>0</v>
      </c>
      <c r="K137" s="20" t="s">
        <v>0</v>
      </c>
      <c r="L137" s="20" t="s">
        <v>0</v>
      </c>
      <c r="M137" s="23" t="s">
        <v>0</v>
      </c>
      <c r="N137" s="22" t="s">
        <v>0</v>
      </c>
      <c r="O137" s="22">
        <v>1.5153000000000001</v>
      </c>
    </row>
    <row r="138" spans="1:15" x14ac:dyDescent="0.25">
      <c r="A138" s="26" t="s">
        <v>431</v>
      </c>
      <c r="B138" s="34" t="s">
        <v>435</v>
      </c>
      <c r="C138" s="40">
        <v>1.59</v>
      </c>
      <c r="D138" s="40">
        <v>1.62</v>
      </c>
      <c r="E138" s="20"/>
      <c r="F138" s="20">
        <v>1.415</v>
      </c>
      <c r="G138" s="20">
        <v>1.41</v>
      </c>
      <c r="H138" s="20">
        <v>1.4125000000000001</v>
      </c>
      <c r="I138" s="22">
        <v>7</v>
      </c>
      <c r="J138" s="20" t="s">
        <v>0</v>
      </c>
      <c r="K138" s="20" t="s">
        <v>0</v>
      </c>
      <c r="L138" s="20" t="s">
        <v>0</v>
      </c>
      <c r="M138" s="23" t="s">
        <v>0</v>
      </c>
      <c r="N138" s="22" t="s">
        <v>0</v>
      </c>
      <c r="O138" s="22" t="e">
        <v>#N/A</v>
      </c>
    </row>
    <row r="139" spans="1:15" x14ac:dyDescent="0.25">
      <c r="A139" s="26" t="s">
        <v>432</v>
      </c>
      <c r="B139" s="34" t="s">
        <v>436</v>
      </c>
      <c r="C139" s="40">
        <v>1.53</v>
      </c>
      <c r="D139" s="40">
        <v>2.0699999999999998</v>
      </c>
      <c r="E139" s="20"/>
      <c r="F139" s="20">
        <v>1.415</v>
      </c>
      <c r="G139" s="20">
        <v>1.41</v>
      </c>
      <c r="H139" s="20">
        <v>1.4125000000000001</v>
      </c>
      <c r="I139" s="22">
        <v>6</v>
      </c>
      <c r="J139" s="20" t="s">
        <v>0</v>
      </c>
      <c r="K139" s="20" t="s">
        <v>0</v>
      </c>
      <c r="L139" s="20" t="s">
        <v>0</v>
      </c>
      <c r="M139" s="23" t="s">
        <v>0</v>
      </c>
      <c r="N139" s="22" t="s">
        <v>0</v>
      </c>
      <c r="O139" s="22" t="e">
        <v>#N/A</v>
      </c>
    </row>
    <row r="140" spans="1:15" x14ac:dyDescent="0.25">
      <c r="A140" s="26" t="s">
        <v>433</v>
      </c>
      <c r="B140" s="34" t="s">
        <v>437</v>
      </c>
      <c r="C140" s="40">
        <v>3.83</v>
      </c>
      <c r="D140" s="40">
        <v>4.04</v>
      </c>
      <c r="E140" s="20"/>
      <c r="F140" s="20">
        <v>1.5235000000000001</v>
      </c>
      <c r="G140" s="20">
        <v>1.52</v>
      </c>
      <c r="H140" s="20">
        <v>1.5217000000000001</v>
      </c>
      <c r="I140" s="22">
        <v>4</v>
      </c>
      <c r="J140" s="20" t="s">
        <v>0</v>
      </c>
      <c r="K140" s="20" t="s">
        <v>0</v>
      </c>
      <c r="L140" s="20" t="s">
        <v>0</v>
      </c>
      <c r="M140" s="23" t="s">
        <v>0</v>
      </c>
      <c r="N140" s="22" t="s">
        <v>0</v>
      </c>
      <c r="O140" s="22" t="e">
        <v>#N/A</v>
      </c>
    </row>
    <row r="141" spans="1:15" x14ac:dyDescent="0.25">
      <c r="A141" s="26" t="s">
        <v>404</v>
      </c>
      <c r="B141" s="34" t="s">
        <v>405</v>
      </c>
      <c r="C141" s="40">
        <v>2.74</v>
      </c>
      <c r="D141" s="40">
        <v>2.82</v>
      </c>
      <c r="E141" s="20"/>
      <c r="F141" s="20">
        <v>1.482</v>
      </c>
      <c r="G141" s="20">
        <v>1.482</v>
      </c>
      <c r="H141" s="20">
        <v>1.482</v>
      </c>
      <c r="I141" s="22">
        <v>3</v>
      </c>
      <c r="J141" s="20" t="s">
        <v>0</v>
      </c>
      <c r="K141" s="20" t="s">
        <v>0</v>
      </c>
      <c r="L141" s="20" t="s">
        <v>0</v>
      </c>
      <c r="M141" s="23" t="s">
        <v>0</v>
      </c>
      <c r="N141" s="22" t="s">
        <v>0</v>
      </c>
      <c r="O141" s="22" t="e">
        <v>#N/A</v>
      </c>
    </row>
    <row r="142" spans="1:15" x14ac:dyDescent="0.25">
      <c r="A142" s="26" t="s">
        <v>399</v>
      </c>
      <c r="B142" s="34" t="s">
        <v>400</v>
      </c>
      <c r="C142" s="26" t="s">
        <v>321</v>
      </c>
      <c r="D142" s="35">
        <v>0.74</v>
      </c>
      <c r="E142" s="35">
        <v>0.75</v>
      </c>
      <c r="F142" s="20">
        <v>1.46</v>
      </c>
      <c r="G142" s="20">
        <v>1.46</v>
      </c>
      <c r="H142" s="20">
        <v>1.46</v>
      </c>
      <c r="I142" s="22">
        <v>5</v>
      </c>
      <c r="J142" s="20">
        <v>1.45</v>
      </c>
      <c r="K142" s="20">
        <v>1.45</v>
      </c>
      <c r="L142" s="20">
        <v>1.45</v>
      </c>
      <c r="M142" s="23">
        <v>1</v>
      </c>
      <c r="N142" s="22">
        <v>5</v>
      </c>
      <c r="O142" s="22" t="e">
        <v>#N/A</v>
      </c>
    </row>
    <row r="143" spans="1:15" x14ac:dyDescent="0.25">
      <c r="A143" s="26" t="s">
        <v>407</v>
      </c>
      <c r="B143" s="34" t="s">
        <v>408</v>
      </c>
      <c r="C143" s="26" t="s">
        <v>321</v>
      </c>
      <c r="D143" s="35">
        <v>2.88</v>
      </c>
      <c r="E143" s="35">
        <v>2.97</v>
      </c>
      <c r="F143" s="20" t="s">
        <v>0</v>
      </c>
      <c r="G143" s="20" t="s">
        <v>0</v>
      </c>
      <c r="H143" s="20" t="s">
        <v>0</v>
      </c>
      <c r="I143" s="22" t="s">
        <v>0</v>
      </c>
      <c r="J143" s="20">
        <v>1.6</v>
      </c>
      <c r="K143" s="20">
        <v>1.6</v>
      </c>
      <c r="L143" s="20">
        <v>1.6</v>
      </c>
      <c r="M143" s="23">
        <v>1</v>
      </c>
      <c r="N143" s="22">
        <v>1</v>
      </c>
      <c r="O143" s="22" t="e">
        <v>#N/A</v>
      </c>
    </row>
    <row r="144" spans="1:15" x14ac:dyDescent="0.25">
      <c r="A144" s="26" t="s">
        <v>411</v>
      </c>
      <c r="B144" s="34" t="s">
        <v>412</v>
      </c>
      <c r="C144" s="26" t="s">
        <v>321</v>
      </c>
      <c r="D144" s="35">
        <v>8.23</v>
      </c>
      <c r="E144" s="35">
        <v>9.98</v>
      </c>
      <c r="F144" s="20" t="s">
        <v>0</v>
      </c>
      <c r="G144" s="20" t="s">
        <v>0</v>
      </c>
      <c r="H144" s="20" t="s">
        <v>0</v>
      </c>
      <c r="I144" s="22" t="s">
        <v>0</v>
      </c>
      <c r="J144" s="20">
        <v>3.7</v>
      </c>
      <c r="K144" s="20">
        <v>3.5790000000000002</v>
      </c>
      <c r="L144" s="20">
        <v>3.5994999999999999</v>
      </c>
      <c r="M144" s="23">
        <v>35</v>
      </c>
      <c r="N144" s="22">
        <v>2.9359999999999999</v>
      </c>
      <c r="O144" s="22" t="e">
        <v>#N/A</v>
      </c>
    </row>
    <row r="145" spans="1:15" x14ac:dyDescent="0.25">
      <c r="A145" s="26" t="s">
        <v>413</v>
      </c>
      <c r="B145" s="34" t="s">
        <v>414</v>
      </c>
      <c r="C145" s="26" t="s">
        <v>321</v>
      </c>
      <c r="D145" s="35">
        <v>11.22</v>
      </c>
      <c r="E145" s="35">
        <v>14.98</v>
      </c>
      <c r="F145" s="20" t="s">
        <v>0</v>
      </c>
      <c r="G145" s="20" t="s">
        <v>0</v>
      </c>
      <c r="H145" s="20" t="s">
        <v>0</v>
      </c>
      <c r="I145" s="22" t="s">
        <v>0</v>
      </c>
      <c r="J145" s="20">
        <v>3.85</v>
      </c>
      <c r="K145" s="20">
        <v>3.85</v>
      </c>
      <c r="L145" s="20">
        <v>3.85</v>
      </c>
      <c r="M145" s="23">
        <v>2</v>
      </c>
      <c r="N145" s="22">
        <v>0.10299999999999999</v>
      </c>
      <c r="O145" s="22" t="e">
        <v>#N/A</v>
      </c>
    </row>
  </sheetData>
  <mergeCells count="6">
    <mergeCell ref="F1:I1"/>
    <mergeCell ref="J1:N1"/>
    <mergeCell ref="Q1:T1"/>
    <mergeCell ref="F2:H2"/>
    <mergeCell ref="J2:L2"/>
    <mergeCell ref="O2:O3"/>
  </mergeCells>
  <phoneticPr fontId="1" type="noConversion"/>
  <printOptions gridLines="1"/>
  <pageMargins left="0.17" right="0.16" top="0.28999999999999998" bottom="0.2" header="0.5" footer="0.5"/>
  <pageSetup paperSize="9" scale="39" orientation="portrait" r:id="rId1"/>
  <headerFooter alignWithMargins="0">
    <oddFooter>&amp;C&amp;"Times New Roman,標準"&amp;P&amp;R&amp;"Times New Roman,標準"&amp;A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04">
    <pageSetUpPr fitToPage="1"/>
  </sheetPr>
  <dimension ref="A1:T356"/>
  <sheetViews>
    <sheetView zoomScale="90" zoomScaleNormal="90" workbookViewId="0">
      <pane xSplit="1" ySplit="3" topLeftCell="B4" activePane="bottomRight" state="frozen"/>
      <selection sqref="A1:P65536"/>
      <selection pane="topRight" sqref="A1:P65536"/>
      <selection pane="bottomLeft" sqref="A1:P65536"/>
      <selection pane="bottomRight" activeCell="K26" sqref="K26"/>
    </sheetView>
  </sheetViews>
  <sheetFormatPr defaultRowHeight="16.5" x14ac:dyDescent="0.25"/>
  <cols>
    <col min="1" max="1" width="9" style="7" customWidth="1"/>
    <col min="2" max="2" width="10.5" style="8" bestFit="1" customWidth="1"/>
    <col min="3" max="3" width="7.5" style="8" bestFit="1" customWidth="1"/>
    <col min="4" max="4" width="9.5" style="8" customWidth="1"/>
    <col min="5" max="15" width="9.25" style="8" bestFit="1" customWidth="1"/>
    <col min="16" max="16" width="4" style="8" customWidth="1"/>
    <col min="17" max="17" width="6.625" style="28" customWidth="1"/>
    <col min="18" max="18" width="8.625" style="28" customWidth="1"/>
    <col min="19" max="20" width="11.75" style="31" bestFit="1" customWidth="1"/>
    <col min="21" max="256" width="9" style="8"/>
    <col min="257" max="257" width="9" style="8" customWidth="1"/>
    <col min="258" max="258" width="10.5" style="8" bestFit="1" customWidth="1"/>
    <col min="259" max="259" width="6.5" style="8" bestFit="1" customWidth="1"/>
    <col min="260" max="260" width="9.5" style="8" customWidth="1"/>
    <col min="261" max="271" width="9" style="8"/>
    <col min="272" max="272" width="4" style="8" customWidth="1"/>
    <col min="273" max="273" width="6.625" style="8" customWidth="1"/>
    <col min="274" max="274" width="8.625" style="8" customWidth="1"/>
    <col min="275" max="276" width="11.5" style="8" bestFit="1" customWidth="1"/>
    <col min="277" max="512" width="9" style="8"/>
    <col min="513" max="513" width="9" style="8" customWidth="1"/>
    <col min="514" max="514" width="10.5" style="8" bestFit="1" customWidth="1"/>
    <col min="515" max="515" width="6.5" style="8" bestFit="1" customWidth="1"/>
    <col min="516" max="516" width="9.5" style="8" customWidth="1"/>
    <col min="517" max="527" width="9" style="8"/>
    <col min="528" max="528" width="4" style="8" customWidth="1"/>
    <col min="529" max="529" width="6.625" style="8" customWidth="1"/>
    <col min="530" max="530" width="8.625" style="8" customWidth="1"/>
    <col min="531" max="532" width="11.5" style="8" bestFit="1" customWidth="1"/>
    <col min="533" max="768" width="9" style="8"/>
    <col min="769" max="769" width="9" style="8" customWidth="1"/>
    <col min="770" max="770" width="10.5" style="8" bestFit="1" customWidth="1"/>
    <col min="771" max="771" width="6.5" style="8" bestFit="1" customWidth="1"/>
    <col min="772" max="772" width="9.5" style="8" customWidth="1"/>
    <col min="773" max="783" width="9" style="8"/>
    <col min="784" max="784" width="4" style="8" customWidth="1"/>
    <col min="785" max="785" width="6.625" style="8" customWidth="1"/>
    <col min="786" max="786" width="8.625" style="8" customWidth="1"/>
    <col min="787" max="788" width="11.5" style="8" bestFit="1" customWidth="1"/>
    <col min="789" max="1024" width="9" style="8"/>
    <col min="1025" max="1025" width="9" style="8" customWidth="1"/>
    <col min="1026" max="1026" width="10.5" style="8" bestFit="1" customWidth="1"/>
    <col min="1027" max="1027" width="6.5" style="8" bestFit="1" customWidth="1"/>
    <col min="1028" max="1028" width="9.5" style="8" customWidth="1"/>
    <col min="1029" max="1039" width="9" style="8"/>
    <col min="1040" max="1040" width="4" style="8" customWidth="1"/>
    <col min="1041" max="1041" width="6.625" style="8" customWidth="1"/>
    <col min="1042" max="1042" width="8.625" style="8" customWidth="1"/>
    <col min="1043" max="1044" width="11.5" style="8" bestFit="1" customWidth="1"/>
    <col min="1045" max="1280" width="9" style="8"/>
    <col min="1281" max="1281" width="9" style="8" customWidth="1"/>
    <col min="1282" max="1282" width="10.5" style="8" bestFit="1" customWidth="1"/>
    <col min="1283" max="1283" width="6.5" style="8" bestFit="1" customWidth="1"/>
    <col min="1284" max="1284" width="9.5" style="8" customWidth="1"/>
    <col min="1285" max="1295" width="9" style="8"/>
    <col min="1296" max="1296" width="4" style="8" customWidth="1"/>
    <col min="1297" max="1297" width="6.625" style="8" customWidth="1"/>
    <col min="1298" max="1298" width="8.625" style="8" customWidth="1"/>
    <col min="1299" max="1300" width="11.5" style="8" bestFit="1" customWidth="1"/>
    <col min="1301" max="1536" width="9" style="8"/>
    <col min="1537" max="1537" width="9" style="8" customWidth="1"/>
    <col min="1538" max="1538" width="10.5" style="8" bestFit="1" customWidth="1"/>
    <col min="1539" max="1539" width="6.5" style="8" bestFit="1" customWidth="1"/>
    <col min="1540" max="1540" width="9.5" style="8" customWidth="1"/>
    <col min="1541" max="1551" width="9" style="8"/>
    <col min="1552" max="1552" width="4" style="8" customWidth="1"/>
    <col min="1553" max="1553" width="6.625" style="8" customWidth="1"/>
    <col min="1554" max="1554" width="8.625" style="8" customWidth="1"/>
    <col min="1555" max="1556" width="11.5" style="8" bestFit="1" customWidth="1"/>
    <col min="1557" max="1792" width="9" style="8"/>
    <col min="1793" max="1793" width="9" style="8" customWidth="1"/>
    <col min="1794" max="1794" width="10.5" style="8" bestFit="1" customWidth="1"/>
    <col min="1795" max="1795" width="6.5" style="8" bestFit="1" customWidth="1"/>
    <col min="1796" max="1796" width="9.5" style="8" customWidth="1"/>
    <col min="1797" max="1807" width="9" style="8"/>
    <col min="1808" max="1808" width="4" style="8" customWidth="1"/>
    <col min="1809" max="1809" width="6.625" style="8" customWidth="1"/>
    <col min="1810" max="1810" width="8.625" style="8" customWidth="1"/>
    <col min="1811" max="1812" width="11.5" style="8" bestFit="1" customWidth="1"/>
    <col min="1813" max="2048" width="9" style="8"/>
    <col min="2049" max="2049" width="9" style="8" customWidth="1"/>
    <col min="2050" max="2050" width="10.5" style="8" bestFit="1" customWidth="1"/>
    <col min="2051" max="2051" width="6.5" style="8" bestFit="1" customWidth="1"/>
    <col min="2052" max="2052" width="9.5" style="8" customWidth="1"/>
    <col min="2053" max="2063" width="9" style="8"/>
    <col min="2064" max="2064" width="4" style="8" customWidth="1"/>
    <col min="2065" max="2065" width="6.625" style="8" customWidth="1"/>
    <col min="2066" max="2066" width="8.625" style="8" customWidth="1"/>
    <col min="2067" max="2068" width="11.5" style="8" bestFit="1" customWidth="1"/>
    <col min="2069" max="2304" width="9" style="8"/>
    <col min="2305" max="2305" width="9" style="8" customWidth="1"/>
    <col min="2306" max="2306" width="10.5" style="8" bestFit="1" customWidth="1"/>
    <col min="2307" max="2307" width="6.5" style="8" bestFit="1" customWidth="1"/>
    <col min="2308" max="2308" width="9.5" style="8" customWidth="1"/>
    <col min="2309" max="2319" width="9" style="8"/>
    <col min="2320" max="2320" width="4" style="8" customWidth="1"/>
    <col min="2321" max="2321" width="6.625" style="8" customWidth="1"/>
    <col min="2322" max="2322" width="8.625" style="8" customWidth="1"/>
    <col min="2323" max="2324" width="11.5" style="8" bestFit="1" customWidth="1"/>
    <col min="2325" max="2560" width="9" style="8"/>
    <col min="2561" max="2561" width="9" style="8" customWidth="1"/>
    <col min="2562" max="2562" width="10.5" style="8" bestFit="1" customWidth="1"/>
    <col min="2563" max="2563" width="6.5" style="8" bestFit="1" customWidth="1"/>
    <col min="2564" max="2564" width="9.5" style="8" customWidth="1"/>
    <col min="2565" max="2575" width="9" style="8"/>
    <col min="2576" max="2576" width="4" style="8" customWidth="1"/>
    <col min="2577" max="2577" width="6.625" style="8" customWidth="1"/>
    <col min="2578" max="2578" width="8.625" style="8" customWidth="1"/>
    <col min="2579" max="2580" width="11.5" style="8" bestFit="1" customWidth="1"/>
    <col min="2581" max="2816" width="9" style="8"/>
    <col min="2817" max="2817" width="9" style="8" customWidth="1"/>
    <col min="2818" max="2818" width="10.5" style="8" bestFit="1" customWidth="1"/>
    <col min="2819" max="2819" width="6.5" style="8" bestFit="1" customWidth="1"/>
    <col min="2820" max="2820" width="9.5" style="8" customWidth="1"/>
    <col min="2821" max="2831" width="9" style="8"/>
    <col min="2832" max="2832" width="4" style="8" customWidth="1"/>
    <col min="2833" max="2833" width="6.625" style="8" customWidth="1"/>
    <col min="2834" max="2834" width="8.625" style="8" customWidth="1"/>
    <col min="2835" max="2836" width="11.5" style="8" bestFit="1" customWidth="1"/>
    <col min="2837" max="3072" width="9" style="8"/>
    <col min="3073" max="3073" width="9" style="8" customWidth="1"/>
    <col min="3074" max="3074" width="10.5" style="8" bestFit="1" customWidth="1"/>
    <col min="3075" max="3075" width="6.5" style="8" bestFit="1" customWidth="1"/>
    <col min="3076" max="3076" width="9.5" style="8" customWidth="1"/>
    <col min="3077" max="3087" width="9" style="8"/>
    <col min="3088" max="3088" width="4" style="8" customWidth="1"/>
    <col min="3089" max="3089" width="6.625" style="8" customWidth="1"/>
    <col min="3090" max="3090" width="8.625" style="8" customWidth="1"/>
    <col min="3091" max="3092" width="11.5" style="8" bestFit="1" customWidth="1"/>
    <col min="3093" max="3328" width="9" style="8"/>
    <col min="3329" max="3329" width="9" style="8" customWidth="1"/>
    <col min="3330" max="3330" width="10.5" style="8" bestFit="1" customWidth="1"/>
    <col min="3331" max="3331" width="6.5" style="8" bestFit="1" customWidth="1"/>
    <col min="3332" max="3332" width="9.5" style="8" customWidth="1"/>
    <col min="3333" max="3343" width="9" style="8"/>
    <col min="3344" max="3344" width="4" style="8" customWidth="1"/>
    <col min="3345" max="3345" width="6.625" style="8" customWidth="1"/>
    <col min="3346" max="3346" width="8.625" style="8" customWidth="1"/>
    <col min="3347" max="3348" width="11.5" style="8" bestFit="1" customWidth="1"/>
    <col min="3349" max="3584" width="9" style="8"/>
    <col min="3585" max="3585" width="9" style="8" customWidth="1"/>
    <col min="3586" max="3586" width="10.5" style="8" bestFit="1" customWidth="1"/>
    <col min="3587" max="3587" width="6.5" style="8" bestFit="1" customWidth="1"/>
    <col min="3588" max="3588" width="9.5" style="8" customWidth="1"/>
    <col min="3589" max="3599" width="9" style="8"/>
    <col min="3600" max="3600" width="4" style="8" customWidth="1"/>
    <col min="3601" max="3601" width="6.625" style="8" customWidth="1"/>
    <col min="3602" max="3602" width="8.625" style="8" customWidth="1"/>
    <col min="3603" max="3604" width="11.5" style="8" bestFit="1" customWidth="1"/>
    <col min="3605" max="3840" width="9" style="8"/>
    <col min="3841" max="3841" width="9" style="8" customWidth="1"/>
    <col min="3842" max="3842" width="10.5" style="8" bestFit="1" customWidth="1"/>
    <col min="3843" max="3843" width="6.5" style="8" bestFit="1" customWidth="1"/>
    <col min="3844" max="3844" width="9.5" style="8" customWidth="1"/>
    <col min="3845" max="3855" width="9" style="8"/>
    <col min="3856" max="3856" width="4" style="8" customWidth="1"/>
    <col min="3857" max="3857" width="6.625" style="8" customWidth="1"/>
    <col min="3858" max="3858" width="8.625" style="8" customWidth="1"/>
    <col min="3859" max="3860" width="11.5" style="8" bestFit="1" customWidth="1"/>
    <col min="3861" max="4096" width="9" style="8"/>
    <col min="4097" max="4097" width="9" style="8" customWidth="1"/>
    <col min="4098" max="4098" width="10.5" style="8" bestFit="1" customWidth="1"/>
    <col min="4099" max="4099" width="6.5" style="8" bestFit="1" customWidth="1"/>
    <col min="4100" max="4100" width="9.5" style="8" customWidth="1"/>
    <col min="4101" max="4111" width="9" style="8"/>
    <col min="4112" max="4112" width="4" style="8" customWidth="1"/>
    <col min="4113" max="4113" width="6.625" style="8" customWidth="1"/>
    <col min="4114" max="4114" width="8.625" style="8" customWidth="1"/>
    <col min="4115" max="4116" width="11.5" style="8" bestFit="1" customWidth="1"/>
    <col min="4117" max="4352" width="9" style="8"/>
    <col min="4353" max="4353" width="9" style="8" customWidth="1"/>
    <col min="4354" max="4354" width="10.5" style="8" bestFit="1" customWidth="1"/>
    <col min="4355" max="4355" width="6.5" style="8" bestFit="1" customWidth="1"/>
    <col min="4356" max="4356" width="9.5" style="8" customWidth="1"/>
    <col min="4357" max="4367" width="9" style="8"/>
    <col min="4368" max="4368" width="4" style="8" customWidth="1"/>
    <col min="4369" max="4369" width="6.625" style="8" customWidth="1"/>
    <col min="4370" max="4370" width="8.625" style="8" customWidth="1"/>
    <col min="4371" max="4372" width="11.5" style="8" bestFit="1" customWidth="1"/>
    <col min="4373" max="4608" width="9" style="8"/>
    <col min="4609" max="4609" width="9" style="8" customWidth="1"/>
    <col min="4610" max="4610" width="10.5" style="8" bestFit="1" customWidth="1"/>
    <col min="4611" max="4611" width="6.5" style="8" bestFit="1" customWidth="1"/>
    <col min="4612" max="4612" width="9.5" style="8" customWidth="1"/>
    <col min="4613" max="4623" width="9" style="8"/>
    <col min="4624" max="4624" width="4" style="8" customWidth="1"/>
    <col min="4625" max="4625" width="6.625" style="8" customWidth="1"/>
    <col min="4626" max="4626" width="8.625" style="8" customWidth="1"/>
    <col min="4627" max="4628" width="11.5" style="8" bestFit="1" customWidth="1"/>
    <col min="4629" max="4864" width="9" style="8"/>
    <col min="4865" max="4865" width="9" style="8" customWidth="1"/>
    <col min="4866" max="4866" width="10.5" style="8" bestFit="1" customWidth="1"/>
    <col min="4867" max="4867" width="6.5" style="8" bestFit="1" customWidth="1"/>
    <col min="4868" max="4868" width="9.5" style="8" customWidth="1"/>
    <col min="4869" max="4879" width="9" style="8"/>
    <col min="4880" max="4880" width="4" style="8" customWidth="1"/>
    <col min="4881" max="4881" width="6.625" style="8" customWidth="1"/>
    <col min="4882" max="4882" width="8.625" style="8" customWidth="1"/>
    <col min="4883" max="4884" width="11.5" style="8" bestFit="1" customWidth="1"/>
    <col min="4885" max="5120" width="9" style="8"/>
    <col min="5121" max="5121" width="9" style="8" customWidth="1"/>
    <col min="5122" max="5122" width="10.5" style="8" bestFit="1" customWidth="1"/>
    <col min="5123" max="5123" width="6.5" style="8" bestFit="1" customWidth="1"/>
    <col min="5124" max="5124" width="9.5" style="8" customWidth="1"/>
    <col min="5125" max="5135" width="9" style="8"/>
    <col min="5136" max="5136" width="4" style="8" customWidth="1"/>
    <col min="5137" max="5137" width="6.625" style="8" customWidth="1"/>
    <col min="5138" max="5138" width="8.625" style="8" customWidth="1"/>
    <col min="5139" max="5140" width="11.5" style="8" bestFit="1" customWidth="1"/>
    <col min="5141" max="5376" width="9" style="8"/>
    <col min="5377" max="5377" width="9" style="8" customWidth="1"/>
    <col min="5378" max="5378" width="10.5" style="8" bestFit="1" customWidth="1"/>
    <col min="5379" max="5379" width="6.5" style="8" bestFit="1" customWidth="1"/>
    <col min="5380" max="5380" width="9.5" style="8" customWidth="1"/>
    <col min="5381" max="5391" width="9" style="8"/>
    <col min="5392" max="5392" width="4" style="8" customWidth="1"/>
    <col min="5393" max="5393" width="6.625" style="8" customWidth="1"/>
    <col min="5394" max="5394" width="8.625" style="8" customWidth="1"/>
    <col min="5395" max="5396" width="11.5" style="8" bestFit="1" customWidth="1"/>
    <col min="5397" max="5632" width="9" style="8"/>
    <col min="5633" max="5633" width="9" style="8" customWidth="1"/>
    <col min="5634" max="5634" width="10.5" style="8" bestFit="1" customWidth="1"/>
    <col min="5635" max="5635" width="6.5" style="8" bestFit="1" customWidth="1"/>
    <col min="5636" max="5636" width="9.5" style="8" customWidth="1"/>
    <col min="5637" max="5647" width="9" style="8"/>
    <col min="5648" max="5648" width="4" style="8" customWidth="1"/>
    <col min="5649" max="5649" width="6.625" style="8" customWidth="1"/>
    <col min="5650" max="5650" width="8.625" style="8" customWidth="1"/>
    <col min="5651" max="5652" width="11.5" style="8" bestFit="1" customWidth="1"/>
    <col min="5653" max="5888" width="9" style="8"/>
    <col min="5889" max="5889" width="9" style="8" customWidth="1"/>
    <col min="5890" max="5890" width="10.5" style="8" bestFit="1" customWidth="1"/>
    <col min="5891" max="5891" width="6.5" style="8" bestFit="1" customWidth="1"/>
    <col min="5892" max="5892" width="9.5" style="8" customWidth="1"/>
    <col min="5893" max="5903" width="9" style="8"/>
    <col min="5904" max="5904" width="4" style="8" customWidth="1"/>
    <col min="5905" max="5905" width="6.625" style="8" customWidth="1"/>
    <col min="5906" max="5906" width="8.625" style="8" customWidth="1"/>
    <col min="5907" max="5908" width="11.5" style="8" bestFit="1" customWidth="1"/>
    <col min="5909" max="6144" width="9" style="8"/>
    <col min="6145" max="6145" width="9" style="8" customWidth="1"/>
    <col min="6146" max="6146" width="10.5" style="8" bestFit="1" customWidth="1"/>
    <col min="6147" max="6147" width="6.5" style="8" bestFit="1" customWidth="1"/>
    <col min="6148" max="6148" width="9.5" style="8" customWidth="1"/>
    <col min="6149" max="6159" width="9" style="8"/>
    <col min="6160" max="6160" width="4" style="8" customWidth="1"/>
    <col min="6161" max="6161" width="6.625" style="8" customWidth="1"/>
    <col min="6162" max="6162" width="8.625" style="8" customWidth="1"/>
    <col min="6163" max="6164" width="11.5" style="8" bestFit="1" customWidth="1"/>
    <col min="6165" max="6400" width="9" style="8"/>
    <col min="6401" max="6401" width="9" style="8" customWidth="1"/>
    <col min="6402" max="6402" width="10.5" style="8" bestFit="1" customWidth="1"/>
    <col min="6403" max="6403" width="6.5" style="8" bestFit="1" customWidth="1"/>
    <col min="6404" max="6404" width="9.5" style="8" customWidth="1"/>
    <col min="6405" max="6415" width="9" style="8"/>
    <col min="6416" max="6416" width="4" style="8" customWidth="1"/>
    <col min="6417" max="6417" width="6.625" style="8" customWidth="1"/>
    <col min="6418" max="6418" width="8.625" style="8" customWidth="1"/>
    <col min="6419" max="6420" width="11.5" style="8" bestFit="1" customWidth="1"/>
    <col min="6421" max="6656" width="9" style="8"/>
    <col min="6657" max="6657" width="9" style="8" customWidth="1"/>
    <col min="6658" max="6658" width="10.5" style="8" bestFit="1" customWidth="1"/>
    <col min="6659" max="6659" width="6.5" style="8" bestFit="1" customWidth="1"/>
    <col min="6660" max="6660" width="9.5" style="8" customWidth="1"/>
    <col min="6661" max="6671" width="9" style="8"/>
    <col min="6672" max="6672" width="4" style="8" customWidth="1"/>
    <col min="6673" max="6673" width="6.625" style="8" customWidth="1"/>
    <col min="6674" max="6674" width="8.625" style="8" customWidth="1"/>
    <col min="6675" max="6676" width="11.5" style="8" bestFit="1" customWidth="1"/>
    <col min="6677" max="6912" width="9" style="8"/>
    <col min="6913" max="6913" width="9" style="8" customWidth="1"/>
    <col min="6914" max="6914" width="10.5" style="8" bestFit="1" customWidth="1"/>
    <col min="6915" max="6915" width="6.5" style="8" bestFit="1" customWidth="1"/>
    <col min="6916" max="6916" width="9.5" style="8" customWidth="1"/>
    <col min="6917" max="6927" width="9" style="8"/>
    <col min="6928" max="6928" width="4" style="8" customWidth="1"/>
    <col min="6929" max="6929" width="6.625" style="8" customWidth="1"/>
    <col min="6930" max="6930" width="8.625" style="8" customWidth="1"/>
    <col min="6931" max="6932" width="11.5" style="8" bestFit="1" customWidth="1"/>
    <col min="6933" max="7168" width="9" style="8"/>
    <col min="7169" max="7169" width="9" style="8" customWidth="1"/>
    <col min="7170" max="7170" width="10.5" style="8" bestFit="1" customWidth="1"/>
    <col min="7171" max="7171" width="6.5" style="8" bestFit="1" customWidth="1"/>
    <col min="7172" max="7172" width="9.5" style="8" customWidth="1"/>
    <col min="7173" max="7183" width="9" style="8"/>
    <col min="7184" max="7184" width="4" style="8" customWidth="1"/>
    <col min="7185" max="7185" width="6.625" style="8" customWidth="1"/>
    <col min="7186" max="7186" width="8.625" style="8" customWidth="1"/>
    <col min="7187" max="7188" width="11.5" style="8" bestFit="1" customWidth="1"/>
    <col min="7189" max="7424" width="9" style="8"/>
    <col min="7425" max="7425" width="9" style="8" customWidth="1"/>
    <col min="7426" max="7426" width="10.5" style="8" bestFit="1" customWidth="1"/>
    <col min="7427" max="7427" width="6.5" style="8" bestFit="1" customWidth="1"/>
    <col min="7428" max="7428" width="9.5" style="8" customWidth="1"/>
    <col min="7429" max="7439" width="9" style="8"/>
    <col min="7440" max="7440" width="4" style="8" customWidth="1"/>
    <col min="7441" max="7441" width="6.625" style="8" customWidth="1"/>
    <col min="7442" max="7442" width="8.625" style="8" customWidth="1"/>
    <col min="7443" max="7444" width="11.5" style="8" bestFit="1" customWidth="1"/>
    <col min="7445" max="7680" width="9" style="8"/>
    <col min="7681" max="7681" width="9" style="8" customWidth="1"/>
    <col min="7682" max="7682" width="10.5" style="8" bestFit="1" customWidth="1"/>
    <col min="7683" max="7683" width="6.5" style="8" bestFit="1" customWidth="1"/>
    <col min="7684" max="7684" width="9.5" style="8" customWidth="1"/>
    <col min="7685" max="7695" width="9" style="8"/>
    <col min="7696" max="7696" width="4" style="8" customWidth="1"/>
    <col min="7697" max="7697" width="6.625" style="8" customWidth="1"/>
    <col min="7698" max="7698" width="8.625" style="8" customWidth="1"/>
    <col min="7699" max="7700" width="11.5" style="8" bestFit="1" customWidth="1"/>
    <col min="7701" max="7936" width="9" style="8"/>
    <col min="7937" max="7937" width="9" style="8" customWidth="1"/>
    <col min="7938" max="7938" width="10.5" style="8" bestFit="1" customWidth="1"/>
    <col min="7939" max="7939" width="6.5" style="8" bestFit="1" customWidth="1"/>
    <col min="7940" max="7940" width="9.5" style="8" customWidth="1"/>
    <col min="7941" max="7951" width="9" style="8"/>
    <col min="7952" max="7952" width="4" style="8" customWidth="1"/>
    <col min="7953" max="7953" width="6.625" style="8" customWidth="1"/>
    <col min="7954" max="7954" width="8.625" style="8" customWidth="1"/>
    <col min="7955" max="7956" width="11.5" style="8" bestFit="1" customWidth="1"/>
    <col min="7957" max="8192" width="9" style="8"/>
    <col min="8193" max="8193" width="9" style="8" customWidth="1"/>
    <col min="8194" max="8194" width="10.5" style="8" bestFit="1" customWidth="1"/>
    <col min="8195" max="8195" width="6.5" style="8" bestFit="1" customWidth="1"/>
    <col min="8196" max="8196" width="9.5" style="8" customWidth="1"/>
    <col min="8197" max="8207" width="9" style="8"/>
    <col min="8208" max="8208" width="4" style="8" customWidth="1"/>
    <col min="8209" max="8209" width="6.625" style="8" customWidth="1"/>
    <col min="8210" max="8210" width="8.625" style="8" customWidth="1"/>
    <col min="8211" max="8212" width="11.5" style="8" bestFit="1" customWidth="1"/>
    <col min="8213" max="8448" width="9" style="8"/>
    <col min="8449" max="8449" width="9" style="8" customWidth="1"/>
    <col min="8450" max="8450" width="10.5" style="8" bestFit="1" customWidth="1"/>
    <col min="8451" max="8451" width="6.5" style="8" bestFit="1" customWidth="1"/>
    <col min="8452" max="8452" width="9.5" style="8" customWidth="1"/>
    <col min="8453" max="8463" width="9" style="8"/>
    <col min="8464" max="8464" width="4" style="8" customWidth="1"/>
    <col min="8465" max="8465" width="6.625" style="8" customWidth="1"/>
    <col min="8466" max="8466" width="8.625" style="8" customWidth="1"/>
    <col min="8467" max="8468" width="11.5" style="8" bestFit="1" customWidth="1"/>
    <col min="8469" max="8704" width="9" style="8"/>
    <col min="8705" max="8705" width="9" style="8" customWidth="1"/>
    <col min="8706" max="8706" width="10.5" style="8" bestFit="1" customWidth="1"/>
    <col min="8707" max="8707" width="6.5" style="8" bestFit="1" customWidth="1"/>
    <col min="8708" max="8708" width="9.5" style="8" customWidth="1"/>
    <col min="8709" max="8719" width="9" style="8"/>
    <col min="8720" max="8720" width="4" style="8" customWidth="1"/>
    <col min="8721" max="8721" width="6.625" style="8" customWidth="1"/>
    <col min="8722" max="8722" width="8.625" style="8" customWidth="1"/>
    <col min="8723" max="8724" width="11.5" style="8" bestFit="1" customWidth="1"/>
    <col min="8725" max="8960" width="9" style="8"/>
    <col min="8961" max="8961" width="9" style="8" customWidth="1"/>
    <col min="8962" max="8962" width="10.5" style="8" bestFit="1" customWidth="1"/>
    <col min="8963" max="8963" width="6.5" style="8" bestFit="1" customWidth="1"/>
    <col min="8964" max="8964" width="9.5" style="8" customWidth="1"/>
    <col min="8965" max="8975" width="9" style="8"/>
    <col min="8976" max="8976" width="4" style="8" customWidth="1"/>
    <col min="8977" max="8977" width="6.625" style="8" customWidth="1"/>
    <col min="8978" max="8978" width="8.625" style="8" customWidth="1"/>
    <col min="8979" max="8980" width="11.5" style="8" bestFit="1" customWidth="1"/>
    <col min="8981" max="9216" width="9" style="8"/>
    <col min="9217" max="9217" width="9" style="8" customWidth="1"/>
    <col min="9218" max="9218" width="10.5" style="8" bestFit="1" customWidth="1"/>
    <col min="9219" max="9219" width="6.5" style="8" bestFit="1" customWidth="1"/>
    <col min="9220" max="9220" width="9.5" style="8" customWidth="1"/>
    <col min="9221" max="9231" width="9" style="8"/>
    <col min="9232" max="9232" width="4" style="8" customWidth="1"/>
    <col min="9233" max="9233" width="6.625" style="8" customWidth="1"/>
    <col min="9234" max="9234" width="8.625" style="8" customWidth="1"/>
    <col min="9235" max="9236" width="11.5" style="8" bestFit="1" customWidth="1"/>
    <col min="9237" max="9472" width="9" style="8"/>
    <col min="9473" max="9473" width="9" style="8" customWidth="1"/>
    <col min="9474" max="9474" width="10.5" style="8" bestFit="1" customWidth="1"/>
    <col min="9475" max="9475" width="6.5" style="8" bestFit="1" customWidth="1"/>
    <col min="9476" max="9476" width="9.5" style="8" customWidth="1"/>
    <col min="9477" max="9487" width="9" style="8"/>
    <col min="9488" max="9488" width="4" style="8" customWidth="1"/>
    <col min="9489" max="9489" width="6.625" style="8" customWidth="1"/>
    <col min="9490" max="9490" width="8.625" style="8" customWidth="1"/>
    <col min="9491" max="9492" width="11.5" style="8" bestFit="1" customWidth="1"/>
    <col min="9493" max="9728" width="9" style="8"/>
    <col min="9729" max="9729" width="9" style="8" customWidth="1"/>
    <col min="9730" max="9730" width="10.5" style="8" bestFit="1" customWidth="1"/>
    <col min="9731" max="9731" width="6.5" style="8" bestFit="1" customWidth="1"/>
    <col min="9732" max="9732" width="9.5" style="8" customWidth="1"/>
    <col min="9733" max="9743" width="9" style="8"/>
    <col min="9744" max="9744" width="4" style="8" customWidth="1"/>
    <col min="9745" max="9745" width="6.625" style="8" customWidth="1"/>
    <col min="9746" max="9746" width="8.625" style="8" customWidth="1"/>
    <col min="9747" max="9748" width="11.5" style="8" bestFit="1" customWidth="1"/>
    <col min="9749" max="9984" width="9" style="8"/>
    <col min="9985" max="9985" width="9" style="8" customWidth="1"/>
    <col min="9986" max="9986" width="10.5" style="8" bestFit="1" customWidth="1"/>
    <col min="9987" max="9987" width="6.5" style="8" bestFit="1" customWidth="1"/>
    <col min="9988" max="9988" width="9.5" style="8" customWidth="1"/>
    <col min="9989" max="9999" width="9" style="8"/>
    <col min="10000" max="10000" width="4" style="8" customWidth="1"/>
    <col min="10001" max="10001" width="6.625" style="8" customWidth="1"/>
    <col min="10002" max="10002" width="8.625" style="8" customWidth="1"/>
    <col min="10003" max="10004" width="11.5" style="8" bestFit="1" customWidth="1"/>
    <col min="10005" max="10240" width="9" style="8"/>
    <col min="10241" max="10241" width="9" style="8" customWidth="1"/>
    <col min="10242" max="10242" width="10.5" style="8" bestFit="1" customWidth="1"/>
    <col min="10243" max="10243" width="6.5" style="8" bestFit="1" customWidth="1"/>
    <col min="10244" max="10244" width="9.5" style="8" customWidth="1"/>
    <col min="10245" max="10255" width="9" style="8"/>
    <col min="10256" max="10256" width="4" style="8" customWidth="1"/>
    <col min="10257" max="10257" width="6.625" style="8" customWidth="1"/>
    <col min="10258" max="10258" width="8.625" style="8" customWidth="1"/>
    <col min="10259" max="10260" width="11.5" style="8" bestFit="1" customWidth="1"/>
    <col min="10261" max="10496" width="9" style="8"/>
    <col min="10497" max="10497" width="9" style="8" customWidth="1"/>
    <col min="10498" max="10498" width="10.5" style="8" bestFit="1" customWidth="1"/>
    <col min="10499" max="10499" width="6.5" style="8" bestFit="1" customWidth="1"/>
    <col min="10500" max="10500" width="9.5" style="8" customWidth="1"/>
    <col min="10501" max="10511" width="9" style="8"/>
    <col min="10512" max="10512" width="4" style="8" customWidth="1"/>
    <col min="10513" max="10513" width="6.625" style="8" customWidth="1"/>
    <col min="10514" max="10514" width="8.625" style="8" customWidth="1"/>
    <col min="10515" max="10516" width="11.5" style="8" bestFit="1" customWidth="1"/>
    <col min="10517" max="10752" width="9" style="8"/>
    <col min="10753" max="10753" width="9" style="8" customWidth="1"/>
    <col min="10754" max="10754" width="10.5" style="8" bestFit="1" customWidth="1"/>
    <col min="10755" max="10755" width="6.5" style="8" bestFit="1" customWidth="1"/>
    <col min="10756" max="10756" width="9.5" style="8" customWidth="1"/>
    <col min="10757" max="10767" width="9" style="8"/>
    <col min="10768" max="10768" width="4" style="8" customWidth="1"/>
    <col min="10769" max="10769" width="6.625" style="8" customWidth="1"/>
    <col min="10770" max="10770" width="8.625" style="8" customWidth="1"/>
    <col min="10771" max="10772" width="11.5" style="8" bestFit="1" customWidth="1"/>
    <col min="10773" max="11008" width="9" style="8"/>
    <col min="11009" max="11009" width="9" style="8" customWidth="1"/>
    <col min="11010" max="11010" width="10.5" style="8" bestFit="1" customWidth="1"/>
    <col min="11011" max="11011" width="6.5" style="8" bestFit="1" customWidth="1"/>
    <col min="11012" max="11012" width="9.5" style="8" customWidth="1"/>
    <col min="11013" max="11023" width="9" style="8"/>
    <col min="11024" max="11024" width="4" style="8" customWidth="1"/>
    <col min="11025" max="11025" width="6.625" style="8" customWidth="1"/>
    <col min="11026" max="11026" width="8.625" style="8" customWidth="1"/>
    <col min="11027" max="11028" width="11.5" style="8" bestFit="1" customWidth="1"/>
    <col min="11029" max="11264" width="9" style="8"/>
    <col min="11265" max="11265" width="9" style="8" customWidth="1"/>
    <col min="11266" max="11266" width="10.5" style="8" bestFit="1" customWidth="1"/>
    <col min="11267" max="11267" width="6.5" style="8" bestFit="1" customWidth="1"/>
    <col min="11268" max="11268" width="9.5" style="8" customWidth="1"/>
    <col min="11269" max="11279" width="9" style="8"/>
    <col min="11280" max="11280" width="4" style="8" customWidth="1"/>
    <col min="11281" max="11281" width="6.625" style="8" customWidth="1"/>
    <col min="11282" max="11282" width="8.625" style="8" customWidth="1"/>
    <col min="11283" max="11284" width="11.5" style="8" bestFit="1" customWidth="1"/>
    <col min="11285" max="11520" width="9" style="8"/>
    <col min="11521" max="11521" width="9" style="8" customWidth="1"/>
    <col min="11522" max="11522" width="10.5" style="8" bestFit="1" customWidth="1"/>
    <col min="11523" max="11523" width="6.5" style="8" bestFit="1" customWidth="1"/>
    <col min="11524" max="11524" width="9.5" style="8" customWidth="1"/>
    <col min="11525" max="11535" width="9" style="8"/>
    <col min="11536" max="11536" width="4" style="8" customWidth="1"/>
    <col min="11537" max="11537" width="6.625" style="8" customWidth="1"/>
    <col min="11538" max="11538" width="8.625" style="8" customWidth="1"/>
    <col min="11539" max="11540" width="11.5" style="8" bestFit="1" customWidth="1"/>
    <col min="11541" max="11776" width="9" style="8"/>
    <col min="11777" max="11777" width="9" style="8" customWidth="1"/>
    <col min="11778" max="11778" width="10.5" style="8" bestFit="1" customWidth="1"/>
    <col min="11779" max="11779" width="6.5" style="8" bestFit="1" customWidth="1"/>
    <col min="11780" max="11780" width="9.5" style="8" customWidth="1"/>
    <col min="11781" max="11791" width="9" style="8"/>
    <col min="11792" max="11792" width="4" style="8" customWidth="1"/>
    <col min="11793" max="11793" width="6.625" style="8" customWidth="1"/>
    <col min="11794" max="11794" width="8.625" style="8" customWidth="1"/>
    <col min="11795" max="11796" width="11.5" style="8" bestFit="1" customWidth="1"/>
    <col min="11797" max="12032" width="9" style="8"/>
    <col min="12033" max="12033" width="9" style="8" customWidth="1"/>
    <col min="12034" max="12034" width="10.5" style="8" bestFit="1" customWidth="1"/>
    <col min="12035" max="12035" width="6.5" style="8" bestFit="1" customWidth="1"/>
    <col min="12036" max="12036" width="9.5" style="8" customWidth="1"/>
    <col min="12037" max="12047" width="9" style="8"/>
    <col min="12048" max="12048" width="4" style="8" customWidth="1"/>
    <col min="12049" max="12049" width="6.625" style="8" customWidth="1"/>
    <col min="12050" max="12050" width="8.625" style="8" customWidth="1"/>
    <col min="12051" max="12052" width="11.5" style="8" bestFit="1" customWidth="1"/>
    <col min="12053" max="12288" width="9" style="8"/>
    <col min="12289" max="12289" width="9" style="8" customWidth="1"/>
    <col min="12290" max="12290" width="10.5" style="8" bestFit="1" customWidth="1"/>
    <col min="12291" max="12291" width="6.5" style="8" bestFit="1" customWidth="1"/>
    <col min="12292" max="12292" width="9.5" style="8" customWidth="1"/>
    <col min="12293" max="12303" width="9" style="8"/>
    <col min="12304" max="12304" width="4" style="8" customWidth="1"/>
    <col min="12305" max="12305" width="6.625" style="8" customWidth="1"/>
    <col min="12306" max="12306" width="8.625" style="8" customWidth="1"/>
    <col min="12307" max="12308" width="11.5" style="8" bestFit="1" customWidth="1"/>
    <col min="12309" max="12544" width="9" style="8"/>
    <col min="12545" max="12545" width="9" style="8" customWidth="1"/>
    <col min="12546" max="12546" width="10.5" style="8" bestFit="1" customWidth="1"/>
    <col min="12547" max="12547" width="6.5" style="8" bestFit="1" customWidth="1"/>
    <col min="12548" max="12548" width="9.5" style="8" customWidth="1"/>
    <col min="12549" max="12559" width="9" style="8"/>
    <col min="12560" max="12560" width="4" style="8" customWidth="1"/>
    <col min="12561" max="12561" width="6.625" style="8" customWidth="1"/>
    <col min="12562" max="12562" width="8.625" style="8" customWidth="1"/>
    <col min="12563" max="12564" width="11.5" style="8" bestFit="1" customWidth="1"/>
    <col min="12565" max="12800" width="9" style="8"/>
    <col min="12801" max="12801" width="9" style="8" customWidth="1"/>
    <col min="12802" max="12802" width="10.5" style="8" bestFit="1" customWidth="1"/>
    <col min="12803" max="12803" width="6.5" style="8" bestFit="1" customWidth="1"/>
    <col min="12804" max="12804" width="9.5" style="8" customWidth="1"/>
    <col min="12805" max="12815" width="9" style="8"/>
    <col min="12816" max="12816" width="4" style="8" customWidth="1"/>
    <col min="12817" max="12817" width="6.625" style="8" customWidth="1"/>
    <col min="12818" max="12818" width="8.625" style="8" customWidth="1"/>
    <col min="12819" max="12820" width="11.5" style="8" bestFit="1" customWidth="1"/>
    <col min="12821" max="13056" width="9" style="8"/>
    <col min="13057" max="13057" width="9" style="8" customWidth="1"/>
    <col min="13058" max="13058" width="10.5" style="8" bestFit="1" customWidth="1"/>
    <col min="13059" max="13059" width="6.5" style="8" bestFit="1" customWidth="1"/>
    <col min="13060" max="13060" width="9.5" style="8" customWidth="1"/>
    <col min="13061" max="13071" width="9" style="8"/>
    <col min="13072" max="13072" width="4" style="8" customWidth="1"/>
    <col min="13073" max="13073" width="6.625" style="8" customWidth="1"/>
    <col min="13074" max="13074" width="8.625" style="8" customWidth="1"/>
    <col min="13075" max="13076" width="11.5" style="8" bestFit="1" customWidth="1"/>
    <col min="13077" max="13312" width="9" style="8"/>
    <col min="13313" max="13313" width="9" style="8" customWidth="1"/>
    <col min="13314" max="13314" width="10.5" style="8" bestFit="1" customWidth="1"/>
    <col min="13315" max="13315" width="6.5" style="8" bestFit="1" customWidth="1"/>
    <col min="13316" max="13316" width="9.5" style="8" customWidth="1"/>
    <col min="13317" max="13327" width="9" style="8"/>
    <col min="13328" max="13328" width="4" style="8" customWidth="1"/>
    <col min="13329" max="13329" width="6.625" style="8" customWidth="1"/>
    <col min="13330" max="13330" width="8.625" style="8" customWidth="1"/>
    <col min="13331" max="13332" width="11.5" style="8" bestFit="1" customWidth="1"/>
    <col min="13333" max="13568" width="9" style="8"/>
    <col min="13569" max="13569" width="9" style="8" customWidth="1"/>
    <col min="13570" max="13570" width="10.5" style="8" bestFit="1" customWidth="1"/>
    <col min="13571" max="13571" width="6.5" style="8" bestFit="1" customWidth="1"/>
    <col min="13572" max="13572" width="9.5" style="8" customWidth="1"/>
    <col min="13573" max="13583" width="9" style="8"/>
    <col min="13584" max="13584" width="4" style="8" customWidth="1"/>
    <col min="13585" max="13585" width="6.625" style="8" customWidth="1"/>
    <col min="13586" max="13586" width="8.625" style="8" customWidth="1"/>
    <col min="13587" max="13588" width="11.5" style="8" bestFit="1" customWidth="1"/>
    <col min="13589" max="13824" width="9" style="8"/>
    <col min="13825" max="13825" width="9" style="8" customWidth="1"/>
    <col min="13826" max="13826" width="10.5" style="8" bestFit="1" customWidth="1"/>
    <col min="13827" max="13827" width="6.5" style="8" bestFit="1" customWidth="1"/>
    <col min="13828" max="13828" width="9.5" style="8" customWidth="1"/>
    <col min="13829" max="13839" width="9" style="8"/>
    <col min="13840" max="13840" width="4" style="8" customWidth="1"/>
    <col min="13841" max="13841" width="6.625" style="8" customWidth="1"/>
    <col min="13842" max="13842" width="8.625" style="8" customWidth="1"/>
    <col min="13843" max="13844" width="11.5" style="8" bestFit="1" customWidth="1"/>
    <col min="13845" max="14080" width="9" style="8"/>
    <col min="14081" max="14081" width="9" style="8" customWidth="1"/>
    <col min="14082" max="14082" width="10.5" style="8" bestFit="1" customWidth="1"/>
    <col min="14083" max="14083" width="6.5" style="8" bestFit="1" customWidth="1"/>
    <col min="14084" max="14084" width="9.5" style="8" customWidth="1"/>
    <col min="14085" max="14095" width="9" style="8"/>
    <col min="14096" max="14096" width="4" style="8" customWidth="1"/>
    <col min="14097" max="14097" width="6.625" style="8" customWidth="1"/>
    <col min="14098" max="14098" width="8.625" style="8" customWidth="1"/>
    <col min="14099" max="14100" width="11.5" style="8" bestFit="1" customWidth="1"/>
    <col min="14101" max="14336" width="9" style="8"/>
    <col min="14337" max="14337" width="9" style="8" customWidth="1"/>
    <col min="14338" max="14338" width="10.5" style="8" bestFit="1" customWidth="1"/>
    <col min="14339" max="14339" width="6.5" style="8" bestFit="1" customWidth="1"/>
    <col min="14340" max="14340" width="9.5" style="8" customWidth="1"/>
    <col min="14341" max="14351" width="9" style="8"/>
    <col min="14352" max="14352" width="4" style="8" customWidth="1"/>
    <col min="14353" max="14353" width="6.625" style="8" customWidth="1"/>
    <col min="14354" max="14354" width="8.625" style="8" customWidth="1"/>
    <col min="14355" max="14356" width="11.5" style="8" bestFit="1" customWidth="1"/>
    <col min="14357" max="14592" width="9" style="8"/>
    <col min="14593" max="14593" width="9" style="8" customWidth="1"/>
    <col min="14594" max="14594" width="10.5" style="8" bestFit="1" customWidth="1"/>
    <col min="14595" max="14595" width="6.5" style="8" bestFit="1" customWidth="1"/>
    <col min="14596" max="14596" width="9.5" style="8" customWidth="1"/>
    <col min="14597" max="14607" width="9" style="8"/>
    <col min="14608" max="14608" width="4" style="8" customWidth="1"/>
    <col min="14609" max="14609" width="6.625" style="8" customWidth="1"/>
    <col min="14610" max="14610" width="8.625" style="8" customWidth="1"/>
    <col min="14611" max="14612" width="11.5" style="8" bestFit="1" customWidth="1"/>
    <col min="14613" max="14848" width="9" style="8"/>
    <col min="14849" max="14849" width="9" style="8" customWidth="1"/>
    <col min="14850" max="14850" width="10.5" style="8" bestFit="1" customWidth="1"/>
    <col min="14851" max="14851" width="6.5" style="8" bestFit="1" customWidth="1"/>
    <col min="14852" max="14852" width="9.5" style="8" customWidth="1"/>
    <col min="14853" max="14863" width="9" style="8"/>
    <col min="14864" max="14864" width="4" style="8" customWidth="1"/>
    <col min="14865" max="14865" width="6.625" style="8" customWidth="1"/>
    <col min="14866" max="14866" width="8.625" style="8" customWidth="1"/>
    <col min="14867" max="14868" width="11.5" style="8" bestFit="1" customWidth="1"/>
    <col min="14869" max="15104" width="9" style="8"/>
    <col min="15105" max="15105" width="9" style="8" customWidth="1"/>
    <col min="15106" max="15106" width="10.5" style="8" bestFit="1" customWidth="1"/>
    <col min="15107" max="15107" width="6.5" style="8" bestFit="1" customWidth="1"/>
    <col min="15108" max="15108" width="9.5" style="8" customWidth="1"/>
    <col min="15109" max="15119" width="9" style="8"/>
    <col min="15120" max="15120" width="4" style="8" customWidth="1"/>
    <col min="15121" max="15121" width="6.625" style="8" customWidth="1"/>
    <col min="15122" max="15122" width="8.625" style="8" customWidth="1"/>
    <col min="15123" max="15124" width="11.5" style="8" bestFit="1" customWidth="1"/>
    <col min="15125" max="15360" width="9" style="8"/>
    <col min="15361" max="15361" width="9" style="8" customWidth="1"/>
    <col min="15362" max="15362" width="10.5" style="8" bestFit="1" customWidth="1"/>
    <col min="15363" max="15363" width="6.5" style="8" bestFit="1" customWidth="1"/>
    <col min="15364" max="15364" width="9.5" style="8" customWidth="1"/>
    <col min="15365" max="15375" width="9" style="8"/>
    <col min="15376" max="15376" width="4" style="8" customWidth="1"/>
    <col min="15377" max="15377" width="6.625" style="8" customWidth="1"/>
    <col min="15378" max="15378" width="8.625" style="8" customWidth="1"/>
    <col min="15379" max="15380" width="11.5" style="8" bestFit="1" customWidth="1"/>
    <col min="15381" max="15616" width="9" style="8"/>
    <col min="15617" max="15617" width="9" style="8" customWidth="1"/>
    <col min="15618" max="15618" width="10.5" style="8" bestFit="1" customWidth="1"/>
    <col min="15619" max="15619" width="6.5" style="8" bestFit="1" customWidth="1"/>
    <col min="15620" max="15620" width="9.5" style="8" customWidth="1"/>
    <col min="15621" max="15631" width="9" style="8"/>
    <col min="15632" max="15632" width="4" style="8" customWidth="1"/>
    <col min="15633" max="15633" width="6.625" style="8" customWidth="1"/>
    <col min="15634" max="15634" width="8.625" style="8" customWidth="1"/>
    <col min="15635" max="15636" width="11.5" style="8" bestFit="1" customWidth="1"/>
    <col min="15637" max="15872" width="9" style="8"/>
    <col min="15873" max="15873" width="9" style="8" customWidth="1"/>
    <col min="15874" max="15874" width="10.5" style="8" bestFit="1" customWidth="1"/>
    <col min="15875" max="15875" width="6.5" style="8" bestFit="1" customWidth="1"/>
    <col min="15876" max="15876" width="9.5" style="8" customWidth="1"/>
    <col min="15877" max="15887" width="9" style="8"/>
    <col min="15888" max="15888" width="4" style="8" customWidth="1"/>
    <col min="15889" max="15889" width="6.625" style="8" customWidth="1"/>
    <col min="15890" max="15890" width="8.625" style="8" customWidth="1"/>
    <col min="15891" max="15892" width="11.5" style="8" bestFit="1" customWidth="1"/>
    <col min="15893" max="16128" width="9" style="8"/>
    <col min="16129" max="16129" width="9" style="8" customWidth="1"/>
    <col min="16130" max="16130" width="10.5" style="8" bestFit="1" customWidth="1"/>
    <col min="16131" max="16131" width="6.5" style="8" bestFit="1" customWidth="1"/>
    <col min="16132" max="16132" width="9.5" style="8" customWidth="1"/>
    <col min="16133" max="16143" width="9" style="8"/>
    <col min="16144" max="16144" width="4" style="8" customWidth="1"/>
    <col min="16145" max="16145" width="6.625" style="8" customWidth="1"/>
    <col min="16146" max="16146" width="8.625" style="8" customWidth="1"/>
    <col min="16147" max="16148" width="11.5" style="8" bestFit="1" customWidth="1"/>
    <col min="16149" max="16384" width="9" style="8"/>
  </cols>
  <sheetData>
    <row r="1" spans="1:20" ht="16.5" customHeight="1" x14ac:dyDescent="0.25">
      <c r="F1" s="93" t="s">
        <v>438</v>
      </c>
      <c r="G1" s="94"/>
      <c r="H1" s="94"/>
      <c r="I1" s="95"/>
      <c r="J1" s="93" t="s">
        <v>439</v>
      </c>
      <c r="K1" s="94"/>
      <c r="L1" s="94"/>
      <c r="M1" s="94"/>
      <c r="N1" s="95"/>
      <c r="O1" s="8" t="s">
        <v>440</v>
      </c>
      <c r="Q1" s="96" t="s">
        <v>441</v>
      </c>
      <c r="R1" s="97"/>
      <c r="S1" s="97"/>
      <c r="T1" s="97"/>
    </row>
    <row r="2" spans="1:20" ht="28.5" x14ac:dyDescent="0.25">
      <c r="D2" s="9" t="s">
        <v>442</v>
      </c>
      <c r="E2" s="9" t="s">
        <v>443</v>
      </c>
      <c r="F2" s="98" t="s">
        <v>444</v>
      </c>
      <c r="G2" s="99"/>
      <c r="H2" s="99"/>
      <c r="I2" s="10" t="s">
        <v>445</v>
      </c>
      <c r="J2" s="98" t="s">
        <v>444</v>
      </c>
      <c r="K2" s="99"/>
      <c r="L2" s="99"/>
      <c r="M2" s="10" t="s">
        <v>446</v>
      </c>
      <c r="N2" s="10" t="s">
        <v>445</v>
      </c>
      <c r="O2" s="100" t="s">
        <v>447</v>
      </c>
      <c r="Q2" s="11" t="s">
        <v>448</v>
      </c>
      <c r="R2" s="12"/>
      <c r="S2" s="13"/>
      <c r="T2" s="13"/>
    </row>
    <row r="3" spans="1:20" ht="45.75" x14ac:dyDescent="0.25">
      <c r="B3" s="8" t="s">
        <v>449</v>
      </c>
      <c r="C3" s="8" t="s">
        <v>450</v>
      </c>
      <c r="D3" s="14" t="s">
        <v>105</v>
      </c>
      <c r="E3" s="14" t="s">
        <v>106</v>
      </c>
      <c r="F3" s="15" t="s">
        <v>451</v>
      </c>
      <c r="G3" s="15" t="s">
        <v>452</v>
      </c>
      <c r="H3" s="15" t="s">
        <v>453</v>
      </c>
      <c r="I3" s="16" t="s">
        <v>454</v>
      </c>
      <c r="J3" s="15" t="s">
        <v>451</v>
      </c>
      <c r="K3" s="15" t="s">
        <v>452</v>
      </c>
      <c r="L3" s="15" t="s">
        <v>453</v>
      </c>
      <c r="M3" s="17" t="s">
        <v>107</v>
      </c>
      <c r="N3" s="16" t="s">
        <v>454</v>
      </c>
      <c r="O3" s="100"/>
      <c r="Q3" s="51" t="s">
        <v>455</v>
      </c>
      <c r="R3" s="18" t="s">
        <v>108</v>
      </c>
      <c r="S3" s="19" t="s">
        <v>456</v>
      </c>
      <c r="T3" s="19" t="s">
        <v>109</v>
      </c>
    </row>
    <row r="4" spans="1:20" x14ac:dyDescent="0.25">
      <c r="A4" s="26" t="s">
        <v>274</v>
      </c>
      <c r="B4" s="20" t="s">
        <v>221</v>
      </c>
      <c r="C4" s="21">
        <v>0.25</v>
      </c>
      <c r="D4" s="20">
        <v>0.04</v>
      </c>
      <c r="E4" s="20">
        <v>0.04</v>
      </c>
      <c r="F4" s="20">
        <v>0.77</v>
      </c>
      <c r="G4" s="20">
        <v>0.75</v>
      </c>
      <c r="H4" s="20">
        <v>0.76</v>
      </c>
      <c r="I4" s="22">
        <v>22</v>
      </c>
      <c r="J4" s="20">
        <v>0.85</v>
      </c>
      <c r="K4" s="20">
        <v>0.85</v>
      </c>
      <c r="L4" s="20">
        <v>0.85</v>
      </c>
      <c r="M4" s="23">
        <v>1</v>
      </c>
      <c r="N4" s="22">
        <v>9</v>
      </c>
      <c r="O4" s="22">
        <v>0.95350000000000001</v>
      </c>
      <c r="Q4" s="24" t="s">
        <v>69</v>
      </c>
      <c r="R4" s="24" t="s">
        <v>457</v>
      </c>
      <c r="S4" s="25">
        <v>0</v>
      </c>
      <c r="T4" s="25">
        <v>100000000</v>
      </c>
    </row>
    <row r="5" spans="1:20" x14ac:dyDescent="0.25">
      <c r="A5" s="26" t="s">
        <v>33</v>
      </c>
      <c r="B5" s="20" t="s">
        <v>110</v>
      </c>
      <c r="C5" s="21">
        <v>1.75</v>
      </c>
      <c r="D5" s="20">
        <v>0.11</v>
      </c>
      <c r="E5" s="20">
        <v>0.11</v>
      </c>
      <c r="F5" s="20" t="s">
        <v>0</v>
      </c>
      <c r="G5" s="20" t="s">
        <v>0</v>
      </c>
      <c r="H5" s="20" t="s">
        <v>0</v>
      </c>
      <c r="I5" s="22" t="s">
        <v>0</v>
      </c>
      <c r="J5" s="20" t="s">
        <v>0</v>
      </c>
      <c r="K5" s="20" t="s">
        <v>0</v>
      </c>
      <c r="L5" s="20" t="s">
        <v>0</v>
      </c>
      <c r="M5" s="23" t="s">
        <v>0</v>
      </c>
      <c r="N5" s="22" t="s">
        <v>0</v>
      </c>
      <c r="O5" s="22">
        <v>0.93940000000000001</v>
      </c>
      <c r="Q5" s="26" t="s">
        <v>0</v>
      </c>
      <c r="R5" s="26" t="s">
        <v>458</v>
      </c>
      <c r="S5" s="27">
        <v>100000000</v>
      </c>
      <c r="T5" s="27">
        <v>0</v>
      </c>
    </row>
    <row r="6" spans="1:20" x14ac:dyDescent="0.25">
      <c r="A6" s="26" t="s">
        <v>37</v>
      </c>
      <c r="B6" s="20" t="s">
        <v>111</v>
      </c>
      <c r="C6" s="21">
        <v>0.75</v>
      </c>
      <c r="D6" s="20">
        <v>0.28999999999999998</v>
      </c>
      <c r="E6" s="20">
        <v>0.28999999999999998</v>
      </c>
      <c r="F6" s="20" t="s">
        <v>0</v>
      </c>
      <c r="G6" s="20" t="s">
        <v>0</v>
      </c>
      <c r="H6" s="20" t="s">
        <v>0</v>
      </c>
      <c r="I6" s="22" t="s">
        <v>0</v>
      </c>
      <c r="J6" s="20" t="s">
        <v>0</v>
      </c>
      <c r="K6" s="20" t="s">
        <v>0</v>
      </c>
      <c r="L6" s="20" t="s">
        <v>0</v>
      </c>
      <c r="M6" s="23" t="s">
        <v>0</v>
      </c>
      <c r="N6" s="22" t="s">
        <v>0</v>
      </c>
      <c r="O6" s="22">
        <v>0.93820000000000003</v>
      </c>
      <c r="Q6" s="24" t="s">
        <v>275</v>
      </c>
      <c r="R6" s="24" t="s">
        <v>457</v>
      </c>
      <c r="S6" s="25">
        <v>700000000</v>
      </c>
      <c r="T6" s="25">
        <v>700000000</v>
      </c>
    </row>
    <row r="7" spans="1:20" x14ac:dyDescent="0.25">
      <c r="A7" s="26" t="s">
        <v>27</v>
      </c>
      <c r="B7" s="20" t="s">
        <v>113</v>
      </c>
      <c r="C7" s="21">
        <v>0.625</v>
      </c>
      <c r="D7" s="20">
        <v>0.43</v>
      </c>
      <c r="E7" s="20">
        <v>0.43</v>
      </c>
      <c r="F7" s="20" t="s">
        <v>0</v>
      </c>
      <c r="G7" s="20" t="s">
        <v>0</v>
      </c>
      <c r="H7" s="20" t="s">
        <v>0</v>
      </c>
      <c r="I7" s="22" t="s">
        <v>0</v>
      </c>
      <c r="J7" s="20" t="s">
        <v>0</v>
      </c>
      <c r="K7" s="20" t="s">
        <v>0</v>
      </c>
      <c r="L7" s="20" t="s">
        <v>0</v>
      </c>
      <c r="M7" s="23" t="s">
        <v>0</v>
      </c>
      <c r="N7" s="22" t="s">
        <v>0</v>
      </c>
      <c r="O7" s="22">
        <v>0.94130000000000003</v>
      </c>
      <c r="Q7" s="24" t="s">
        <v>281</v>
      </c>
      <c r="R7" s="24" t="s">
        <v>457</v>
      </c>
      <c r="S7" s="25">
        <v>100000000</v>
      </c>
      <c r="T7" s="25">
        <v>0</v>
      </c>
    </row>
    <row r="8" spans="1:20" x14ac:dyDescent="0.25">
      <c r="A8" s="26" t="s">
        <v>9</v>
      </c>
      <c r="B8" s="20" t="s">
        <v>112</v>
      </c>
      <c r="C8" s="21">
        <v>3</v>
      </c>
      <c r="D8" s="20">
        <v>0.5</v>
      </c>
      <c r="E8" s="20">
        <v>0.5</v>
      </c>
      <c r="F8" s="20">
        <v>0.95</v>
      </c>
      <c r="G8" s="20">
        <v>0.94499999999999995</v>
      </c>
      <c r="H8" s="20">
        <v>0.94750000000000001</v>
      </c>
      <c r="I8" s="22">
        <v>9</v>
      </c>
      <c r="J8" s="20" t="s">
        <v>0</v>
      </c>
      <c r="K8" s="20" t="s">
        <v>0</v>
      </c>
      <c r="L8" s="20" t="s">
        <v>0</v>
      </c>
      <c r="M8" s="23" t="s">
        <v>0</v>
      </c>
      <c r="N8" s="22" t="s">
        <v>0</v>
      </c>
      <c r="O8" s="22">
        <v>0.94320000000000004</v>
      </c>
      <c r="Q8" s="26" t="s">
        <v>0</v>
      </c>
      <c r="R8" s="26" t="s">
        <v>459</v>
      </c>
      <c r="S8" s="27">
        <v>0</v>
      </c>
      <c r="T8" s="27">
        <v>100000000</v>
      </c>
    </row>
    <row r="9" spans="1:20" x14ac:dyDescent="0.25">
      <c r="A9" s="26" t="s">
        <v>52</v>
      </c>
      <c r="B9" s="20" t="s">
        <v>114</v>
      </c>
      <c r="C9" s="21">
        <v>1.5</v>
      </c>
      <c r="D9" s="20">
        <v>0.56000000000000005</v>
      </c>
      <c r="E9" s="20">
        <v>0.56000000000000005</v>
      </c>
      <c r="F9" s="20" t="s">
        <v>0</v>
      </c>
      <c r="G9" s="20" t="s">
        <v>0</v>
      </c>
      <c r="H9" s="20" t="s">
        <v>0</v>
      </c>
      <c r="I9" s="22" t="s">
        <v>0</v>
      </c>
      <c r="J9" s="20" t="s">
        <v>0</v>
      </c>
      <c r="K9" s="20" t="s">
        <v>0</v>
      </c>
      <c r="L9" s="20" t="s">
        <v>0</v>
      </c>
      <c r="M9" s="23" t="s">
        <v>0</v>
      </c>
      <c r="N9" s="22" t="s">
        <v>0</v>
      </c>
      <c r="O9" s="22">
        <v>0.94469999999999998</v>
      </c>
      <c r="Q9" s="24" t="s">
        <v>274</v>
      </c>
      <c r="R9" s="24" t="s">
        <v>457</v>
      </c>
      <c r="S9" s="25">
        <v>1100000000</v>
      </c>
      <c r="T9" s="25">
        <v>1100000000</v>
      </c>
    </row>
    <row r="10" spans="1:20" x14ac:dyDescent="0.25">
      <c r="A10" s="26" t="s">
        <v>277</v>
      </c>
      <c r="B10" s="20" t="s">
        <v>246</v>
      </c>
      <c r="C10" s="21">
        <v>0.75</v>
      </c>
      <c r="D10" s="20">
        <v>0.63</v>
      </c>
      <c r="E10" s="20">
        <v>0.64</v>
      </c>
      <c r="F10" s="20" t="s">
        <v>0</v>
      </c>
      <c r="G10" s="20" t="s">
        <v>0</v>
      </c>
      <c r="H10" s="20" t="s">
        <v>0</v>
      </c>
      <c r="I10" s="22" t="s">
        <v>0</v>
      </c>
      <c r="J10" s="20" t="s">
        <v>0</v>
      </c>
      <c r="K10" s="20" t="s">
        <v>0</v>
      </c>
      <c r="L10" s="20" t="s">
        <v>0</v>
      </c>
      <c r="M10" s="23" t="s">
        <v>0</v>
      </c>
      <c r="N10" s="22" t="s">
        <v>0</v>
      </c>
      <c r="O10" s="22">
        <v>0.9466</v>
      </c>
      <c r="Q10" s="24" t="s">
        <v>322</v>
      </c>
      <c r="R10" s="24" t="s">
        <v>457</v>
      </c>
      <c r="S10" s="25">
        <v>100000000</v>
      </c>
      <c r="T10" s="25">
        <v>100000000</v>
      </c>
    </row>
    <row r="11" spans="1:20" x14ac:dyDescent="0.25">
      <c r="A11" s="26" t="s">
        <v>5</v>
      </c>
      <c r="B11" s="20" t="s">
        <v>115</v>
      </c>
      <c r="C11" s="21">
        <v>0.5</v>
      </c>
      <c r="D11" s="20">
        <v>0.93</v>
      </c>
      <c r="E11" s="20">
        <v>0.94</v>
      </c>
      <c r="F11" s="20" t="s">
        <v>0</v>
      </c>
      <c r="G11" s="20" t="s">
        <v>0</v>
      </c>
      <c r="H11" s="20" t="s">
        <v>0</v>
      </c>
      <c r="I11" s="22" t="s">
        <v>0</v>
      </c>
      <c r="J11" s="20">
        <v>0.91</v>
      </c>
      <c r="K11" s="20">
        <v>0.91</v>
      </c>
      <c r="L11" s="20">
        <v>0.91</v>
      </c>
      <c r="M11" s="23">
        <v>1</v>
      </c>
      <c r="N11" s="22">
        <v>5</v>
      </c>
      <c r="O11" s="22">
        <v>0.95350000000000001</v>
      </c>
      <c r="Q11" s="24" t="s">
        <v>9</v>
      </c>
      <c r="R11" s="24" t="s">
        <v>460</v>
      </c>
      <c r="S11" s="25">
        <v>300000000</v>
      </c>
      <c r="T11" s="25">
        <v>300000000</v>
      </c>
    </row>
    <row r="12" spans="1:20" x14ac:dyDescent="0.25">
      <c r="A12" s="26" t="s">
        <v>42</v>
      </c>
      <c r="B12" s="20" t="s">
        <v>116</v>
      </c>
      <c r="C12" s="21">
        <v>1.625</v>
      </c>
      <c r="D12" s="20">
        <v>1.1000000000000001</v>
      </c>
      <c r="E12" s="20">
        <v>1.1299999999999999</v>
      </c>
      <c r="F12" s="20" t="s">
        <v>0</v>
      </c>
      <c r="G12" s="20" t="s">
        <v>0</v>
      </c>
      <c r="H12" s="20" t="s">
        <v>0</v>
      </c>
      <c r="I12" s="22" t="s">
        <v>0</v>
      </c>
      <c r="J12" s="20" t="s">
        <v>0</v>
      </c>
      <c r="K12" s="20" t="s">
        <v>0</v>
      </c>
      <c r="L12" s="20" t="s">
        <v>0</v>
      </c>
      <c r="M12" s="23" t="s">
        <v>0</v>
      </c>
      <c r="N12" s="22" t="s">
        <v>0</v>
      </c>
      <c r="O12" s="22">
        <v>0.95750000000000002</v>
      </c>
      <c r="Q12" s="47" t="s">
        <v>433</v>
      </c>
      <c r="R12" s="47" t="s">
        <v>461</v>
      </c>
      <c r="S12" s="48">
        <v>400000000</v>
      </c>
      <c r="T12" s="48">
        <v>400000000</v>
      </c>
    </row>
    <row r="13" spans="1:20" x14ac:dyDescent="0.25">
      <c r="A13" s="26" t="s">
        <v>10</v>
      </c>
      <c r="B13" s="20" t="s">
        <v>117</v>
      </c>
      <c r="C13" s="21">
        <v>3</v>
      </c>
      <c r="D13" s="20">
        <v>1.23</v>
      </c>
      <c r="E13" s="20">
        <v>1.28</v>
      </c>
      <c r="F13" s="20" t="s">
        <v>0</v>
      </c>
      <c r="G13" s="20" t="s">
        <v>0</v>
      </c>
      <c r="H13" s="20" t="s">
        <v>0</v>
      </c>
      <c r="I13" s="22" t="s">
        <v>0</v>
      </c>
      <c r="J13" s="20" t="s">
        <v>0</v>
      </c>
      <c r="K13" s="20" t="s">
        <v>0</v>
      </c>
      <c r="L13" s="20" t="s">
        <v>0</v>
      </c>
      <c r="M13" s="23" t="s">
        <v>0</v>
      </c>
      <c r="N13" s="22" t="s">
        <v>0</v>
      </c>
      <c r="O13" s="22">
        <v>0.96030000000000004</v>
      </c>
      <c r="S13" s="29"/>
      <c r="T13" s="29"/>
    </row>
    <row r="14" spans="1:20" x14ac:dyDescent="0.25">
      <c r="A14" s="26" t="s">
        <v>275</v>
      </c>
      <c r="B14" s="20" t="s">
        <v>119</v>
      </c>
      <c r="C14" s="21">
        <v>0.5</v>
      </c>
      <c r="D14" s="20">
        <v>1.4</v>
      </c>
      <c r="E14" s="20">
        <v>1.42</v>
      </c>
      <c r="F14" s="20">
        <v>0.97799999999999998</v>
      </c>
      <c r="G14" s="20">
        <v>0.97399999999999998</v>
      </c>
      <c r="H14" s="20">
        <v>0.97570000000000001</v>
      </c>
      <c r="I14" s="22">
        <v>14</v>
      </c>
      <c r="J14" s="20">
        <v>0.95</v>
      </c>
      <c r="K14" s="20">
        <v>0.95</v>
      </c>
      <c r="L14" s="20">
        <v>0.95</v>
      </c>
      <c r="M14" s="23">
        <v>1</v>
      </c>
      <c r="N14" s="22">
        <v>4</v>
      </c>
      <c r="O14" s="22">
        <v>0.96340000000000003</v>
      </c>
      <c r="Q14" s="30"/>
      <c r="R14" s="30"/>
      <c r="S14" s="30"/>
      <c r="T14" s="30"/>
    </row>
    <row r="15" spans="1:20" x14ac:dyDescent="0.25">
      <c r="A15" s="26" t="s">
        <v>7</v>
      </c>
      <c r="B15" s="20" t="s">
        <v>118</v>
      </c>
      <c r="C15" s="21">
        <v>2.375</v>
      </c>
      <c r="D15" s="20">
        <v>1.51</v>
      </c>
      <c r="E15" s="20">
        <v>1.55</v>
      </c>
      <c r="F15" s="20" t="s">
        <v>0</v>
      </c>
      <c r="G15" s="20" t="s">
        <v>0</v>
      </c>
      <c r="H15" s="20" t="s">
        <v>0</v>
      </c>
      <c r="I15" s="22" t="s">
        <v>0</v>
      </c>
      <c r="J15" s="20" t="s">
        <v>0</v>
      </c>
      <c r="K15" s="20" t="s">
        <v>0</v>
      </c>
      <c r="L15" s="20" t="s">
        <v>0</v>
      </c>
      <c r="M15" s="23" t="s">
        <v>0</v>
      </c>
      <c r="N15" s="22" t="s">
        <v>0</v>
      </c>
      <c r="O15" s="22">
        <v>0.96609999999999996</v>
      </c>
    </row>
    <row r="16" spans="1:20" x14ac:dyDescent="0.25">
      <c r="A16" s="26" t="s">
        <v>322</v>
      </c>
      <c r="B16" s="20" t="s">
        <v>323</v>
      </c>
      <c r="C16" s="21">
        <v>1</v>
      </c>
      <c r="D16" s="20">
        <v>1.52</v>
      </c>
      <c r="E16" s="20">
        <v>1.54</v>
      </c>
      <c r="F16" s="20">
        <v>1</v>
      </c>
      <c r="G16" s="20">
        <v>1</v>
      </c>
      <c r="H16" s="20">
        <v>1</v>
      </c>
      <c r="I16" s="22">
        <v>1</v>
      </c>
      <c r="J16" s="20" t="s">
        <v>0</v>
      </c>
      <c r="K16" s="20" t="s">
        <v>0</v>
      </c>
      <c r="L16" s="20" t="s">
        <v>0</v>
      </c>
      <c r="M16" s="23" t="s">
        <v>0</v>
      </c>
      <c r="N16" s="22" t="s">
        <v>0</v>
      </c>
      <c r="O16" s="22">
        <v>0.96609999999999996</v>
      </c>
    </row>
    <row r="17" spans="1:15" x14ac:dyDescent="0.25">
      <c r="A17" s="26" t="s">
        <v>31</v>
      </c>
      <c r="B17" s="20" t="s">
        <v>120</v>
      </c>
      <c r="C17" s="21">
        <v>1.625</v>
      </c>
      <c r="D17" s="20">
        <v>1.56</v>
      </c>
      <c r="E17" s="20">
        <v>1.59</v>
      </c>
      <c r="F17" s="20" t="s">
        <v>0</v>
      </c>
      <c r="G17" s="20" t="s">
        <v>0</v>
      </c>
      <c r="H17" s="20" t="s">
        <v>0</v>
      </c>
      <c r="I17" s="22" t="s">
        <v>0</v>
      </c>
      <c r="J17" s="20" t="s">
        <v>0</v>
      </c>
      <c r="K17" s="20" t="s">
        <v>0</v>
      </c>
      <c r="L17" s="20" t="s">
        <v>0</v>
      </c>
      <c r="M17" s="23" t="s">
        <v>0</v>
      </c>
      <c r="N17" s="22" t="s">
        <v>0</v>
      </c>
      <c r="O17" s="22">
        <v>0.96730000000000005</v>
      </c>
    </row>
    <row r="18" spans="1:15" x14ac:dyDescent="0.25">
      <c r="A18" s="26" t="s">
        <v>278</v>
      </c>
      <c r="B18" s="20" t="s">
        <v>121</v>
      </c>
      <c r="C18" s="21">
        <v>0.25</v>
      </c>
      <c r="D18" s="20">
        <v>1.91</v>
      </c>
      <c r="E18" s="20">
        <v>1.94</v>
      </c>
      <c r="F18" s="20" t="s">
        <v>0</v>
      </c>
      <c r="G18" s="20" t="s">
        <v>0</v>
      </c>
      <c r="H18" s="20" t="s">
        <v>0</v>
      </c>
      <c r="I18" s="22" t="s">
        <v>0</v>
      </c>
      <c r="J18" s="20" t="s">
        <v>0</v>
      </c>
      <c r="K18" s="20" t="s">
        <v>0</v>
      </c>
      <c r="L18" s="20" t="s">
        <v>0</v>
      </c>
      <c r="M18" s="23" t="s">
        <v>0</v>
      </c>
      <c r="N18" s="22" t="s">
        <v>0</v>
      </c>
      <c r="O18" s="22">
        <v>0.97689999999999999</v>
      </c>
    </row>
    <row r="19" spans="1:15" x14ac:dyDescent="0.25">
      <c r="A19" s="26" t="s">
        <v>38</v>
      </c>
      <c r="B19" s="20" t="s">
        <v>122</v>
      </c>
      <c r="C19" s="21">
        <v>1.125</v>
      </c>
      <c r="D19" s="20">
        <v>2.0299999999999998</v>
      </c>
      <c r="E19" s="20">
        <v>2.09</v>
      </c>
      <c r="F19" s="20" t="s">
        <v>0</v>
      </c>
      <c r="G19" s="20" t="s">
        <v>0</v>
      </c>
      <c r="H19" s="20" t="s">
        <v>0</v>
      </c>
      <c r="I19" s="22" t="s">
        <v>0</v>
      </c>
      <c r="J19" s="20" t="s">
        <v>0</v>
      </c>
      <c r="K19" s="20" t="s">
        <v>0</v>
      </c>
      <c r="L19" s="20" t="s">
        <v>0</v>
      </c>
      <c r="M19" s="23" t="s">
        <v>0</v>
      </c>
      <c r="N19" s="22" t="s">
        <v>0</v>
      </c>
      <c r="O19" s="22">
        <v>0.98180000000000001</v>
      </c>
    </row>
    <row r="20" spans="1:15" x14ac:dyDescent="0.25">
      <c r="A20" s="26" t="s">
        <v>279</v>
      </c>
      <c r="B20" s="20" t="s">
        <v>124</v>
      </c>
      <c r="C20" s="21">
        <v>0.125</v>
      </c>
      <c r="D20" s="20">
        <v>2.2999999999999998</v>
      </c>
      <c r="E20" s="20">
        <v>2.33</v>
      </c>
      <c r="F20" s="20" t="s">
        <v>0</v>
      </c>
      <c r="G20" s="20" t="s">
        <v>0</v>
      </c>
      <c r="H20" s="20" t="s">
        <v>0</v>
      </c>
      <c r="I20" s="22" t="s">
        <v>0</v>
      </c>
      <c r="J20" s="20" t="s">
        <v>0</v>
      </c>
      <c r="K20" s="20" t="s">
        <v>0</v>
      </c>
      <c r="L20" s="20" t="s">
        <v>0</v>
      </c>
      <c r="M20" s="23" t="s">
        <v>0</v>
      </c>
      <c r="N20" s="22" t="s">
        <v>0</v>
      </c>
      <c r="O20" s="22">
        <v>0.99099999999999999</v>
      </c>
    </row>
    <row r="21" spans="1:15" x14ac:dyDescent="0.25">
      <c r="A21" s="26" t="s">
        <v>280</v>
      </c>
      <c r="B21" s="20" t="s">
        <v>125</v>
      </c>
      <c r="C21" s="21">
        <v>0.25</v>
      </c>
      <c r="D21" s="20">
        <v>2.4</v>
      </c>
      <c r="E21" s="20">
        <v>2.4300000000000002</v>
      </c>
      <c r="F21" s="20" t="s">
        <v>0</v>
      </c>
      <c r="G21" s="20" t="s">
        <v>0</v>
      </c>
      <c r="H21" s="20" t="s">
        <v>0</v>
      </c>
      <c r="I21" s="22" t="s">
        <v>0</v>
      </c>
      <c r="J21" s="20" t="s">
        <v>0</v>
      </c>
      <c r="K21" s="20" t="s">
        <v>0</v>
      </c>
      <c r="L21" s="20" t="s">
        <v>0</v>
      </c>
      <c r="M21" s="23" t="s">
        <v>0</v>
      </c>
      <c r="N21" s="22" t="s">
        <v>0</v>
      </c>
      <c r="O21" s="22">
        <v>0.995</v>
      </c>
    </row>
    <row r="22" spans="1:15" x14ac:dyDescent="0.25">
      <c r="A22" s="26" t="s">
        <v>8</v>
      </c>
      <c r="B22" s="20" t="s">
        <v>123</v>
      </c>
      <c r="C22" s="21">
        <v>1.875</v>
      </c>
      <c r="D22" s="20">
        <v>2.46</v>
      </c>
      <c r="E22" s="20">
        <v>2.54</v>
      </c>
      <c r="F22" s="20" t="s">
        <v>0</v>
      </c>
      <c r="G22" s="20" t="s">
        <v>0</v>
      </c>
      <c r="H22" s="20" t="s">
        <v>0</v>
      </c>
      <c r="I22" s="22" t="s">
        <v>0</v>
      </c>
      <c r="J22" s="20" t="s">
        <v>0</v>
      </c>
      <c r="K22" s="20" t="s">
        <v>0</v>
      </c>
      <c r="L22" s="20" t="s">
        <v>0</v>
      </c>
      <c r="M22" s="23" t="s">
        <v>0</v>
      </c>
      <c r="N22" s="22" t="s">
        <v>0</v>
      </c>
      <c r="O22" s="22">
        <v>0.99960000000000004</v>
      </c>
    </row>
    <row r="23" spans="1:15" x14ac:dyDescent="0.25">
      <c r="A23" s="26" t="s">
        <v>59</v>
      </c>
      <c r="B23" s="20" t="s">
        <v>126</v>
      </c>
      <c r="C23" s="21">
        <v>0.75</v>
      </c>
      <c r="D23" s="20">
        <v>2.52</v>
      </c>
      <c r="E23" s="20">
        <v>2.57</v>
      </c>
      <c r="F23" s="20" t="s">
        <v>0</v>
      </c>
      <c r="G23" s="20" t="s">
        <v>0</v>
      </c>
      <c r="H23" s="20" t="s">
        <v>0</v>
      </c>
      <c r="I23" s="22" t="s">
        <v>0</v>
      </c>
      <c r="J23" s="20" t="s">
        <v>0</v>
      </c>
      <c r="K23" s="20" t="s">
        <v>0</v>
      </c>
      <c r="L23" s="20" t="s">
        <v>0</v>
      </c>
      <c r="M23" s="23" t="s">
        <v>0</v>
      </c>
      <c r="N23" s="22" t="s">
        <v>0</v>
      </c>
      <c r="O23" s="22">
        <v>1.0011000000000001</v>
      </c>
    </row>
    <row r="24" spans="1:15" x14ac:dyDescent="0.25">
      <c r="A24" s="26" t="s">
        <v>281</v>
      </c>
      <c r="B24" s="20" t="s">
        <v>222</v>
      </c>
      <c r="C24" s="21">
        <v>0.25</v>
      </c>
      <c r="D24" s="20">
        <v>2.93</v>
      </c>
      <c r="E24" s="20">
        <v>2.97</v>
      </c>
      <c r="F24" s="20">
        <v>1.0349999999999999</v>
      </c>
      <c r="G24" s="20">
        <v>1.03</v>
      </c>
      <c r="H24" s="20">
        <v>1.0325</v>
      </c>
      <c r="I24" s="22">
        <v>2</v>
      </c>
      <c r="J24" s="20" t="s">
        <v>0</v>
      </c>
      <c r="K24" s="20" t="s">
        <v>0</v>
      </c>
      <c r="L24" s="20" t="s">
        <v>0</v>
      </c>
      <c r="M24" s="23" t="s">
        <v>0</v>
      </c>
      <c r="N24" s="22" t="s">
        <v>0</v>
      </c>
      <c r="O24" s="22">
        <v>1.0204</v>
      </c>
    </row>
    <row r="25" spans="1:15" x14ac:dyDescent="0.25">
      <c r="A25" s="26" t="s">
        <v>56</v>
      </c>
      <c r="B25" s="20" t="s">
        <v>128</v>
      </c>
      <c r="C25" s="21">
        <v>0.625</v>
      </c>
      <c r="D25" s="20">
        <v>3.01</v>
      </c>
      <c r="E25" s="20">
        <v>3.08</v>
      </c>
      <c r="F25" s="20" t="s">
        <v>0</v>
      </c>
      <c r="G25" s="20" t="s">
        <v>0</v>
      </c>
      <c r="H25" s="20" t="s">
        <v>0</v>
      </c>
      <c r="I25" s="22" t="s">
        <v>0</v>
      </c>
      <c r="J25" s="20" t="s">
        <v>0</v>
      </c>
      <c r="K25" s="20" t="s">
        <v>0</v>
      </c>
      <c r="L25" s="20" t="s">
        <v>0</v>
      </c>
      <c r="M25" s="23" t="s">
        <v>0</v>
      </c>
      <c r="N25" s="22" t="s">
        <v>0</v>
      </c>
      <c r="O25" s="22">
        <v>1.0255000000000001</v>
      </c>
    </row>
    <row r="26" spans="1:15" x14ac:dyDescent="0.25">
      <c r="A26" s="26" t="s">
        <v>11</v>
      </c>
      <c r="B26" s="20" t="s">
        <v>127</v>
      </c>
      <c r="C26" s="21">
        <v>2.125</v>
      </c>
      <c r="D26" s="20">
        <v>3.1</v>
      </c>
      <c r="E26" s="20">
        <v>3.25</v>
      </c>
      <c r="F26" s="20" t="s">
        <v>0</v>
      </c>
      <c r="G26" s="20" t="s">
        <v>0</v>
      </c>
      <c r="H26" s="20" t="s">
        <v>0</v>
      </c>
      <c r="I26" s="22" t="s">
        <v>0</v>
      </c>
      <c r="J26" s="20" t="s">
        <v>0</v>
      </c>
      <c r="K26" s="20" t="s">
        <v>0</v>
      </c>
      <c r="L26" s="20" t="s">
        <v>0</v>
      </c>
      <c r="M26" s="23" t="s">
        <v>0</v>
      </c>
      <c r="N26" s="22" t="s">
        <v>0</v>
      </c>
      <c r="O26" s="22">
        <v>1.0330999999999999</v>
      </c>
    </row>
    <row r="27" spans="1:15" x14ac:dyDescent="0.25">
      <c r="A27" s="26" t="s">
        <v>12</v>
      </c>
      <c r="B27" s="20" t="s">
        <v>129</v>
      </c>
      <c r="C27" s="21">
        <v>2</v>
      </c>
      <c r="D27" s="20">
        <v>3.37</v>
      </c>
      <c r="E27" s="20">
        <v>3.52</v>
      </c>
      <c r="F27" s="20" t="s">
        <v>0</v>
      </c>
      <c r="G27" s="20" t="s">
        <v>0</v>
      </c>
      <c r="H27" s="20" t="s">
        <v>0</v>
      </c>
      <c r="I27" s="22" t="s">
        <v>0</v>
      </c>
      <c r="J27" s="20" t="s">
        <v>0</v>
      </c>
      <c r="K27" s="20" t="s">
        <v>0</v>
      </c>
      <c r="L27" s="20" t="s">
        <v>0</v>
      </c>
      <c r="M27" s="23" t="s">
        <v>0</v>
      </c>
      <c r="N27" s="22" t="s">
        <v>0</v>
      </c>
      <c r="O27" s="22">
        <v>1.0452999999999999</v>
      </c>
    </row>
    <row r="28" spans="1:15" x14ac:dyDescent="0.25">
      <c r="A28" s="26" t="s">
        <v>32</v>
      </c>
      <c r="B28" s="20" t="s">
        <v>130</v>
      </c>
      <c r="C28" s="21">
        <v>1.125</v>
      </c>
      <c r="D28" s="20">
        <v>3.46</v>
      </c>
      <c r="E28" s="20">
        <v>3.56</v>
      </c>
      <c r="F28" s="20" t="s">
        <v>0</v>
      </c>
      <c r="G28" s="20" t="s">
        <v>0</v>
      </c>
      <c r="H28" s="20" t="s">
        <v>0</v>
      </c>
      <c r="I28" s="22" t="s">
        <v>0</v>
      </c>
      <c r="J28" s="20" t="s">
        <v>0</v>
      </c>
      <c r="K28" s="20" t="s">
        <v>0</v>
      </c>
      <c r="L28" s="20" t="s">
        <v>0</v>
      </c>
      <c r="M28" s="23" t="s">
        <v>0</v>
      </c>
      <c r="N28" s="22" t="s">
        <v>0</v>
      </c>
      <c r="O28" s="22">
        <v>1.0478000000000001</v>
      </c>
    </row>
    <row r="29" spans="1:15" x14ac:dyDescent="0.25">
      <c r="A29" s="26" t="s">
        <v>282</v>
      </c>
      <c r="B29" s="20" t="s">
        <v>247</v>
      </c>
      <c r="C29" s="21">
        <v>0.5</v>
      </c>
      <c r="D29" s="20">
        <v>3.48</v>
      </c>
      <c r="E29" s="20">
        <v>3.54</v>
      </c>
      <c r="F29" s="20" t="s">
        <v>0</v>
      </c>
      <c r="G29" s="20" t="s">
        <v>0</v>
      </c>
      <c r="H29" s="20" t="s">
        <v>0</v>
      </c>
      <c r="I29" s="22" t="s">
        <v>0</v>
      </c>
      <c r="J29" s="20" t="s">
        <v>0</v>
      </c>
      <c r="K29" s="20" t="s">
        <v>0</v>
      </c>
      <c r="L29" s="20" t="s">
        <v>0</v>
      </c>
      <c r="M29" s="23" t="s">
        <v>0</v>
      </c>
      <c r="N29" s="22" t="s">
        <v>0</v>
      </c>
      <c r="O29" s="22">
        <v>1.0477000000000001</v>
      </c>
    </row>
    <row r="30" spans="1:15" x14ac:dyDescent="0.25">
      <c r="A30" s="26" t="s">
        <v>263</v>
      </c>
      <c r="B30" s="20" t="s">
        <v>265</v>
      </c>
      <c r="C30" s="21">
        <v>1</v>
      </c>
      <c r="D30" s="20">
        <v>3.77</v>
      </c>
      <c r="E30" s="20">
        <v>3.87</v>
      </c>
      <c r="F30" s="20" t="s">
        <v>0</v>
      </c>
      <c r="G30" s="20" t="s">
        <v>0</v>
      </c>
      <c r="H30" s="20" t="s">
        <v>0</v>
      </c>
      <c r="I30" s="22" t="s">
        <v>0</v>
      </c>
      <c r="J30" s="20" t="s">
        <v>0</v>
      </c>
      <c r="K30" s="20" t="s">
        <v>0</v>
      </c>
      <c r="L30" s="20" t="s">
        <v>0</v>
      </c>
      <c r="M30" s="23" t="s">
        <v>0</v>
      </c>
      <c r="N30" s="22" t="s">
        <v>0</v>
      </c>
      <c r="O30" s="22">
        <v>1.0612999999999999</v>
      </c>
    </row>
    <row r="31" spans="1:15" x14ac:dyDescent="0.25">
      <c r="A31" s="26" t="s">
        <v>304</v>
      </c>
      <c r="B31" s="20" t="s">
        <v>305</v>
      </c>
      <c r="C31" s="21">
        <v>1.25</v>
      </c>
      <c r="D31" s="20">
        <v>3.96</v>
      </c>
      <c r="E31" s="20">
        <v>4.12</v>
      </c>
      <c r="F31" s="20" t="s">
        <v>0</v>
      </c>
      <c r="G31" s="20" t="s">
        <v>0</v>
      </c>
      <c r="H31" s="20" t="s">
        <v>0</v>
      </c>
      <c r="I31" s="22" t="s">
        <v>0</v>
      </c>
      <c r="J31" s="20" t="s">
        <v>0</v>
      </c>
      <c r="K31" s="20" t="s">
        <v>0</v>
      </c>
      <c r="L31" s="20" t="s">
        <v>0</v>
      </c>
      <c r="M31" s="23" t="s">
        <v>0</v>
      </c>
      <c r="N31" s="22" t="s">
        <v>0</v>
      </c>
      <c r="O31" s="22">
        <v>1.0707</v>
      </c>
    </row>
    <row r="32" spans="1:15" x14ac:dyDescent="0.25">
      <c r="A32" s="26" t="s">
        <v>13</v>
      </c>
      <c r="B32" s="20" t="s">
        <v>131</v>
      </c>
      <c r="C32" s="21">
        <v>3</v>
      </c>
      <c r="D32" s="20">
        <v>3.96</v>
      </c>
      <c r="E32" s="20">
        <v>4.2699999999999996</v>
      </c>
      <c r="F32" s="20" t="s">
        <v>0</v>
      </c>
      <c r="G32" s="20" t="s">
        <v>0</v>
      </c>
      <c r="H32" s="20" t="s">
        <v>0</v>
      </c>
      <c r="I32" s="22" t="s">
        <v>0</v>
      </c>
      <c r="J32" s="20" t="s">
        <v>0</v>
      </c>
      <c r="K32" s="20" t="s">
        <v>0</v>
      </c>
      <c r="L32" s="20" t="s">
        <v>0</v>
      </c>
      <c r="M32" s="23" t="s">
        <v>0</v>
      </c>
      <c r="N32" s="22" t="s">
        <v>0</v>
      </c>
      <c r="O32" s="22">
        <v>1.0737000000000001</v>
      </c>
    </row>
    <row r="33" spans="1:15" x14ac:dyDescent="0.25">
      <c r="A33" s="26" t="s">
        <v>1</v>
      </c>
      <c r="B33" s="20" t="s">
        <v>132</v>
      </c>
      <c r="C33" s="21">
        <v>1</v>
      </c>
      <c r="D33" s="20">
        <v>3.97</v>
      </c>
      <c r="E33" s="20">
        <v>4.1100000000000003</v>
      </c>
      <c r="F33" s="20" t="s">
        <v>0</v>
      </c>
      <c r="G33" s="20" t="s">
        <v>0</v>
      </c>
      <c r="H33" s="20" t="s">
        <v>0</v>
      </c>
      <c r="I33" s="22" t="s">
        <v>0</v>
      </c>
      <c r="J33" s="20" t="s">
        <v>0</v>
      </c>
      <c r="K33" s="20" t="s">
        <v>0</v>
      </c>
      <c r="L33" s="20" t="s">
        <v>0</v>
      </c>
      <c r="M33" s="23" t="s">
        <v>0</v>
      </c>
      <c r="N33" s="22" t="s">
        <v>0</v>
      </c>
      <c r="O33" s="22">
        <v>1.0706</v>
      </c>
    </row>
    <row r="34" spans="1:15" x14ac:dyDescent="0.25">
      <c r="A34" s="26" t="s">
        <v>60</v>
      </c>
      <c r="B34" s="20" t="s">
        <v>134</v>
      </c>
      <c r="C34" s="21">
        <v>1.375</v>
      </c>
      <c r="D34" s="20">
        <v>4.24</v>
      </c>
      <c r="E34" s="20">
        <v>4.42</v>
      </c>
      <c r="F34" s="20" t="s">
        <v>0</v>
      </c>
      <c r="G34" s="20" t="s">
        <v>0</v>
      </c>
      <c r="H34" s="20" t="s">
        <v>0</v>
      </c>
      <c r="I34" s="22" t="s">
        <v>0</v>
      </c>
      <c r="J34" s="20" t="s">
        <v>0</v>
      </c>
      <c r="K34" s="20" t="s">
        <v>0</v>
      </c>
      <c r="L34" s="20" t="s">
        <v>0</v>
      </c>
      <c r="M34" s="23" t="s">
        <v>0</v>
      </c>
      <c r="N34" s="22" t="s">
        <v>0</v>
      </c>
      <c r="O34" s="22">
        <v>1.08</v>
      </c>
    </row>
    <row r="35" spans="1:15" x14ac:dyDescent="0.25">
      <c r="A35" s="26" t="s">
        <v>14</v>
      </c>
      <c r="B35" s="20" t="s">
        <v>133</v>
      </c>
      <c r="C35" s="21">
        <v>2.5</v>
      </c>
      <c r="D35" s="20">
        <v>4.24</v>
      </c>
      <c r="E35" s="20">
        <v>4.5199999999999996</v>
      </c>
      <c r="F35" s="20" t="s">
        <v>0</v>
      </c>
      <c r="G35" s="20" t="s">
        <v>0</v>
      </c>
      <c r="H35" s="20" t="s">
        <v>0</v>
      </c>
      <c r="I35" s="22" t="s">
        <v>0</v>
      </c>
      <c r="J35" s="20" t="s">
        <v>0</v>
      </c>
      <c r="K35" s="20" t="s">
        <v>0</v>
      </c>
      <c r="L35" s="20" t="s">
        <v>0</v>
      </c>
      <c r="M35" s="23" t="s">
        <v>0</v>
      </c>
      <c r="N35" s="22" t="s">
        <v>0</v>
      </c>
      <c r="O35" s="22">
        <v>1.0814999999999999</v>
      </c>
    </row>
    <row r="36" spans="1:15" x14ac:dyDescent="0.25">
      <c r="A36" s="26" t="s">
        <v>326</v>
      </c>
      <c r="B36" s="20" t="s">
        <v>325</v>
      </c>
      <c r="C36" s="21">
        <v>1</v>
      </c>
      <c r="D36" s="20">
        <v>4.29</v>
      </c>
      <c r="E36" s="20">
        <v>4.4400000000000004</v>
      </c>
      <c r="F36" s="20" t="s">
        <v>0</v>
      </c>
      <c r="G36" s="20" t="s">
        <v>0</v>
      </c>
      <c r="H36" s="20" t="s">
        <v>0</v>
      </c>
      <c r="I36" s="22" t="s">
        <v>0</v>
      </c>
      <c r="J36" s="20" t="s">
        <v>0</v>
      </c>
      <c r="K36" s="20" t="s">
        <v>0</v>
      </c>
      <c r="L36" s="20" t="s">
        <v>0</v>
      </c>
      <c r="M36" s="23" t="s">
        <v>0</v>
      </c>
      <c r="N36" s="22" t="s">
        <v>0</v>
      </c>
      <c r="O36" s="22">
        <v>1.0811999999999999</v>
      </c>
    </row>
    <row r="37" spans="1:15" x14ac:dyDescent="0.25">
      <c r="A37" s="26" t="s">
        <v>35</v>
      </c>
      <c r="B37" s="20" t="s">
        <v>135</v>
      </c>
      <c r="C37" s="21">
        <v>1</v>
      </c>
      <c r="D37" s="20">
        <v>4.3499999999999996</v>
      </c>
      <c r="E37" s="20">
        <v>4.5</v>
      </c>
      <c r="F37" s="20" t="s">
        <v>0</v>
      </c>
      <c r="G37" s="20" t="s">
        <v>0</v>
      </c>
      <c r="H37" s="20" t="s">
        <v>0</v>
      </c>
      <c r="I37" s="22" t="s">
        <v>0</v>
      </c>
      <c r="J37" s="20" t="s">
        <v>0</v>
      </c>
      <c r="K37" s="20" t="s">
        <v>0</v>
      </c>
      <c r="L37" s="20" t="s">
        <v>0</v>
      </c>
      <c r="M37" s="23" t="s">
        <v>0</v>
      </c>
      <c r="N37" s="22" t="s">
        <v>0</v>
      </c>
      <c r="O37" s="22">
        <v>1.0829</v>
      </c>
    </row>
    <row r="38" spans="1:15" x14ac:dyDescent="0.25">
      <c r="A38" s="26" t="s">
        <v>15</v>
      </c>
      <c r="B38" s="20" t="s">
        <v>136</v>
      </c>
      <c r="C38" s="21">
        <v>2.625</v>
      </c>
      <c r="D38" s="20">
        <v>4.6100000000000003</v>
      </c>
      <c r="E38" s="20">
        <v>5.01</v>
      </c>
      <c r="F38" s="20" t="s">
        <v>0</v>
      </c>
      <c r="G38" s="20" t="s">
        <v>0</v>
      </c>
      <c r="H38" s="20" t="s">
        <v>0</v>
      </c>
      <c r="I38" s="22" t="s">
        <v>0</v>
      </c>
      <c r="J38" s="20" t="s">
        <v>0</v>
      </c>
      <c r="K38" s="20" t="s">
        <v>0</v>
      </c>
      <c r="L38" s="20" t="s">
        <v>0</v>
      </c>
      <c r="M38" s="23" t="s">
        <v>0</v>
      </c>
      <c r="N38" s="22" t="s">
        <v>0</v>
      </c>
      <c r="O38" s="22">
        <v>1.0912999999999999</v>
      </c>
    </row>
    <row r="39" spans="1:15" x14ac:dyDescent="0.25">
      <c r="A39" s="26" t="s">
        <v>359</v>
      </c>
      <c r="B39" s="20" t="s">
        <v>360</v>
      </c>
      <c r="C39" s="21">
        <v>1</v>
      </c>
      <c r="D39" s="20">
        <v>4.6399999999999997</v>
      </c>
      <c r="E39" s="20">
        <v>4.79</v>
      </c>
      <c r="F39" s="20" t="s">
        <v>0</v>
      </c>
      <c r="G39" s="20" t="s">
        <v>0</v>
      </c>
      <c r="H39" s="20" t="s">
        <v>0</v>
      </c>
      <c r="I39" s="22" t="s">
        <v>0</v>
      </c>
      <c r="J39" s="20" t="s">
        <v>0</v>
      </c>
      <c r="K39" s="20" t="s">
        <v>0</v>
      </c>
      <c r="L39" s="20" t="s">
        <v>0</v>
      </c>
      <c r="M39" s="23" t="s">
        <v>0</v>
      </c>
      <c r="N39" s="22" t="s">
        <v>0</v>
      </c>
      <c r="O39" s="22">
        <v>1.0898000000000001</v>
      </c>
    </row>
    <row r="40" spans="1:15" x14ac:dyDescent="0.25">
      <c r="A40" s="26" t="s">
        <v>2</v>
      </c>
      <c r="B40" s="20" t="s">
        <v>137</v>
      </c>
      <c r="C40" s="21">
        <v>0.875</v>
      </c>
      <c r="D40" s="20">
        <v>4.6900000000000004</v>
      </c>
      <c r="E40" s="20">
        <v>4.83</v>
      </c>
      <c r="F40" s="20" t="s">
        <v>0</v>
      </c>
      <c r="G40" s="20" t="s">
        <v>0</v>
      </c>
      <c r="H40" s="20" t="s">
        <v>0</v>
      </c>
      <c r="I40" s="22" t="s">
        <v>0</v>
      </c>
      <c r="J40" s="20" t="s">
        <v>0</v>
      </c>
      <c r="K40" s="20" t="s">
        <v>0</v>
      </c>
      <c r="L40" s="20" t="s">
        <v>0</v>
      </c>
      <c r="M40" s="23" t="s">
        <v>0</v>
      </c>
      <c r="N40" s="22" t="s">
        <v>0</v>
      </c>
      <c r="O40" s="22">
        <v>1.0907</v>
      </c>
    </row>
    <row r="41" spans="1:15" x14ac:dyDescent="0.25">
      <c r="A41" s="26" t="s">
        <v>378</v>
      </c>
      <c r="B41" s="20" t="s">
        <v>379</v>
      </c>
      <c r="C41" s="21">
        <v>1</v>
      </c>
      <c r="D41" s="20">
        <v>4.8499999999999996</v>
      </c>
      <c r="E41" s="20">
        <v>5</v>
      </c>
      <c r="F41" s="20" t="s">
        <v>0</v>
      </c>
      <c r="G41" s="20" t="s">
        <v>0</v>
      </c>
      <c r="H41" s="20" t="s">
        <v>0</v>
      </c>
      <c r="I41" s="22" t="s">
        <v>0</v>
      </c>
      <c r="J41" s="20" t="s">
        <v>0</v>
      </c>
      <c r="K41" s="20" t="s">
        <v>0</v>
      </c>
      <c r="L41" s="20" t="s">
        <v>0</v>
      </c>
      <c r="M41" s="23" t="s">
        <v>0</v>
      </c>
      <c r="N41" s="22" t="s">
        <v>0</v>
      </c>
      <c r="O41" s="22">
        <v>1.0931999999999999</v>
      </c>
    </row>
    <row r="42" spans="1:15" x14ac:dyDescent="0.25">
      <c r="A42" s="26" t="s">
        <v>283</v>
      </c>
      <c r="B42" s="20" t="s">
        <v>223</v>
      </c>
      <c r="C42" s="21">
        <v>0.25</v>
      </c>
      <c r="D42" s="20">
        <v>4.93</v>
      </c>
      <c r="E42" s="20">
        <v>5.03</v>
      </c>
      <c r="F42" s="20" t="s">
        <v>0</v>
      </c>
      <c r="G42" s="20" t="s">
        <v>0</v>
      </c>
      <c r="H42" s="20" t="s">
        <v>0</v>
      </c>
      <c r="I42" s="22" t="s">
        <v>0</v>
      </c>
      <c r="J42" s="20" t="s">
        <v>0</v>
      </c>
      <c r="K42" s="20" t="s">
        <v>0</v>
      </c>
      <c r="L42" s="20" t="s">
        <v>0</v>
      </c>
      <c r="M42" s="23" t="s">
        <v>0</v>
      </c>
      <c r="N42" s="22" t="s">
        <v>0</v>
      </c>
      <c r="O42" s="22">
        <v>1.0946</v>
      </c>
    </row>
    <row r="43" spans="1:15" x14ac:dyDescent="0.25">
      <c r="A43" s="26" t="s">
        <v>28</v>
      </c>
      <c r="B43" s="20" t="s">
        <v>139</v>
      </c>
      <c r="C43" s="21">
        <v>0.875</v>
      </c>
      <c r="D43" s="20">
        <v>5</v>
      </c>
      <c r="E43" s="20">
        <v>5.19</v>
      </c>
      <c r="F43" s="20" t="s">
        <v>0</v>
      </c>
      <c r="G43" s="20" t="s">
        <v>0</v>
      </c>
      <c r="H43" s="20" t="s">
        <v>0</v>
      </c>
      <c r="I43" s="22" t="s">
        <v>0</v>
      </c>
      <c r="J43" s="20" t="s">
        <v>0</v>
      </c>
      <c r="K43" s="20" t="s">
        <v>0</v>
      </c>
      <c r="L43" s="20" t="s">
        <v>0</v>
      </c>
      <c r="M43" s="23" t="s">
        <v>0</v>
      </c>
      <c r="N43" s="22" t="s">
        <v>0</v>
      </c>
      <c r="O43" s="22">
        <v>1.0953999999999999</v>
      </c>
    </row>
    <row r="44" spans="1:15" x14ac:dyDescent="0.25">
      <c r="A44" s="26" t="s">
        <v>16</v>
      </c>
      <c r="B44" s="20" t="s">
        <v>138</v>
      </c>
      <c r="C44" s="21">
        <v>2.125</v>
      </c>
      <c r="D44" s="20">
        <v>5.17</v>
      </c>
      <c r="E44" s="20">
        <v>5.52</v>
      </c>
      <c r="F44" s="20" t="s">
        <v>0</v>
      </c>
      <c r="G44" s="20" t="s">
        <v>0</v>
      </c>
      <c r="H44" s="20" t="s">
        <v>0</v>
      </c>
      <c r="I44" s="22" t="s">
        <v>0</v>
      </c>
      <c r="J44" s="20" t="s">
        <v>0</v>
      </c>
      <c r="K44" s="20" t="s">
        <v>0</v>
      </c>
      <c r="L44" s="20" t="s">
        <v>0</v>
      </c>
      <c r="M44" s="23" t="s">
        <v>0</v>
      </c>
      <c r="N44" s="22" t="s">
        <v>0</v>
      </c>
      <c r="O44" s="22">
        <v>1.0953999999999999</v>
      </c>
    </row>
    <row r="45" spans="1:15" x14ac:dyDescent="0.25">
      <c r="A45" s="26" t="s">
        <v>3</v>
      </c>
      <c r="B45" s="20" t="s">
        <v>140</v>
      </c>
      <c r="C45" s="21">
        <v>0.75</v>
      </c>
      <c r="D45" s="20">
        <v>5.34</v>
      </c>
      <c r="E45" s="20">
        <v>5.51</v>
      </c>
      <c r="F45" s="20" t="s">
        <v>0</v>
      </c>
      <c r="G45" s="20" t="s">
        <v>0</v>
      </c>
      <c r="H45" s="20" t="s">
        <v>0</v>
      </c>
      <c r="I45" s="22" t="s">
        <v>0</v>
      </c>
      <c r="J45" s="20" t="s">
        <v>0</v>
      </c>
      <c r="K45" s="20" t="s">
        <v>0</v>
      </c>
      <c r="L45" s="20" t="s">
        <v>0</v>
      </c>
      <c r="M45" s="23" t="s">
        <v>0</v>
      </c>
      <c r="N45" s="22" t="s">
        <v>0</v>
      </c>
      <c r="O45" s="22">
        <v>1.0971</v>
      </c>
    </row>
    <row r="46" spans="1:15" x14ac:dyDescent="0.25">
      <c r="A46" s="26" t="s">
        <v>17</v>
      </c>
      <c r="B46" s="20" t="s">
        <v>141</v>
      </c>
      <c r="C46" s="21">
        <v>2.125</v>
      </c>
      <c r="D46" s="20">
        <v>5.54</v>
      </c>
      <c r="E46" s="20">
        <v>6.01</v>
      </c>
      <c r="F46" s="20" t="s">
        <v>0</v>
      </c>
      <c r="G46" s="20" t="s">
        <v>0</v>
      </c>
      <c r="H46" s="20" t="s">
        <v>0</v>
      </c>
      <c r="I46" s="22" t="s">
        <v>0</v>
      </c>
      <c r="J46" s="20" t="s">
        <v>0</v>
      </c>
      <c r="K46" s="20" t="s">
        <v>0</v>
      </c>
      <c r="L46" s="20" t="s">
        <v>0</v>
      </c>
      <c r="M46" s="23" t="s">
        <v>0</v>
      </c>
      <c r="N46" s="22" t="s">
        <v>0</v>
      </c>
      <c r="O46" s="22">
        <v>1.0971</v>
      </c>
    </row>
    <row r="47" spans="1:15" x14ac:dyDescent="0.25">
      <c r="A47" s="26" t="s">
        <v>4</v>
      </c>
      <c r="B47" s="20" t="s">
        <v>142</v>
      </c>
      <c r="C47" s="21">
        <v>0.625</v>
      </c>
      <c r="D47" s="20">
        <v>5.72</v>
      </c>
      <c r="E47" s="20">
        <v>5.88</v>
      </c>
      <c r="F47" s="20" t="s">
        <v>0</v>
      </c>
      <c r="G47" s="20" t="s">
        <v>0</v>
      </c>
      <c r="H47" s="20" t="s">
        <v>0</v>
      </c>
      <c r="I47" s="22" t="s">
        <v>0</v>
      </c>
      <c r="J47" s="20" t="s">
        <v>0</v>
      </c>
      <c r="K47" s="20" t="s">
        <v>0</v>
      </c>
      <c r="L47" s="20" t="s">
        <v>0</v>
      </c>
      <c r="M47" s="23" t="s">
        <v>0</v>
      </c>
      <c r="N47" s="22" t="s">
        <v>0</v>
      </c>
      <c r="O47" s="22">
        <v>1.0983000000000001</v>
      </c>
    </row>
    <row r="48" spans="1:15" x14ac:dyDescent="0.25">
      <c r="A48" s="26" t="s">
        <v>6</v>
      </c>
      <c r="B48" s="20" t="s">
        <v>144</v>
      </c>
      <c r="C48" s="21">
        <v>0.625</v>
      </c>
      <c r="D48" s="20">
        <v>5.98</v>
      </c>
      <c r="E48" s="20">
        <v>6.18</v>
      </c>
      <c r="F48" s="20" t="s">
        <v>0</v>
      </c>
      <c r="G48" s="20" t="s">
        <v>0</v>
      </c>
      <c r="H48" s="20" t="s">
        <v>0</v>
      </c>
      <c r="I48" s="22" t="s">
        <v>0</v>
      </c>
      <c r="J48" s="20" t="s">
        <v>0</v>
      </c>
      <c r="K48" s="20" t="s">
        <v>0</v>
      </c>
      <c r="L48" s="20" t="s">
        <v>0</v>
      </c>
      <c r="M48" s="23" t="s">
        <v>0</v>
      </c>
      <c r="N48" s="22" t="s">
        <v>0</v>
      </c>
      <c r="O48" s="22">
        <v>1.0999000000000001</v>
      </c>
    </row>
    <row r="49" spans="1:15" x14ac:dyDescent="0.25">
      <c r="A49" s="26" t="s">
        <v>18</v>
      </c>
      <c r="B49" s="20" t="s">
        <v>143</v>
      </c>
      <c r="C49" s="21">
        <v>1.875</v>
      </c>
      <c r="D49" s="20">
        <v>6.11</v>
      </c>
      <c r="E49" s="20">
        <v>6.54</v>
      </c>
      <c r="F49" s="20" t="s">
        <v>0</v>
      </c>
      <c r="G49" s="20" t="s">
        <v>0</v>
      </c>
      <c r="H49" s="20" t="s">
        <v>0</v>
      </c>
      <c r="I49" s="22" t="s">
        <v>0</v>
      </c>
      <c r="J49" s="20" t="s">
        <v>0</v>
      </c>
      <c r="K49" s="20" t="s">
        <v>0</v>
      </c>
      <c r="L49" s="20" t="s">
        <v>0</v>
      </c>
      <c r="M49" s="23" t="s">
        <v>0</v>
      </c>
      <c r="N49" s="22" t="s">
        <v>0</v>
      </c>
      <c r="O49" s="22">
        <v>1.1026</v>
      </c>
    </row>
    <row r="50" spans="1:15" x14ac:dyDescent="0.25">
      <c r="A50" s="26" t="s">
        <v>284</v>
      </c>
      <c r="B50" s="20" t="s">
        <v>145</v>
      </c>
      <c r="C50" s="21">
        <v>0.5</v>
      </c>
      <c r="D50" s="20">
        <v>6.36</v>
      </c>
      <c r="E50" s="20">
        <v>6.54</v>
      </c>
      <c r="F50" s="20" t="s">
        <v>0</v>
      </c>
      <c r="G50" s="20" t="s">
        <v>0</v>
      </c>
      <c r="H50" s="20" t="s">
        <v>0</v>
      </c>
      <c r="I50" s="22" t="s">
        <v>0</v>
      </c>
      <c r="J50" s="20" t="s">
        <v>0</v>
      </c>
      <c r="K50" s="20" t="s">
        <v>0</v>
      </c>
      <c r="L50" s="20" t="s">
        <v>0</v>
      </c>
      <c r="M50" s="23" t="s">
        <v>0</v>
      </c>
      <c r="N50" s="22" t="s">
        <v>0</v>
      </c>
      <c r="O50" s="22">
        <v>1.1044</v>
      </c>
    </row>
    <row r="51" spans="1:15" x14ac:dyDescent="0.25">
      <c r="A51" s="26" t="s">
        <v>19</v>
      </c>
      <c r="B51" s="20" t="s">
        <v>146</v>
      </c>
      <c r="C51" s="21">
        <v>1.75</v>
      </c>
      <c r="D51" s="20">
        <v>6.48</v>
      </c>
      <c r="E51" s="20">
        <v>7.01</v>
      </c>
      <c r="F51" s="20" t="s">
        <v>0</v>
      </c>
      <c r="G51" s="20" t="s">
        <v>0</v>
      </c>
      <c r="H51" s="20" t="s">
        <v>0</v>
      </c>
      <c r="I51" s="22" t="s">
        <v>0</v>
      </c>
      <c r="J51" s="20" t="s">
        <v>0</v>
      </c>
      <c r="K51" s="20" t="s">
        <v>0</v>
      </c>
      <c r="L51" s="20" t="s">
        <v>0</v>
      </c>
      <c r="M51" s="23" t="s">
        <v>0</v>
      </c>
      <c r="N51" s="22" t="s">
        <v>0</v>
      </c>
      <c r="O51" s="22">
        <v>1.1143000000000001</v>
      </c>
    </row>
    <row r="52" spans="1:15" x14ac:dyDescent="0.25">
      <c r="A52" s="26" t="s">
        <v>285</v>
      </c>
      <c r="B52" s="20" t="s">
        <v>149</v>
      </c>
      <c r="C52" s="21">
        <v>0.375</v>
      </c>
      <c r="D52" s="20">
        <v>6.68</v>
      </c>
      <c r="E52" s="20">
        <v>6.84</v>
      </c>
      <c r="F52" s="20" t="s">
        <v>0</v>
      </c>
      <c r="G52" s="20" t="s">
        <v>0</v>
      </c>
      <c r="H52" s="20" t="s">
        <v>0</v>
      </c>
      <c r="I52" s="22" t="s">
        <v>0</v>
      </c>
      <c r="J52" s="20" t="s">
        <v>0</v>
      </c>
      <c r="K52" s="20" t="s">
        <v>0</v>
      </c>
      <c r="L52" s="20" t="s">
        <v>0</v>
      </c>
      <c r="M52" s="23" t="s">
        <v>0</v>
      </c>
      <c r="N52" s="22" t="s">
        <v>0</v>
      </c>
      <c r="O52" s="22">
        <v>1.1112</v>
      </c>
    </row>
    <row r="53" spans="1:15" x14ac:dyDescent="0.25">
      <c r="A53" s="26" t="s">
        <v>50</v>
      </c>
      <c r="B53" s="20" t="s">
        <v>147</v>
      </c>
      <c r="C53" s="21">
        <v>2.125</v>
      </c>
      <c r="D53" s="20">
        <v>6.82</v>
      </c>
      <c r="E53" s="20">
        <v>7.43</v>
      </c>
      <c r="F53" s="20" t="s">
        <v>0</v>
      </c>
      <c r="G53" s="20" t="s">
        <v>0</v>
      </c>
      <c r="H53" s="20" t="s">
        <v>0</v>
      </c>
      <c r="I53" s="22" t="s">
        <v>0</v>
      </c>
      <c r="J53" s="20" t="s">
        <v>0</v>
      </c>
      <c r="K53" s="20" t="s">
        <v>0</v>
      </c>
      <c r="L53" s="20" t="s">
        <v>0</v>
      </c>
      <c r="M53" s="23" t="s">
        <v>0</v>
      </c>
      <c r="N53" s="22" t="s">
        <v>0</v>
      </c>
      <c r="O53" s="22">
        <v>1.1309</v>
      </c>
    </row>
    <row r="54" spans="1:15" x14ac:dyDescent="0.25">
      <c r="A54" s="26" t="s">
        <v>20</v>
      </c>
      <c r="B54" s="20" t="s">
        <v>148</v>
      </c>
      <c r="C54" s="21">
        <v>3.625</v>
      </c>
      <c r="D54" s="20">
        <v>7.03</v>
      </c>
      <c r="E54" s="20">
        <v>7.93</v>
      </c>
      <c r="F54" s="20" t="s">
        <v>0</v>
      </c>
      <c r="G54" s="20" t="s">
        <v>0</v>
      </c>
      <c r="H54" s="20" t="s">
        <v>0</v>
      </c>
      <c r="I54" s="22" t="s">
        <v>0</v>
      </c>
      <c r="J54" s="20" t="s">
        <v>0</v>
      </c>
      <c r="K54" s="20" t="s">
        <v>0</v>
      </c>
      <c r="L54" s="20" t="s">
        <v>0</v>
      </c>
      <c r="M54" s="23" t="s">
        <v>0</v>
      </c>
      <c r="N54" s="22" t="s">
        <v>0</v>
      </c>
      <c r="O54" s="22">
        <v>1.1516999999999999</v>
      </c>
    </row>
    <row r="55" spans="1:15" x14ac:dyDescent="0.25">
      <c r="A55" s="26" t="s">
        <v>286</v>
      </c>
      <c r="B55" s="20" t="s">
        <v>151</v>
      </c>
      <c r="C55" s="21">
        <v>0.25</v>
      </c>
      <c r="D55" s="20">
        <v>7.03</v>
      </c>
      <c r="E55" s="20">
        <v>7.18</v>
      </c>
      <c r="F55" s="20" t="s">
        <v>0</v>
      </c>
      <c r="G55" s="20" t="s">
        <v>0</v>
      </c>
      <c r="H55" s="20" t="s">
        <v>0</v>
      </c>
      <c r="I55" s="22" t="s">
        <v>0</v>
      </c>
      <c r="J55" s="20" t="s">
        <v>0</v>
      </c>
      <c r="K55" s="20" t="s">
        <v>0</v>
      </c>
      <c r="L55" s="20" t="s">
        <v>0</v>
      </c>
      <c r="M55" s="23" t="s">
        <v>0</v>
      </c>
      <c r="N55" s="22" t="s">
        <v>0</v>
      </c>
      <c r="O55" s="22">
        <v>1.1233</v>
      </c>
    </row>
    <row r="56" spans="1:15" x14ac:dyDescent="0.25">
      <c r="A56" s="26" t="s">
        <v>58</v>
      </c>
      <c r="B56" s="20" t="s">
        <v>150</v>
      </c>
      <c r="C56" s="21">
        <v>1.75</v>
      </c>
      <c r="D56" s="20">
        <v>7.26</v>
      </c>
      <c r="E56" s="20">
        <v>7.79</v>
      </c>
      <c r="F56" s="20" t="s">
        <v>0</v>
      </c>
      <c r="G56" s="20" t="s">
        <v>0</v>
      </c>
      <c r="H56" s="20" t="s">
        <v>0</v>
      </c>
      <c r="I56" s="22" t="s">
        <v>0</v>
      </c>
      <c r="J56" s="20" t="s">
        <v>0</v>
      </c>
      <c r="K56" s="20" t="s">
        <v>0</v>
      </c>
      <c r="L56" s="20" t="s">
        <v>0</v>
      </c>
      <c r="M56" s="23" t="s">
        <v>0</v>
      </c>
      <c r="N56" s="22" t="s">
        <v>0</v>
      </c>
      <c r="O56" s="22">
        <v>1.1496</v>
      </c>
    </row>
    <row r="57" spans="1:15" x14ac:dyDescent="0.25">
      <c r="A57" s="26" t="s">
        <v>61</v>
      </c>
      <c r="B57" s="20" t="s">
        <v>153</v>
      </c>
      <c r="C57" s="21">
        <v>1.875</v>
      </c>
      <c r="D57" s="20">
        <v>7.41</v>
      </c>
      <c r="E57" s="20">
        <v>7.98</v>
      </c>
      <c r="F57" s="20" t="s">
        <v>0</v>
      </c>
      <c r="G57" s="20" t="s">
        <v>0</v>
      </c>
      <c r="H57" s="20" t="s">
        <v>0</v>
      </c>
      <c r="I57" s="22" t="s">
        <v>0</v>
      </c>
      <c r="J57" s="20" t="s">
        <v>0</v>
      </c>
      <c r="K57" s="20" t="s">
        <v>0</v>
      </c>
      <c r="L57" s="20" t="s">
        <v>0</v>
      </c>
      <c r="M57" s="23" t="s">
        <v>0</v>
      </c>
      <c r="N57" s="22" t="s">
        <v>0</v>
      </c>
      <c r="O57" s="22">
        <v>1.1580999999999999</v>
      </c>
    </row>
    <row r="58" spans="1:15" x14ac:dyDescent="0.25">
      <c r="A58" s="26" t="s">
        <v>287</v>
      </c>
      <c r="B58" s="20" t="s">
        <v>152</v>
      </c>
      <c r="C58" s="21">
        <v>0.25</v>
      </c>
      <c r="D58" s="20">
        <v>7.38</v>
      </c>
      <c r="E58" s="20">
        <v>7.54</v>
      </c>
      <c r="F58" s="20" t="s">
        <v>0</v>
      </c>
      <c r="G58" s="20" t="s">
        <v>0</v>
      </c>
      <c r="H58" s="20" t="s">
        <v>0</v>
      </c>
      <c r="I58" s="22" t="s">
        <v>0</v>
      </c>
      <c r="J58" s="20" t="s">
        <v>0</v>
      </c>
      <c r="K58" s="20" t="s">
        <v>0</v>
      </c>
      <c r="L58" s="20" t="s">
        <v>0</v>
      </c>
      <c r="M58" s="23" t="s">
        <v>0</v>
      </c>
      <c r="N58" s="22" t="s">
        <v>0</v>
      </c>
      <c r="O58" s="22">
        <v>1.1404000000000001</v>
      </c>
    </row>
    <row r="59" spans="1:15" x14ac:dyDescent="0.25">
      <c r="A59" s="26" t="s">
        <v>288</v>
      </c>
      <c r="B59" s="20" t="s">
        <v>212</v>
      </c>
      <c r="C59" s="21">
        <v>0.375</v>
      </c>
      <c r="D59" s="20">
        <v>7.55</v>
      </c>
      <c r="E59" s="20">
        <v>7.74</v>
      </c>
      <c r="F59" s="20" t="s">
        <v>0</v>
      </c>
      <c r="G59" s="20" t="s">
        <v>0</v>
      </c>
      <c r="H59" s="20" t="s">
        <v>0</v>
      </c>
      <c r="I59" s="22" t="s">
        <v>0</v>
      </c>
      <c r="J59" s="20" t="s">
        <v>0</v>
      </c>
      <c r="K59" s="20" t="s">
        <v>0</v>
      </c>
      <c r="L59" s="20" t="s">
        <v>0</v>
      </c>
      <c r="M59" s="23" t="s">
        <v>0</v>
      </c>
      <c r="N59" s="22" t="s">
        <v>0</v>
      </c>
      <c r="O59" s="22">
        <v>1.1506000000000001</v>
      </c>
    </row>
    <row r="60" spans="1:15" x14ac:dyDescent="0.25">
      <c r="A60" s="26" t="s">
        <v>276</v>
      </c>
      <c r="B60" s="20" t="s">
        <v>216</v>
      </c>
      <c r="C60" s="21">
        <v>0.375</v>
      </c>
      <c r="D60" s="20">
        <v>7.67</v>
      </c>
      <c r="E60" s="20">
        <v>7.87</v>
      </c>
      <c r="F60" s="20" t="s">
        <v>0</v>
      </c>
      <c r="G60" s="20" t="s">
        <v>0</v>
      </c>
      <c r="H60" s="20" t="s">
        <v>0</v>
      </c>
      <c r="I60" s="22" t="s">
        <v>0</v>
      </c>
      <c r="J60" s="20" t="s">
        <v>0</v>
      </c>
      <c r="K60" s="20" t="s">
        <v>0</v>
      </c>
      <c r="L60" s="20" t="s">
        <v>0</v>
      </c>
      <c r="M60" s="23" t="s">
        <v>0</v>
      </c>
      <c r="N60" s="22" t="s">
        <v>0</v>
      </c>
      <c r="O60" s="22">
        <v>1.1571</v>
      </c>
    </row>
    <row r="61" spans="1:15" x14ac:dyDescent="0.25">
      <c r="A61" s="26" t="s">
        <v>43</v>
      </c>
      <c r="B61" s="20" t="s">
        <v>154</v>
      </c>
      <c r="C61" s="21">
        <v>1.625</v>
      </c>
      <c r="D61" s="20">
        <v>7.81</v>
      </c>
      <c r="E61" s="20">
        <v>8.4499999999999993</v>
      </c>
      <c r="F61" s="20" t="s">
        <v>0</v>
      </c>
      <c r="G61" s="20" t="s">
        <v>0</v>
      </c>
      <c r="H61" s="20" t="s">
        <v>0</v>
      </c>
      <c r="I61" s="22" t="s">
        <v>0</v>
      </c>
      <c r="J61" s="20" t="s">
        <v>0</v>
      </c>
      <c r="K61" s="20" t="s">
        <v>0</v>
      </c>
      <c r="L61" s="20" t="s">
        <v>0</v>
      </c>
      <c r="M61" s="23" t="s">
        <v>0</v>
      </c>
      <c r="N61" s="22" t="s">
        <v>0</v>
      </c>
      <c r="O61" s="22">
        <v>1.1772</v>
      </c>
    </row>
    <row r="62" spans="1:15" x14ac:dyDescent="0.25">
      <c r="A62" s="26" t="s">
        <v>289</v>
      </c>
      <c r="B62" s="20" t="s">
        <v>232</v>
      </c>
      <c r="C62" s="21">
        <v>0.5</v>
      </c>
      <c r="D62" s="20">
        <v>7.92</v>
      </c>
      <c r="E62" s="20">
        <v>8.1999999999999993</v>
      </c>
      <c r="F62" s="20" t="s">
        <v>0</v>
      </c>
      <c r="G62" s="20" t="s">
        <v>0</v>
      </c>
      <c r="H62" s="20" t="s">
        <v>0</v>
      </c>
      <c r="I62" s="22" t="s">
        <v>0</v>
      </c>
      <c r="J62" s="20" t="s">
        <v>0</v>
      </c>
      <c r="K62" s="20" t="s">
        <v>0</v>
      </c>
      <c r="L62" s="20" t="s">
        <v>0</v>
      </c>
      <c r="M62" s="23" t="s">
        <v>0</v>
      </c>
      <c r="N62" s="22" t="s">
        <v>0</v>
      </c>
      <c r="O62" s="22">
        <v>1.1720999999999999</v>
      </c>
    </row>
    <row r="63" spans="1:15" x14ac:dyDescent="0.25">
      <c r="A63" s="26" t="s">
        <v>25</v>
      </c>
      <c r="B63" s="20" t="s">
        <v>155</v>
      </c>
      <c r="C63" s="21">
        <v>1.625</v>
      </c>
      <c r="D63" s="20">
        <v>7.96</v>
      </c>
      <c r="E63" s="20">
        <v>8.6</v>
      </c>
      <c r="F63" s="20" t="s">
        <v>0</v>
      </c>
      <c r="G63" s="20" t="s">
        <v>0</v>
      </c>
      <c r="H63" s="20" t="s">
        <v>0</v>
      </c>
      <c r="I63" s="22" t="s">
        <v>0</v>
      </c>
      <c r="J63" s="20" t="s">
        <v>0</v>
      </c>
      <c r="K63" s="20" t="s">
        <v>0</v>
      </c>
      <c r="L63" s="20" t="s">
        <v>0</v>
      </c>
      <c r="M63" s="23" t="s">
        <v>0</v>
      </c>
      <c r="N63" s="22" t="s">
        <v>0</v>
      </c>
      <c r="O63" s="22">
        <v>1.1813</v>
      </c>
    </row>
    <row r="64" spans="1:15" x14ac:dyDescent="0.25">
      <c r="A64" s="26" t="s">
        <v>290</v>
      </c>
      <c r="B64" s="20" t="s">
        <v>248</v>
      </c>
      <c r="C64" s="21">
        <v>0.75</v>
      </c>
      <c r="D64" s="20">
        <v>8.0500000000000007</v>
      </c>
      <c r="E64" s="20">
        <v>8.42</v>
      </c>
      <c r="F64" s="20" t="s">
        <v>0</v>
      </c>
      <c r="G64" s="20" t="s">
        <v>0</v>
      </c>
      <c r="H64" s="20" t="s">
        <v>0</v>
      </c>
      <c r="I64" s="22" t="s">
        <v>0</v>
      </c>
      <c r="J64" s="20" t="s">
        <v>0</v>
      </c>
      <c r="K64" s="20" t="s">
        <v>0</v>
      </c>
      <c r="L64" s="20" t="s">
        <v>0</v>
      </c>
      <c r="M64" s="23" t="s">
        <v>0</v>
      </c>
      <c r="N64" s="22" t="s">
        <v>0</v>
      </c>
      <c r="O64" s="22">
        <v>1.1794</v>
      </c>
    </row>
    <row r="65" spans="1:15" x14ac:dyDescent="0.25">
      <c r="A65" s="26" t="s">
        <v>245</v>
      </c>
      <c r="B65" s="20" t="s">
        <v>249</v>
      </c>
      <c r="C65" s="21">
        <v>0.625</v>
      </c>
      <c r="D65" s="20">
        <v>8.1999999999999993</v>
      </c>
      <c r="E65" s="20">
        <v>8.5299999999999994</v>
      </c>
      <c r="F65" s="20" t="s">
        <v>0</v>
      </c>
      <c r="G65" s="20" t="s">
        <v>0</v>
      </c>
      <c r="H65" s="20" t="s">
        <v>0</v>
      </c>
      <c r="I65" s="22" t="s">
        <v>0</v>
      </c>
      <c r="J65" s="20" t="s">
        <v>0</v>
      </c>
      <c r="K65" s="20" t="s">
        <v>0</v>
      </c>
      <c r="L65" s="20" t="s">
        <v>0</v>
      </c>
      <c r="M65" s="23" t="s">
        <v>0</v>
      </c>
      <c r="N65" s="22" t="s">
        <v>0</v>
      </c>
      <c r="O65" s="22">
        <v>1.1831</v>
      </c>
    </row>
    <row r="66" spans="1:15" x14ac:dyDescent="0.25">
      <c r="A66" s="26" t="s">
        <v>29</v>
      </c>
      <c r="B66" s="20" t="s">
        <v>156</v>
      </c>
      <c r="C66" s="21">
        <v>1.5</v>
      </c>
      <c r="D66" s="20">
        <v>8.39</v>
      </c>
      <c r="E66" s="20">
        <v>9</v>
      </c>
      <c r="F66" s="20" t="s">
        <v>0</v>
      </c>
      <c r="G66" s="20" t="s">
        <v>0</v>
      </c>
      <c r="H66" s="20" t="s">
        <v>0</v>
      </c>
      <c r="I66" s="22" t="s">
        <v>0</v>
      </c>
      <c r="J66" s="20" t="s">
        <v>0</v>
      </c>
      <c r="K66" s="20" t="s">
        <v>0</v>
      </c>
      <c r="L66" s="20" t="s">
        <v>0</v>
      </c>
      <c r="M66" s="23" t="s">
        <v>0</v>
      </c>
      <c r="N66" s="22" t="s">
        <v>462</v>
      </c>
      <c r="O66" s="22">
        <v>1.1882999999999999</v>
      </c>
    </row>
    <row r="67" spans="1:15" x14ac:dyDescent="0.25">
      <c r="A67" s="26" t="s">
        <v>264</v>
      </c>
      <c r="B67" s="20" t="s">
        <v>266</v>
      </c>
      <c r="C67" s="21">
        <v>1.25</v>
      </c>
      <c r="D67" s="20">
        <v>8.36</v>
      </c>
      <c r="E67" s="20">
        <v>8.89</v>
      </c>
      <c r="F67" s="20" t="s">
        <v>0</v>
      </c>
      <c r="G67" s="20" t="s">
        <v>0</v>
      </c>
      <c r="H67" s="20" t="s">
        <v>0</v>
      </c>
      <c r="I67" s="22" t="s">
        <v>0</v>
      </c>
      <c r="J67" s="20" t="s">
        <v>0</v>
      </c>
      <c r="K67" s="20" t="s">
        <v>0</v>
      </c>
      <c r="L67" s="20" t="s">
        <v>0</v>
      </c>
      <c r="M67" s="23" t="s">
        <v>0</v>
      </c>
      <c r="N67" s="22" t="s">
        <v>0</v>
      </c>
      <c r="O67" s="22">
        <v>1.1879</v>
      </c>
    </row>
    <row r="68" spans="1:15" x14ac:dyDescent="0.25">
      <c r="A68" s="26" t="s">
        <v>313</v>
      </c>
      <c r="B68" s="20" t="s">
        <v>314</v>
      </c>
      <c r="C68" s="21">
        <v>1.75</v>
      </c>
      <c r="D68" s="20">
        <v>8.3699999999999992</v>
      </c>
      <c r="E68" s="20">
        <v>9.19</v>
      </c>
      <c r="F68" s="20" t="s">
        <v>0</v>
      </c>
      <c r="G68" s="20" t="s">
        <v>0</v>
      </c>
      <c r="H68" s="20" t="s">
        <v>0</v>
      </c>
      <c r="I68" s="22" t="s">
        <v>0</v>
      </c>
      <c r="J68" s="20" t="s">
        <v>0</v>
      </c>
      <c r="K68" s="20" t="s">
        <v>0</v>
      </c>
      <c r="L68" s="20" t="s">
        <v>0</v>
      </c>
      <c r="M68" s="23" t="s">
        <v>0</v>
      </c>
      <c r="N68" s="22" t="s">
        <v>0</v>
      </c>
      <c r="O68" s="22">
        <v>1.1888000000000001</v>
      </c>
    </row>
    <row r="69" spans="1:15" x14ac:dyDescent="0.25">
      <c r="A69" s="26" t="s">
        <v>53</v>
      </c>
      <c r="B69" s="20" t="s">
        <v>159</v>
      </c>
      <c r="C69" s="21">
        <v>1.5</v>
      </c>
      <c r="D69" s="20">
        <v>8.74</v>
      </c>
      <c r="E69" s="20">
        <v>9.4700000000000006</v>
      </c>
      <c r="F69" s="20" t="s">
        <v>0</v>
      </c>
      <c r="G69" s="20" t="s">
        <v>0</v>
      </c>
      <c r="H69" s="20" t="s">
        <v>0</v>
      </c>
      <c r="I69" s="22" t="s">
        <v>0</v>
      </c>
      <c r="J69" s="20" t="s">
        <v>0</v>
      </c>
      <c r="K69" s="20" t="s">
        <v>0</v>
      </c>
      <c r="L69" s="20" t="s">
        <v>0</v>
      </c>
      <c r="M69" s="23" t="s">
        <v>0</v>
      </c>
      <c r="N69" s="22" t="s">
        <v>0</v>
      </c>
      <c r="O69" s="22">
        <v>1.1910000000000001</v>
      </c>
    </row>
    <row r="70" spans="1:15" x14ac:dyDescent="0.25">
      <c r="A70" s="26" t="s">
        <v>329</v>
      </c>
      <c r="B70" s="20" t="s">
        <v>330</v>
      </c>
      <c r="C70" s="21">
        <v>1.25</v>
      </c>
      <c r="D70" s="20">
        <v>8.7799999999999994</v>
      </c>
      <c r="E70" s="20">
        <v>9.42</v>
      </c>
      <c r="F70" s="20" t="s">
        <v>0</v>
      </c>
      <c r="G70" s="20" t="s">
        <v>0</v>
      </c>
      <c r="H70" s="20" t="s">
        <v>0</v>
      </c>
      <c r="I70" s="22" t="s">
        <v>0</v>
      </c>
      <c r="J70" s="20" t="s">
        <v>0</v>
      </c>
      <c r="K70" s="20" t="s">
        <v>0</v>
      </c>
      <c r="L70" s="20" t="s">
        <v>0</v>
      </c>
      <c r="M70" s="23" t="s">
        <v>0</v>
      </c>
      <c r="N70" s="22" t="s">
        <v>0</v>
      </c>
      <c r="O70" s="22">
        <v>1.1917</v>
      </c>
    </row>
    <row r="71" spans="1:15" x14ac:dyDescent="0.25">
      <c r="A71" s="26" t="s">
        <v>62</v>
      </c>
      <c r="B71" s="20" t="s">
        <v>158</v>
      </c>
      <c r="C71" s="21">
        <v>1.75</v>
      </c>
      <c r="D71" s="20">
        <v>8.7899999999999991</v>
      </c>
      <c r="E71" s="20">
        <v>9.61</v>
      </c>
      <c r="F71" s="20" t="s">
        <v>0</v>
      </c>
      <c r="G71" s="20" t="s">
        <v>0</v>
      </c>
      <c r="H71" s="20" t="s">
        <v>0</v>
      </c>
      <c r="I71" s="22" t="s">
        <v>0</v>
      </c>
      <c r="J71" s="20" t="s">
        <v>0</v>
      </c>
      <c r="K71" s="20" t="s">
        <v>0</v>
      </c>
      <c r="L71" s="20" t="s">
        <v>0</v>
      </c>
      <c r="M71" s="23" t="s">
        <v>0</v>
      </c>
      <c r="N71" s="22" t="s">
        <v>0</v>
      </c>
      <c r="O71" s="22">
        <v>1.1904999999999999</v>
      </c>
    </row>
    <row r="72" spans="1:15" x14ac:dyDescent="0.25">
      <c r="A72" s="26" t="s">
        <v>30</v>
      </c>
      <c r="B72" s="20" t="s">
        <v>160</v>
      </c>
      <c r="C72" s="21">
        <v>2</v>
      </c>
      <c r="D72" s="20">
        <v>9.0500000000000007</v>
      </c>
      <c r="E72" s="20">
        <v>9.9600000000000009</v>
      </c>
      <c r="F72" s="20" t="s">
        <v>0</v>
      </c>
      <c r="G72" s="20" t="s">
        <v>0</v>
      </c>
      <c r="H72" s="20" t="s">
        <v>0</v>
      </c>
      <c r="I72" s="22" t="s">
        <v>0</v>
      </c>
      <c r="J72" s="20" t="s">
        <v>0</v>
      </c>
      <c r="K72" s="20" t="s">
        <v>0</v>
      </c>
      <c r="L72" s="20" t="s">
        <v>0</v>
      </c>
      <c r="M72" s="23" t="s">
        <v>0</v>
      </c>
      <c r="N72" s="22" t="s">
        <v>0</v>
      </c>
      <c r="O72" s="22">
        <v>1.1908000000000001</v>
      </c>
    </row>
    <row r="73" spans="1:15" x14ac:dyDescent="0.25">
      <c r="A73" s="26" t="s">
        <v>327</v>
      </c>
      <c r="B73" s="20" t="s">
        <v>328</v>
      </c>
      <c r="C73" s="21">
        <v>1.125</v>
      </c>
      <c r="D73" s="20">
        <v>8.93</v>
      </c>
      <c r="E73" s="20">
        <v>9.5299999999999994</v>
      </c>
      <c r="F73" s="20" t="s">
        <v>0</v>
      </c>
      <c r="G73" s="20" t="s">
        <v>0</v>
      </c>
      <c r="H73" s="20" t="s">
        <v>0</v>
      </c>
      <c r="I73" s="22" t="s">
        <v>0</v>
      </c>
      <c r="J73" s="20" t="s">
        <v>0</v>
      </c>
      <c r="K73" s="20" t="s">
        <v>0</v>
      </c>
      <c r="L73" s="20" t="s">
        <v>0</v>
      </c>
      <c r="M73" s="23" t="s">
        <v>0</v>
      </c>
      <c r="N73" s="22" t="s">
        <v>0</v>
      </c>
      <c r="O73" s="22">
        <v>1.1923999999999999</v>
      </c>
    </row>
    <row r="74" spans="1:15" x14ac:dyDescent="0.25">
      <c r="A74" s="26" t="s">
        <v>377</v>
      </c>
      <c r="B74" s="20" t="s">
        <v>362</v>
      </c>
      <c r="C74" s="21">
        <v>1.125</v>
      </c>
      <c r="D74" s="20">
        <v>9.19</v>
      </c>
      <c r="E74" s="20">
        <v>9.83</v>
      </c>
      <c r="F74" s="20" t="s">
        <v>0</v>
      </c>
      <c r="G74" s="20" t="s">
        <v>0</v>
      </c>
      <c r="H74" s="20" t="s">
        <v>0</v>
      </c>
      <c r="I74" s="22" t="s">
        <v>0</v>
      </c>
      <c r="J74" s="20" t="s">
        <v>0</v>
      </c>
      <c r="K74" s="20" t="s">
        <v>0</v>
      </c>
      <c r="L74" s="20" t="s">
        <v>0</v>
      </c>
      <c r="M74" s="23" t="s">
        <v>0</v>
      </c>
      <c r="N74" s="22" t="s">
        <v>0</v>
      </c>
      <c r="O74" s="22">
        <v>1.1931</v>
      </c>
    </row>
    <row r="75" spans="1:15" x14ac:dyDescent="0.25">
      <c r="A75" s="26" t="s">
        <v>21</v>
      </c>
      <c r="B75" s="20" t="s">
        <v>157</v>
      </c>
      <c r="C75" s="21">
        <v>3.875</v>
      </c>
      <c r="D75" s="20">
        <v>9.09</v>
      </c>
      <c r="E75" s="20">
        <v>10.8</v>
      </c>
      <c r="F75" s="20" t="s">
        <v>0</v>
      </c>
      <c r="G75" s="20" t="s">
        <v>0</v>
      </c>
      <c r="H75" s="20" t="s">
        <v>0</v>
      </c>
      <c r="I75" s="22" t="s">
        <v>0</v>
      </c>
      <c r="J75" s="20" t="s">
        <v>0</v>
      </c>
      <c r="K75" s="20" t="s">
        <v>0</v>
      </c>
      <c r="L75" s="20" t="s">
        <v>0</v>
      </c>
      <c r="M75" s="23" t="s">
        <v>0</v>
      </c>
      <c r="N75" s="22" t="s">
        <v>0</v>
      </c>
      <c r="O75" s="22">
        <v>1.1912</v>
      </c>
    </row>
    <row r="76" spans="1:15" x14ac:dyDescent="0.25">
      <c r="A76" s="26" t="s">
        <v>361</v>
      </c>
      <c r="B76" s="20" t="s">
        <v>362</v>
      </c>
      <c r="C76" s="21">
        <v>1.125</v>
      </c>
      <c r="D76" s="20">
        <v>9.23</v>
      </c>
      <c r="E76" s="20">
        <v>9.83</v>
      </c>
      <c r="F76" s="20" t="s">
        <v>0</v>
      </c>
      <c r="G76" s="20" t="s">
        <v>0</v>
      </c>
      <c r="H76" s="20" t="s">
        <v>0</v>
      </c>
      <c r="I76" s="22" t="s">
        <v>0</v>
      </c>
      <c r="J76" s="20" t="s">
        <v>0</v>
      </c>
      <c r="K76" s="20" t="s">
        <v>0</v>
      </c>
      <c r="L76" s="20" t="s">
        <v>0</v>
      </c>
      <c r="M76" s="23" t="s">
        <v>0</v>
      </c>
      <c r="N76" s="22" t="s">
        <v>0</v>
      </c>
      <c r="O76" s="22">
        <v>1.1933</v>
      </c>
    </row>
    <row r="77" spans="1:15" x14ac:dyDescent="0.25">
      <c r="A77" s="26" t="s">
        <v>63</v>
      </c>
      <c r="B77" s="20" t="s">
        <v>161</v>
      </c>
      <c r="C77" s="21">
        <v>2</v>
      </c>
      <c r="D77" s="20">
        <v>9.39</v>
      </c>
      <c r="E77" s="20">
        <v>10.47</v>
      </c>
      <c r="F77" s="20" t="s">
        <v>0</v>
      </c>
      <c r="G77" s="20" t="s">
        <v>0</v>
      </c>
      <c r="H77" s="20" t="s">
        <v>0</v>
      </c>
      <c r="I77" s="22" t="s">
        <v>0</v>
      </c>
      <c r="J77" s="20" t="s">
        <v>0</v>
      </c>
      <c r="K77" s="20" t="s">
        <v>0</v>
      </c>
      <c r="L77" s="20" t="s">
        <v>0</v>
      </c>
      <c r="M77" s="23" t="s">
        <v>0</v>
      </c>
      <c r="N77" s="22" t="s">
        <v>0</v>
      </c>
      <c r="O77" s="22">
        <v>1.1939</v>
      </c>
    </row>
    <row r="78" spans="1:15" x14ac:dyDescent="0.25">
      <c r="A78" s="26" t="s">
        <v>65</v>
      </c>
      <c r="B78" s="20" t="s">
        <v>163</v>
      </c>
      <c r="C78" s="21">
        <v>2.125</v>
      </c>
      <c r="D78" s="20">
        <v>9.84</v>
      </c>
      <c r="E78" s="20">
        <v>10.97</v>
      </c>
      <c r="F78" s="20" t="s">
        <v>0</v>
      </c>
      <c r="G78" s="20" t="s">
        <v>0</v>
      </c>
      <c r="H78" s="20" t="s">
        <v>0</v>
      </c>
      <c r="I78" s="22" t="s">
        <v>0</v>
      </c>
      <c r="J78" s="20" t="s">
        <v>0</v>
      </c>
      <c r="K78" s="20" t="s">
        <v>0</v>
      </c>
      <c r="L78" s="20" t="s">
        <v>0</v>
      </c>
      <c r="M78" s="23" t="s">
        <v>0</v>
      </c>
      <c r="N78" s="22" t="s">
        <v>0</v>
      </c>
      <c r="O78" s="22">
        <v>1.1979</v>
      </c>
    </row>
    <row r="79" spans="1:15" x14ac:dyDescent="0.25">
      <c r="A79" s="26" t="s">
        <v>44</v>
      </c>
      <c r="B79" s="20" t="s">
        <v>162</v>
      </c>
      <c r="C79" s="21">
        <v>1.875</v>
      </c>
      <c r="D79" s="20">
        <v>9.67</v>
      </c>
      <c r="E79" s="20">
        <v>10.71</v>
      </c>
      <c r="F79" s="20" t="s">
        <v>0</v>
      </c>
      <c r="G79" s="20" t="s">
        <v>0</v>
      </c>
      <c r="H79" s="20" t="s">
        <v>0</v>
      </c>
      <c r="I79" s="22" t="s">
        <v>0</v>
      </c>
      <c r="J79" s="20" t="s">
        <v>0</v>
      </c>
      <c r="K79" s="20" t="s">
        <v>0</v>
      </c>
      <c r="L79" s="20" t="s">
        <v>0</v>
      </c>
      <c r="M79" s="23" t="s">
        <v>0</v>
      </c>
      <c r="N79" s="22" t="s">
        <v>0</v>
      </c>
      <c r="O79" s="22">
        <v>1.1961999999999999</v>
      </c>
    </row>
    <row r="80" spans="1:15" x14ac:dyDescent="0.25">
      <c r="A80" s="26" t="s">
        <v>64</v>
      </c>
      <c r="B80" s="20" t="s">
        <v>164</v>
      </c>
      <c r="C80" s="21">
        <v>2.25</v>
      </c>
      <c r="D80" s="20">
        <v>9.76</v>
      </c>
      <c r="E80" s="20">
        <v>11.15</v>
      </c>
      <c r="F80" s="20" t="s">
        <v>0</v>
      </c>
      <c r="G80" s="20" t="s">
        <v>0</v>
      </c>
      <c r="H80" s="20" t="s">
        <v>0</v>
      </c>
      <c r="I80" s="22" t="s">
        <v>0</v>
      </c>
      <c r="J80" s="20" t="s">
        <v>0</v>
      </c>
      <c r="K80" s="20" t="s">
        <v>0</v>
      </c>
      <c r="L80" s="20" t="s">
        <v>0</v>
      </c>
      <c r="M80" s="23" t="s">
        <v>0</v>
      </c>
      <c r="N80" s="22" t="s">
        <v>0</v>
      </c>
      <c r="O80" s="22">
        <v>1.1993</v>
      </c>
    </row>
    <row r="81" spans="1:15" x14ac:dyDescent="0.25">
      <c r="A81" s="26" t="s">
        <v>26</v>
      </c>
      <c r="B81" s="20" t="s">
        <v>165</v>
      </c>
      <c r="C81" s="21">
        <v>2</v>
      </c>
      <c r="D81" s="20">
        <v>10.18</v>
      </c>
      <c r="E81" s="20">
        <v>11.46</v>
      </c>
      <c r="F81" s="20" t="s">
        <v>0</v>
      </c>
      <c r="G81" s="20" t="s">
        <v>0</v>
      </c>
      <c r="H81" s="20" t="s">
        <v>0</v>
      </c>
      <c r="I81" s="22" t="s">
        <v>0</v>
      </c>
      <c r="J81" s="20" t="s">
        <v>0</v>
      </c>
      <c r="K81" s="20" t="s">
        <v>0</v>
      </c>
      <c r="L81" s="20" t="s">
        <v>0</v>
      </c>
      <c r="M81" s="23" t="s">
        <v>0</v>
      </c>
      <c r="N81" s="22" t="s">
        <v>0</v>
      </c>
      <c r="O81" s="22">
        <v>1.2037</v>
      </c>
    </row>
    <row r="82" spans="1:15" x14ac:dyDescent="0.25">
      <c r="A82" s="26" t="s">
        <v>49</v>
      </c>
      <c r="B82" s="20" t="s">
        <v>166</v>
      </c>
      <c r="C82" s="21">
        <v>2.125</v>
      </c>
      <c r="D82" s="20">
        <v>10.35</v>
      </c>
      <c r="E82" s="20">
        <v>11.68</v>
      </c>
      <c r="F82" s="20" t="s">
        <v>0</v>
      </c>
      <c r="G82" s="20" t="s">
        <v>0</v>
      </c>
      <c r="H82" s="20" t="s">
        <v>0</v>
      </c>
      <c r="I82" s="22" t="s">
        <v>0</v>
      </c>
      <c r="J82" s="20" t="s">
        <v>0</v>
      </c>
      <c r="K82" s="20" t="s">
        <v>0</v>
      </c>
      <c r="L82" s="20" t="s">
        <v>0</v>
      </c>
      <c r="M82" s="23" t="s">
        <v>0</v>
      </c>
      <c r="N82" s="22" t="s">
        <v>0</v>
      </c>
      <c r="O82" s="22">
        <v>1.206</v>
      </c>
    </row>
    <row r="83" spans="1:15" x14ac:dyDescent="0.25">
      <c r="A83" s="26" t="s">
        <v>54</v>
      </c>
      <c r="B83" s="20" t="s">
        <v>167</v>
      </c>
      <c r="C83" s="21">
        <v>1.75</v>
      </c>
      <c r="D83" s="20">
        <v>10.87</v>
      </c>
      <c r="E83" s="20">
        <v>12.21</v>
      </c>
      <c r="F83" s="20" t="s">
        <v>0</v>
      </c>
      <c r="G83" s="20" t="s">
        <v>0</v>
      </c>
      <c r="H83" s="20" t="s">
        <v>0</v>
      </c>
      <c r="I83" s="22" t="s">
        <v>0</v>
      </c>
      <c r="J83" s="20" t="s">
        <v>0</v>
      </c>
      <c r="K83" s="20" t="s">
        <v>0</v>
      </c>
      <c r="L83" s="20" t="s">
        <v>0</v>
      </c>
      <c r="M83" s="23" t="s">
        <v>0</v>
      </c>
      <c r="N83" s="22" t="s">
        <v>0</v>
      </c>
      <c r="O83" s="22">
        <v>1.2146999999999999</v>
      </c>
    </row>
    <row r="84" spans="1:15" x14ac:dyDescent="0.25">
      <c r="A84" s="26" t="s">
        <v>39</v>
      </c>
      <c r="B84" s="20" t="s">
        <v>168</v>
      </c>
      <c r="C84" s="21">
        <v>1.375</v>
      </c>
      <c r="D84" s="20">
        <v>11.32</v>
      </c>
      <c r="E84" s="20">
        <v>12.45</v>
      </c>
      <c r="F84" s="20" t="s">
        <v>0</v>
      </c>
      <c r="G84" s="20" t="s">
        <v>0</v>
      </c>
      <c r="H84" s="20" t="s">
        <v>0</v>
      </c>
      <c r="I84" s="22" t="s">
        <v>0</v>
      </c>
      <c r="J84" s="20" t="s">
        <v>0</v>
      </c>
      <c r="K84" s="20" t="s">
        <v>0</v>
      </c>
      <c r="L84" s="20" t="s">
        <v>0</v>
      </c>
      <c r="M84" s="23" t="s">
        <v>0</v>
      </c>
      <c r="N84" s="22" t="s">
        <v>0</v>
      </c>
      <c r="O84" s="22">
        <v>1.2198</v>
      </c>
    </row>
    <row r="85" spans="1:15" x14ac:dyDescent="0.25">
      <c r="A85" s="26" t="s">
        <v>34</v>
      </c>
      <c r="B85" s="20" t="s">
        <v>169</v>
      </c>
      <c r="C85" s="21">
        <v>1.25</v>
      </c>
      <c r="D85" s="20">
        <v>11.6</v>
      </c>
      <c r="E85" s="20">
        <v>12.66</v>
      </c>
      <c r="F85" s="20" t="s">
        <v>0</v>
      </c>
      <c r="G85" s="20" t="s">
        <v>0</v>
      </c>
      <c r="H85" s="20" t="s">
        <v>0</v>
      </c>
      <c r="I85" s="22" t="s">
        <v>0</v>
      </c>
      <c r="J85" s="20" t="s">
        <v>0</v>
      </c>
      <c r="K85" s="20" t="s">
        <v>0</v>
      </c>
      <c r="L85" s="20" t="s">
        <v>0</v>
      </c>
      <c r="M85" s="23" t="s">
        <v>0</v>
      </c>
      <c r="N85" s="22" t="s">
        <v>0</v>
      </c>
      <c r="O85" s="22">
        <v>1.2236</v>
      </c>
    </row>
    <row r="86" spans="1:15" x14ac:dyDescent="0.25">
      <c r="A86" s="26" t="s">
        <v>45</v>
      </c>
      <c r="B86" s="20" t="s">
        <v>171</v>
      </c>
      <c r="C86" s="21">
        <v>1.125</v>
      </c>
      <c r="D86" s="20">
        <v>11.95</v>
      </c>
      <c r="E86" s="20">
        <v>12.94</v>
      </c>
      <c r="F86" s="20" t="s">
        <v>0</v>
      </c>
      <c r="G86" s="20" t="s">
        <v>0</v>
      </c>
      <c r="H86" s="20" t="s">
        <v>0</v>
      </c>
      <c r="I86" s="22" t="s">
        <v>0</v>
      </c>
      <c r="J86" s="20" t="s">
        <v>0</v>
      </c>
      <c r="K86" s="20" t="s">
        <v>0</v>
      </c>
      <c r="L86" s="20" t="s">
        <v>0</v>
      </c>
      <c r="M86" s="23" t="s">
        <v>0</v>
      </c>
      <c r="N86" s="22" t="s">
        <v>0</v>
      </c>
      <c r="O86" s="22">
        <v>1.2289000000000001</v>
      </c>
    </row>
    <row r="87" spans="1:15" x14ac:dyDescent="0.25">
      <c r="A87" s="26" t="s">
        <v>36</v>
      </c>
      <c r="B87" s="20" t="s">
        <v>170</v>
      </c>
      <c r="C87" s="21">
        <v>1.75</v>
      </c>
      <c r="D87" s="20">
        <v>11.98</v>
      </c>
      <c r="E87" s="20">
        <v>13.53</v>
      </c>
      <c r="F87" s="20" t="s">
        <v>0</v>
      </c>
      <c r="G87" s="20" t="s">
        <v>0</v>
      </c>
      <c r="H87" s="20" t="s">
        <v>0</v>
      </c>
      <c r="I87" s="22" t="s">
        <v>0</v>
      </c>
      <c r="J87" s="20" t="s">
        <v>0</v>
      </c>
      <c r="K87" s="20" t="s">
        <v>0</v>
      </c>
      <c r="L87" s="20" t="s">
        <v>0</v>
      </c>
      <c r="M87" s="23" t="s">
        <v>0</v>
      </c>
      <c r="N87" s="22" t="s">
        <v>0</v>
      </c>
      <c r="O87" s="22">
        <v>1.2364999999999999</v>
      </c>
    </row>
    <row r="88" spans="1:15" x14ac:dyDescent="0.25">
      <c r="A88" s="26" t="s">
        <v>66</v>
      </c>
      <c r="B88" s="20" t="s">
        <v>172</v>
      </c>
      <c r="C88" s="21">
        <v>1.5</v>
      </c>
      <c r="D88" s="20">
        <v>12.44</v>
      </c>
      <c r="E88" s="20">
        <v>14.02</v>
      </c>
      <c r="F88" s="20" t="s">
        <v>0</v>
      </c>
      <c r="G88" s="20" t="s">
        <v>0</v>
      </c>
      <c r="H88" s="20" t="s">
        <v>0</v>
      </c>
      <c r="I88" s="22" t="s">
        <v>0</v>
      </c>
      <c r="J88" s="20" t="s">
        <v>0</v>
      </c>
      <c r="K88" s="20" t="s">
        <v>0</v>
      </c>
      <c r="L88" s="20" t="s">
        <v>0</v>
      </c>
      <c r="M88" s="23" t="s">
        <v>0</v>
      </c>
      <c r="N88" s="22" t="s">
        <v>0</v>
      </c>
      <c r="O88" s="22">
        <v>1.2467999999999999</v>
      </c>
    </row>
    <row r="89" spans="1:15" x14ac:dyDescent="0.25">
      <c r="A89" s="26" t="s">
        <v>67</v>
      </c>
      <c r="B89" s="20" t="s">
        <v>173</v>
      </c>
      <c r="C89" s="21">
        <v>1.375</v>
      </c>
      <c r="D89" s="20">
        <v>13.09</v>
      </c>
      <c r="E89" s="20">
        <v>14.59</v>
      </c>
      <c r="F89" s="20" t="s">
        <v>0</v>
      </c>
      <c r="G89" s="20" t="s">
        <v>0</v>
      </c>
      <c r="H89" s="20" t="s">
        <v>0</v>
      </c>
      <c r="I89" s="22" t="s">
        <v>0</v>
      </c>
      <c r="J89" s="20" t="s">
        <v>0</v>
      </c>
      <c r="K89" s="20" t="s">
        <v>0</v>
      </c>
      <c r="L89" s="20" t="s">
        <v>0</v>
      </c>
      <c r="M89" s="23" t="s">
        <v>0</v>
      </c>
      <c r="N89" s="22" t="s">
        <v>0</v>
      </c>
      <c r="O89" s="22">
        <v>1.2585</v>
      </c>
    </row>
    <row r="90" spans="1:15" x14ac:dyDescent="0.25">
      <c r="A90" s="26" t="s">
        <v>68</v>
      </c>
      <c r="B90" s="20" t="s">
        <v>175</v>
      </c>
      <c r="C90" s="21">
        <v>1.125</v>
      </c>
      <c r="D90" s="20">
        <v>13.66</v>
      </c>
      <c r="E90" s="20">
        <v>15.12</v>
      </c>
      <c r="F90" s="20" t="s">
        <v>0</v>
      </c>
      <c r="G90" s="20" t="s">
        <v>0</v>
      </c>
      <c r="H90" s="20" t="s">
        <v>0</v>
      </c>
      <c r="I90" s="22" t="s">
        <v>0</v>
      </c>
      <c r="J90" s="20" t="s">
        <v>0</v>
      </c>
      <c r="K90" s="20" t="s">
        <v>0</v>
      </c>
      <c r="L90" s="20" t="s">
        <v>0</v>
      </c>
      <c r="M90" s="23" t="s">
        <v>0</v>
      </c>
      <c r="N90" s="22" t="s">
        <v>0</v>
      </c>
      <c r="O90" s="22">
        <v>1.2706999999999999</v>
      </c>
    </row>
    <row r="91" spans="1:15" x14ac:dyDescent="0.25">
      <c r="A91" s="26" t="s">
        <v>22</v>
      </c>
      <c r="B91" s="20" t="s">
        <v>174</v>
      </c>
      <c r="C91" s="21">
        <v>2.25</v>
      </c>
      <c r="D91" s="20">
        <v>13.81</v>
      </c>
      <c r="E91" s="20">
        <v>16.47</v>
      </c>
      <c r="F91" s="20" t="s">
        <v>0</v>
      </c>
      <c r="G91" s="20" t="s">
        <v>0</v>
      </c>
      <c r="H91" s="20" t="s">
        <v>0</v>
      </c>
      <c r="I91" s="22" t="s">
        <v>0</v>
      </c>
      <c r="J91" s="20" t="s">
        <v>0</v>
      </c>
      <c r="K91" s="20" t="s">
        <v>0</v>
      </c>
      <c r="L91" s="20" t="s">
        <v>0</v>
      </c>
      <c r="M91" s="23" t="s">
        <v>0</v>
      </c>
      <c r="N91" s="22" t="s">
        <v>0</v>
      </c>
      <c r="O91" s="22">
        <v>1.2911999999999999</v>
      </c>
    </row>
    <row r="92" spans="1:15" x14ac:dyDescent="0.25">
      <c r="A92" s="26" t="s">
        <v>291</v>
      </c>
      <c r="B92" s="20" t="s">
        <v>176</v>
      </c>
      <c r="C92" s="21">
        <v>1.125</v>
      </c>
      <c r="D92" s="20">
        <v>14</v>
      </c>
      <c r="E92" s="20">
        <v>15.47</v>
      </c>
      <c r="F92" s="20" t="s">
        <v>0</v>
      </c>
      <c r="G92" s="20" t="s">
        <v>0</v>
      </c>
      <c r="H92" s="20" t="s">
        <v>0</v>
      </c>
      <c r="I92" s="22" t="s">
        <v>0</v>
      </c>
      <c r="J92" s="20" t="s">
        <v>0</v>
      </c>
      <c r="K92" s="20" t="s">
        <v>0</v>
      </c>
      <c r="L92" s="20" t="s">
        <v>0</v>
      </c>
      <c r="M92" s="23" t="s">
        <v>0</v>
      </c>
      <c r="N92" s="22" t="s">
        <v>0</v>
      </c>
      <c r="O92" s="22">
        <v>1.2781</v>
      </c>
    </row>
    <row r="93" spans="1:15" x14ac:dyDescent="0.25">
      <c r="A93" s="26" t="s">
        <v>292</v>
      </c>
      <c r="B93" s="20" t="s">
        <v>177</v>
      </c>
      <c r="C93" s="21">
        <v>1.125</v>
      </c>
      <c r="D93" s="20">
        <v>14.1</v>
      </c>
      <c r="E93" s="20">
        <v>15.57</v>
      </c>
      <c r="F93" s="20" t="s">
        <v>0</v>
      </c>
      <c r="G93" s="20" t="s">
        <v>0</v>
      </c>
      <c r="H93" s="20" t="s">
        <v>0</v>
      </c>
      <c r="I93" s="22" t="s">
        <v>0</v>
      </c>
      <c r="J93" s="20" t="s">
        <v>0</v>
      </c>
      <c r="K93" s="20" t="s">
        <v>0</v>
      </c>
      <c r="L93" s="20" t="s">
        <v>0</v>
      </c>
      <c r="M93" s="23" t="s">
        <v>0</v>
      </c>
      <c r="N93" s="22" t="s">
        <v>0</v>
      </c>
      <c r="O93" s="22">
        <v>1.2802</v>
      </c>
    </row>
    <row r="94" spans="1:15" x14ac:dyDescent="0.25">
      <c r="A94" s="26" t="s">
        <v>46</v>
      </c>
      <c r="B94" s="20" t="s">
        <v>178</v>
      </c>
      <c r="C94" s="21">
        <v>2.125</v>
      </c>
      <c r="D94" s="20">
        <v>14.54</v>
      </c>
      <c r="E94" s="20">
        <v>17.39</v>
      </c>
      <c r="F94" s="20" t="s">
        <v>0</v>
      </c>
      <c r="G94" s="20" t="s">
        <v>0</v>
      </c>
      <c r="H94" s="20" t="s">
        <v>0</v>
      </c>
      <c r="I94" s="22" t="s">
        <v>0</v>
      </c>
      <c r="J94" s="20" t="s">
        <v>0</v>
      </c>
      <c r="K94" s="20" t="s">
        <v>0</v>
      </c>
      <c r="L94" s="20" t="s">
        <v>0</v>
      </c>
      <c r="M94" s="23" t="s">
        <v>0</v>
      </c>
      <c r="N94" s="22" t="s">
        <v>0</v>
      </c>
      <c r="O94" s="22">
        <v>1.3110999999999999</v>
      </c>
    </row>
    <row r="95" spans="1:15" x14ac:dyDescent="0.25">
      <c r="A95" s="26" t="s">
        <v>23</v>
      </c>
      <c r="B95" s="20" t="s">
        <v>179</v>
      </c>
      <c r="C95" s="21">
        <v>2</v>
      </c>
      <c r="D95" s="20">
        <v>14.8</v>
      </c>
      <c r="E95" s="20">
        <v>17.54</v>
      </c>
      <c r="F95" s="20" t="s">
        <v>0</v>
      </c>
      <c r="G95" s="20" t="s">
        <v>0</v>
      </c>
      <c r="H95" s="20" t="s">
        <v>0</v>
      </c>
      <c r="I95" s="22" t="s">
        <v>0</v>
      </c>
      <c r="J95" s="20" t="s">
        <v>0</v>
      </c>
      <c r="K95" s="20" t="s">
        <v>0</v>
      </c>
      <c r="L95" s="20" t="s">
        <v>0</v>
      </c>
      <c r="M95" s="23" t="s">
        <v>0</v>
      </c>
      <c r="N95" s="22" t="s">
        <v>0</v>
      </c>
      <c r="O95" s="22">
        <v>1.3152999999999999</v>
      </c>
    </row>
    <row r="96" spans="1:15" x14ac:dyDescent="0.25">
      <c r="A96" s="26" t="s">
        <v>40</v>
      </c>
      <c r="B96" s="20" t="s">
        <v>180</v>
      </c>
      <c r="C96" s="21">
        <v>0.75</v>
      </c>
      <c r="D96" s="20">
        <v>14.85</v>
      </c>
      <c r="E96" s="20">
        <v>16.07</v>
      </c>
      <c r="F96" s="20" t="s">
        <v>0</v>
      </c>
      <c r="G96" s="20" t="s">
        <v>0</v>
      </c>
      <c r="H96" s="20" t="s">
        <v>0</v>
      </c>
      <c r="I96" s="22" t="s">
        <v>0</v>
      </c>
      <c r="J96" s="20" t="s">
        <v>0</v>
      </c>
      <c r="K96" s="20" t="s">
        <v>0</v>
      </c>
      <c r="L96" s="20" t="s">
        <v>0</v>
      </c>
      <c r="M96" s="23" t="s">
        <v>0</v>
      </c>
      <c r="N96" s="22" t="s">
        <v>0</v>
      </c>
      <c r="O96" s="22">
        <v>1.2939000000000001</v>
      </c>
    </row>
    <row r="97" spans="1:15" x14ac:dyDescent="0.25">
      <c r="A97" s="26" t="s">
        <v>47</v>
      </c>
      <c r="B97" s="20" t="s">
        <v>181</v>
      </c>
      <c r="C97" s="21">
        <v>1.875</v>
      </c>
      <c r="D97" s="20">
        <v>15.14</v>
      </c>
      <c r="E97" s="20">
        <v>18.03</v>
      </c>
      <c r="F97" s="20" t="s">
        <v>0</v>
      </c>
      <c r="G97" s="20" t="s">
        <v>0</v>
      </c>
      <c r="H97" s="20" t="s">
        <v>0</v>
      </c>
      <c r="I97" s="22" t="s">
        <v>0</v>
      </c>
      <c r="J97" s="20" t="s">
        <v>0</v>
      </c>
      <c r="K97" s="20" t="s">
        <v>0</v>
      </c>
      <c r="L97" s="20" t="s">
        <v>0</v>
      </c>
      <c r="M97" s="23" t="s">
        <v>0</v>
      </c>
      <c r="N97" s="22" t="s">
        <v>0</v>
      </c>
      <c r="O97" s="22">
        <v>1.3268</v>
      </c>
    </row>
    <row r="98" spans="1:15" x14ac:dyDescent="0.25">
      <c r="A98" s="26" t="s">
        <v>293</v>
      </c>
      <c r="B98" s="20" t="s">
        <v>182</v>
      </c>
      <c r="C98" s="21">
        <v>0.75</v>
      </c>
      <c r="D98" s="20">
        <v>15.21</v>
      </c>
      <c r="E98" s="20">
        <v>16.440000000000001</v>
      </c>
      <c r="F98" s="20" t="s">
        <v>0</v>
      </c>
      <c r="G98" s="20" t="s">
        <v>0</v>
      </c>
      <c r="H98" s="20" t="s">
        <v>0</v>
      </c>
      <c r="I98" s="22" t="s">
        <v>0</v>
      </c>
      <c r="J98" s="20" t="s">
        <v>0</v>
      </c>
      <c r="K98" s="20" t="s">
        <v>0</v>
      </c>
      <c r="L98" s="20" t="s">
        <v>0</v>
      </c>
      <c r="M98" s="23" t="s">
        <v>0</v>
      </c>
      <c r="N98" s="22" t="s">
        <v>0</v>
      </c>
      <c r="O98" s="22">
        <v>1.3019000000000001</v>
      </c>
    </row>
    <row r="99" spans="1:15" x14ac:dyDescent="0.25">
      <c r="A99" s="26" t="s">
        <v>294</v>
      </c>
      <c r="B99" s="20" t="s">
        <v>184</v>
      </c>
      <c r="C99" s="21">
        <v>0.5</v>
      </c>
      <c r="D99" s="20">
        <v>15.66</v>
      </c>
      <c r="E99" s="20">
        <v>16.579999999999998</v>
      </c>
      <c r="F99" s="20" t="s">
        <v>0</v>
      </c>
      <c r="G99" s="20" t="s">
        <v>0</v>
      </c>
      <c r="H99" s="20" t="s">
        <v>0</v>
      </c>
      <c r="I99" s="22" t="s">
        <v>0</v>
      </c>
      <c r="J99" s="20" t="s">
        <v>0</v>
      </c>
      <c r="K99" s="20" t="s">
        <v>0</v>
      </c>
      <c r="L99" s="20" t="s">
        <v>0</v>
      </c>
      <c r="M99" s="23" t="s">
        <v>0</v>
      </c>
      <c r="N99" s="22" t="s">
        <v>0</v>
      </c>
      <c r="O99" s="22">
        <v>1.3072999999999999</v>
      </c>
    </row>
    <row r="100" spans="1:15" x14ac:dyDescent="0.25">
      <c r="A100" s="26" t="s">
        <v>24</v>
      </c>
      <c r="B100" s="20" t="s">
        <v>183</v>
      </c>
      <c r="C100" s="21">
        <v>1.75</v>
      </c>
      <c r="D100" s="20">
        <v>15.73</v>
      </c>
      <c r="E100" s="20">
        <v>18.510000000000002</v>
      </c>
      <c r="F100" s="20" t="s">
        <v>0</v>
      </c>
      <c r="G100" s="20" t="s">
        <v>0</v>
      </c>
      <c r="H100" s="20" t="s">
        <v>0</v>
      </c>
      <c r="I100" s="22" t="s">
        <v>0</v>
      </c>
      <c r="J100" s="20" t="s">
        <v>0</v>
      </c>
      <c r="K100" s="20" t="s">
        <v>0</v>
      </c>
      <c r="L100" s="20" t="s">
        <v>0</v>
      </c>
      <c r="M100" s="23" t="s">
        <v>0</v>
      </c>
      <c r="N100" s="22" t="s">
        <v>0</v>
      </c>
      <c r="O100" s="22">
        <v>1.3380000000000001</v>
      </c>
    </row>
    <row r="101" spans="1:15" x14ac:dyDescent="0.25">
      <c r="A101" s="26" t="s">
        <v>69</v>
      </c>
      <c r="B101" s="20" t="s">
        <v>185</v>
      </c>
      <c r="C101" s="21">
        <v>2.5</v>
      </c>
      <c r="D101" s="20">
        <v>16.149999999999999</v>
      </c>
      <c r="E101" s="20">
        <v>19.98</v>
      </c>
      <c r="F101" s="20">
        <v>1.3685</v>
      </c>
      <c r="G101" s="20">
        <v>1.3685</v>
      </c>
      <c r="H101" s="20">
        <v>1.3685</v>
      </c>
      <c r="I101" s="22">
        <v>1</v>
      </c>
      <c r="J101" s="20">
        <v>1.3674999999999999</v>
      </c>
      <c r="K101" s="20">
        <v>1.3674999999999999</v>
      </c>
      <c r="L101" s="20">
        <v>1.3674999999999999</v>
      </c>
      <c r="M101" s="23">
        <v>1</v>
      </c>
      <c r="N101" s="22">
        <v>1</v>
      </c>
      <c r="O101" s="22">
        <v>1.3608</v>
      </c>
    </row>
    <row r="102" spans="1:15" x14ac:dyDescent="0.25">
      <c r="A102" s="26" t="s">
        <v>311</v>
      </c>
      <c r="B102" s="20" t="s">
        <v>306</v>
      </c>
      <c r="C102" s="21">
        <v>1.875</v>
      </c>
      <c r="D102" s="20">
        <v>15.95</v>
      </c>
      <c r="E102" s="20">
        <v>19.14</v>
      </c>
      <c r="F102" s="20" t="s">
        <v>0</v>
      </c>
      <c r="G102" s="20" t="s">
        <v>0</v>
      </c>
      <c r="H102" s="20" t="s">
        <v>0</v>
      </c>
      <c r="I102" s="22" t="s">
        <v>0</v>
      </c>
      <c r="J102" s="20" t="s">
        <v>0</v>
      </c>
      <c r="K102" s="20" t="s">
        <v>0</v>
      </c>
      <c r="L102" s="20" t="s">
        <v>0</v>
      </c>
      <c r="M102" s="23" t="s">
        <v>0</v>
      </c>
      <c r="N102" s="22" t="s">
        <v>0</v>
      </c>
      <c r="O102" s="22">
        <v>1.35</v>
      </c>
    </row>
    <row r="103" spans="1:15" x14ac:dyDescent="0.25">
      <c r="A103" s="26" t="s">
        <v>295</v>
      </c>
      <c r="B103" s="20" t="s">
        <v>187</v>
      </c>
      <c r="C103" s="21">
        <v>0.5</v>
      </c>
      <c r="D103" s="20">
        <v>16.079999999999998</v>
      </c>
      <c r="E103" s="20">
        <v>17.11</v>
      </c>
      <c r="F103" s="20" t="s">
        <v>0</v>
      </c>
      <c r="G103" s="20" t="s">
        <v>0</v>
      </c>
      <c r="H103" s="20" t="s">
        <v>0</v>
      </c>
      <c r="I103" s="22" t="s">
        <v>0</v>
      </c>
      <c r="J103" s="20" t="s">
        <v>0</v>
      </c>
      <c r="K103" s="20" t="s">
        <v>0</v>
      </c>
      <c r="L103" s="20" t="s">
        <v>0</v>
      </c>
      <c r="M103" s="23" t="s">
        <v>0</v>
      </c>
      <c r="N103" s="22" t="s">
        <v>0</v>
      </c>
      <c r="O103" s="22">
        <v>1.3192999999999999</v>
      </c>
    </row>
    <row r="104" spans="1:15" x14ac:dyDescent="0.25">
      <c r="A104" s="26" t="s">
        <v>70</v>
      </c>
      <c r="B104" s="20" t="s">
        <v>186</v>
      </c>
      <c r="C104" s="21">
        <v>1.625</v>
      </c>
      <c r="D104" s="20">
        <v>16.13</v>
      </c>
      <c r="E104" s="20">
        <v>19.04</v>
      </c>
      <c r="F104" s="20" t="s">
        <v>0</v>
      </c>
      <c r="G104" s="20" t="s">
        <v>0</v>
      </c>
      <c r="H104" s="20" t="s">
        <v>0</v>
      </c>
      <c r="I104" s="22" t="s">
        <v>0</v>
      </c>
      <c r="J104" s="20" t="s">
        <v>0</v>
      </c>
      <c r="K104" s="20" t="s">
        <v>0</v>
      </c>
      <c r="L104" s="20" t="s">
        <v>0</v>
      </c>
      <c r="M104" s="23" t="s">
        <v>0</v>
      </c>
      <c r="N104" s="22" t="s">
        <v>0</v>
      </c>
      <c r="O104" s="22">
        <v>1.3504</v>
      </c>
    </row>
    <row r="105" spans="1:15" x14ac:dyDescent="0.25">
      <c r="A105" s="26" t="s">
        <v>297</v>
      </c>
      <c r="B105" s="20" t="s">
        <v>193</v>
      </c>
      <c r="C105" s="21">
        <v>0.5</v>
      </c>
      <c r="D105" s="20">
        <v>16.440000000000001</v>
      </c>
      <c r="E105" s="20">
        <v>17.47</v>
      </c>
      <c r="F105" s="20" t="s">
        <v>0</v>
      </c>
      <c r="G105" s="20" t="s">
        <v>0</v>
      </c>
      <c r="H105" s="20" t="s">
        <v>0</v>
      </c>
      <c r="I105" s="22" t="s">
        <v>0</v>
      </c>
      <c r="J105" s="20" t="s">
        <v>0</v>
      </c>
      <c r="K105" s="20" t="s">
        <v>0</v>
      </c>
      <c r="L105" s="20" t="s">
        <v>0</v>
      </c>
      <c r="M105" s="23" t="s">
        <v>0</v>
      </c>
      <c r="N105" s="22" t="s">
        <v>0</v>
      </c>
      <c r="O105" s="22">
        <v>1.3277000000000001</v>
      </c>
    </row>
    <row r="106" spans="1:15" x14ac:dyDescent="0.25">
      <c r="A106" s="26" t="s">
        <v>41</v>
      </c>
      <c r="B106" s="20" t="s">
        <v>188</v>
      </c>
      <c r="C106" s="21">
        <v>1.75</v>
      </c>
      <c r="D106" s="20">
        <v>16.489999999999998</v>
      </c>
      <c r="E106" s="20">
        <v>19.55</v>
      </c>
      <c r="F106" s="20" t="s">
        <v>0</v>
      </c>
      <c r="G106" s="20" t="s">
        <v>0</v>
      </c>
      <c r="H106" s="20" t="s">
        <v>0</v>
      </c>
      <c r="I106" s="22" t="s">
        <v>0</v>
      </c>
      <c r="J106" s="20" t="s">
        <v>0</v>
      </c>
      <c r="K106" s="20" t="s">
        <v>0</v>
      </c>
      <c r="L106" s="20" t="s">
        <v>0</v>
      </c>
      <c r="M106" s="23" t="s">
        <v>0</v>
      </c>
      <c r="N106" s="22" t="s">
        <v>0</v>
      </c>
      <c r="O106" s="22">
        <v>1.3596999999999999</v>
      </c>
    </row>
    <row r="107" spans="1:15" x14ac:dyDescent="0.25">
      <c r="A107" s="26" t="s">
        <v>260</v>
      </c>
      <c r="B107" s="20" t="s">
        <v>192</v>
      </c>
      <c r="C107" s="21">
        <v>0.375</v>
      </c>
      <c r="D107" s="20">
        <v>16.54</v>
      </c>
      <c r="E107" s="20">
        <v>17.39</v>
      </c>
      <c r="F107" s="20" t="s">
        <v>0</v>
      </c>
      <c r="G107" s="20" t="s">
        <v>0</v>
      </c>
      <c r="H107" s="20" t="s">
        <v>0</v>
      </c>
      <c r="I107" s="22" t="s">
        <v>0</v>
      </c>
      <c r="J107" s="20" t="s">
        <v>0</v>
      </c>
      <c r="K107" s="20" t="s">
        <v>0</v>
      </c>
      <c r="L107" s="20" t="s">
        <v>0</v>
      </c>
      <c r="M107" s="23" t="s">
        <v>0</v>
      </c>
      <c r="N107" s="22" t="s">
        <v>0</v>
      </c>
      <c r="O107" s="22">
        <v>1.327</v>
      </c>
    </row>
    <row r="108" spans="1:15" x14ac:dyDescent="0.25">
      <c r="A108" s="26" t="s">
        <v>256</v>
      </c>
      <c r="B108" s="20" t="s">
        <v>250</v>
      </c>
      <c r="C108" s="21">
        <v>1</v>
      </c>
      <c r="D108" s="20">
        <v>16.559999999999999</v>
      </c>
      <c r="E108" s="20">
        <v>18.440000000000001</v>
      </c>
      <c r="F108" s="20" t="s">
        <v>0</v>
      </c>
      <c r="G108" s="20" t="s">
        <v>0</v>
      </c>
      <c r="H108" s="20" t="s">
        <v>0</v>
      </c>
      <c r="I108" s="22" t="s">
        <v>0</v>
      </c>
      <c r="J108" s="20" t="s">
        <v>0</v>
      </c>
      <c r="K108" s="20" t="s">
        <v>0</v>
      </c>
      <c r="L108" s="20" t="s">
        <v>0</v>
      </c>
      <c r="M108" s="23" t="s">
        <v>0</v>
      </c>
      <c r="N108" s="22" t="s">
        <v>0</v>
      </c>
      <c r="O108" s="22">
        <v>1.3441000000000001</v>
      </c>
    </row>
    <row r="109" spans="1:15" x14ac:dyDescent="0.25">
      <c r="A109" s="26" t="s">
        <v>296</v>
      </c>
      <c r="B109" s="20" t="s">
        <v>213</v>
      </c>
      <c r="C109" s="21">
        <v>0.625</v>
      </c>
      <c r="D109" s="20">
        <v>16.57</v>
      </c>
      <c r="E109" s="20">
        <v>17.78</v>
      </c>
      <c r="F109" s="20" t="s">
        <v>0</v>
      </c>
      <c r="G109" s="20" t="s">
        <v>0</v>
      </c>
      <c r="H109" s="20" t="s">
        <v>0</v>
      </c>
      <c r="I109" s="22" t="s">
        <v>0</v>
      </c>
      <c r="J109" s="20" t="s">
        <v>0</v>
      </c>
      <c r="K109" s="20" t="s">
        <v>0</v>
      </c>
      <c r="L109" s="20" t="s">
        <v>0</v>
      </c>
      <c r="M109" s="23" t="s">
        <v>0</v>
      </c>
      <c r="N109" s="22" t="s">
        <v>0</v>
      </c>
      <c r="O109" s="22">
        <v>1.3333999999999999</v>
      </c>
    </row>
    <row r="110" spans="1:15" x14ac:dyDescent="0.25">
      <c r="A110" s="26" t="s">
        <v>72</v>
      </c>
      <c r="B110" s="20" t="s">
        <v>190</v>
      </c>
      <c r="C110" s="21">
        <v>2.25</v>
      </c>
      <c r="D110" s="20">
        <v>17.05</v>
      </c>
      <c r="E110" s="20">
        <v>20.99</v>
      </c>
      <c r="F110" s="20" t="s">
        <v>0</v>
      </c>
      <c r="G110" s="20" t="s">
        <v>0</v>
      </c>
      <c r="H110" s="20" t="s">
        <v>0</v>
      </c>
      <c r="I110" s="22" t="s">
        <v>0</v>
      </c>
      <c r="J110" s="20" t="s">
        <v>0</v>
      </c>
      <c r="K110" s="20" t="s">
        <v>0</v>
      </c>
      <c r="L110" s="20" t="s">
        <v>0</v>
      </c>
      <c r="M110" s="23" t="s">
        <v>0</v>
      </c>
      <c r="N110" s="22" t="s">
        <v>0</v>
      </c>
      <c r="O110" s="22">
        <v>1.3832</v>
      </c>
    </row>
    <row r="111" spans="1:15" x14ac:dyDescent="0.25">
      <c r="A111" s="26" t="s">
        <v>48</v>
      </c>
      <c r="B111" s="20" t="s">
        <v>189</v>
      </c>
      <c r="C111" s="21">
        <v>2.125</v>
      </c>
      <c r="D111" s="20">
        <v>16.760000000000002</v>
      </c>
      <c r="E111" s="20">
        <v>20.55</v>
      </c>
      <c r="F111" s="20" t="s">
        <v>0</v>
      </c>
      <c r="G111" s="20" t="s">
        <v>0</v>
      </c>
      <c r="H111" s="20" t="s">
        <v>0</v>
      </c>
      <c r="I111" s="22" t="s">
        <v>0</v>
      </c>
      <c r="J111" s="20" t="s">
        <v>0</v>
      </c>
      <c r="K111" s="20" t="s">
        <v>0</v>
      </c>
      <c r="L111" s="20" t="s">
        <v>0</v>
      </c>
      <c r="M111" s="23" t="s">
        <v>0</v>
      </c>
      <c r="N111" s="22" t="s">
        <v>0</v>
      </c>
      <c r="O111" s="22">
        <v>1.3758999999999999</v>
      </c>
    </row>
    <row r="112" spans="1:15" x14ac:dyDescent="0.25">
      <c r="A112" s="26" t="s">
        <v>259</v>
      </c>
      <c r="B112" s="20" t="s">
        <v>251</v>
      </c>
      <c r="C112" s="21">
        <v>0.875</v>
      </c>
      <c r="D112" s="20">
        <v>16.850000000000001</v>
      </c>
      <c r="E112" s="20">
        <v>18.57</v>
      </c>
      <c r="F112" s="20" t="s">
        <v>0</v>
      </c>
      <c r="G112" s="20" t="s">
        <v>0</v>
      </c>
      <c r="H112" s="20" t="s">
        <v>0</v>
      </c>
      <c r="I112" s="22" t="s">
        <v>0</v>
      </c>
      <c r="J112" s="20" t="s">
        <v>0</v>
      </c>
      <c r="K112" s="20" t="s">
        <v>0</v>
      </c>
      <c r="L112" s="20" t="s">
        <v>0</v>
      </c>
      <c r="M112" s="23" t="s">
        <v>0</v>
      </c>
      <c r="N112" s="22" t="s">
        <v>0</v>
      </c>
      <c r="O112" s="22">
        <v>1.3483000000000001</v>
      </c>
    </row>
    <row r="113" spans="1:15" x14ac:dyDescent="0.25">
      <c r="A113" s="26" t="s">
        <v>298</v>
      </c>
      <c r="B113" s="20" t="s">
        <v>233</v>
      </c>
      <c r="C113" s="21">
        <v>0.625</v>
      </c>
      <c r="D113" s="20">
        <v>16.920000000000002</v>
      </c>
      <c r="E113" s="20">
        <v>18.260000000000002</v>
      </c>
      <c r="F113" s="20" t="s">
        <v>0</v>
      </c>
      <c r="G113" s="20" t="s">
        <v>0</v>
      </c>
      <c r="H113" s="20" t="s">
        <v>0</v>
      </c>
      <c r="I113" s="22" t="s">
        <v>0</v>
      </c>
      <c r="J113" s="20" t="s">
        <v>0</v>
      </c>
      <c r="K113" s="20" t="s">
        <v>0</v>
      </c>
      <c r="L113" s="20" t="s">
        <v>0</v>
      </c>
      <c r="M113" s="23" t="s">
        <v>0</v>
      </c>
      <c r="N113" s="22" t="s">
        <v>0</v>
      </c>
      <c r="O113" s="22">
        <v>1.3443000000000001</v>
      </c>
    </row>
    <row r="114" spans="1:15" x14ac:dyDescent="0.25">
      <c r="A114" s="26" t="s">
        <v>331</v>
      </c>
      <c r="B114" s="20" t="s">
        <v>332</v>
      </c>
      <c r="C114" s="21">
        <v>1.375</v>
      </c>
      <c r="D114" s="20">
        <v>16.96</v>
      </c>
      <c r="E114" s="20">
        <v>19.559999999999999</v>
      </c>
      <c r="F114" s="20" t="s">
        <v>0</v>
      </c>
      <c r="G114" s="20" t="s">
        <v>0</v>
      </c>
      <c r="H114" s="20" t="s">
        <v>0</v>
      </c>
      <c r="I114" s="22" t="s">
        <v>0</v>
      </c>
      <c r="J114" s="20" t="s">
        <v>0</v>
      </c>
      <c r="K114" s="20" t="s">
        <v>0</v>
      </c>
      <c r="L114" s="20" t="s">
        <v>0</v>
      </c>
      <c r="M114" s="23" t="s">
        <v>0</v>
      </c>
      <c r="N114" s="22" t="s">
        <v>0</v>
      </c>
      <c r="O114" s="22">
        <v>1.3643000000000001</v>
      </c>
    </row>
    <row r="115" spans="1:15" x14ac:dyDescent="0.25">
      <c r="A115" s="26" t="s">
        <v>299</v>
      </c>
      <c r="B115" s="20" t="s">
        <v>224</v>
      </c>
      <c r="C115" s="21">
        <v>0.5</v>
      </c>
      <c r="D115" s="20">
        <v>17</v>
      </c>
      <c r="E115" s="20">
        <v>18.14</v>
      </c>
      <c r="F115" s="20" t="s">
        <v>0</v>
      </c>
      <c r="G115" s="20" t="s">
        <v>0</v>
      </c>
      <c r="H115" s="20" t="s">
        <v>0</v>
      </c>
      <c r="I115" s="22" t="s">
        <v>0</v>
      </c>
      <c r="J115" s="20" t="s">
        <v>0</v>
      </c>
      <c r="K115" s="20" t="s">
        <v>0</v>
      </c>
      <c r="L115" s="20" t="s">
        <v>0</v>
      </c>
      <c r="M115" s="23" t="s">
        <v>0</v>
      </c>
      <c r="N115" s="22" t="s">
        <v>0</v>
      </c>
      <c r="O115" s="22">
        <v>1.3429</v>
      </c>
    </row>
    <row r="116" spans="1:15" x14ac:dyDescent="0.25">
      <c r="A116" s="26" t="s">
        <v>71</v>
      </c>
      <c r="B116" s="20" t="s">
        <v>195</v>
      </c>
      <c r="C116" s="21">
        <v>2.25</v>
      </c>
      <c r="D116" s="20">
        <v>17.03</v>
      </c>
      <c r="E116" s="20">
        <v>21.3</v>
      </c>
      <c r="F116" s="20" t="s">
        <v>0</v>
      </c>
      <c r="G116" s="20" t="s">
        <v>0</v>
      </c>
      <c r="H116" s="20" t="s">
        <v>0</v>
      </c>
      <c r="I116" s="22" t="s">
        <v>0</v>
      </c>
      <c r="J116" s="20" t="s">
        <v>0</v>
      </c>
      <c r="K116" s="20" t="s">
        <v>0</v>
      </c>
      <c r="L116" s="20" t="s">
        <v>0</v>
      </c>
      <c r="M116" s="23" t="s">
        <v>0</v>
      </c>
      <c r="N116" s="22" t="s">
        <v>0</v>
      </c>
      <c r="O116" s="22">
        <v>1.3891</v>
      </c>
    </row>
    <row r="117" spans="1:15" x14ac:dyDescent="0.25">
      <c r="A117" s="26" t="s">
        <v>55</v>
      </c>
      <c r="B117" s="20" t="s">
        <v>191</v>
      </c>
      <c r="C117" s="21">
        <v>2.375</v>
      </c>
      <c r="D117" s="20">
        <v>17.100000000000001</v>
      </c>
      <c r="E117" s="20">
        <v>21.51</v>
      </c>
      <c r="F117" s="20" t="s">
        <v>0</v>
      </c>
      <c r="G117" s="20" t="s">
        <v>0</v>
      </c>
      <c r="H117" s="20" t="s">
        <v>0</v>
      </c>
      <c r="I117" s="22" t="s">
        <v>0</v>
      </c>
      <c r="J117" s="20" t="s">
        <v>0</v>
      </c>
      <c r="K117" s="20" t="s">
        <v>0</v>
      </c>
      <c r="L117" s="20" t="s">
        <v>0</v>
      </c>
      <c r="M117" s="23" t="s">
        <v>0</v>
      </c>
      <c r="N117" s="22" t="s">
        <v>0</v>
      </c>
      <c r="O117" s="22">
        <v>1.3917999999999999</v>
      </c>
    </row>
    <row r="118" spans="1:15" x14ac:dyDescent="0.25">
      <c r="A118" s="26" t="s">
        <v>73</v>
      </c>
      <c r="B118" s="20" t="s">
        <v>194</v>
      </c>
      <c r="C118" s="21">
        <v>2</v>
      </c>
      <c r="D118" s="20">
        <v>17.14</v>
      </c>
      <c r="E118" s="20">
        <v>20.8</v>
      </c>
      <c r="F118" s="20" t="s">
        <v>0</v>
      </c>
      <c r="G118" s="20" t="s">
        <v>0</v>
      </c>
      <c r="H118" s="20" t="s">
        <v>0</v>
      </c>
      <c r="I118" s="22" t="s">
        <v>0</v>
      </c>
      <c r="J118" s="20" t="s">
        <v>0</v>
      </c>
      <c r="K118" s="20" t="s">
        <v>0</v>
      </c>
      <c r="L118" s="20" t="s">
        <v>0</v>
      </c>
      <c r="M118" s="23" t="s">
        <v>0</v>
      </c>
      <c r="N118" s="22" t="s">
        <v>0</v>
      </c>
      <c r="O118" s="22">
        <v>1.3823000000000001</v>
      </c>
    </row>
    <row r="119" spans="1:15" x14ac:dyDescent="0.25">
      <c r="A119" s="26" t="s">
        <v>380</v>
      </c>
      <c r="B119" s="20" t="s">
        <v>381</v>
      </c>
      <c r="C119" s="21">
        <v>1.375</v>
      </c>
      <c r="D119" s="20">
        <v>17.38</v>
      </c>
      <c r="E119" s="20">
        <v>20</v>
      </c>
      <c r="F119" s="20" t="s">
        <v>0</v>
      </c>
      <c r="G119" s="20" t="s">
        <v>0</v>
      </c>
      <c r="H119" s="20" t="s">
        <v>0</v>
      </c>
      <c r="I119" s="22" t="s">
        <v>0</v>
      </c>
      <c r="J119" s="20" t="s">
        <v>0</v>
      </c>
      <c r="K119" s="20" t="s">
        <v>0</v>
      </c>
      <c r="L119" s="20" t="s">
        <v>0</v>
      </c>
      <c r="M119" s="23" t="s">
        <v>0</v>
      </c>
      <c r="N119" s="22" t="s">
        <v>0</v>
      </c>
      <c r="O119" s="22">
        <v>1.3735999999999999</v>
      </c>
    </row>
    <row r="120" spans="1:15" x14ac:dyDescent="0.25">
      <c r="A120" s="26" t="s">
        <v>74</v>
      </c>
      <c r="B120" s="20" t="s">
        <v>196</v>
      </c>
      <c r="C120" s="21">
        <v>2.375</v>
      </c>
      <c r="D120" s="20">
        <v>17.34</v>
      </c>
      <c r="E120" s="20">
        <v>21.76</v>
      </c>
      <c r="F120" s="20" t="s">
        <v>0</v>
      </c>
      <c r="G120" s="20" t="s">
        <v>0</v>
      </c>
      <c r="H120" s="20" t="s">
        <v>0</v>
      </c>
      <c r="I120" s="22" t="s">
        <v>0</v>
      </c>
      <c r="J120" s="20" t="s">
        <v>0</v>
      </c>
      <c r="K120" s="20" t="s">
        <v>0</v>
      </c>
      <c r="L120" s="20" t="s">
        <v>0</v>
      </c>
      <c r="M120" s="23" t="s">
        <v>0</v>
      </c>
      <c r="N120" s="22" t="s">
        <v>0</v>
      </c>
      <c r="O120" s="22">
        <v>1.3964000000000001</v>
      </c>
    </row>
    <row r="121" spans="1:15" x14ac:dyDescent="0.25">
      <c r="A121" s="26" t="s">
        <v>75</v>
      </c>
      <c r="B121" s="20" t="s">
        <v>197</v>
      </c>
      <c r="C121" s="21">
        <v>2.25</v>
      </c>
      <c r="D121" s="20">
        <v>17.71</v>
      </c>
      <c r="E121" s="20">
        <v>22</v>
      </c>
      <c r="F121" s="20" t="s">
        <v>0</v>
      </c>
      <c r="G121" s="20" t="s">
        <v>0</v>
      </c>
      <c r="H121" s="20" t="s">
        <v>0</v>
      </c>
      <c r="I121" s="22" t="s">
        <v>0</v>
      </c>
      <c r="J121" s="20" t="s">
        <v>0</v>
      </c>
      <c r="K121" s="20" t="s">
        <v>0</v>
      </c>
      <c r="L121" s="20" t="s">
        <v>0</v>
      </c>
      <c r="M121" s="23" t="s">
        <v>0</v>
      </c>
      <c r="N121" s="22" t="s">
        <v>0</v>
      </c>
      <c r="O121" s="22">
        <v>1.4024000000000001</v>
      </c>
    </row>
    <row r="122" spans="1:15" x14ac:dyDescent="0.25">
      <c r="A122" s="26" t="s">
        <v>76</v>
      </c>
      <c r="B122" s="20" t="s">
        <v>198</v>
      </c>
      <c r="C122" s="21">
        <v>2</v>
      </c>
      <c r="D122" s="20">
        <v>18.62</v>
      </c>
      <c r="E122" s="20">
        <v>23.29</v>
      </c>
      <c r="F122" s="20" t="s">
        <v>0</v>
      </c>
      <c r="G122" s="20" t="s">
        <v>0</v>
      </c>
      <c r="H122" s="20" t="s">
        <v>0</v>
      </c>
      <c r="I122" s="22" t="s">
        <v>0</v>
      </c>
      <c r="J122" s="20" t="s">
        <v>0</v>
      </c>
      <c r="K122" s="20" t="s">
        <v>0</v>
      </c>
      <c r="L122" s="20" t="s">
        <v>0</v>
      </c>
      <c r="M122" s="23" t="s">
        <v>0</v>
      </c>
      <c r="N122" s="22" t="s">
        <v>0</v>
      </c>
      <c r="O122" s="22">
        <v>1.4291</v>
      </c>
    </row>
    <row r="123" spans="1:15" x14ac:dyDescent="0.25">
      <c r="A123" s="26" t="s">
        <v>77</v>
      </c>
      <c r="B123" s="20" t="s">
        <v>199</v>
      </c>
      <c r="C123" s="21">
        <v>1.625</v>
      </c>
      <c r="D123" s="20">
        <v>18.96</v>
      </c>
      <c r="E123" s="20">
        <v>22.78</v>
      </c>
      <c r="F123" s="20" t="s">
        <v>0</v>
      </c>
      <c r="G123" s="20" t="s">
        <v>0</v>
      </c>
      <c r="H123" s="20" t="s">
        <v>0</v>
      </c>
      <c r="I123" s="22" t="s">
        <v>0</v>
      </c>
      <c r="J123" s="20" t="s">
        <v>0</v>
      </c>
      <c r="K123" s="20" t="s">
        <v>0</v>
      </c>
      <c r="L123" s="20" t="s">
        <v>0</v>
      </c>
      <c r="M123" s="23" t="s">
        <v>0</v>
      </c>
      <c r="N123" s="22" t="s">
        <v>0</v>
      </c>
      <c r="O123" s="22">
        <v>1.4253</v>
      </c>
    </row>
    <row r="124" spans="1:15" x14ac:dyDescent="0.25">
      <c r="A124" s="26" t="s">
        <v>78</v>
      </c>
      <c r="B124" s="20" t="s">
        <v>200</v>
      </c>
      <c r="C124" s="21">
        <v>1.875</v>
      </c>
      <c r="D124" s="20">
        <v>19.28</v>
      </c>
      <c r="E124" s="20">
        <v>23.79</v>
      </c>
      <c r="F124" s="20" t="s">
        <v>0</v>
      </c>
      <c r="G124" s="20" t="s">
        <v>0</v>
      </c>
      <c r="H124" s="20" t="s">
        <v>0</v>
      </c>
      <c r="I124" s="22" t="s">
        <v>0</v>
      </c>
      <c r="J124" s="20" t="s">
        <v>0</v>
      </c>
      <c r="K124" s="20" t="s">
        <v>0</v>
      </c>
      <c r="L124" s="20" t="s">
        <v>0</v>
      </c>
      <c r="M124" s="23" t="s">
        <v>0</v>
      </c>
      <c r="N124" s="22" t="s">
        <v>0</v>
      </c>
      <c r="O124" s="22">
        <v>1.4397</v>
      </c>
    </row>
    <row r="125" spans="1:15" x14ac:dyDescent="0.25">
      <c r="A125" s="26" t="s">
        <v>79</v>
      </c>
      <c r="B125" s="20" t="s">
        <v>201</v>
      </c>
      <c r="C125" s="21">
        <v>1.375</v>
      </c>
      <c r="D125" s="20">
        <v>19.559999999999999</v>
      </c>
      <c r="E125" s="20">
        <v>22.99</v>
      </c>
      <c r="F125" s="20" t="s">
        <v>0</v>
      </c>
      <c r="G125" s="20" t="s">
        <v>0</v>
      </c>
      <c r="H125" s="20" t="s">
        <v>0</v>
      </c>
      <c r="I125" s="22" t="s">
        <v>0</v>
      </c>
      <c r="J125" s="20" t="s">
        <v>0</v>
      </c>
      <c r="K125" s="20" t="s">
        <v>0</v>
      </c>
      <c r="L125" s="20" t="s">
        <v>0</v>
      </c>
      <c r="M125" s="23" t="s">
        <v>0</v>
      </c>
      <c r="N125" s="22" t="s">
        <v>0</v>
      </c>
      <c r="O125" s="22">
        <v>1.4331</v>
      </c>
    </row>
    <row r="126" spans="1:15" x14ac:dyDescent="0.25">
      <c r="A126" s="26" t="s">
        <v>80</v>
      </c>
      <c r="B126" s="20" t="s">
        <v>202</v>
      </c>
      <c r="C126" s="21">
        <v>1.625</v>
      </c>
      <c r="D126" s="20">
        <v>19.84</v>
      </c>
      <c r="E126" s="20">
        <v>24.29</v>
      </c>
      <c r="F126" s="20" t="s">
        <v>0</v>
      </c>
      <c r="G126" s="20" t="s">
        <v>0</v>
      </c>
      <c r="H126" s="20" t="s">
        <v>0</v>
      </c>
      <c r="I126" s="22" t="s">
        <v>0</v>
      </c>
      <c r="J126" s="20" t="s">
        <v>0</v>
      </c>
      <c r="K126" s="20" t="s">
        <v>0</v>
      </c>
      <c r="L126" s="20" t="s">
        <v>0</v>
      </c>
      <c r="M126" s="23" t="s">
        <v>0</v>
      </c>
      <c r="N126" s="22" t="s">
        <v>0</v>
      </c>
      <c r="O126" s="22">
        <v>1.4520999999999999</v>
      </c>
    </row>
    <row r="127" spans="1:15" x14ac:dyDescent="0.25">
      <c r="A127" s="26" t="s">
        <v>81</v>
      </c>
      <c r="B127" s="20" t="s">
        <v>203</v>
      </c>
      <c r="C127" s="21">
        <v>1.5</v>
      </c>
      <c r="D127" s="20">
        <v>20.52</v>
      </c>
      <c r="E127" s="20">
        <v>24.77</v>
      </c>
      <c r="F127" s="20" t="s">
        <v>0</v>
      </c>
      <c r="G127" s="20" t="s">
        <v>0</v>
      </c>
      <c r="H127" s="20" t="s">
        <v>0</v>
      </c>
      <c r="I127" s="22" t="s">
        <v>0</v>
      </c>
      <c r="J127" s="20" t="s">
        <v>0</v>
      </c>
      <c r="K127" s="20" t="s">
        <v>0</v>
      </c>
      <c r="L127" s="20" t="s">
        <v>0</v>
      </c>
      <c r="M127" s="23" t="s">
        <v>0</v>
      </c>
      <c r="N127" s="22" t="s">
        <v>0</v>
      </c>
      <c r="O127" s="22">
        <v>1.4621999999999999</v>
      </c>
    </row>
    <row r="128" spans="1:15" x14ac:dyDescent="0.25">
      <c r="A128" s="26" t="s">
        <v>57</v>
      </c>
      <c r="B128" s="20" t="s">
        <v>204</v>
      </c>
      <c r="C128" s="21">
        <v>1.375</v>
      </c>
      <c r="D128" s="20">
        <v>20.92</v>
      </c>
      <c r="E128" s="20">
        <v>25.25</v>
      </c>
      <c r="F128" s="20" t="s">
        <v>0</v>
      </c>
      <c r="G128" s="20" t="s">
        <v>0</v>
      </c>
      <c r="H128" s="20" t="s">
        <v>0</v>
      </c>
      <c r="I128" s="22" t="s">
        <v>0</v>
      </c>
      <c r="J128" s="20" t="s">
        <v>0</v>
      </c>
      <c r="K128" s="20" t="s">
        <v>0</v>
      </c>
      <c r="L128" s="20" t="s">
        <v>0</v>
      </c>
      <c r="M128" s="23" t="s">
        <v>0</v>
      </c>
      <c r="N128" s="22" t="s">
        <v>0</v>
      </c>
      <c r="O128" s="22">
        <v>1.4721</v>
      </c>
    </row>
    <row r="129" spans="1:15" x14ac:dyDescent="0.25">
      <c r="A129" s="26" t="s">
        <v>320</v>
      </c>
      <c r="B129" s="20" t="s">
        <v>315</v>
      </c>
      <c r="C129" s="21">
        <v>2.375</v>
      </c>
      <c r="D129" s="20">
        <v>21.57</v>
      </c>
      <c r="E129" s="20">
        <v>29.26</v>
      </c>
      <c r="F129" s="20" t="s">
        <v>0</v>
      </c>
      <c r="G129" s="20" t="s">
        <v>0</v>
      </c>
      <c r="H129" s="20" t="s">
        <v>0</v>
      </c>
      <c r="I129" s="22" t="s">
        <v>0</v>
      </c>
      <c r="J129" s="20" t="s">
        <v>0</v>
      </c>
      <c r="K129" s="20" t="s">
        <v>0</v>
      </c>
      <c r="L129" s="20" t="s">
        <v>0</v>
      </c>
      <c r="M129" s="23" t="s">
        <v>0</v>
      </c>
      <c r="N129" s="22" t="s">
        <v>0</v>
      </c>
      <c r="O129" s="22">
        <v>1.5036</v>
      </c>
    </row>
    <row r="130" spans="1:15" x14ac:dyDescent="0.25">
      <c r="A130" s="26" t="s">
        <v>84</v>
      </c>
      <c r="B130" s="20" t="s">
        <v>205</v>
      </c>
      <c r="C130" s="21">
        <v>1.125</v>
      </c>
      <c r="D130" s="20">
        <v>21.96</v>
      </c>
      <c r="E130" s="20">
        <v>25.77</v>
      </c>
      <c r="F130" s="20" t="s">
        <v>0</v>
      </c>
      <c r="G130" s="20" t="s">
        <v>0</v>
      </c>
      <c r="H130" s="20" t="s">
        <v>0</v>
      </c>
      <c r="I130" s="22" t="s">
        <v>0</v>
      </c>
      <c r="J130" s="20" t="s">
        <v>0</v>
      </c>
      <c r="K130" s="20" t="s">
        <v>0</v>
      </c>
      <c r="L130" s="20" t="s">
        <v>0</v>
      </c>
      <c r="M130" s="23" t="s">
        <v>0</v>
      </c>
      <c r="N130" s="22" t="s">
        <v>0</v>
      </c>
      <c r="O130" s="22">
        <v>1.4852000000000001</v>
      </c>
    </row>
    <row r="131" spans="1:15" x14ac:dyDescent="0.25">
      <c r="A131" s="26" t="s">
        <v>268</v>
      </c>
      <c r="B131" s="20" t="s">
        <v>267</v>
      </c>
      <c r="C131" s="21">
        <v>2</v>
      </c>
      <c r="D131" s="20">
        <v>22.14</v>
      </c>
      <c r="E131" s="20">
        <v>28.78</v>
      </c>
      <c r="F131" s="20" t="s">
        <v>0</v>
      </c>
      <c r="G131" s="20" t="s">
        <v>0</v>
      </c>
      <c r="H131" s="20" t="s">
        <v>0</v>
      </c>
      <c r="I131" s="22" t="s">
        <v>0</v>
      </c>
      <c r="J131" s="20" t="s">
        <v>0</v>
      </c>
      <c r="K131" s="20" t="s">
        <v>0</v>
      </c>
      <c r="L131" s="20" t="s">
        <v>0</v>
      </c>
      <c r="M131" s="23" t="s">
        <v>0</v>
      </c>
      <c r="N131" s="22" t="s">
        <v>0</v>
      </c>
      <c r="O131" s="22">
        <v>1.5057</v>
      </c>
    </row>
    <row r="132" spans="1:15" x14ac:dyDescent="0.25">
      <c r="A132" s="26" t="s">
        <v>51</v>
      </c>
      <c r="B132" s="20" t="s">
        <v>206</v>
      </c>
      <c r="C132" s="21">
        <v>1</v>
      </c>
      <c r="D132" s="20">
        <v>22.47</v>
      </c>
      <c r="E132" s="20">
        <v>26.25</v>
      </c>
      <c r="F132" s="20" t="s">
        <v>0</v>
      </c>
      <c r="G132" s="20" t="s">
        <v>0</v>
      </c>
      <c r="H132" s="20" t="s">
        <v>0</v>
      </c>
      <c r="I132" s="22" t="s">
        <v>0</v>
      </c>
      <c r="J132" s="20" t="s">
        <v>0</v>
      </c>
      <c r="K132" s="20" t="s">
        <v>0</v>
      </c>
      <c r="L132" s="20" t="s">
        <v>0</v>
      </c>
      <c r="M132" s="23" t="s">
        <v>0</v>
      </c>
      <c r="N132" s="22" t="s">
        <v>0</v>
      </c>
      <c r="O132" s="22">
        <v>1.4950000000000001</v>
      </c>
    </row>
    <row r="133" spans="1:15" x14ac:dyDescent="0.25">
      <c r="A133" s="26" t="s">
        <v>300</v>
      </c>
      <c r="B133" s="20" t="s">
        <v>207</v>
      </c>
      <c r="C133" s="21">
        <v>0.75</v>
      </c>
      <c r="D133" s="20">
        <v>23.64</v>
      </c>
      <c r="E133" s="20">
        <v>26.75</v>
      </c>
      <c r="F133" s="20" t="s">
        <v>0</v>
      </c>
      <c r="G133" s="20" t="s">
        <v>0</v>
      </c>
      <c r="H133" s="20" t="s">
        <v>0</v>
      </c>
      <c r="I133" s="22" t="s">
        <v>0</v>
      </c>
      <c r="J133" s="20" t="s">
        <v>0</v>
      </c>
      <c r="K133" s="20" t="s">
        <v>0</v>
      </c>
      <c r="L133" s="20" t="s">
        <v>0</v>
      </c>
      <c r="M133" s="23" t="s">
        <v>0</v>
      </c>
      <c r="N133" s="22" t="s">
        <v>0</v>
      </c>
      <c r="O133" s="22">
        <v>1.5081</v>
      </c>
    </row>
    <row r="134" spans="1:15" x14ac:dyDescent="0.25">
      <c r="A134" s="26" t="s">
        <v>301</v>
      </c>
      <c r="B134" s="20" t="s">
        <v>238</v>
      </c>
      <c r="C134" s="21">
        <v>1.125</v>
      </c>
      <c r="D134" s="20">
        <v>23.66</v>
      </c>
      <c r="E134" s="20">
        <v>28.37</v>
      </c>
      <c r="F134" s="20" t="s">
        <v>0</v>
      </c>
      <c r="G134" s="20" t="s">
        <v>0</v>
      </c>
      <c r="H134" s="20" t="s">
        <v>0</v>
      </c>
      <c r="I134" s="22" t="s">
        <v>0</v>
      </c>
      <c r="J134" s="20" t="s">
        <v>0</v>
      </c>
      <c r="K134" s="20" t="s">
        <v>0</v>
      </c>
      <c r="L134" s="20" t="s">
        <v>0</v>
      </c>
      <c r="M134" s="23" t="s">
        <v>0</v>
      </c>
      <c r="N134" s="22" t="s">
        <v>0</v>
      </c>
      <c r="O134" s="22">
        <v>1.5195000000000001</v>
      </c>
    </row>
    <row r="135" spans="1:15" x14ac:dyDescent="0.25">
      <c r="A135" s="26" t="s">
        <v>363</v>
      </c>
      <c r="B135" s="20" t="s">
        <v>364</v>
      </c>
      <c r="C135" s="21">
        <v>1.5</v>
      </c>
      <c r="D135" s="20">
        <v>23.75</v>
      </c>
      <c r="E135" s="20">
        <v>29.76</v>
      </c>
      <c r="F135" s="20" t="s">
        <v>0</v>
      </c>
      <c r="G135" s="20" t="s">
        <v>0</v>
      </c>
      <c r="H135" s="20" t="s">
        <v>0</v>
      </c>
      <c r="I135" s="22" t="s">
        <v>0</v>
      </c>
      <c r="J135" s="20" t="s">
        <v>0</v>
      </c>
      <c r="K135" s="20" t="s">
        <v>0</v>
      </c>
      <c r="L135" s="20" t="s">
        <v>0</v>
      </c>
      <c r="M135" s="23" t="s">
        <v>0</v>
      </c>
      <c r="N135" s="22" t="s">
        <v>0</v>
      </c>
      <c r="O135" s="22">
        <v>1.5243</v>
      </c>
    </row>
    <row r="136" spans="1:15" x14ac:dyDescent="0.25">
      <c r="A136" s="26" t="s">
        <v>302</v>
      </c>
      <c r="B136" s="20" t="s">
        <v>209</v>
      </c>
      <c r="C136" s="21">
        <v>0.625</v>
      </c>
      <c r="D136" s="20">
        <v>24.6</v>
      </c>
      <c r="E136" s="20">
        <v>27.55</v>
      </c>
      <c r="F136" s="20" t="s">
        <v>0</v>
      </c>
      <c r="G136" s="20" t="s">
        <v>0</v>
      </c>
      <c r="H136" s="20" t="s">
        <v>0</v>
      </c>
      <c r="I136" s="22" t="s">
        <v>0</v>
      </c>
      <c r="J136" s="20" t="s">
        <v>0</v>
      </c>
      <c r="K136" s="20" t="s">
        <v>0</v>
      </c>
      <c r="L136" s="20" t="s">
        <v>0</v>
      </c>
      <c r="M136" s="23" t="s">
        <v>0</v>
      </c>
      <c r="N136" s="22" t="s">
        <v>0</v>
      </c>
      <c r="O136" s="22">
        <v>1.5219</v>
      </c>
    </row>
    <row r="137" spans="1:15" x14ac:dyDescent="0.25">
      <c r="A137" s="32" t="s">
        <v>303</v>
      </c>
      <c r="B137" s="20" t="s">
        <v>208</v>
      </c>
      <c r="C137" s="21">
        <v>0.375</v>
      </c>
      <c r="D137" s="20">
        <v>25.25</v>
      </c>
      <c r="E137" s="20">
        <v>27.3</v>
      </c>
      <c r="F137" s="20" t="s">
        <v>0</v>
      </c>
      <c r="G137" s="20" t="s">
        <v>0</v>
      </c>
      <c r="H137" s="20" t="s">
        <v>0</v>
      </c>
      <c r="I137" s="22" t="s">
        <v>0</v>
      </c>
      <c r="J137" s="20" t="s">
        <v>0</v>
      </c>
      <c r="K137" s="20" t="s">
        <v>0</v>
      </c>
      <c r="L137" s="20" t="s">
        <v>0</v>
      </c>
      <c r="M137" s="23" t="s">
        <v>0</v>
      </c>
      <c r="N137" s="22" t="s">
        <v>0</v>
      </c>
      <c r="O137" s="22">
        <v>1.5253000000000001</v>
      </c>
    </row>
    <row r="138" spans="1:15" x14ac:dyDescent="0.25">
      <c r="A138" s="26" t="s">
        <v>433</v>
      </c>
      <c r="B138" s="34" t="s">
        <v>437</v>
      </c>
      <c r="C138" s="40">
        <v>3.82</v>
      </c>
      <c r="D138" s="40">
        <v>4.04</v>
      </c>
      <c r="E138" s="20"/>
      <c r="F138" s="20">
        <v>1.53</v>
      </c>
      <c r="G138" s="20">
        <v>1.528</v>
      </c>
      <c r="H138" s="20">
        <v>1.5289999999999999</v>
      </c>
      <c r="I138" s="22">
        <v>8</v>
      </c>
      <c r="J138" s="20" t="s">
        <v>0</v>
      </c>
      <c r="K138" s="20" t="s">
        <v>0</v>
      </c>
      <c r="L138" s="20" t="s">
        <v>0</v>
      </c>
      <c r="M138" s="23" t="s">
        <v>0</v>
      </c>
      <c r="N138" s="22" t="s">
        <v>0</v>
      </c>
      <c r="O138" s="22" t="e">
        <v>#N/A</v>
      </c>
    </row>
    <row r="139" spans="1:15" x14ac:dyDescent="0.25">
      <c r="A139" s="26" t="s">
        <v>463</v>
      </c>
      <c r="B139" s="34" t="s">
        <v>464</v>
      </c>
      <c r="C139" s="26" t="s">
        <v>321</v>
      </c>
      <c r="D139" s="35">
        <v>1.47</v>
      </c>
      <c r="E139" s="35">
        <v>1.51</v>
      </c>
      <c r="F139" s="20" t="s">
        <v>0</v>
      </c>
      <c r="G139" s="20" t="s">
        <v>0</v>
      </c>
      <c r="H139" s="20" t="s">
        <v>0</v>
      </c>
      <c r="I139" s="22" t="s">
        <v>0</v>
      </c>
      <c r="J139" s="20">
        <v>1.59</v>
      </c>
      <c r="K139" s="20">
        <v>1.58</v>
      </c>
      <c r="L139" s="20">
        <v>1.5866</v>
      </c>
      <c r="M139" s="23">
        <v>3</v>
      </c>
      <c r="N139" s="22">
        <v>3</v>
      </c>
      <c r="O139" s="22" t="e">
        <v>#N/A</v>
      </c>
    </row>
    <row r="140" spans="1:15" x14ac:dyDescent="0.25">
      <c r="A140" s="26" t="s">
        <v>411</v>
      </c>
      <c r="B140" s="34" t="s">
        <v>412</v>
      </c>
      <c r="C140" s="26" t="s">
        <v>321</v>
      </c>
      <c r="D140" s="35">
        <v>8.2200000000000006</v>
      </c>
      <c r="E140" s="35">
        <v>9.98</v>
      </c>
      <c r="F140" s="20" t="s">
        <v>0</v>
      </c>
      <c r="G140" s="20" t="s">
        <v>0</v>
      </c>
      <c r="H140" s="20" t="s">
        <v>0</v>
      </c>
      <c r="I140" s="22" t="s">
        <v>0</v>
      </c>
      <c r="J140" s="20">
        <v>3.7</v>
      </c>
      <c r="K140" s="20">
        <v>3.5790000000000002</v>
      </c>
      <c r="L140" s="20">
        <v>3.6619999999999999</v>
      </c>
      <c r="M140" s="23">
        <v>5</v>
      </c>
      <c r="N140" s="22">
        <v>0.72799999999999998</v>
      </c>
      <c r="O140" s="22" t="e">
        <v>#N/A</v>
      </c>
    </row>
    <row r="141" spans="1:15" x14ac:dyDescent="0.25">
      <c r="A141" s="26" t="s">
        <v>374</v>
      </c>
      <c r="B141" s="34" t="s">
        <v>375</v>
      </c>
      <c r="C141" s="26" t="s">
        <v>376</v>
      </c>
      <c r="D141" s="35">
        <v>0</v>
      </c>
      <c r="E141" s="35">
        <v>0.87</v>
      </c>
      <c r="F141" s="20" t="s">
        <v>0</v>
      </c>
      <c r="G141" s="20" t="s">
        <v>0</v>
      </c>
      <c r="H141" s="20" t="s">
        <v>0</v>
      </c>
      <c r="I141" s="22" t="s">
        <v>0</v>
      </c>
      <c r="J141" s="20" t="s">
        <v>358</v>
      </c>
      <c r="K141" s="20" t="s">
        <v>358</v>
      </c>
      <c r="L141" s="20" t="s">
        <v>358</v>
      </c>
      <c r="M141" s="23">
        <v>2</v>
      </c>
      <c r="N141" s="22">
        <v>4.0000000000000002E-4</v>
      </c>
      <c r="O141" s="22" t="e">
        <v>#N/A</v>
      </c>
    </row>
    <row r="142" spans="1:15" x14ac:dyDescent="0.25">
      <c r="M142" s="33"/>
    </row>
    <row r="143" spans="1:15" x14ac:dyDescent="0.25">
      <c r="M143" s="33"/>
    </row>
    <row r="144" spans="1:15" x14ac:dyDescent="0.25">
      <c r="M144" s="33"/>
    </row>
    <row r="145" spans="13:13" x14ac:dyDescent="0.25">
      <c r="M145" s="33"/>
    </row>
    <row r="146" spans="13:13" x14ac:dyDescent="0.25">
      <c r="M146" s="33"/>
    </row>
    <row r="147" spans="13:13" x14ac:dyDescent="0.25">
      <c r="M147" s="33"/>
    </row>
    <row r="148" spans="13:13" x14ac:dyDescent="0.25">
      <c r="M148" s="33"/>
    </row>
    <row r="149" spans="13:13" x14ac:dyDescent="0.25">
      <c r="M149" s="33"/>
    </row>
    <row r="150" spans="13:13" x14ac:dyDescent="0.25">
      <c r="M150" s="33"/>
    </row>
    <row r="151" spans="13:13" x14ac:dyDescent="0.25">
      <c r="M151" s="33"/>
    </row>
    <row r="152" spans="13:13" x14ac:dyDescent="0.25">
      <c r="M152" s="33"/>
    </row>
    <row r="153" spans="13:13" x14ac:dyDescent="0.25">
      <c r="M153" s="33"/>
    </row>
    <row r="154" spans="13:13" x14ac:dyDescent="0.25">
      <c r="M154" s="33"/>
    </row>
    <row r="155" spans="13:13" x14ac:dyDescent="0.25">
      <c r="M155" s="33"/>
    </row>
    <row r="156" spans="13:13" x14ac:dyDescent="0.25">
      <c r="M156" s="33"/>
    </row>
    <row r="157" spans="13:13" x14ac:dyDescent="0.25">
      <c r="M157" s="33"/>
    </row>
    <row r="158" spans="13:13" x14ac:dyDescent="0.25">
      <c r="M158" s="33"/>
    </row>
    <row r="159" spans="13:13" x14ac:dyDescent="0.25">
      <c r="M159" s="33"/>
    </row>
    <row r="160" spans="13:13" x14ac:dyDescent="0.25">
      <c r="M160" s="33"/>
    </row>
    <row r="161" spans="13:13" x14ac:dyDescent="0.25">
      <c r="M161" s="33"/>
    </row>
    <row r="162" spans="13:13" x14ac:dyDescent="0.25">
      <c r="M162" s="33"/>
    </row>
    <row r="163" spans="13:13" x14ac:dyDescent="0.25">
      <c r="M163" s="33"/>
    </row>
    <row r="164" spans="13:13" x14ac:dyDescent="0.25">
      <c r="M164" s="33"/>
    </row>
    <row r="165" spans="13:13" x14ac:dyDescent="0.25">
      <c r="M165" s="33"/>
    </row>
    <row r="166" spans="13:13" x14ac:dyDescent="0.25">
      <c r="M166" s="33"/>
    </row>
    <row r="167" spans="13:13" x14ac:dyDescent="0.25">
      <c r="M167" s="33"/>
    </row>
    <row r="168" spans="13:13" x14ac:dyDescent="0.25">
      <c r="M168" s="33"/>
    </row>
    <row r="169" spans="13:13" x14ac:dyDescent="0.25">
      <c r="M169" s="33"/>
    </row>
    <row r="170" spans="13:13" x14ac:dyDescent="0.25">
      <c r="M170" s="33"/>
    </row>
    <row r="171" spans="13:13" x14ac:dyDescent="0.25">
      <c r="M171" s="33"/>
    </row>
    <row r="172" spans="13:13" x14ac:dyDescent="0.25">
      <c r="M172" s="33"/>
    </row>
    <row r="173" spans="13:13" x14ac:dyDescent="0.25">
      <c r="M173" s="33"/>
    </row>
    <row r="174" spans="13:13" x14ac:dyDescent="0.25">
      <c r="M174" s="33"/>
    </row>
    <row r="175" spans="13:13" x14ac:dyDescent="0.25">
      <c r="M175" s="33"/>
    </row>
    <row r="176" spans="13:13" x14ac:dyDescent="0.25">
      <c r="M176" s="33"/>
    </row>
    <row r="177" spans="13:13" x14ac:dyDescent="0.25">
      <c r="M177" s="33"/>
    </row>
    <row r="178" spans="13:13" x14ac:dyDescent="0.25">
      <c r="M178" s="33"/>
    </row>
    <row r="179" spans="13:13" x14ac:dyDescent="0.25">
      <c r="M179" s="33"/>
    </row>
    <row r="180" spans="13:13" x14ac:dyDescent="0.25">
      <c r="M180" s="33"/>
    </row>
    <row r="181" spans="13:13" x14ac:dyDescent="0.25">
      <c r="M181" s="33"/>
    </row>
    <row r="182" spans="13:13" x14ac:dyDescent="0.25">
      <c r="M182" s="33"/>
    </row>
    <row r="183" spans="13:13" x14ac:dyDescent="0.25">
      <c r="M183" s="33"/>
    </row>
    <row r="184" spans="13:13" x14ac:dyDescent="0.25">
      <c r="M184" s="33"/>
    </row>
    <row r="185" spans="13:13" x14ac:dyDescent="0.25">
      <c r="M185" s="33"/>
    </row>
    <row r="186" spans="13:13" x14ac:dyDescent="0.25">
      <c r="M186" s="33"/>
    </row>
    <row r="187" spans="13:13" x14ac:dyDescent="0.25">
      <c r="M187" s="33"/>
    </row>
    <row r="188" spans="13:13" x14ac:dyDescent="0.25">
      <c r="M188" s="33"/>
    </row>
    <row r="189" spans="13:13" x14ac:dyDescent="0.25">
      <c r="M189" s="33"/>
    </row>
    <row r="190" spans="13:13" x14ac:dyDescent="0.25">
      <c r="M190" s="33"/>
    </row>
    <row r="191" spans="13:13" x14ac:dyDescent="0.25">
      <c r="M191" s="33"/>
    </row>
    <row r="192" spans="13:13" x14ac:dyDescent="0.25">
      <c r="M192" s="33"/>
    </row>
    <row r="193" spans="13:13" x14ac:dyDescent="0.25">
      <c r="M193" s="33"/>
    </row>
    <row r="194" spans="13:13" x14ac:dyDescent="0.25">
      <c r="M194" s="33"/>
    </row>
    <row r="195" spans="13:13" x14ac:dyDescent="0.25">
      <c r="M195" s="33"/>
    </row>
    <row r="196" spans="13:13" x14ac:dyDescent="0.25">
      <c r="M196" s="33"/>
    </row>
    <row r="197" spans="13:13" x14ac:dyDescent="0.25">
      <c r="M197" s="33"/>
    </row>
    <row r="198" spans="13:13" x14ac:dyDescent="0.25">
      <c r="M198" s="33"/>
    </row>
    <row r="199" spans="13:13" x14ac:dyDescent="0.25">
      <c r="M199" s="33"/>
    </row>
    <row r="200" spans="13:13" x14ac:dyDescent="0.25">
      <c r="M200" s="33"/>
    </row>
    <row r="201" spans="13:13" x14ac:dyDescent="0.25">
      <c r="M201" s="33"/>
    </row>
    <row r="202" spans="13:13" x14ac:dyDescent="0.25">
      <c r="M202" s="33"/>
    </row>
    <row r="203" spans="13:13" x14ac:dyDescent="0.25">
      <c r="M203" s="33"/>
    </row>
    <row r="204" spans="13:13" x14ac:dyDescent="0.25">
      <c r="M204" s="33"/>
    </row>
    <row r="205" spans="13:13" x14ac:dyDescent="0.25">
      <c r="M205" s="33"/>
    </row>
    <row r="206" spans="13:13" x14ac:dyDescent="0.25">
      <c r="M206" s="33"/>
    </row>
    <row r="207" spans="13:13" x14ac:dyDescent="0.25">
      <c r="M207" s="33"/>
    </row>
    <row r="208" spans="13:13" x14ac:dyDescent="0.25">
      <c r="M208" s="33"/>
    </row>
    <row r="209" spans="13:13" x14ac:dyDescent="0.25">
      <c r="M209" s="33"/>
    </row>
    <row r="210" spans="13:13" x14ac:dyDescent="0.25">
      <c r="M210" s="33"/>
    </row>
    <row r="211" spans="13:13" x14ac:dyDescent="0.25">
      <c r="M211" s="33"/>
    </row>
    <row r="212" spans="13:13" x14ac:dyDescent="0.25">
      <c r="M212" s="33"/>
    </row>
    <row r="213" spans="13:13" x14ac:dyDescent="0.25">
      <c r="M213" s="33"/>
    </row>
    <row r="214" spans="13:13" x14ac:dyDescent="0.25">
      <c r="M214" s="33"/>
    </row>
    <row r="215" spans="13:13" x14ac:dyDescent="0.25">
      <c r="M215" s="33"/>
    </row>
    <row r="216" spans="13:13" x14ac:dyDescent="0.25">
      <c r="M216" s="33"/>
    </row>
    <row r="217" spans="13:13" x14ac:dyDescent="0.25">
      <c r="M217" s="33"/>
    </row>
    <row r="218" spans="13:13" x14ac:dyDescent="0.25">
      <c r="M218" s="33"/>
    </row>
    <row r="219" spans="13:13" x14ac:dyDescent="0.25">
      <c r="M219" s="33"/>
    </row>
    <row r="220" spans="13:13" x14ac:dyDescent="0.25">
      <c r="M220" s="33"/>
    </row>
    <row r="221" spans="13:13" x14ac:dyDescent="0.25">
      <c r="M221" s="33"/>
    </row>
    <row r="222" spans="13:13" x14ac:dyDescent="0.25">
      <c r="M222" s="33"/>
    </row>
    <row r="223" spans="13:13" x14ac:dyDescent="0.25">
      <c r="M223" s="33"/>
    </row>
    <row r="224" spans="13:13" x14ac:dyDescent="0.25">
      <c r="M224" s="33"/>
    </row>
    <row r="225" spans="13:13" x14ac:dyDescent="0.25">
      <c r="M225" s="33"/>
    </row>
    <row r="226" spans="13:13" x14ac:dyDescent="0.25">
      <c r="M226" s="33"/>
    </row>
    <row r="227" spans="13:13" x14ac:dyDescent="0.25">
      <c r="M227" s="33"/>
    </row>
    <row r="228" spans="13:13" x14ac:dyDescent="0.25">
      <c r="M228" s="33"/>
    </row>
    <row r="229" spans="13:13" x14ac:dyDescent="0.25">
      <c r="M229" s="33"/>
    </row>
    <row r="230" spans="13:13" x14ac:dyDescent="0.25">
      <c r="M230" s="33"/>
    </row>
    <row r="231" spans="13:13" x14ac:dyDescent="0.25">
      <c r="M231" s="33"/>
    </row>
    <row r="232" spans="13:13" x14ac:dyDescent="0.25">
      <c r="M232" s="33"/>
    </row>
    <row r="233" spans="13:13" x14ac:dyDescent="0.25">
      <c r="M233" s="33"/>
    </row>
    <row r="234" spans="13:13" x14ac:dyDescent="0.25">
      <c r="M234" s="33"/>
    </row>
    <row r="235" spans="13:13" x14ac:dyDescent="0.25">
      <c r="M235" s="33"/>
    </row>
    <row r="236" spans="13:13" x14ac:dyDescent="0.25">
      <c r="M236" s="33"/>
    </row>
    <row r="237" spans="13:13" x14ac:dyDescent="0.25">
      <c r="M237" s="33"/>
    </row>
    <row r="238" spans="13:13" x14ac:dyDescent="0.25">
      <c r="M238" s="33"/>
    </row>
    <row r="239" spans="13:13" x14ac:dyDescent="0.25">
      <c r="M239" s="33"/>
    </row>
    <row r="240" spans="13:13" x14ac:dyDescent="0.25">
      <c r="M240" s="33"/>
    </row>
    <row r="241" spans="13:13" x14ac:dyDescent="0.25">
      <c r="M241" s="33"/>
    </row>
    <row r="242" spans="13:13" x14ac:dyDescent="0.25">
      <c r="M242" s="33"/>
    </row>
    <row r="243" spans="13:13" x14ac:dyDescent="0.25">
      <c r="M243" s="33"/>
    </row>
    <row r="244" spans="13:13" x14ac:dyDescent="0.25">
      <c r="M244" s="33"/>
    </row>
    <row r="245" spans="13:13" x14ac:dyDescent="0.25">
      <c r="M245" s="33"/>
    </row>
    <row r="246" spans="13:13" x14ac:dyDescent="0.25">
      <c r="M246" s="33"/>
    </row>
    <row r="247" spans="13:13" x14ac:dyDescent="0.25">
      <c r="M247" s="33"/>
    </row>
    <row r="248" spans="13:13" x14ac:dyDescent="0.25">
      <c r="M248" s="33"/>
    </row>
    <row r="249" spans="13:13" x14ac:dyDescent="0.25">
      <c r="M249" s="33"/>
    </row>
    <row r="250" spans="13:13" x14ac:dyDescent="0.25">
      <c r="M250" s="33"/>
    </row>
    <row r="251" spans="13:13" x14ac:dyDescent="0.25">
      <c r="M251" s="33"/>
    </row>
    <row r="252" spans="13:13" x14ac:dyDescent="0.25">
      <c r="M252" s="33"/>
    </row>
    <row r="253" spans="13:13" x14ac:dyDescent="0.25">
      <c r="M253" s="33"/>
    </row>
    <row r="254" spans="13:13" x14ac:dyDescent="0.25">
      <c r="M254" s="33"/>
    </row>
    <row r="255" spans="13:13" x14ac:dyDescent="0.25">
      <c r="M255" s="33"/>
    </row>
    <row r="256" spans="13:13" x14ac:dyDescent="0.25">
      <c r="M256" s="33"/>
    </row>
    <row r="257" spans="13:13" x14ac:dyDescent="0.25">
      <c r="M257" s="33"/>
    </row>
    <row r="258" spans="13:13" x14ac:dyDescent="0.25">
      <c r="M258" s="33"/>
    </row>
    <row r="259" spans="13:13" x14ac:dyDescent="0.25">
      <c r="M259" s="33"/>
    </row>
    <row r="260" spans="13:13" x14ac:dyDescent="0.25">
      <c r="M260" s="33"/>
    </row>
    <row r="261" spans="13:13" x14ac:dyDescent="0.25">
      <c r="M261" s="33"/>
    </row>
    <row r="262" spans="13:13" x14ac:dyDescent="0.25">
      <c r="M262" s="33"/>
    </row>
    <row r="263" spans="13:13" x14ac:dyDescent="0.25">
      <c r="M263" s="33"/>
    </row>
    <row r="264" spans="13:13" x14ac:dyDescent="0.25">
      <c r="M264" s="33"/>
    </row>
    <row r="265" spans="13:13" x14ac:dyDescent="0.25">
      <c r="M265" s="33"/>
    </row>
    <row r="266" spans="13:13" x14ac:dyDescent="0.25">
      <c r="M266" s="33"/>
    </row>
    <row r="267" spans="13:13" x14ac:dyDescent="0.25">
      <c r="M267" s="33"/>
    </row>
    <row r="268" spans="13:13" x14ac:dyDescent="0.25">
      <c r="M268" s="33"/>
    </row>
    <row r="269" spans="13:13" x14ac:dyDescent="0.25">
      <c r="M269" s="33"/>
    </row>
    <row r="270" spans="13:13" x14ac:dyDescent="0.25">
      <c r="M270" s="33"/>
    </row>
    <row r="271" spans="13:13" x14ac:dyDescent="0.25">
      <c r="M271" s="33"/>
    </row>
    <row r="272" spans="13:13" x14ac:dyDescent="0.25">
      <c r="M272" s="33"/>
    </row>
    <row r="273" spans="13:13" x14ac:dyDescent="0.25">
      <c r="M273" s="33"/>
    </row>
    <row r="274" spans="13:13" x14ac:dyDescent="0.25">
      <c r="M274" s="33"/>
    </row>
    <row r="275" spans="13:13" x14ac:dyDescent="0.25">
      <c r="M275" s="33"/>
    </row>
    <row r="276" spans="13:13" x14ac:dyDescent="0.25">
      <c r="M276" s="33"/>
    </row>
    <row r="277" spans="13:13" x14ac:dyDescent="0.25">
      <c r="M277" s="33"/>
    </row>
    <row r="278" spans="13:13" x14ac:dyDescent="0.25">
      <c r="M278" s="33"/>
    </row>
    <row r="279" spans="13:13" x14ac:dyDescent="0.25">
      <c r="M279" s="33"/>
    </row>
    <row r="280" spans="13:13" x14ac:dyDescent="0.25">
      <c r="M280" s="33"/>
    </row>
    <row r="281" spans="13:13" x14ac:dyDescent="0.25">
      <c r="M281" s="33"/>
    </row>
    <row r="282" spans="13:13" x14ac:dyDescent="0.25">
      <c r="M282" s="33"/>
    </row>
    <row r="283" spans="13:13" x14ac:dyDescent="0.25">
      <c r="M283" s="33"/>
    </row>
    <row r="284" spans="13:13" x14ac:dyDescent="0.25">
      <c r="M284" s="33"/>
    </row>
    <row r="285" spans="13:13" x14ac:dyDescent="0.25">
      <c r="M285" s="33"/>
    </row>
    <row r="286" spans="13:13" x14ac:dyDescent="0.25">
      <c r="M286" s="33"/>
    </row>
    <row r="287" spans="13:13" x14ac:dyDescent="0.25">
      <c r="M287" s="33"/>
    </row>
    <row r="288" spans="13:13" x14ac:dyDescent="0.25">
      <c r="M288" s="33"/>
    </row>
    <row r="289" spans="13:13" x14ac:dyDescent="0.25">
      <c r="M289" s="33"/>
    </row>
    <row r="290" spans="13:13" x14ac:dyDescent="0.25">
      <c r="M290" s="33"/>
    </row>
    <row r="291" spans="13:13" x14ac:dyDescent="0.25">
      <c r="M291" s="33"/>
    </row>
    <row r="292" spans="13:13" x14ac:dyDescent="0.25">
      <c r="M292" s="33"/>
    </row>
    <row r="293" spans="13:13" x14ac:dyDescent="0.25">
      <c r="M293" s="33"/>
    </row>
    <row r="294" spans="13:13" x14ac:dyDescent="0.25">
      <c r="M294" s="33"/>
    </row>
    <row r="295" spans="13:13" x14ac:dyDescent="0.25">
      <c r="M295" s="33"/>
    </row>
    <row r="296" spans="13:13" x14ac:dyDescent="0.25">
      <c r="M296" s="33"/>
    </row>
    <row r="297" spans="13:13" x14ac:dyDescent="0.25">
      <c r="M297" s="33"/>
    </row>
    <row r="298" spans="13:13" x14ac:dyDescent="0.25">
      <c r="M298" s="33"/>
    </row>
    <row r="299" spans="13:13" x14ac:dyDescent="0.25">
      <c r="M299" s="33"/>
    </row>
    <row r="300" spans="13:13" x14ac:dyDescent="0.25">
      <c r="M300" s="33"/>
    </row>
    <row r="301" spans="13:13" x14ac:dyDescent="0.25">
      <c r="M301" s="33"/>
    </row>
    <row r="302" spans="13:13" x14ac:dyDescent="0.25">
      <c r="M302" s="33"/>
    </row>
    <row r="303" spans="13:13" x14ac:dyDescent="0.25">
      <c r="M303" s="33"/>
    </row>
    <row r="304" spans="13:13" x14ac:dyDescent="0.25">
      <c r="M304" s="33"/>
    </row>
    <row r="305" spans="13:13" x14ac:dyDescent="0.25">
      <c r="M305" s="33"/>
    </row>
    <row r="306" spans="13:13" x14ac:dyDescent="0.25">
      <c r="M306" s="33"/>
    </row>
    <row r="307" spans="13:13" x14ac:dyDescent="0.25">
      <c r="M307" s="33"/>
    </row>
    <row r="308" spans="13:13" x14ac:dyDescent="0.25">
      <c r="M308" s="33"/>
    </row>
    <row r="309" spans="13:13" x14ac:dyDescent="0.25">
      <c r="M309" s="33"/>
    </row>
    <row r="310" spans="13:13" x14ac:dyDescent="0.25">
      <c r="M310" s="33"/>
    </row>
    <row r="311" spans="13:13" x14ac:dyDescent="0.25">
      <c r="M311" s="33"/>
    </row>
    <row r="312" spans="13:13" x14ac:dyDescent="0.25">
      <c r="M312" s="33"/>
    </row>
    <row r="313" spans="13:13" x14ac:dyDescent="0.25">
      <c r="M313" s="33"/>
    </row>
    <row r="314" spans="13:13" x14ac:dyDescent="0.25">
      <c r="M314" s="33"/>
    </row>
    <row r="315" spans="13:13" x14ac:dyDescent="0.25">
      <c r="M315" s="33"/>
    </row>
    <row r="316" spans="13:13" x14ac:dyDescent="0.25">
      <c r="M316" s="33"/>
    </row>
    <row r="317" spans="13:13" x14ac:dyDescent="0.25">
      <c r="M317" s="33"/>
    </row>
    <row r="318" spans="13:13" x14ac:dyDescent="0.25">
      <c r="M318" s="33"/>
    </row>
    <row r="319" spans="13:13" x14ac:dyDescent="0.25">
      <c r="M319" s="33"/>
    </row>
    <row r="320" spans="13:13" x14ac:dyDescent="0.25">
      <c r="M320" s="33"/>
    </row>
    <row r="321" spans="13:13" x14ac:dyDescent="0.25">
      <c r="M321" s="33"/>
    </row>
    <row r="322" spans="13:13" x14ac:dyDescent="0.25">
      <c r="M322" s="33"/>
    </row>
    <row r="323" spans="13:13" x14ac:dyDescent="0.25">
      <c r="M323" s="33"/>
    </row>
    <row r="324" spans="13:13" x14ac:dyDescent="0.25">
      <c r="M324" s="33"/>
    </row>
    <row r="325" spans="13:13" x14ac:dyDescent="0.25">
      <c r="M325" s="33"/>
    </row>
    <row r="326" spans="13:13" x14ac:dyDescent="0.25">
      <c r="M326" s="33"/>
    </row>
    <row r="327" spans="13:13" x14ac:dyDescent="0.25">
      <c r="M327" s="33"/>
    </row>
    <row r="328" spans="13:13" x14ac:dyDescent="0.25">
      <c r="M328" s="33"/>
    </row>
    <row r="329" spans="13:13" x14ac:dyDescent="0.25">
      <c r="M329" s="33"/>
    </row>
    <row r="330" spans="13:13" x14ac:dyDescent="0.25">
      <c r="M330" s="33"/>
    </row>
    <row r="331" spans="13:13" x14ac:dyDescent="0.25">
      <c r="M331" s="33"/>
    </row>
    <row r="332" spans="13:13" x14ac:dyDescent="0.25">
      <c r="M332" s="33"/>
    </row>
    <row r="333" spans="13:13" x14ac:dyDescent="0.25">
      <c r="M333" s="33"/>
    </row>
    <row r="334" spans="13:13" x14ac:dyDescent="0.25">
      <c r="M334" s="33"/>
    </row>
    <row r="335" spans="13:13" x14ac:dyDescent="0.25">
      <c r="M335" s="33"/>
    </row>
    <row r="336" spans="13:13" x14ac:dyDescent="0.25">
      <c r="M336" s="33"/>
    </row>
    <row r="337" spans="13:13" x14ac:dyDescent="0.25">
      <c r="M337" s="33"/>
    </row>
    <row r="338" spans="13:13" x14ac:dyDescent="0.25">
      <c r="M338" s="33"/>
    </row>
    <row r="339" spans="13:13" x14ac:dyDescent="0.25">
      <c r="M339" s="33"/>
    </row>
    <row r="340" spans="13:13" x14ac:dyDescent="0.25">
      <c r="M340" s="33"/>
    </row>
    <row r="341" spans="13:13" x14ac:dyDescent="0.25">
      <c r="M341" s="33"/>
    </row>
    <row r="342" spans="13:13" x14ac:dyDescent="0.25">
      <c r="M342" s="33"/>
    </row>
    <row r="343" spans="13:13" x14ac:dyDescent="0.25">
      <c r="M343" s="33"/>
    </row>
    <row r="344" spans="13:13" x14ac:dyDescent="0.25">
      <c r="M344" s="33"/>
    </row>
    <row r="345" spans="13:13" x14ac:dyDescent="0.25">
      <c r="M345" s="33"/>
    </row>
    <row r="346" spans="13:13" x14ac:dyDescent="0.25">
      <c r="M346" s="33"/>
    </row>
    <row r="347" spans="13:13" x14ac:dyDescent="0.25">
      <c r="M347" s="33"/>
    </row>
    <row r="348" spans="13:13" x14ac:dyDescent="0.25">
      <c r="M348" s="33"/>
    </row>
    <row r="349" spans="13:13" x14ac:dyDescent="0.25">
      <c r="M349" s="33"/>
    </row>
    <row r="350" spans="13:13" x14ac:dyDescent="0.25">
      <c r="M350" s="33"/>
    </row>
    <row r="351" spans="13:13" x14ac:dyDescent="0.25">
      <c r="M351" s="33"/>
    </row>
    <row r="352" spans="13:13" x14ac:dyDescent="0.25">
      <c r="M352" s="33"/>
    </row>
    <row r="353" spans="13:13" x14ac:dyDescent="0.25">
      <c r="M353" s="33"/>
    </row>
    <row r="354" spans="13:13" x14ac:dyDescent="0.25">
      <c r="M354" s="33"/>
    </row>
    <row r="355" spans="13:13" x14ac:dyDescent="0.25">
      <c r="M355" s="33"/>
    </row>
    <row r="356" spans="13:13" x14ac:dyDescent="0.25">
      <c r="M356" s="33"/>
    </row>
  </sheetData>
  <mergeCells count="6">
    <mergeCell ref="F1:I1"/>
    <mergeCell ref="J1:N1"/>
    <mergeCell ref="Q1:T1"/>
    <mergeCell ref="F2:H2"/>
    <mergeCell ref="J2:L2"/>
    <mergeCell ref="O2:O3"/>
  </mergeCells>
  <phoneticPr fontId="1" type="noConversion"/>
  <printOptions gridLines="1"/>
  <pageMargins left="0.17" right="0.16" top="0.28999999999999998" bottom="0.2" header="0.5" footer="0.5"/>
  <pageSetup paperSize="9" scale="35" orientation="portrait" r:id="rId1"/>
  <headerFooter alignWithMargins="0">
    <oddFooter>&amp;C&amp;"Times New Roman,標準"&amp;P&amp;R&amp;"Times New Roman,標準"&amp;A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05">
    <pageSetUpPr fitToPage="1"/>
  </sheetPr>
  <dimension ref="A1:T354"/>
  <sheetViews>
    <sheetView zoomScale="90" zoomScaleNormal="90" workbookViewId="0">
      <pane xSplit="1" ySplit="3" topLeftCell="B94" activePane="bottomRight" state="frozen"/>
      <selection sqref="A1:P65536"/>
      <selection pane="topRight" sqref="A1:P65536"/>
      <selection pane="bottomLeft" sqref="A1:P65536"/>
      <selection pane="bottomRight" activeCell="J26" sqref="J26"/>
    </sheetView>
  </sheetViews>
  <sheetFormatPr defaultRowHeight="16.5" x14ac:dyDescent="0.25"/>
  <cols>
    <col min="1" max="1" width="9" style="7" customWidth="1"/>
    <col min="2" max="2" width="10.5" style="8" bestFit="1" customWidth="1"/>
    <col min="3" max="3" width="7.5" style="8" bestFit="1" customWidth="1"/>
    <col min="4" max="4" width="9.5" style="8" customWidth="1"/>
    <col min="5" max="15" width="9.25" style="8" bestFit="1" customWidth="1"/>
    <col min="16" max="16" width="4" style="8" customWidth="1"/>
    <col min="17" max="17" width="6.625" style="28" customWidth="1"/>
    <col min="18" max="18" width="8.625" style="28" customWidth="1"/>
    <col min="19" max="20" width="11.75" style="31" bestFit="1" customWidth="1"/>
    <col min="21" max="256" width="9" style="8"/>
    <col min="257" max="257" width="9" style="8" customWidth="1"/>
    <col min="258" max="258" width="10.5" style="8" bestFit="1" customWidth="1"/>
    <col min="259" max="259" width="6.5" style="8" bestFit="1" customWidth="1"/>
    <col min="260" max="260" width="9.5" style="8" customWidth="1"/>
    <col min="261" max="271" width="9" style="8"/>
    <col min="272" max="272" width="4" style="8" customWidth="1"/>
    <col min="273" max="273" width="6.625" style="8" customWidth="1"/>
    <col min="274" max="274" width="8.625" style="8" customWidth="1"/>
    <col min="275" max="276" width="11.5" style="8" bestFit="1" customWidth="1"/>
    <col min="277" max="512" width="9" style="8"/>
    <col min="513" max="513" width="9" style="8" customWidth="1"/>
    <col min="514" max="514" width="10.5" style="8" bestFit="1" customWidth="1"/>
    <col min="515" max="515" width="6.5" style="8" bestFit="1" customWidth="1"/>
    <col min="516" max="516" width="9.5" style="8" customWidth="1"/>
    <col min="517" max="527" width="9" style="8"/>
    <col min="528" max="528" width="4" style="8" customWidth="1"/>
    <col min="529" max="529" width="6.625" style="8" customWidth="1"/>
    <col min="530" max="530" width="8.625" style="8" customWidth="1"/>
    <col min="531" max="532" width="11.5" style="8" bestFit="1" customWidth="1"/>
    <col min="533" max="768" width="9" style="8"/>
    <col min="769" max="769" width="9" style="8" customWidth="1"/>
    <col min="770" max="770" width="10.5" style="8" bestFit="1" customWidth="1"/>
    <col min="771" max="771" width="6.5" style="8" bestFit="1" customWidth="1"/>
    <col min="772" max="772" width="9.5" style="8" customWidth="1"/>
    <col min="773" max="783" width="9" style="8"/>
    <col min="784" max="784" width="4" style="8" customWidth="1"/>
    <col min="785" max="785" width="6.625" style="8" customWidth="1"/>
    <col min="786" max="786" width="8.625" style="8" customWidth="1"/>
    <col min="787" max="788" width="11.5" style="8" bestFit="1" customWidth="1"/>
    <col min="789" max="1024" width="9" style="8"/>
    <col min="1025" max="1025" width="9" style="8" customWidth="1"/>
    <col min="1026" max="1026" width="10.5" style="8" bestFit="1" customWidth="1"/>
    <col min="1027" max="1027" width="6.5" style="8" bestFit="1" customWidth="1"/>
    <col min="1028" max="1028" width="9.5" style="8" customWidth="1"/>
    <col min="1029" max="1039" width="9" style="8"/>
    <col min="1040" max="1040" width="4" style="8" customWidth="1"/>
    <col min="1041" max="1041" width="6.625" style="8" customWidth="1"/>
    <col min="1042" max="1042" width="8.625" style="8" customWidth="1"/>
    <col min="1043" max="1044" width="11.5" style="8" bestFit="1" customWidth="1"/>
    <col min="1045" max="1280" width="9" style="8"/>
    <col min="1281" max="1281" width="9" style="8" customWidth="1"/>
    <col min="1282" max="1282" width="10.5" style="8" bestFit="1" customWidth="1"/>
    <col min="1283" max="1283" width="6.5" style="8" bestFit="1" customWidth="1"/>
    <col min="1284" max="1284" width="9.5" style="8" customWidth="1"/>
    <col min="1285" max="1295" width="9" style="8"/>
    <col min="1296" max="1296" width="4" style="8" customWidth="1"/>
    <col min="1297" max="1297" width="6.625" style="8" customWidth="1"/>
    <col min="1298" max="1298" width="8.625" style="8" customWidth="1"/>
    <col min="1299" max="1300" width="11.5" style="8" bestFit="1" customWidth="1"/>
    <col min="1301" max="1536" width="9" style="8"/>
    <col min="1537" max="1537" width="9" style="8" customWidth="1"/>
    <col min="1538" max="1538" width="10.5" style="8" bestFit="1" customWidth="1"/>
    <col min="1539" max="1539" width="6.5" style="8" bestFit="1" customWidth="1"/>
    <col min="1540" max="1540" width="9.5" style="8" customWidth="1"/>
    <col min="1541" max="1551" width="9" style="8"/>
    <col min="1552" max="1552" width="4" style="8" customWidth="1"/>
    <col min="1553" max="1553" width="6.625" style="8" customWidth="1"/>
    <col min="1554" max="1554" width="8.625" style="8" customWidth="1"/>
    <col min="1555" max="1556" width="11.5" style="8" bestFit="1" customWidth="1"/>
    <col min="1557" max="1792" width="9" style="8"/>
    <col min="1793" max="1793" width="9" style="8" customWidth="1"/>
    <col min="1794" max="1794" width="10.5" style="8" bestFit="1" customWidth="1"/>
    <col min="1795" max="1795" width="6.5" style="8" bestFit="1" customWidth="1"/>
    <col min="1796" max="1796" width="9.5" style="8" customWidth="1"/>
    <col min="1797" max="1807" width="9" style="8"/>
    <col min="1808" max="1808" width="4" style="8" customWidth="1"/>
    <col min="1809" max="1809" width="6.625" style="8" customWidth="1"/>
    <col min="1810" max="1810" width="8.625" style="8" customWidth="1"/>
    <col min="1811" max="1812" width="11.5" style="8" bestFit="1" customWidth="1"/>
    <col min="1813" max="2048" width="9" style="8"/>
    <col min="2049" max="2049" width="9" style="8" customWidth="1"/>
    <col min="2050" max="2050" width="10.5" style="8" bestFit="1" customWidth="1"/>
    <col min="2051" max="2051" width="6.5" style="8" bestFit="1" customWidth="1"/>
    <col min="2052" max="2052" width="9.5" style="8" customWidth="1"/>
    <col min="2053" max="2063" width="9" style="8"/>
    <col min="2064" max="2064" width="4" style="8" customWidth="1"/>
    <col min="2065" max="2065" width="6.625" style="8" customWidth="1"/>
    <col min="2066" max="2066" width="8.625" style="8" customWidth="1"/>
    <col min="2067" max="2068" width="11.5" style="8" bestFit="1" customWidth="1"/>
    <col min="2069" max="2304" width="9" style="8"/>
    <col min="2305" max="2305" width="9" style="8" customWidth="1"/>
    <col min="2306" max="2306" width="10.5" style="8" bestFit="1" customWidth="1"/>
    <col min="2307" max="2307" width="6.5" style="8" bestFit="1" customWidth="1"/>
    <col min="2308" max="2308" width="9.5" style="8" customWidth="1"/>
    <col min="2309" max="2319" width="9" style="8"/>
    <col min="2320" max="2320" width="4" style="8" customWidth="1"/>
    <col min="2321" max="2321" width="6.625" style="8" customWidth="1"/>
    <col min="2322" max="2322" width="8.625" style="8" customWidth="1"/>
    <col min="2323" max="2324" width="11.5" style="8" bestFit="1" customWidth="1"/>
    <col min="2325" max="2560" width="9" style="8"/>
    <col min="2561" max="2561" width="9" style="8" customWidth="1"/>
    <col min="2562" max="2562" width="10.5" style="8" bestFit="1" customWidth="1"/>
    <col min="2563" max="2563" width="6.5" style="8" bestFit="1" customWidth="1"/>
    <col min="2564" max="2564" width="9.5" style="8" customWidth="1"/>
    <col min="2565" max="2575" width="9" style="8"/>
    <col min="2576" max="2576" width="4" style="8" customWidth="1"/>
    <col min="2577" max="2577" width="6.625" style="8" customWidth="1"/>
    <col min="2578" max="2578" width="8.625" style="8" customWidth="1"/>
    <col min="2579" max="2580" width="11.5" style="8" bestFit="1" customWidth="1"/>
    <col min="2581" max="2816" width="9" style="8"/>
    <col min="2817" max="2817" width="9" style="8" customWidth="1"/>
    <col min="2818" max="2818" width="10.5" style="8" bestFit="1" customWidth="1"/>
    <col min="2819" max="2819" width="6.5" style="8" bestFit="1" customWidth="1"/>
    <col min="2820" max="2820" width="9.5" style="8" customWidth="1"/>
    <col min="2821" max="2831" width="9" style="8"/>
    <col min="2832" max="2832" width="4" style="8" customWidth="1"/>
    <col min="2833" max="2833" width="6.625" style="8" customWidth="1"/>
    <col min="2834" max="2834" width="8.625" style="8" customWidth="1"/>
    <col min="2835" max="2836" width="11.5" style="8" bestFit="1" customWidth="1"/>
    <col min="2837" max="3072" width="9" style="8"/>
    <col min="3073" max="3073" width="9" style="8" customWidth="1"/>
    <col min="3074" max="3074" width="10.5" style="8" bestFit="1" customWidth="1"/>
    <col min="3075" max="3075" width="6.5" style="8" bestFit="1" customWidth="1"/>
    <col min="3076" max="3076" width="9.5" style="8" customWidth="1"/>
    <col min="3077" max="3087" width="9" style="8"/>
    <col min="3088" max="3088" width="4" style="8" customWidth="1"/>
    <col min="3089" max="3089" width="6.625" style="8" customWidth="1"/>
    <col min="3090" max="3090" width="8.625" style="8" customWidth="1"/>
    <col min="3091" max="3092" width="11.5" style="8" bestFit="1" customWidth="1"/>
    <col min="3093" max="3328" width="9" style="8"/>
    <col min="3329" max="3329" width="9" style="8" customWidth="1"/>
    <col min="3330" max="3330" width="10.5" style="8" bestFit="1" customWidth="1"/>
    <col min="3331" max="3331" width="6.5" style="8" bestFit="1" customWidth="1"/>
    <col min="3332" max="3332" width="9.5" style="8" customWidth="1"/>
    <col min="3333" max="3343" width="9" style="8"/>
    <col min="3344" max="3344" width="4" style="8" customWidth="1"/>
    <col min="3345" max="3345" width="6.625" style="8" customWidth="1"/>
    <col min="3346" max="3346" width="8.625" style="8" customWidth="1"/>
    <col min="3347" max="3348" width="11.5" style="8" bestFit="1" customWidth="1"/>
    <col min="3349" max="3584" width="9" style="8"/>
    <col min="3585" max="3585" width="9" style="8" customWidth="1"/>
    <col min="3586" max="3586" width="10.5" style="8" bestFit="1" customWidth="1"/>
    <col min="3587" max="3587" width="6.5" style="8" bestFit="1" customWidth="1"/>
    <col min="3588" max="3588" width="9.5" style="8" customWidth="1"/>
    <col min="3589" max="3599" width="9" style="8"/>
    <col min="3600" max="3600" width="4" style="8" customWidth="1"/>
    <col min="3601" max="3601" width="6.625" style="8" customWidth="1"/>
    <col min="3602" max="3602" width="8.625" style="8" customWidth="1"/>
    <col min="3603" max="3604" width="11.5" style="8" bestFit="1" customWidth="1"/>
    <col min="3605" max="3840" width="9" style="8"/>
    <col min="3841" max="3841" width="9" style="8" customWidth="1"/>
    <col min="3842" max="3842" width="10.5" style="8" bestFit="1" customWidth="1"/>
    <col min="3843" max="3843" width="6.5" style="8" bestFit="1" customWidth="1"/>
    <col min="3844" max="3844" width="9.5" style="8" customWidth="1"/>
    <col min="3845" max="3855" width="9" style="8"/>
    <col min="3856" max="3856" width="4" style="8" customWidth="1"/>
    <col min="3857" max="3857" width="6.625" style="8" customWidth="1"/>
    <col min="3858" max="3858" width="8.625" style="8" customWidth="1"/>
    <col min="3859" max="3860" width="11.5" style="8" bestFit="1" customWidth="1"/>
    <col min="3861" max="4096" width="9" style="8"/>
    <col min="4097" max="4097" width="9" style="8" customWidth="1"/>
    <col min="4098" max="4098" width="10.5" style="8" bestFit="1" customWidth="1"/>
    <col min="4099" max="4099" width="6.5" style="8" bestFit="1" customWidth="1"/>
    <col min="4100" max="4100" width="9.5" style="8" customWidth="1"/>
    <col min="4101" max="4111" width="9" style="8"/>
    <col min="4112" max="4112" width="4" style="8" customWidth="1"/>
    <col min="4113" max="4113" width="6.625" style="8" customWidth="1"/>
    <col min="4114" max="4114" width="8.625" style="8" customWidth="1"/>
    <col min="4115" max="4116" width="11.5" style="8" bestFit="1" customWidth="1"/>
    <col min="4117" max="4352" width="9" style="8"/>
    <col min="4353" max="4353" width="9" style="8" customWidth="1"/>
    <col min="4354" max="4354" width="10.5" style="8" bestFit="1" customWidth="1"/>
    <col min="4355" max="4355" width="6.5" style="8" bestFit="1" customWidth="1"/>
    <col min="4356" max="4356" width="9.5" style="8" customWidth="1"/>
    <col min="4357" max="4367" width="9" style="8"/>
    <col min="4368" max="4368" width="4" style="8" customWidth="1"/>
    <col min="4369" max="4369" width="6.625" style="8" customWidth="1"/>
    <col min="4370" max="4370" width="8.625" style="8" customWidth="1"/>
    <col min="4371" max="4372" width="11.5" style="8" bestFit="1" customWidth="1"/>
    <col min="4373" max="4608" width="9" style="8"/>
    <col min="4609" max="4609" width="9" style="8" customWidth="1"/>
    <col min="4610" max="4610" width="10.5" style="8" bestFit="1" customWidth="1"/>
    <col min="4611" max="4611" width="6.5" style="8" bestFit="1" customWidth="1"/>
    <col min="4612" max="4612" width="9.5" style="8" customWidth="1"/>
    <col min="4613" max="4623" width="9" style="8"/>
    <col min="4624" max="4624" width="4" style="8" customWidth="1"/>
    <col min="4625" max="4625" width="6.625" style="8" customWidth="1"/>
    <col min="4626" max="4626" width="8.625" style="8" customWidth="1"/>
    <col min="4627" max="4628" width="11.5" style="8" bestFit="1" customWidth="1"/>
    <col min="4629" max="4864" width="9" style="8"/>
    <col min="4865" max="4865" width="9" style="8" customWidth="1"/>
    <col min="4866" max="4866" width="10.5" style="8" bestFit="1" customWidth="1"/>
    <col min="4867" max="4867" width="6.5" style="8" bestFit="1" customWidth="1"/>
    <col min="4868" max="4868" width="9.5" style="8" customWidth="1"/>
    <col min="4869" max="4879" width="9" style="8"/>
    <col min="4880" max="4880" width="4" style="8" customWidth="1"/>
    <col min="4881" max="4881" width="6.625" style="8" customWidth="1"/>
    <col min="4882" max="4882" width="8.625" style="8" customWidth="1"/>
    <col min="4883" max="4884" width="11.5" style="8" bestFit="1" customWidth="1"/>
    <col min="4885" max="5120" width="9" style="8"/>
    <col min="5121" max="5121" width="9" style="8" customWidth="1"/>
    <col min="5122" max="5122" width="10.5" style="8" bestFit="1" customWidth="1"/>
    <col min="5123" max="5123" width="6.5" style="8" bestFit="1" customWidth="1"/>
    <col min="5124" max="5124" width="9.5" style="8" customWidth="1"/>
    <col min="5125" max="5135" width="9" style="8"/>
    <col min="5136" max="5136" width="4" style="8" customWidth="1"/>
    <col min="5137" max="5137" width="6.625" style="8" customWidth="1"/>
    <col min="5138" max="5138" width="8.625" style="8" customWidth="1"/>
    <col min="5139" max="5140" width="11.5" style="8" bestFit="1" customWidth="1"/>
    <col min="5141" max="5376" width="9" style="8"/>
    <col min="5377" max="5377" width="9" style="8" customWidth="1"/>
    <col min="5378" max="5378" width="10.5" style="8" bestFit="1" customWidth="1"/>
    <col min="5379" max="5379" width="6.5" style="8" bestFit="1" customWidth="1"/>
    <col min="5380" max="5380" width="9.5" style="8" customWidth="1"/>
    <col min="5381" max="5391" width="9" style="8"/>
    <col min="5392" max="5392" width="4" style="8" customWidth="1"/>
    <col min="5393" max="5393" width="6.625" style="8" customWidth="1"/>
    <col min="5394" max="5394" width="8.625" style="8" customWidth="1"/>
    <col min="5395" max="5396" width="11.5" style="8" bestFit="1" customWidth="1"/>
    <col min="5397" max="5632" width="9" style="8"/>
    <col min="5633" max="5633" width="9" style="8" customWidth="1"/>
    <col min="5634" max="5634" width="10.5" style="8" bestFit="1" customWidth="1"/>
    <col min="5635" max="5635" width="6.5" style="8" bestFit="1" customWidth="1"/>
    <col min="5636" max="5636" width="9.5" style="8" customWidth="1"/>
    <col min="5637" max="5647" width="9" style="8"/>
    <col min="5648" max="5648" width="4" style="8" customWidth="1"/>
    <col min="5649" max="5649" width="6.625" style="8" customWidth="1"/>
    <col min="5650" max="5650" width="8.625" style="8" customWidth="1"/>
    <col min="5651" max="5652" width="11.5" style="8" bestFit="1" customWidth="1"/>
    <col min="5653" max="5888" width="9" style="8"/>
    <col min="5889" max="5889" width="9" style="8" customWidth="1"/>
    <col min="5890" max="5890" width="10.5" style="8" bestFit="1" customWidth="1"/>
    <col min="5891" max="5891" width="6.5" style="8" bestFit="1" customWidth="1"/>
    <col min="5892" max="5892" width="9.5" style="8" customWidth="1"/>
    <col min="5893" max="5903" width="9" style="8"/>
    <col min="5904" max="5904" width="4" style="8" customWidth="1"/>
    <col min="5905" max="5905" width="6.625" style="8" customWidth="1"/>
    <col min="5906" max="5906" width="8.625" style="8" customWidth="1"/>
    <col min="5907" max="5908" width="11.5" style="8" bestFit="1" customWidth="1"/>
    <col min="5909" max="6144" width="9" style="8"/>
    <col min="6145" max="6145" width="9" style="8" customWidth="1"/>
    <col min="6146" max="6146" width="10.5" style="8" bestFit="1" customWidth="1"/>
    <col min="6147" max="6147" width="6.5" style="8" bestFit="1" customWidth="1"/>
    <col min="6148" max="6148" width="9.5" style="8" customWidth="1"/>
    <col min="6149" max="6159" width="9" style="8"/>
    <col min="6160" max="6160" width="4" style="8" customWidth="1"/>
    <col min="6161" max="6161" width="6.625" style="8" customWidth="1"/>
    <col min="6162" max="6162" width="8.625" style="8" customWidth="1"/>
    <col min="6163" max="6164" width="11.5" style="8" bestFit="1" customWidth="1"/>
    <col min="6165" max="6400" width="9" style="8"/>
    <col min="6401" max="6401" width="9" style="8" customWidth="1"/>
    <col min="6402" max="6402" width="10.5" style="8" bestFit="1" customWidth="1"/>
    <col min="6403" max="6403" width="6.5" style="8" bestFit="1" customWidth="1"/>
    <col min="6404" max="6404" width="9.5" style="8" customWidth="1"/>
    <col min="6405" max="6415" width="9" style="8"/>
    <col min="6416" max="6416" width="4" style="8" customWidth="1"/>
    <col min="6417" max="6417" width="6.625" style="8" customWidth="1"/>
    <col min="6418" max="6418" width="8.625" style="8" customWidth="1"/>
    <col min="6419" max="6420" width="11.5" style="8" bestFit="1" customWidth="1"/>
    <col min="6421" max="6656" width="9" style="8"/>
    <col min="6657" max="6657" width="9" style="8" customWidth="1"/>
    <col min="6658" max="6658" width="10.5" style="8" bestFit="1" customWidth="1"/>
    <col min="6659" max="6659" width="6.5" style="8" bestFit="1" customWidth="1"/>
    <col min="6660" max="6660" width="9.5" style="8" customWidth="1"/>
    <col min="6661" max="6671" width="9" style="8"/>
    <col min="6672" max="6672" width="4" style="8" customWidth="1"/>
    <col min="6673" max="6673" width="6.625" style="8" customWidth="1"/>
    <col min="6674" max="6674" width="8.625" style="8" customWidth="1"/>
    <col min="6675" max="6676" width="11.5" style="8" bestFit="1" customWidth="1"/>
    <col min="6677" max="6912" width="9" style="8"/>
    <col min="6913" max="6913" width="9" style="8" customWidth="1"/>
    <col min="6914" max="6914" width="10.5" style="8" bestFit="1" customWidth="1"/>
    <col min="6915" max="6915" width="6.5" style="8" bestFit="1" customWidth="1"/>
    <col min="6916" max="6916" width="9.5" style="8" customWidth="1"/>
    <col min="6917" max="6927" width="9" style="8"/>
    <col min="6928" max="6928" width="4" style="8" customWidth="1"/>
    <col min="6929" max="6929" width="6.625" style="8" customWidth="1"/>
    <col min="6930" max="6930" width="8.625" style="8" customWidth="1"/>
    <col min="6931" max="6932" width="11.5" style="8" bestFit="1" customWidth="1"/>
    <col min="6933" max="7168" width="9" style="8"/>
    <col min="7169" max="7169" width="9" style="8" customWidth="1"/>
    <col min="7170" max="7170" width="10.5" style="8" bestFit="1" customWidth="1"/>
    <col min="7171" max="7171" width="6.5" style="8" bestFit="1" customWidth="1"/>
    <col min="7172" max="7172" width="9.5" style="8" customWidth="1"/>
    <col min="7173" max="7183" width="9" style="8"/>
    <col min="7184" max="7184" width="4" style="8" customWidth="1"/>
    <col min="7185" max="7185" width="6.625" style="8" customWidth="1"/>
    <col min="7186" max="7186" width="8.625" style="8" customWidth="1"/>
    <col min="7187" max="7188" width="11.5" style="8" bestFit="1" customWidth="1"/>
    <col min="7189" max="7424" width="9" style="8"/>
    <col min="7425" max="7425" width="9" style="8" customWidth="1"/>
    <col min="7426" max="7426" width="10.5" style="8" bestFit="1" customWidth="1"/>
    <col min="7427" max="7427" width="6.5" style="8" bestFit="1" customWidth="1"/>
    <col min="7428" max="7428" width="9.5" style="8" customWidth="1"/>
    <col min="7429" max="7439" width="9" style="8"/>
    <col min="7440" max="7440" width="4" style="8" customWidth="1"/>
    <col min="7441" max="7441" width="6.625" style="8" customWidth="1"/>
    <col min="7442" max="7442" width="8.625" style="8" customWidth="1"/>
    <col min="7443" max="7444" width="11.5" style="8" bestFit="1" customWidth="1"/>
    <col min="7445" max="7680" width="9" style="8"/>
    <col min="7681" max="7681" width="9" style="8" customWidth="1"/>
    <col min="7682" max="7682" width="10.5" style="8" bestFit="1" customWidth="1"/>
    <col min="7683" max="7683" width="6.5" style="8" bestFit="1" customWidth="1"/>
    <col min="7684" max="7684" width="9.5" style="8" customWidth="1"/>
    <col min="7685" max="7695" width="9" style="8"/>
    <col min="7696" max="7696" width="4" style="8" customWidth="1"/>
    <col min="7697" max="7697" width="6.625" style="8" customWidth="1"/>
    <col min="7698" max="7698" width="8.625" style="8" customWidth="1"/>
    <col min="7699" max="7700" width="11.5" style="8" bestFit="1" customWidth="1"/>
    <col min="7701" max="7936" width="9" style="8"/>
    <col min="7937" max="7937" width="9" style="8" customWidth="1"/>
    <col min="7938" max="7938" width="10.5" style="8" bestFit="1" customWidth="1"/>
    <col min="7939" max="7939" width="6.5" style="8" bestFit="1" customWidth="1"/>
    <col min="7940" max="7940" width="9.5" style="8" customWidth="1"/>
    <col min="7941" max="7951" width="9" style="8"/>
    <col min="7952" max="7952" width="4" style="8" customWidth="1"/>
    <col min="7953" max="7953" width="6.625" style="8" customWidth="1"/>
    <col min="7954" max="7954" width="8.625" style="8" customWidth="1"/>
    <col min="7955" max="7956" width="11.5" style="8" bestFit="1" customWidth="1"/>
    <col min="7957" max="8192" width="9" style="8"/>
    <col min="8193" max="8193" width="9" style="8" customWidth="1"/>
    <col min="8194" max="8194" width="10.5" style="8" bestFit="1" customWidth="1"/>
    <col min="8195" max="8195" width="6.5" style="8" bestFit="1" customWidth="1"/>
    <col min="8196" max="8196" width="9.5" style="8" customWidth="1"/>
    <col min="8197" max="8207" width="9" style="8"/>
    <col min="8208" max="8208" width="4" style="8" customWidth="1"/>
    <col min="8209" max="8209" width="6.625" style="8" customWidth="1"/>
    <col min="8210" max="8210" width="8.625" style="8" customWidth="1"/>
    <col min="8211" max="8212" width="11.5" style="8" bestFit="1" customWidth="1"/>
    <col min="8213" max="8448" width="9" style="8"/>
    <col min="8449" max="8449" width="9" style="8" customWidth="1"/>
    <col min="8450" max="8450" width="10.5" style="8" bestFit="1" customWidth="1"/>
    <col min="8451" max="8451" width="6.5" style="8" bestFit="1" customWidth="1"/>
    <col min="8452" max="8452" width="9.5" style="8" customWidth="1"/>
    <col min="8453" max="8463" width="9" style="8"/>
    <col min="8464" max="8464" width="4" style="8" customWidth="1"/>
    <col min="8465" max="8465" width="6.625" style="8" customWidth="1"/>
    <col min="8466" max="8466" width="8.625" style="8" customWidth="1"/>
    <col min="8467" max="8468" width="11.5" style="8" bestFit="1" customWidth="1"/>
    <col min="8469" max="8704" width="9" style="8"/>
    <col min="8705" max="8705" width="9" style="8" customWidth="1"/>
    <col min="8706" max="8706" width="10.5" style="8" bestFit="1" customWidth="1"/>
    <col min="8707" max="8707" width="6.5" style="8" bestFit="1" customWidth="1"/>
    <col min="8708" max="8708" width="9.5" style="8" customWidth="1"/>
    <col min="8709" max="8719" width="9" style="8"/>
    <col min="8720" max="8720" width="4" style="8" customWidth="1"/>
    <col min="8721" max="8721" width="6.625" style="8" customWidth="1"/>
    <col min="8722" max="8722" width="8.625" style="8" customWidth="1"/>
    <col min="8723" max="8724" width="11.5" style="8" bestFit="1" customWidth="1"/>
    <col min="8725" max="8960" width="9" style="8"/>
    <col min="8961" max="8961" width="9" style="8" customWidth="1"/>
    <col min="8962" max="8962" width="10.5" style="8" bestFit="1" customWidth="1"/>
    <col min="8963" max="8963" width="6.5" style="8" bestFit="1" customWidth="1"/>
    <col min="8964" max="8964" width="9.5" style="8" customWidth="1"/>
    <col min="8965" max="8975" width="9" style="8"/>
    <col min="8976" max="8976" width="4" style="8" customWidth="1"/>
    <col min="8977" max="8977" width="6.625" style="8" customWidth="1"/>
    <col min="8978" max="8978" width="8.625" style="8" customWidth="1"/>
    <col min="8979" max="8980" width="11.5" style="8" bestFit="1" customWidth="1"/>
    <col min="8981" max="9216" width="9" style="8"/>
    <col min="9217" max="9217" width="9" style="8" customWidth="1"/>
    <col min="9218" max="9218" width="10.5" style="8" bestFit="1" customWidth="1"/>
    <col min="9219" max="9219" width="6.5" style="8" bestFit="1" customWidth="1"/>
    <col min="9220" max="9220" width="9.5" style="8" customWidth="1"/>
    <col min="9221" max="9231" width="9" style="8"/>
    <col min="9232" max="9232" width="4" style="8" customWidth="1"/>
    <col min="9233" max="9233" width="6.625" style="8" customWidth="1"/>
    <col min="9234" max="9234" width="8.625" style="8" customWidth="1"/>
    <col min="9235" max="9236" width="11.5" style="8" bestFit="1" customWidth="1"/>
    <col min="9237" max="9472" width="9" style="8"/>
    <col min="9473" max="9473" width="9" style="8" customWidth="1"/>
    <col min="9474" max="9474" width="10.5" style="8" bestFit="1" customWidth="1"/>
    <col min="9475" max="9475" width="6.5" style="8" bestFit="1" customWidth="1"/>
    <col min="9476" max="9476" width="9.5" style="8" customWidth="1"/>
    <col min="9477" max="9487" width="9" style="8"/>
    <col min="9488" max="9488" width="4" style="8" customWidth="1"/>
    <col min="9489" max="9489" width="6.625" style="8" customWidth="1"/>
    <col min="9490" max="9490" width="8.625" style="8" customWidth="1"/>
    <col min="9491" max="9492" width="11.5" style="8" bestFit="1" customWidth="1"/>
    <col min="9493" max="9728" width="9" style="8"/>
    <col min="9729" max="9729" width="9" style="8" customWidth="1"/>
    <col min="9730" max="9730" width="10.5" style="8" bestFit="1" customWidth="1"/>
    <col min="9731" max="9731" width="6.5" style="8" bestFit="1" customWidth="1"/>
    <col min="9732" max="9732" width="9.5" style="8" customWidth="1"/>
    <col min="9733" max="9743" width="9" style="8"/>
    <col min="9744" max="9744" width="4" style="8" customWidth="1"/>
    <col min="9745" max="9745" width="6.625" style="8" customWidth="1"/>
    <col min="9746" max="9746" width="8.625" style="8" customWidth="1"/>
    <col min="9747" max="9748" width="11.5" style="8" bestFit="1" customWidth="1"/>
    <col min="9749" max="9984" width="9" style="8"/>
    <col min="9985" max="9985" width="9" style="8" customWidth="1"/>
    <col min="9986" max="9986" width="10.5" style="8" bestFit="1" customWidth="1"/>
    <col min="9987" max="9987" width="6.5" style="8" bestFit="1" customWidth="1"/>
    <col min="9988" max="9988" width="9.5" style="8" customWidth="1"/>
    <col min="9989" max="9999" width="9" style="8"/>
    <col min="10000" max="10000" width="4" style="8" customWidth="1"/>
    <col min="10001" max="10001" width="6.625" style="8" customWidth="1"/>
    <col min="10002" max="10002" width="8.625" style="8" customWidth="1"/>
    <col min="10003" max="10004" width="11.5" style="8" bestFit="1" customWidth="1"/>
    <col min="10005" max="10240" width="9" style="8"/>
    <col min="10241" max="10241" width="9" style="8" customWidth="1"/>
    <col min="10242" max="10242" width="10.5" style="8" bestFit="1" customWidth="1"/>
    <col min="10243" max="10243" width="6.5" style="8" bestFit="1" customWidth="1"/>
    <col min="10244" max="10244" width="9.5" style="8" customWidth="1"/>
    <col min="10245" max="10255" width="9" style="8"/>
    <col min="10256" max="10256" width="4" style="8" customWidth="1"/>
    <col min="10257" max="10257" width="6.625" style="8" customWidth="1"/>
    <col min="10258" max="10258" width="8.625" style="8" customWidth="1"/>
    <col min="10259" max="10260" width="11.5" style="8" bestFit="1" customWidth="1"/>
    <col min="10261" max="10496" width="9" style="8"/>
    <col min="10497" max="10497" width="9" style="8" customWidth="1"/>
    <col min="10498" max="10498" width="10.5" style="8" bestFit="1" customWidth="1"/>
    <col min="10499" max="10499" width="6.5" style="8" bestFit="1" customWidth="1"/>
    <col min="10500" max="10500" width="9.5" style="8" customWidth="1"/>
    <col min="10501" max="10511" width="9" style="8"/>
    <col min="10512" max="10512" width="4" style="8" customWidth="1"/>
    <col min="10513" max="10513" width="6.625" style="8" customWidth="1"/>
    <col min="10514" max="10514" width="8.625" style="8" customWidth="1"/>
    <col min="10515" max="10516" width="11.5" style="8" bestFit="1" customWidth="1"/>
    <col min="10517" max="10752" width="9" style="8"/>
    <col min="10753" max="10753" width="9" style="8" customWidth="1"/>
    <col min="10754" max="10754" width="10.5" style="8" bestFit="1" customWidth="1"/>
    <col min="10755" max="10755" width="6.5" style="8" bestFit="1" customWidth="1"/>
    <col min="10756" max="10756" width="9.5" style="8" customWidth="1"/>
    <col min="10757" max="10767" width="9" style="8"/>
    <col min="10768" max="10768" width="4" style="8" customWidth="1"/>
    <col min="10769" max="10769" width="6.625" style="8" customWidth="1"/>
    <col min="10770" max="10770" width="8.625" style="8" customWidth="1"/>
    <col min="10771" max="10772" width="11.5" style="8" bestFit="1" customWidth="1"/>
    <col min="10773" max="11008" width="9" style="8"/>
    <col min="11009" max="11009" width="9" style="8" customWidth="1"/>
    <col min="11010" max="11010" width="10.5" style="8" bestFit="1" customWidth="1"/>
    <col min="11011" max="11011" width="6.5" style="8" bestFit="1" customWidth="1"/>
    <col min="11012" max="11012" width="9.5" style="8" customWidth="1"/>
    <col min="11013" max="11023" width="9" style="8"/>
    <col min="11024" max="11024" width="4" style="8" customWidth="1"/>
    <col min="11025" max="11025" width="6.625" style="8" customWidth="1"/>
    <col min="11026" max="11026" width="8.625" style="8" customWidth="1"/>
    <col min="11027" max="11028" width="11.5" style="8" bestFit="1" customWidth="1"/>
    <col min="11029" max="11264" width="9" style="8"/>
    <col min="11265" max="11265" width="9" style="8" customWidth="1"/>
    <col min="11266" max="11266" width="10.5" style="8" bestFit="1" customWidth="1"/>
    <col min="11267" max="11267" width="6.5" style="8" bestFit="1" customWidth="1"/>
    <col min="11268" max="11268" width="9.5" style="8" customWidth="1"/>
    <col min="11269" max="11279" width="9" style="8"/>
    <col min="11280" max="11280" width="4" style="8" customWidth="1"/>
    <col min="11281" max="11281" width="6.625" style="8" customWidth="1"/>
    <col min="11282" max="11282" width="8.625" style="8" customWidth="1"/>
    <col min="11283" max="11284" width="11.5" style="8" bestFit="1" customWidth="1"/>
    <col min="11285" max="11520" width="9" style="8"/>
    <col min="11521" max="11521" width="9" style="8" customWidth="1"/>
    <col min="11522" max="11522" width="10.5" style="8" bestFit="1" customWidth="1"/>
    <col min="11523" max="11523" width="6.5" style="8" bestFit="1" customWidth="1"/>
    <col min="11524" max="11524" width="9.5" style="8" customWidth="1"/>
    <col min="11525" max="11535" width="9" style="8"/>
    <col min="11536" max="11536" width="4" style="8" customWidth="1"/>
    <col min="11537" max="11537" width="6.625" style="8" customWidth="1"/>
    <col min="11538" max="11538" width="8.625" style="8" customWidth="1"/>
    <col min="11539" max="11540" width="11.5" style="8" bestFit="1" customWidth="1"/>
    <col min="11541" max="11776" width="9" style="8"/>
    <col min="11777" max="11777" width="9" style="8" customWidth="1"/>
    <col min="11778" max="11778" width="10.5" style="8" bestFit="1" customWidth="1"/>
    <col min="11779" max="11779" width="6.5" style="8" bestFit="1" customWidth="1"/>
    <col min="11780" max="11780" width="9.5" style="8" customWidth="1"/>
    <col min="11781" max="11791" width="9" style="8"/>
    <col min="11792" max="11792" width="4" style="8" customWidth="1"/>
    <col min="11793" max="11793" width="6.625" style="8" customWidth="1"/>
    <col min="11794" max="11794" width="8.625" style="8" customWidth="1"/>
    <col min="11795" max="11796" width="11.5" style="8" bestFit="1" customWidth="1"/>
    <col min="11797" max="12032" width="9" style="8"/>
    <col min="12033" max="12033" width="9" style="8" customWidth="1"/>
    <col min="12034" max="12034" width="10.5" style="8" bestFit="1" customWidth="1"/>
    <col min="12035" max="12035" width="6.5" style="8" bestFit="1" customWidth="1"/>
    <col min="12036" max="12036" width="9.5" style="8" customWidth="1"/>
    <col min="12037" max="12047" width="9" style="8"/>
    <col min="12048" max="12048" width="4" style="8" customWidth="1"/>
    <col min="12049" max="12049" width="6.625" style="8" customWidth="1"/>
    <col min="12050" max="12050" width="8.625" style="8" customWidth="1"/>
    <col min="12051" max="12052" width="11.5" style="8" bestFit="1" customWidth="1"/>
    <col min="12053" max="12288" width="9" style="8"/>
    <col min="12289" max="12289" width="9" style="8" customWidth="1"/>
    <col min="12290" max="12290" width="10.5" style="8" bestFit="1" customWidth="1"/>
    <col min="12291" max="12291" width="6.5" style="8" bestFit="1" customWidth="1"/>
    <col min="12292" max="12292" width="9.5" style="8" customWidth="1"/>
    <col min="12293" max="12303" width="9" style="8"/>
    <col min="12304" max="12304" width="4" style="8" customWidth="1"/>
    <col min="12305" max="12305" width="6.625" style="8" customWidth="1"/>
    <col min="12306" max="12306" width="8.625" style="8" customWidth="1"/>
    <col min="12307" max="12308" width="11.5" style="8" bestFit="1" customWidth="1"/>
    <col min="12309" max="12544" width="9" style="8"/>
    <col min="12545" max="12545" width="9" style="8" customWidth="1"/>
    <col min="12546" max="12546" width="10.5" style="8" bestFit="1" customWidth="1"/>
    <col min="12547" max="12547" width="6.5" style="8" bestFit="1" customWidth="1"/>
    <col min="12548" max="12548" width="9.5" style="8" customWidth="1"/>
    <col min="12549" max="12559" width="9" style="8"/>
    <col min="12560" max="12560" width="4" style="8" customWidth="1"/>
    <col min="12561" max="12561" width="6.625" style="8" customWidth="1"/>
    <col min="12562" max="12562" width="8.625" style="8" customWidth="1"/>
    <col min="12563" max="12564" width="11.5" style="8" bestFit="1" customWidth="1"/>
    <col min="12565" max="12800" width="9" style="8"/>
    <col min="12801" max="12801" width="9" style="8" customWidth="1"/>
    <col min="12802" max="12802" width="10.5" style="8" bestFit="1" customWidth="1"/>
    <col min="12803" max="12803" width="6.5" style="8" bestFit="1" customWidth="1"/>
    <col min="12804" max="12804" width="9.5" style="8" customWidth="1"/>
    <col min="12805" max="12815" width="9" style="8"/>
    <col min="12816" max="12816" width="4" style="8" customWidth="1"/>
    <col min="12817" max="12817" width="6.625" style="8" customWidth="1"/>
    <col min="12818" max="12818" width="8.625" style="8" customWidth="1"/>
    <col min="12819" max="12820" width="11.5" style="8" bestFit="1" customWidth="1"/>
    <col min="12821" max="13056" width="9" style="8"/>
    <col min="13057" max="13057" width="9" style="8" customWidth="1"/>
    <col min="13058" max="13058" width="10.5" style="8" bestFit="1" customWidth="1"/>
    <col min="13059" max="13059" width="6.5" style="8" bestFit="1" customWidth="1"/>
    <col min="13060" max="13060" width="9.5" style="8" customWidth="1"/>
    <col min="13061" max="13071" width="9" style="8"/>
    <col min="13072" max="13072" width="4" style="8" customWidth="1"/>
    <col min="13073" max="13073" width="6.625" style="8" customWidth="1"/>
    <col min="13074" max="13074" width="8.625" style="8" customWidth="1"/>
    <col min="13075" max="13076" width="11.5" style="8" bestFit="1" customWidth="1"/>
    <col min="13077" max="13312" width="9" style="8"/>
    <col min="13313" max="13313" width="9" style="8" customWidth="1"/>
    <col min="13314" max="13314" width="10.5" style="8" bestFit="1" customWidth="1"/>
    <col min="13315" max="13315" width="6.5" style="8" bestFit="1" customWidth="1"/>
    <col min="13316" max="13316" width="9.5" style="8" customWidth="1"/>
    <col min="13317" max="13327" width="9" style="8"/>
    <col min="13328" max="13328" width="4" style="8" customWidth="1"/>
    <col min="13329" max="13329" width="6.625" style="8" customWidth="1"/>
    <col min="13330" max="13330" width="8.625" style="8" customWidth="1"/>
    <col min="13331" max="13332" width="11.5" style="8" bestFit="1" customWidth="1"/>
    <col min="13333" max="13568" width="9" style="8"/>
    <col min="13569" max="13569" width="9" style="8" customWidth="1"/>
    <col min="13570" max="13570" width="10.5" style="8" bestFit="1" customWidth="1"/>
    <col min="13571" max="13571" width="6.5" style="8" bestFit="1" customWidth="1"/>
    <col min="13572" max="13572" width="9.5" style="8" customWidth="1"/>
    <col min="13573" max="13583" width="9" style="8"/>
    <col min="13584" max="13584" width="4" style="8" customWidth="1"/>
    <col min="13585" max="13585" width="6.625" style="8" customWidth="1"/>
    <col min="13586" max="13586" width="8.625" style="8" customWidth="1"/>
    <col min="13587" max="13588" width="11.5" style="8" bestFit="1" customWidth="1"/>
    <col min="13589" max="13824" width="9" style="8"/>
    <col min="13825" max="13825" width="9" style="8" customWidth="1"/>
    <col min="13826" max="13826" width="10.5" style="8" bestFit="1" customWidth="1"/>
    <col min="13827" max="13827" width="6.5" style="8" bestFit="1" customWidth="1"/>
    <col min="13828" max="13828" width="9.5" style="8" customWidth="1"/>
    <col min="13829" max="13839" width="9" style="8"/>
    <col min="13840" max="13840" width="4" style="8" customWidth="1"/>
    <col min="13841" max="13841" width="6.625" style="8" customWidth="1"/>
    <col min="13842" max="13842" width="8.625" style="8" customWidth="1"/>
    <col min="13843" max="13844" width="11.5" style="8" bestFit="1" customWidth="1"/>
    <col min="13845" max="14080" width="9" style="8"/>
    <col min="14081" max="14081" width="9" style="8" customWidth="1"/>
    <col min="14082" max="14082" width="10.5" style="8" bestFit="1" customWidth="1"/>
    <col min="14083" max="14083" width="6.5" style="8" bestFit="1" customWidth="1"/>
    <col min="14084" max="14084" width="9.5" style="8" customWidth="1"/>
    <col min="14085" max="14095" width="9" style="8"/>
    <col min="14096" max="14096" width="4" style="8" customWidth="1"/>
    <col min="14097" max="14097" width="6.625" style="8" customWidth="1"/>
    <col min="14098" max="14098" width="8.625" style="8" customWidth="1"/>
    <col min="14099" max="14100" width="11.5" style="8" bestFit="1" customWidth="1"/>
    <col min="14101" max="14336" width="9" style="8"/>
    <col min="14337" max="14337" width="9" style="8" customWidth="1"/>
    <col min="14338" max="14338" width="10.5" style="8" bestFit="1" customWidth="1"/>
    <col min="14339" max="14339" width="6.5" style="8" bestFit="1" customWidth="1"/>
    <col min="14340" max="14340" width="9.5" style="8" customWidth="1"/>
    <col min="14341" max="14351" width="9" style="8"/>
    <col min="14352" max="14352" width="4" style="8" customWidth="1"/>
    <col min="14353" max="14353" width="6.625" style="8" customWidth="1"/>
    <col min="14354" max="14354" width="8.625" style="8" customWidth="1"/>
    <col min="14355" max="14356" width="11.5" style="8" bestFit="1" customWidth="1"/>
    <col min="14357" max="14592" width="9" style="8"/>
    <col min="14593" max="14593" width="9" style="8" customWidth="1"/>
    <col min="14594" max="14594" width="10.5" style="8" bestFit="1" customWidth="1"/>
    <col min="14595" max="14595" width="6.5" style="8" bestFit="1" customWidth="1"/>
    <col min="14596" max="14596" width="9.5" style="8" customWidth="1"/>
    <col min="14597" max="14607" width="9" style="8"/>
    <col min="14608" max="14608" width="4" style="8" customWidth="1"/>
    <col min="14609" max="14609" width="6.625" style="8" customWidth="1"/>
    <col min="14610" max="14610" width="8.625" style="8" customWidth="1"/>
    <col min="14611" max="14612" width="11.5" style="8" bestFit="1" customWidth="1"/>
    <col min="14613" max="14848" width="9" style="8"/>
    <col min="14849" max="14849" width="9" style="8" customWidth="1"/>
    <col min="14850" max="14850" width="10.5" style="8" bestFit="1" customWidth="1"/>
    <col min="14851" max="14851" width="6.5" style="8" bestFit="1" customWidth="1"/>
    <col min="14852" max="14852" width="9.5" style="8" customWidth="1"/>
    <col min="14853" max="14863" width="9" style="8"/>
    <col min="14864" max="14864" width="4" style="8" customWidth="1"/>
    <col min="14865" max="14865" width="6.625" style="8" customWidth="1"/>
    <col min="14866" max="14866" width="8.625" style="8" customWidth="1"/>
    <col min="14867" max="14868" width="11.5" style="8" bestFit="1" customWidth="1"/>
    <col min="14869" max="15104" width="9" style="8"/>
    <col min="15105" max="15105" width="9" style="8" customWidth="1"/>
    <col min="15106" max="15106" width="10.5" style="8" bestFit="1" customWidth="1"/>
    <col min="15107" max="15107" width="6.5" style="8" bestFit="1" customWidth="1"/>
    <col min="15108" max="15108" width="9.5" style="8" customWidth="1"/>
    <col min="15109" max="15119" width="9" style="8"/>
    <col min="15120" max="15120" width="4" style="8" customWidth="1"/>
    <col min="15121" max="15121" width="6.625" style="8" customWidth="1"/>
    <col min="15122" max="15122" width="8.625" style="8" customWidth="1"/>
    <col min="15123" max="15124" width="11.5" style="8" bestFit="1" customWidth="1"/>
    <col min="15125" max="15360" width="9" style="8"/>
    <col min="15361" max="15361" width="9" style="8" customWidth="1"/>
    <col min="15362" max="15362" width="10.5" style="8" bestFit="1" customWidth="1"/>
    <col min="15363" max="15363" width="6.5" style="8" bestFit="1" customWidth="1"/>
    <col min="15364" max="15364" width="9.5" style="8" customWidth="1"/>
    <col min="15365" max="15375" width="9" style="8"/>
    <col min="15376" max="15376" width="4" style="8" customWidth="1"/>
    <col min="15377" max="15377" width="6.625" style="8" customWidth="1"/>
    <col min="15378" max="15378" width="8.625" style="8" customWidth="1"/>
    <col min="15379" max="15380" width="11.5" style="8" bestFit="1" customWidth="1"/>
    <col min="15381" max="15616" width="9" style="8"/>
    <col min="15617" max="15617" width="9" style="8" customWidth="1"/>
    <col min="15618" max="15618" width="10.5" style="8" bestFit="1" customWidth="1"/>
    <col min="15619" max="15619" width="6.5" style="8" bestFit="1" customWidth="1"/>
    <col min="15620" max="15620" width="9.5" style="8" customWidth="1"/>
    <col min="15621" max="15631" width="9" style="8"/>
    <col min="15632" max="15632" width="4" style="8" customWidth="1"/>
    <col min="15633" max="15633" width="6.625" style="8" customWidth="1"/>
    <col min="15634" max="15634" width="8.625" style="8" customWidth="1"/>
    <col min="15635" max="15636" width="11.5" style="8" bestFit="1" customWidth="1"/>
    <col min="15637" max="15872" width="9" style="8"/>
    <col min="15873" max="15873" width="9" style="8" customWidth="1"/>
    <col min="15874" max="15874" width="10.5" style="8" bestFit="1" customWidth="1"/>
    <col min="15875" max="15875" width="6.5" style="8" bestFit="1" customWidth="1"/>
    <col min="15876" max="15876" width="9.5" style="8" customWidth="1"/>
    <col min="15877" max="15887" width="9" style="8"/>
    <col min="15888" max="15888" width="4" style="8" customWidth="1"/>
    <col min="15889" max="15889" width="6.625" style="8" customWidth="1"/>
    <col min="15890" max="15890" width="8.625" style="8" customWidth="1"/>
    <col min="15891" max="15892" width="11.5" style="8" bestFit="1" customWidth="1"/>
    <col min="15893" max="16128" width="9" style="8"/>
    <col min="16129" max="16129" width="9" style="8" customWidth="1"/>
    <col min="16130" max="16130" width="10.5" style="8" bestFit="1" customWidth="1"/>
    <col min="16131" max="16131" width="6.5" style="8" bestFit="1" customWidth="1"/>
    <col min="16132" max="16132" width="9.5" style="8" customWidth="1"/>
    <col min="16133" max="16143" width="9" style="8"/>
    <col min="16144" max="16144" width="4" style="8" customWidth="1"/>
    <col min="16145" max="16145" width="6.625" style="8" customWidth="1"/>
    <col min="16146" max="16146" width="8.625" style="8" customWidth="1"/>
    <col min="16147" max="16148" width="11.5" style="8" bestFit="1" customWidth="1"/>
    <col min="16149" max="16384" width="9" style="8"/>
  </cols>
  <sheetData>
    <row r="1" spans="1:20" ht="16.5" customHeight="1" x14ac:dyDescent="0.25">
      <c r="F1" s="93" t="s">
        <v>465</v>
      </c>
      <c r="G1" s="94"/>
      <c r="H1" s="94"/>
      <c r="I1" s="95"/>
      <c r="J1" s="93" t="s">
        <v>466</v>
      </c>
      <c r="K1" s="94"/>
      <c r="L1" s="94"/>
      <c r="M1" s="94"/>
      <c r="N1" s="95"/>
      <c r="O1" s="8" t="s">
        <v>467</v>
      </c>
      <c r="Q1" s="96" t="s">
        <v>468</v>
      </c>
      <c r="R1" s="97"/>
      <c r="S1" s="97"/>
      <c r="T1" s="97"/>
    </row>
    <row r="2" spans="1:20" ht="28.5" x14ac:dyDescent="0.25">
      <c r="D2" s="9" t="s">
        <v>469</v>
      </c>
      <c r="E2" s="9" t="s">
        <v>470</v>
      </c>
      <c r="F2" s="98" t="s">
        <v>471</v>
      </c>
      <c r="G2" s="99"/>
      <c r="H2" s="99"/>
      <c r="I2" s="10" t="s">
        <v>472</v>
      </c>
      <c r="J2" s="98" t="s">
        <v>471</v>
      </c>
      <c r="K2" s="99"/>
      <c r="L2" s="99"/>
      <c r="M2" s="10" t="s">
        <v>473</v>
      </c>
      <c r="N2" s="10" t="s">
        <v>474</v>
      </c>
      <c r="O2" s="100" t="s">
        <v>475</v>
      </c>
      <c r="Q2" s="11" t="s">
        <v>476</v>
      </c>
      <c r="R2" s="12"/>
      <c r="S2" s="13"/>
      <c r="T2" s="13"/>
    </row>
    <row r="3" spans="1:20" ht="45.75" x14ac:dyDescent="0.25">
      <c r="B3" s="8" t="s">
        <v>477</v>
      </c>
      <c r="C3" s="8" t="s">
        <v>478</v>
      </c>
      <c r="D3" s="14" t="s">
        <v>105</v>
      </c>
      <c r="E3" s="14" t="s">
        <v>106</v>
      </c>
      <c r="F3" s="15" t="s">
        <v>479</v>
      </c>
      <c r="G3" s="15" t="s">
        <v>480</v>
      </c>
      <c r="H3" s="15" t="s">
        <v>481</v>
      </c>
      <c r="I3" s="16" t="s">
        <v>482</v>
      </c>
      <c r="J3" s="15" t="s">
        <v>479</v>
      </c>
      <c r="K3" s="15" t="s">
        <v>480</v>
      </c>
      <c r="L3" s="15" t="s">
        <v>481</v>
      </c>
      <c r="M3" s="17" t="s">
        <v>107</v>
      </c>
      <c r="N3" s="16" t="s">
        <v>483</v>
      </c>
      <c r="O3" s="100"/>
      <c r="Q3" s="46" t="s">
        <v>484</v>
      </c>
      <c r="R3" s="18" t="s">
        <v>108</v>
      </c>
      <c r="S3" s="19" t="s">
        <v>485</v>
      </c>
      <c r="T3" s="19" t="s">
        <v>109</v>
      </c>
    </row>
    <row r="4" spans="1:20" x14ac:dyDescent="0.25">
      <c r="A4" s="26" t="s">
        <v>274</v>
      </c>
      <c r="B4" s="20" t="s">
        <v>221</v>
      </c>
      <c r="C4" s="21">
        <v>0.25</v>
      </c>
      <c r="D4" s="20">
        <v>0.04</v>
      </c>
      <c r="E4" s="20">
        <v>0.04</v>
      </c>
      <c r="F4" s="20" t="s">
        <v>0</v>
      </c>
      <c r="G4" s="20" t="s">
        <v>0</v>
      </c>
      <c r="H4" s="20" t="s">
        <v>0</v>
      </c>
      <c r="I4" s="22" t="s">
        <v>0</v>
      </c>
      <c r="J4" s="20">
        <v>0.85</v>
      </c>
      <c r="K4" s="20">
        <v>0.85</v>
      </c>
      <c r="L4" s="20">
        <v>0.85</v>
      </c>
      <c r="M4" s="23">
        <v>1</v>
      </c>
      <c r="N4" s="22">
        <v>10</v>
      </c>
      <c r="O4" s="22">
        <v>0.94159999999999999</v>
      </c>
      <c r="Q4" s="24" t="s">
        <v>50</v>
      </c>
      <c r="R4" s="24" t="s">
        <v>486</v>
      </c>
      <c r="S4" s="25">
        <v>100000000</v>
      </c>
      <c r="T4" s="25">
        <v>0</v>
      </c>
    </row>
    <row r="5" spans="1:20" x14ac:dyDescent="0.25">
      <c r="A5" s="26" t="s">
        <v>33</v>
      </c>
      <c r="B5" s="20" t="s">
        <v>110</v>
      </c>
      <c r="C5" s="21">
        <v>1.75</v>
      </c>
      <c r="D5" s="20">
        <v>0.1</v>
      </c>
      <c r="E5" s="20">
        <v>0.1</v>
      </c>
      <c r="F5" s="20" t="s">
        <v>0</v>
      </c>
      <c r="G5" s="20" t="s">
        <v>0</v>
      </c>
      <c r="H5" s="20" t="s">
        <v>0</v>
      </c>
      <c r="I5" s="22" t="s">
        <v>0</v>
      </c>
      <c r="J5" s="20" t="s">
        <v>0</v>
      </c>
      <c r="K5" s="20" t="s">
        <v>0</v>
      </c>
      <c r="L5" s="20" t="s">
        <v>0</v>
      </c>
      <c r="M5" s="23" t="s">
        <v>0</v>
      </c>
      <c r="N5" s="22" t="s">
        <v>0</v>
      </c>
      <c r="O5" s="22">
        <v>0.92579999999999996</v>
      </c>
      <c r="Q5" s="26" t="s">
        <v>0</v>
      </c>
      <c r="R5" s="26" t="s">
        <v>487</v>
      </c>
      <c r="S5" s="27">
        <v>0</v>
      </c>
      <c r="T5" s="27">
        <v>100000000</v>
      </c>
    </row>
    <row r="6" spans="1:20" x14ac:dyDescent="0.25">
      <c r="A6" s="26" t="s">
        <v>37</v>
      </c>
      <c r="B6" s="20" t="s">
        <v>111</v>
      </c>
      <c r="C6" s="21">
        <v>0.75</v>
      </c>
      <c r="D6" s="20">
        <v>0.28000000000000003</v>
      </c>
      <c r="E6" s="20">
        <v>0.28999999999999998</v>
      </c>
      <c r="F6" s="20" t="s">
        <v>0</v>
      </c>
      <c r="G6" s="20" t="s">
        <v>0</v>
      </c>
      <c r="H6" s="20" t="s">
        <v>0</v>
      </c>
      <c r="I6" s="22" t="s">
        <v>0</v>
      </c>
      <c r="J6" s="20" t="s">
        <v>0</v>
      </c>
      <c r="K6" s="20" t="s">
        <v>0</v>
      </c>
      <c r="L6" s="20" t="s">
        <v>0</v>
      </c>
      <c r="M6" s="23" t="s">
        <v>0</v>
      </c>
      <c r="N6" s="22" t="s">
        <v>0</v>
      </c>
      <c r="O6" s="22">
        <v>0.92559999999999998</v>
      </c>
      <c r="Q6" s="24" t="s">
        <v>47</v>
      </c>
      <c r="R6" s="24" t="s">
        <v>486</v>
      </c>
      <c r="S6" s="25">
        <v>100000000</v>
      </c>
      <c r="T6" s="25">
        <v>0</v>
      </c>
    </row>
    <row r="7" spans="1:20" x14ac:dyDescent="0.25">
      <c r="A7" s="26" t="s">
        <v>27</v>
      </c>
      <c r="B7" s="20" t="s">
        <v>113</v>
      </c>
      <c r="C7" s="21">
        <v>0.625</v>
      </c>
      <c r="D7" s="20">
        <v>0.42</v>
      </c>
      <c r="E7" s="20">
        <v>0.43</v>
      </c>
      <c r="F7" s="20" t="s">
        <v>0</v>
      </c>
      <c r="G7" s="20" t="s">
        <v>0</v>
      </c>
      <c r="H7" s="20" t="s">
        <v>0</v>
      </c>
      <c r="I7" s="22" t="s">
        <v>0</v>
      </c>
      <c r="J7" s="20" t="s">
        <v>0</v>
      </c>
      <c r="K7" s="20" t="s">
        <v>0</v>
      </c>
      <c r="L7" s="20" t="s">
        <v>0</v>
      </c>
      <c r="M7" s="23" t="s">
        <v>0</v>
      </c>
      <c r="N7" s="22" t="s">
        <v>0</v>
      </c>
      <c r="O7" s="22">
        <v>0.92979999999999996</v>
      </c>
      <c r="Q7" s="26" t="s">
        <v>0</v>
      </c>
      <c r="R7" s="26" t="s">
        <v>487</v>
      </c>
      <c r="S7" s="27">
        <v>0</v>
      </c>
      <c r="T7" s="27">
        <v>100000000</v>
      </c>
    </row>
    <row r="8" spans="1:20" x14ac:dyDescent="0.25">
      <c r="A8" s="26" t="s">
        <v>9</v>
      </c>
      <c r="B8" s="20" t="s">
        <v>112</v>
      </c>
      <c r="C8" s="21">
        <v>3</v>
      </c>
      <c r="D8" s="20">
        <v>0.5</v>
      </c>
      <c r="E8" s="20">
        <v>0.5</v>
      </c>
      <c r="F8" s="20" t="s">
        <v>0</v>
      </c>
      <c r="G8" s="20" t="s">
        <v>0</v>
      </c>
      <c r="H8" s="20" t="s">
        <v>0</v>
      </c>
      <c r="I8" s="22" t="s">
        <v>0</v>
      </c>
      <c r="J8" s="20" t="s">
        <v>0</v>
      </c>
      <c r="K8" s="20" t="s">
        <v>0</v>
      </c>
      <c r="L8" s="20" t="s">
        <v>0</v>
      </c>
      <c r="M8" s="23" t="s">
        <v>0</v>
      </c>
      <c r="N8" s="22" t="s">
        <v>0</v>
      </c>
      <c r="O8" s="22">
        <v>0.93220000000000003</v>
      </c>
      <c r="Q8" s="24" t="s">
        <v>69</v>
      </c>
      <c r="R8" s="24" t="s">
        <v>486</v>
      </c>
      <c r="S8" s="25">
        <v>0</v>
      </c>
      <c r="T8" s="25">
        <v>1550000000</v>
      </c>
    </row>
    <row r="9" spans="1:20" x14ac:dyDescent="0.25">
      <c r="A9" s="26" t="s">
        <v>52</v>
      </c>
      <c r="B9" s="20" t="s">
        <v>114</v>
      </c>
      <c r="C9" s="21">
        <v>1.5</v>
      </c>
      <c r="D9" s="20">
        <v>0.55000000000000004</v>
      </c>
      <c r="E9" s="20">
        <v>0.56000000000000005</v>
      </c>
      <c r="F9" s="20" t="s">
        <v>0</v>
      </c>
      <c r="G9" s="20" t="s">
        <v>0</v>
      </c>
      <c r="H9" s="20" t="s">
        <v>0</v>
      </c>
      <c r="I9" s="22" t="s">
        <v>0</v>
      </c>
      <c r="J9" s="20" t="s">
        <v>0</v>
      </c>
      <c r="K9" s="20" t="s">
        <v>0</v>
      </c>
      <c r="L9" s="20" t="s">
        <v>0</v>
      </c>
      <c r="M9" s="23" t="s">
        <v>0</v>
      </c>
      <c r="N9" s="22" t="s">
        <v>0</v>
      </c>
      <c r="O9" s="22">
        <v>0.93420000000000003</v>
      </c>
      <c r="Q9" s="26" t="s">
        <v>0</v>
      </c>
      <c r="R9" s="26" t="s">
        <v>487</v>
      </c>
      <c r="S9" s="27">
        <v>1550000000</v>
      </c>
      <c r="T9" s="27">
        <v>0</v>
      </c>
    </row>
    <row r="10" spans="1:20" x14ac:dyDescent="0.25">
      <c r="A10" s="26" t="s">
        <v>277</v>
      </c>
      <c r="B10" s="20" t="s">
        <v>246</v>
      </c>
      <c r="C10" s="21">
        <v>0.75</v>
      </c>
      <c r="D10" s="20">
        <v>0.63</v>
      </c>
      <c r="E10" s="20">
        <v>0.64</v>
      </c>
      <c r="F10" s="20" t="s">
        <v>0</v>
      </c>
      <c r="G10" s="20" t="s">
        <v>0</v>
      </c>
      <c r="H10" s="20" t="s">
        <v>0</v>
      </c>
      <c r="I10" s="22" t="s">
        <v>0</v>
      </c>
      <c r="J10" s="20" t="s">
        <v>0</v>
      </c>
      <c r="K10" s="20" t="s">
        <v>0</v>
      </c>
      <c r="L10" s="20" t="s">
        <v>0</v>
      </c>
      <c r="M10" s="23" t="s">
        <v>0</v>
      </c>
      <c r="N10" s="22" t="s">
        <v>0</v>
      </c>
      <c r="O10" s="22">
        <v>0.93669999999999998</v>
      </c>
      <c r="Q10" s="24" t="s">
        <v>275</v>
      </c>
      <c r="R10" s="24" t="s">
        <v>486</v>
      </c>
      <c r="S10" s="25">
        <v>800000000</v>
      </c>
      <c r="T10" s="25">
        <v>800000000</v>
      </c>
    </row>
    <row r="11" spans="1:20" x14ac:dyDescent="0.25">
      <c r="A11" s="26" t="s">
        <v>5</v>
      </c>
      <c r="B11" s="20" t="s">
        <v>115</v>
      </c>
      <c r="C11" s="21">
        <v>0.5</v>
      </c>
      <c r="D11" s="20">
        <v>0.92</v>
      </c>
      <c r="E11" s="20">
        <v>0.93</v>
      </c>
      <c r="F11" s="20" t="s">
        <v>0</v>
      </c>
      <c r="G11" s="20" t="s">
        <v>0</v>
      </c>
      <c r="H11" s="20" t="s">
        <v>0</v>
      </c>
      <c r="I11" s="22" t="s">
        <v>0</v>
      </c>
      <c r="J11" s="20" t="s">
        <v>0</v>
      </c>
      <c r="K11" s="20" t="s">
        <v>0</v>
      </c>
      <c r="L11" s="20" t="s">
        <v>0</v>
      </c>
      <c r="M11" s="23" t="s">
        <v>0</v>
      </c>
      <c r="N11" s="22" t="s">
        <v>0</v>
      </c>
      <c r="O11" s="22">
        <v>0.94610000000000005</v>
      </c>
      <c r="Q11" s="24" t="s">
        <v>294</v>
      </c>
      <c r="R11" s="24" t="s">
        <v>488</v>
      </c>
      <c r="S11" s="25">
        <v>1800000000</v>
      </c>
      <c r="T11" s="25">
        <v>0</v>
      </c>
    </row>
    <row r="12" spans="1:20" x14ac:dyDescent="0.25">
      <c r="A12" s="26" t="s">
        <v>42</v>
      </c>
      <c r="B12" s="20" t="s">
        <v>116</v>
      </c>
      <c r="C12" s="21">
        <v>1.625</v>
      </c>
      <c r="D12" s="20">
        <v>1.1000000000000001</v>
      </c>
      <c r="E12" s="20">
        <v>1.1299999999999999</v>
      </c>
      <c r="F12" s="20" t="s">
        <v>0</v>
      </c>
      <c r="G12" s="20" t="s">
        <v>0</v>
      </c>
      <c r="H12" s="20" t="s">
        <v>0</v>
      </c>
      <c r="I12" s="22" t="s">
        <v>0</v>
      </c>
      <c r="J12" s="20" t="s">
        <v>0</v>
      </c>
      <c r="K12" s="20" t="s">
        <v>0</v>
      </c>
      <c r="L12" s="20" t="s">
        <v>0</v>
      </c>
      <c r="M12" s="23" t="s">
        <v>0</v>
      </c>
      <c r="N12" s="22" t="s">
        <v>0</v>
      </c>
      <c r="O12" s="22">
        <v>0.95179999999999998</v>
      </c>
      <c r="Q12" s="26" t="s">
        <v>0</v>
      </c>
      <c r="R12" s="26" t="s">
        <v>487</v>
      </c>
      <c r="S12" s="27">
        <v>0</v>
      </c>
      <c r="T12" s="27">
        <v>1800000000</v>
      </c>
    </row>
    <row r="13" spans="1:20" x14ac:dyDescent="0.25">
      <c r="A13" s="26" t="s">
        <v>10</v>
      </c>
      <c r="B13" s="20" t="s">
        <v>117</v>
      </c>
      <c r="C13" s="21">
        <v>3</v>
      </c>
      <c r="D13" s="20">
        <v>1.23</v>
      </c>
      <c r="E13" s="20">
        <v>1.27</v>
      </c>
      <c r="F13" s="20" t="s">
        <v>0</v>
      </c>
      <c r="G13" s="20" t="s">
        <v>0</v>
      </c>
      <c r="H13" s="20" t="s">
        <v>0</v>
      </c>
      <c r="I13" s="22" t="s">
        <v>0</v>
      </c>
      <c r="J13" s="20" t="s">
        <v>0</v>
      </c>
      <c r="K13" s="20" t="s">
        <v>0</v>
      </c>
      <c r="L13" s="20" t="s">
        <v>0</v>
      </c>
      <c r="M13" s="23" t="s">
        <v>0</v>
      </c>
      <c r="N13" s="22" t="s">
        <v>0</v>
      </c>
      <c r="O13" s="22">
        <v>0.95579999999999998</v>
      </c>
      <c r="Q13" s="24" t="s">
        <v>320</v>
      </c>
      <c r="R13" s="24" t="s">
        <v>486</v>
      </c>
      <c r="S13" s="25">
        <v>250000000</v>
      </c>
      <c r="T13" s="25">
        <v>250000000</v>
      </c>
    </row>
    <row r="14" spans="1:20" x14ac:dyDescent="0.25">
      <c r="A14" s="26" t="s">
        <v>275</v>
      </c>
      <c r="B14" s="20" t="s">
        <v>119</v>
      </c>
      <c r="C14" s="21">
        <v>0.5</v>
      </c>
      <c r="D14" s="20">
        <v>1.4</v>
      </c>
      <c r="E14" s="20">
        <v>1.42</v>
      </c>
      <c r="F14" s="20">
        <v>0.98499999999999999</v>
      </c>
      <c r="G14" s="20">
        <v>0.97799999999999998</v>
      </c>
      <c r="H14" s="20">
        <v>0.98119999999999996</v>
      </c>
      <c r="I14" s="22">
        <v>17</v>
      </c>
      <c r="J14" s="20" t="s">
        <v>0</v>
      </c>
      <c r="K14" s="20" t="s">
        <v>0</v>
      </c>
      <c r="L14" s="20" t="s">
        <v>0</v>
      </c>
      <c r="M14" s="23" t="s">
        <v>0</v>
      </c>
      <c r="N14" s="22" t="s">
        <v>0</v>
      </c>
      <c r="O14" s="22">
        <v>0.96020000000000005</v>
      </c>
      <c r="Q14" s="24" t="s">
        <v>322</v>
      </c>
      <c r="R14" s="24" t="s">
        <v>486</v>
      </c>
      <c r="S14" s="25">
        <v>1000000000</v>
      </c>
      <c r="T14" s="25">
        <v>1000000000</v>
      </c>
    </row>
    <row r="15" spans="1:20" x14ac:dyDescent="0.25">
      <c r="A15" s="26" t="s">
        <v>7</v>
      </c>
      <c r="B15" s="20" t="s">
        <v>118</v>
      </c>
      <c r="C15" s="21">
        <v>2.375</v>
      </c>
      <c r="D15" s="20">
        <v>1.51</v>
      </c>
      <c r="E15" s="20">
        <v>1.54</v>
      </c>
      <c r="F15" s="20" t="s">
        <v>0</v>
      </c>
      <c r="G15" s="20" t="s">
        <v>0</v>
      </c>
      <c r="H15" s="20" t="s">
        <v>0</v>
      </c>
      <c r="I15" s="22" t="s">
        <v>0</v>
      </c>
      <c r="J15" s="20" t="s">
        <v>0</v>
      </c>
      <c r="K15" s="20" t="s">
        <v>0</v>
      </c>
      <c r="L15" s="20" t="s">
        <v>0</v>
      </c>
      <c r="M15" s="23" t="s">
        <v>0</v>
      </c>
      <c r="N15" s="22" t="s">
        <v>0</v>
      </c>
      <c r="O15" s="22">
        <v>0.96399999999999997</v>
      </c>
      <c r="Q15" s="24" t="s">
        <v>361</v>
      </c>
      <c r="R15" s="24" t="s">
        <v>486</v>
      </c>
      <c r="S15" s="25">
        <v>50000000</v>
      </c>
      <c r="T15" s="25">
        <v>0</v>
      </c>
    </row>
    <row r="16" spans="1:20" x14ac:dyDescent="0.25">
      <c r="A16" s="26" t="s">
        <v>322</v>
      </c>
      <c r="B16" s="20" t="s">
        <v>323</v>
      </c>
      <c r="C16" s="21">
        <v>1</v>
      </c>
      <c r="D16" s="20">
        <v>1.51</v>
      </c>
      <c r="E16" s="20">
        <v>1.54</v>
      </c>
      <c r="F16" s="20">
        <v>0.96</v>
      </c>
      <c r="G16" s="20">
        <v>0.95499999999999996</v>
      </c>
      <c r="H16" s="20">
        <v>0.95789999999999997</v>
      </c>
      <c r="I16" s="22">
        <v>20</v>
      </c>
      <c r="J16" s="20">
        <v>0.94499999999999995</v>
      </c>
      <c r="K16" s="20">
        <v>0.94499999999999995</v>
      </c>
      <c r="L16" s="20">
        <v>0.94499999999999995</v>
      </c>
      <c r="M16" s="23">
        <v>1</v>
      </c>
      <c r="N16" s="22">
        <v>10</v>
      </c>
      <c r="O16" s="22">
        <v>0.96399999999999997</v>
      </c>
      <c r="Q16" s="26" t="s">
        <v>0</v>
      </c>
      <c r="R16" s="26" t="s">
        <v>487</v>
      </c>
      <c r="S16" s="27">
        <v>0</v>
      </c>
      <c r="T16" s="27">
        <v>50000000</v>
      </c>
    </row>
    <row r="17" spans="1:20" x14ac:dyDescent="0.25">
      <c r="A17" s="26" t="s">
        <v>31</v>
      </c>
      <c r="B17" s="20" t="s">
        <v>120</v>
      </c>
      <c r="C17" s="21">
        <v>1.625</v>
      </c>
      <c r="D17" s="20">
        <v>1.56</v>
      </c>
      <c r="E17" s="20">
        <v>1.59</v>
      </c>
      <c r="F17" s="20" t="s">
        <v>0</v>
      </c>
      <c r="G17" s="20" t="s">
        <v>0</v>
      </c>
      <c r="H17" s="20" t="s">
        <v>0</v>
      </c>
      <c r="I17" s="22" t="s">
        <v>0</v>
      </c>
      <c r="J17" s="20" t="s">
        <v>0</v>
      </c>
      <c r="K17" s="20" t="s">
        <v>0</v>
      </c>
      <c r="L17" s="20" t="s">
        <v>0</v>
      </c>
      <c r="M17" s="23" t="s">
        <v>0</v>
      </c>
      <c r="N17" s="22" t="s">
        <v>0</v>
      </c>
      <c r="O17" s="22">
        <v>0.96550000000000002</v>
      </c>
      <c r="Q17" s="24" t="s">
        <v>377</v>
      </c>
      <c r="R17" s="24" t="s">
        <v>486</v>
      </c>
      <c r="S17" s="25">
        <v>0</v>
      </c>
      <c r="T17" s="25">
        <v>150000000</v>
      </c>
    </row>
    <row r="18" spans="1:20" x14ac:dyDescent="0.25">
      <c r="A18" s="26" t="s">
        <v>278</v>
      </c>
      <c r="B18" s="20" t="s">
        <v>121</v>
      </c>
      <c r="C18" s="21">
        <v>0.25</v>
      </c>
      <c r="D18" s="20">
        <v>1.91</v>
      </c>
      <c r="E18" s="20">
        <v>1.93</v>
      </c>
      <c r="F18" s="20" t="s">
        <v>0</v>
      </c>
      <c r="G18" s="20" t="s">
        <v>0</v>
      </c>
      <c r="H18" s="20" t="s">
        <v>0</v>
      </c>
      <c r="I18" s="22" t="s">
        <v>0</v>
      </c>
      <c r="J18" s="20" t="s">
        <v>0</v>
      </c>
      <c r="K18" s="20" t="s">
        <v>0</v>
      </c>
      <c r="L18" s="20" t="s">
        <v>0</v>
      </c>
      <c r="M18" s="23" t="s">
        <v>0</v>
      </c>
      <c r="N18" s="22" t="s">
        <v>0</v>
      </c>
      <c r="O18" s="22">
        <v>0.97760000000000002</v>
      </c>
      <c r="Q18" s="26" t="s">
        <v>0</v>
      </c>
      <c r="R18" s="26" t="s">
        <v>487</v>
      </c>
      <c r="S18" s="27">
        <v>150000000</v>
      </c>
      <c r="T18" s="27">
        <v>0</v>
      </c>
    </row>
    <row r="19" spans="1:20" x14ac:dyDescent="0.25">
      <c r="A19" s="26" t="s">
        <v>38</v>
      </c>
      <c r="B19" s="20" t="s">
        <v>122</v>
      </c>
      <c r="C19" s="21">
        <v>1.125</v>
      </c>
      <c r="D19" s="20">
        <v>2.0299999999999998</v>
      </c>
      <c r="E19" s="20">
        <v>2.09</v>
      </c>
      <c r="F19" s="20" t="s">
        <v>0</v>
      </c>
      <c r="G19" s="20" t="s">
        <v>0</v>
      </c>
      <c r="H19" s="20" t="s">
        <v>0</v>
      </c>
      <c r="I19" s="22" t="s">
        <v>0</v>
      </c>
      <c r="J19" s="20" t="s">
        <v>0</v>
      </c>
      <c r="K19" s="20" t="s">
        <v>0</v>
      </c>
      <c r="L19" s="20" t="s">
        <v>0</v>
      </c>
      <c r="M19" s="23" t="s">
        <v>0</v>
      </c>
      <c r="N19" s="22" t="s">
        <v>0</v>
      </c>
      <c r="O19" s="22">
        <v>0.98319999999999996</v>
      </c>
      <c r="Q19" s="24" t="s">
        <v>399</v>
      </c>
      <c r="R19" s="24" t="s">
        <v>486</v>
      </c>
      <c r="S19" s="25">
        <v>0</v>
      </c>
      <c r="T19" s="25">
        <v>500000000</v>
      </c>
    </row>
    <row r="20" spans="1:20" x14ac:dyDescent="0.25">
      <c r="A20" s="26" t="s">
        <v>279</v>
      </c>
      <c r="B20" s="20" t="s">
        <v>124</v>
      </c>
      <c r="C20" s="21">
        <v>0.125</v>
      </c>
      <c r="D20" s="20">
        <v>2.2999999999999998</v>
      </c>
      <c r="E20" s="20">
        <v>2.33</v>
      </c>
      <c r="F20" s="20" t="s">
        <v>0</v>
      </c>
      <c r="G20" s="20" t="s">
        <v>0</v>
      </c>
      <c r="H20" s="20" t="s">
        <v>0</v>
      </c>
      <c r="I20" s="22" t="s">
        <v>0</v>
      </c>
      <c r="J20" s="20" t="s">
        <v>0</v>
      </c>
      <c r="K20" s="20" t="s">
        <v>0</v>
      </c>
      <c r="L20" s="20" t="s">
        <v>0</v>
      </c>
      <c r="M20" s="23" t="s">
        <v>0</v>
      </c>
      <c r="N20" s="22" t="s">
        <v>0</v>
      </c>
      <c r="O20" s="22">
        <v>0.99350000000000005</v>
      </c>
      <c r="Q20" s="32" t="s">
        <v>0</v>
      </c>
      <c r="R20" s="32" t="s">
        <v>487</v>
      </c>
      <c r="S20" s="36">
        <v>500000000</v>
      </c>
      <c r="T20" s="36">
        <v>0</v>
      </c>
    </row>
    <row r="21" spans="1:20" x14ac:dyDescent="0.25">
      <c r="A21" s="26" t="s">
        <v>280</v>
      </c>
      <c r="B21" s="20" t="s">
        <v>125</v>
      </c>
      <c r="C21" s="21">
        <v>0.25</v>
      </c>
      <c r="D21" s="20">
        <v>2.39</v>
      </c>
      <c r="E21" s="20">
        <v>2.4300000000000002</v>
      </c>
      <c r="F21" s="20" t="s">
        <v>0</v>
      </c>
      <c r="G21" s="20" t="s">
        <v>0</v>
      </c>
      <c r="H21" s="20" t="s">
        <v>0</v>
      </c>
      <c r="I21" s="22" t="s">
        <v>0</v>
      </c>
      <c r="J21" s="20" t="s">
        <v>0</v>
      </c>
      <c r="K21" s="20" t="s">
        <v>0</v>
      </c>
      <c r="L21" s="20" t="s">
        <v>0</v>
      </c>
      <c r="M21" s="23" t="s">
        <v>0</v>
      </c>
      <c r="N21" s="22" t="s">
        <v>0</v>
      </c>
      <c r="O21" s="22">
        <v>0.99790000000000001</v>
      </c>
      <c r="S21" s="29"/>
      <c r="T21" s="29"/>
    </row>
    <row r="22" spans="1:20" x14ac:dyDescent="0.25">
      <c r="A22" s="26" t="s">
        <v>8</v>
      </c>
      <c r="B22" s="20" t="s">
        <v>123</v>
      </c>
      <c r="C22" s="21">
        <v>1.875</v>
      </c>
      <c r="D22" s="20">
        <v>2.46</v>
      </c>
      <c r="E22" s="20">
        <v>2.54</v>
      </c>
      <c r="F22" s="20" t="s">
        <v>0</v>
      </c>
      <c r="G22" s="20" t="s">
        <v>0</v>
      </c>
      <c r="H22" s="20" t="s">
        <v>0</v>
      </c>
      <c r="I22" s="22" t="s">
        <v>0</v>
      </c>
      <c r="J22" s="20" t="s">
        <v>0</v>
      </c>
      <c r="K22" s="20" t="s">
        <v>0</v>
      </c>
      <c r="L22" s="20" t="s">
        <v>0</v>
      </c>
      <c r="M22" s="23" t="s">
        <v>0</v>
      </c>
      <c r="N22" s="22" t="s">
        <v>0</v>
      </c>
      <c r="O22" s="22">
        <v>1.0026999999999999</v>
      </c>
      <c r="Q22" s="30"/>
      <c r="R22" s="30"/>
      <c r="S22" s="30"/>
      <c r="T22" s="30"/>
    </row>
    <row r="23" spans="1:20" x14ac:dyDescent="0.25">
      <c r="A23" s="26" t="s">
        <v>59</v>
      </c>
      <c r="B23" s="20" t="s">
        <v>126</v>
      </c>
      <c r="C23" s="21">
        <v>0.75</v>
      </c>
      <c r="D23" s="20">
        <v>2.52</v>
      </c>
      <c r="E23" s="20">
        <v>2.56</v>
      </c>
      <c r="F23" s="20" t="s">
        <v>0</v>
      </c>
      <c r="G23" s="20" t="s">
        <v>0</v>
      </c>
      <c r="H23" s="20" t="s">
        <v>0</v>
      </c>
      <c r="I23" s="22" t="s">
        <v>0</v>
      </c>
      <c r="J23" s="20" t="s">
        <v>0</v>
      </c>
      <c r="K23" s="20" t="s">
        <v>0</v>
      </c>
      <c r="L23" s="20" t="s">
        <v>0</v>
      </c>
      <c r="M23" s="23" t="s">
        <v>0</v>
      </c>
      <c r="N23" s="22" t="s">
        <v>0</v>
      </c>
      <c r="O23" s="22">
        <v>1.0042</v>
      </c>
    </row>
    <row r="24" spans="1:20" x14ac:dyDescent="0.25">
      <c r="A24" s="26" t="s">
        <v>281</v>
      </c>
      <c r="B24" s="20" t="s">
        <v>222</v>
      </c>
      <c r="C24" s="21">
        <v>0.25</v>
      </c>
      <c r="D24" s="20">
        <v>2.93</v>
      </c>
      <c r="E24" s="20">
        <v>2.97</v>
      </c>
      <c r="F24" s="20" t="s">
        <v>0</v>
      </c>
      <c r="G24" s="20" t="s">
        <v>0</v>
      </c>
      <c r="H24" s="20" t="s">
        <v>0</v>
      </c>
      <c r="I24" s="22" t="s">
        <v>0</v>
      </c>
      <c r="J24" s="20" t="s">
        <v>0</v>
      </c>
      <c r="K24" s="20" t="s">
        <v>0</v>
      </c>
      <c r="L24" s="20" t="s">
        <v>0</v>
      </c>
      <c r="M24" s="23" t="s">
        <v>0</v>
      </c>
      <c r="N24" s="22" t="s">
        <v>0</v>
      </c>
      <c r="O24" s="22">
        <v>1.024</v>
      </c>
    </row>
    <row r="25" spans="1:20" x14ac:dyDescent="0.25">
      <c r="A25" s="26" t="s">
        <v>56</v>
      </c>
      <c r="B25" s="20" t="s">
        <v>128</v>
      </c>
      <c r="C25" s="21">
        <v>0.625</v>
      </c>
      <c r="D25" s="20">
        <v>3.01</v>
      </c>
      <c r="E25" s="20">
        <v>3.08</v>
      </c>
      <c r="F25" s="20" t="s">
        <v>0</v>
      </c>
      <c r="G25" s="20" t="s">
        <v>0</v>
      </c>
      <c r="H25" s="20" t="s">
        <v>0</v>
      </c>
      <c r="I25" s="22" t="s">
        <v>0</v>
      </c>
      <c r="J25" s="20" t="s">
        <v>0</v>
      </c>
      <c r="K25" s="20" t="s">
        <v>0</v>
      </c>
      <c r="L25" s="20" t="s">
        <v>0</v>
      </c>
      <c r="M25" s="23" t="s">
        <v>0</v>
      </c>
      <c r="N25" s="22" t="s">
        <v>0</v>
      </c>
      <c r="O25" s="22">
        <v>1.0290999999999999</v>
      </c>
    </row>
    <row r="26" spans="1:20" x14ac:dyDescent="0.25">
      <c r="A26" s="26" t="s">
        <v>11</v>
      </c>
      <c r="B26" s="20" t="s">
        <v>127</v>
      </c>
      <c r="C26" s="21">
        <v>2.125</v>
      </c>
      <c r="D26" s="20">
        <v>3.1</v>
      </c>
      <c r="E26" s="20">
        <v>3.25</v>
      </c>
      <c r="F26" s="20" t="s">
        <v>0</v>
      </c>
      <c r="G26" s="20" t="s">
        <v>0</v>
      </c>
      <c r="H26" s="20" t="s">
        <v>0</v>
      </c>
      <c r="I26" s="22" t="s">
        <v>0</v>
      </c>
      <c r="J26" s="20" t="s">
        <v>0</v>
      </c>
      <c r="K26" s="20" t="s">
        <v>0</v>
      </c>
      <c r="L26" s="20" t="s">
        <v>0</v>
      </c>
      <c r="M26" s="23" t="s">
        <v>0</v>
      </c>
      <c r="N26" s="22" t="s">
        <v>0</v>
      </c>
      <c r="O26" s="22">
        <v>1.0363</v>
      </c>
    </row>
    <row r="27" spans="1:20" x14ac:dyDescent="0.25">
      <c r="A27" s="26" t="s">
        <v>12</v>
      </c>
      <c r="B27" s="20" t="s">
        <v>129</v>
      </c>
      <c r="C27" s="21">
        <v>2</v>
      </c>
      <c r="D27" s="20">
        <v>3.36</v>
      </c>
      <c r="E27" s="20">
        <v>3.51</v>
      </c>
      <c r="F27" s="20" t="s">
        <v>0</v>
      </c>
      <c r="G27" s="20" t="s">
        <v>0</v>
      </c>
      <c r="H27" s="20" t="s">
        <v>0</v>
      </c>
      <c r="I27" s="22" t="s">
        <v>0</v>
      </c>
      <c r="J27" s="20" t="s">
        <v>0</v>
      </c>
      <c r="K27" s="20" t="s">
        <v>0</v>
      </c>
      <c r="L27" s="20" t="s">
        <v>0</v>
      </c>
      <c r="M27" s="23" t="s">
        <v>0</v>
      </c>
      <c r="N27" s="22" t="s">
        <v>0</v>
      </c>
      <c r="O27" s="22">
        <v>1.0478000000000001</v>
      </c>
    </row>
    <row r="28" spans="1:20" x14ac:dyDescent="0.25">
      <c r="A28" s="26" t="s">
        <v>32</v>
      </c>
      <c r="B28" s="20" t="s">
        <v>130</v>
      </c>
      <c r="C28" s="21">
        <v>1.125</v>
      </c>
      <c r="D28" s="20">
        <v>3.45</v>
      </c>
      <c r="E28" s="20">
        <v>3.55</v>
      </c>
      <c r="F28" s="20" t="s">
        <v>0</v>
      </c>
      <c r="G28" s="20" t="s">
        <v>0</v>
      </c>
      <c r="H28" s="20" t="s">
        <v>0</v>
      </c>
      <c r="I28" s="22" t="s">
        <v>0</v>
      </c>
      <c r="J28" s="20" t="s">
        <v>0</v>
      </c>
      <c r="K28" s="20" t="s">
        <v>0</v>
      </c>
      <c r="L28" s="20" t="s">
        <v>0</v>
      </c>
      <c r="M28" s="23" t="s">
        <v>0</v>
      </c>
      <c r="N28" s="22" t="s">
        <v>0</v>
      </c>
      <c r="O28" s="22">
        <v>1.0503</v>
      </c>
    </row>
    <row r="29" spans="1:20" x14ac:dyDescent="0.25">
      <c r="A29" s="26" t="s">
        <v>282</v>
      </c>
      <c r="B29" s="20" t="s">
        <v>247</v>
      </c>
      <c r="C29" s="21">
        <v>0.5</v>
      </c>
      <c r="D29" s="20">
        <v>3.47</v>
      </c>
      <c r="E29" s="20">
        <v>3.54</v>
      </c>
      <c r="F29" s="20" t="s">
        <v>0</v>
      </c>
      <c r="G29" s="20" t="s">
        <v>0</v>
      </c>
      <c r="H29" s="20" t="s">
        <v>0</v>
      </c>
      <c r="I29" s="22" t="s">
        <v>0</v>
      </c>
      <c r="J29" s="20" t="s">
        <v>0</v>
      </c>
      <c r="K29" s="20" t="s">
        <v>0</v>
      </c>
      <c r="L29" s="20" t="s">
        <v>0</v>
      </c>
      <c r="M29" s="23" t="s">
        <v>0</v>
      </c>
      <c r="N29" s="22" t="s">
        <v>0</v>
      </c>
      <c r="O29" s="22">
        <v>1.0501</v>
      </c>
    </row>
    <row r="30" spans="1:20" x14ac:dyDescent="0.25">
      <c r="A30" s="26" t="s">
        <v>263</v>
      </c>
      <c r="B30" s="20" t="s">
        <v>265</v>
      </c>
      <c r="C30" s="21">
        <v>1</v>
      </c>
      <c r="D30" s="20">
        <v>3.77</v>
      </c>
      <c r="E30" s="20">
        <v>3.87</v>
      </c>
      <c r="F30" s="20" t="s">
        <v>0</v>
      </c>
      <c r="G30" s="20" t="s">
        <v>0</v>
      </c>
      <c r="H30" s="20" t="s">
        <v>0</v>
      </c>
      <c r="I30" s="22" t="s">
        <v>0</v>
      </c>
      <c r="J30" s="20" t="s">
        <v>0</v>
      </c>
      <c r="K30" s="20" t="s">
        <v>0</v>
      </c>
      <c r="L30" s="20" t="s">
        <v>0</v>
      </c>
      <c r="M30" s="23" t="s">
        <v>0</v>
      </c>
      <c r="N30" s="22" t="s">
        <v>0</v>
      </c>
      <c r="O30" s="22">
        <v>1.0622</v>
      </c>
    </row>
    <row r="31" spans="1:20" x14ac:dyDescent="0.25">
      <c r="A31" s="26" t="s">
        <v>304</v>
      </c>
      <c r="B31" s="20" t="s">
        <v>305</v>
      </c>
      <c r="C31" s="21">
        <v>1.25</v>
      </c>
      <c r="D31" s="20">
        <v>3.95</v>
      </c>
      <c r="E31" s="20">
        <v>4.12</v>
      </c>
      <c r="F31" s="20" t="s">
        <v>0</v>
      </c>
      <c r="G31" s="20" t="s">
        <v>0</v>
      </c>
      <c r="H31" s="20" t="s">
        <v>0</v>
      </c>
      <c r="I31" s="22" t="s">
        <v>0</v>
      </c>
      <c r="J31" s="20" t="s">
        <v>0</v>
      </c>
      <c r="K31" s="20" t="s">
        <v>0</v>
      </c>
      <c r="L31" s="20" t="s">
        <v>0</v>
      </c>
      <c r="M31" s="23" t="s">
        <v>0</v>
      </c>
      <c r="N31" s="22" t="s">
        <v>0</v>
      </c>
      <c r="O31" s="22">
        <v>1.0699000000000001</v>
      </c>
    </row>
    <row r="32" spans="1:20" x14ac:dyDescent="0.25">
      <c r="A32" s="26" t="s">
        <v>13</v>
      </c>
      <c r="B32" s="20" t="s">
        <v>131</v>
      </c>
      <c r="C32" s="21">
        <v>3</v>
      </c>
      <c r="D32" s="20">
        <v>3.95</v>
      </c>
      <c r="E32" s="20">
        <v>4.2699999999999996</v>
      </c>
      <c r="F32" s="20" t="s">
        <v>0</v>
      </c>
      <c r="G32" s="20" t="s">
        <v>0</v>
      </c>
      <c r="H32" s="20" t="s">
        <v>0</v>
      </c>
      <c r="I32" s="22" t="s">
        <v>0</v>
      </c>
      <c r="J32" s="20" t="s">
        <v>0</v>
      </c>
      <c r="K32" s="20" t="s">
        <v>0</v>
      </c>
      <c r="L32" s="20" t="s">
        <v>0</v>
      </c>
      <c r="M32" s="23" t="s">
        <v>0</v>
      </c>
      <c r="N32" s="22" t="s">
        <v>0</v>
      </c>
      <c r="O32" s="22">
        <v>1.0720000000000001</v>
      </c>
    </row>
    <row r="33" spans="1:15" x14ac:dyDescent="0.25">
      <c r="A33" s="26" t="s">
        <v>1</v>
      </c>
      <c r="B33" s="20" t="s">
        <v>132</v>
      </c>
      <c r="C33" s="21">
        <v>1</v>
      </c>
      <c r="D33" s="20">
        <v>3.97</v>
      </c>
      <c r="E33" s="20">
        <v>4.1100000000000003</v>
      </c>
      <c r="F33" s="20" t="s">
        <v>0</v>
      </c>
      <c r="G33" s="20" t="s">
        <v>0</v>
      </c>
      <c r="H33" s="20" t="s">
        <v>0</v>
      </c>
      <c r="I33" s="22" t="s">
        <v>0</v>
      </c>
      <c r="J33" s="20" t="s">
        <v>0</v>
      </c>
      <c r="K33" s="20" t="s">
        <v>0</v>
      </c>
      <c r="L33" s="20" t="s">
        <v>0</v>
      </c>
      <c r="M33" s="23" t="s">
        <v>0</v>
      </c>
      <c r="N33" s="22" t="s">
        <v>0</v>
      </c>
      <c r="O33" s="22">
        <v>1.0699000000000001</v>
      </c>
    </row>
    <row r="34" spans="1:15" x14ac:dyDescent="0.25">
      <c r="A34" s="26" t="s">
        <v>60</v>
      </c>
      <c r="B34" s="20" t="s">
        <v>134</v>
      </c>
      <c r="C34" s="21">
        <v>1.375</v>
      </c>
      <c r="D34" s="20">
        <v>4.24</v>
      </c>
      <c r="E34" s="20">
        <v>4.41</v>
      </c>
      <c r="F34" s="20" t="s">
        <v>0</v>
      </c>
      <c r="G34" s="20" t="s">
        <v>0</v>
      </c>
      <c r="H34" s="20" t="s">
        <v>0</v>
      </c>
      <c r="I34" s="22" t="s">
        <v>0</v>
      </c>
      <c r="J34" s="20" t="s">
        <v>0</v>
      </c>
      <c r="K34" s="20" t="s">
        <v>0</v>
      </c>
      <c r="L34" s="20" t="s">
        <v>0</v>
      </c>
      <c r="M34" s="23" t="s">
        <v>0</v>
      </c>
      <c r="N34" s="22" t="s">
        <v>0</v>
      </c>
      <c r="O34" s="22">
        <v>1.0773999999999999</v>
      </c>
    </row>
    <row r="35" spans="1:15" x14ac:dyDescent="0.25">
      <c r="A35" s="26" t="s">
        <v>14</v>
      </c>
      <c r="B35" s="20" t="s">
        <v>133</v>
      </c>
      <c r="C35" s="21">
        <v>2.5</v>
      </c>
      <c r="D35" s="20">
        <v>4.24</v>
      </c>
      <c r="E35" s="20">
        <v>4.51</v>
      </c>
      <c r="F35" s="20" t="s">
        <v>0</v>
      </c>
      <c r="G35" s="20" t="s">
        <v>0</v>
      </c>
      <c r="H35" s="20" t="s">
        <v>0</v>
      </c>
      <c r="I35" s="22" t="s">
        <v>0</v>
      </c>
      <c r="J35" s="20" t="s">
        <v>0</v>
      </c>
      <c r="K35" s="20" t="s">
        <v>0</v>
      </c>
      <c r="L35" s="20" t="s">
        <v>0</v>
      </c>
      <c r="M35" s="23" t="s">
        <v>0</v>
      </c>
      <c r="N35" s="22" t="s">
        <v>0</v>
      </c>
      <c r="O35" s="22">
        <v>1.0783</v>
      </c>
    </row>
    <row r="36" spans="1:15" x14ac:dyDescent="0.25">
      <c r="A36" s="26" t="s">
        <v>326</v>
      </c>
      <c r="B36" s="20" t="s">
        <v>325</v>
      </c>
      <c r="C36" s="21">
        <v>1</v>
      </c>
      <c r="D36" s="20">
        <v>4.29</v>
      </c>
      <c r="E36" s="20">
        <v>4.4400000000000004</v>
      </c>
      <c r="F36" s="20" t="s">
        <v>0</v>
      </c>
      <c r="G36" s="20" t="s">
        <v>0</v>
      </c>
      <c r="H36" s="20" t="s">
        <v>0</v>
      </c>
      <c r="I36" s="22" t="s">
        <v>0</v>
      </c>
      <c r="J36" s="20" t="s">
        <v>0</v>
      </c>
      <c r="K36" s="20" t="s">
        <v>0</v>
      </c>
      <c r="L36" s="20" t="s">
        <v>0</v>
      </c>
      <c r="M36" s="23" t="s">
        <v>0</v>
      </c>
      <c r="N36" s="22" t="s">
        <v>0</v>
      </c>
      <c r="O36" s="22">
        <v>1.0784</v>
      </c>
    </row>
    <row r="37" spans="1:15" x14ac:dyDescent="0.25">
      <c r="A37" s="26" t="s">
        <v>35</v>
      </c>
      <c r="B37" s="20" t="s">
        <v>135</v>
      </c>
      <c r="C37" s="21">
        <v>1</v>
      </c>
      <c r="D37" s="20">
        <v>4.3499999999999996</v>
      </c>
      <c r="E37" s="20">
        <v>4.5</v>
      </c>
      <c r="F37" s="20" t="s">
        <v>0</v>
      </c>
      <c r="G37" s="20" t="s">
        <v>0</v>
      </c>
      <c r="H37" s="20" t="s">
        <v>0</v>
      </c>
      <c r="I37" s="22" t="s">
        <v>0</v>
      </c>
      <c r="J37" s="20" t="s">
        <v>0</v>
      </c>
      <c r="K37" s="20" t="s">
        <v>0</v>
      </c>
      <c r="L37" s="20" t="s">
        <v>0</v>
      </c>
      <c r="M37" s="23" t="s">
        <v>0</v>
      </c>
      <c r="N37" s="22" t="s">
        <v>0</v>
      </c>
      <c r="O37" s="22">
        <v>1.0797000000000001</v>
      </c>
    </row>
    <row r="38" spans="1:15" x14ac:dyDescent="0.25">
      <c r="A38" s="26" t="s">
        <v>15</v>
      </c>
      <c r="B38" s="20" t="s">
        <v>136</v>
      </c>
      <c r="C38" s="21">
        <v>2.625</v>
      </c>
      <c r="D38" s="20">
        <v>4.6100000000000003</v>
      </c>
      <c r="E38" s="20">
        <v>5.01</v>
      </c>
      <c r="F38" s="20" t="s">
        <v>0</v>
      </c>
      <c r="G38" s="20" t="s">
        <v>0</v>
      </c>
      <c r="H38" s="20" t="s">
        <v>0</v>
      </c>
      <c r="I38" s="22" t="s">
        <v>0</v>
      </c>
      <c r="J38" s="20" t="s">
        <v>0</v>
      </c>
      <c r="K38" s="20" t="s">
        <v>0</v>
      </c>
      <c r="L38" s="20" t="s">
        <v>0</v>
      </c>
      <c r="M38" s="23" t="s">
        <v>0</v>
      </c>
      <c r="N38" s="22" t="s">
        <v>0</v>
      </c>
      <c r="O38" s="22">
        <v>1.0871</v>
      </c>
    </row>
    <row r="39" spans="1:15" x14ac:dyDescent="0.25">
      <c r="A39" s="26" t="s">
        <v>359</v>
      </c>
      <c r="B39" s="20" t="s">
        <v>360</v>
      </c>
      <c r="C39" s="21">
        <v>1</v>
      </c>
      <c r="D39" s="20">
        <v>4.6399999999999997</v>
      </c>
      <c r="E39" s="20">
        <v>4.79</v>
      </c>
      <c r="F39" s="20" t="s">
        <v>0</v>
      </c>
      <c r="G39" s="20" t="s">
        <v>0</v>
      </c>
      <c r="H39" s="20" t="s">
        <v>0</v>
      </c>
      <c r="I39" s="22" t="s">
        <v>0</v>
      </c>
      <c r="J39" s="20">
        <v>1.0820000000000001</v>
      </c>
      <c r="K39" s="20">
        <v>1.0820000000000001</v>
      </c>
      <c r="L39" s="20">
        <v>1.0820000000000001</v>
      </c>
      <c r="M39" s="23">
        <v>1</v>
      </c>
      <c r="N39" s="22">
        <v>1</v>
      </c>
      <c r="O39" s="22">
        <v>1.0854999999999999</v>
      </c>
    </row>
    <row r="40" spans="1:15" x14ac:dyDescent="0.25">
      <c r="A40" s="26" t="s">
        <v>2</v>
      </c>
      <c r="B40" s="20" t="s">
        <v>137</v>
      </c>
      <c r="C40" s="21">
        <v>0.875</v>
      </c>
      <c r="D40" s="20">
        <v>4.6900000000000004</v>
      </c>
      <c r="E40" s="20">
        <v>4.83</v>
      </c>
      <c r="F40" s="20" t="s">
        <v>0</v>
      </c>
      <c r="G40" s="20" t="s">
        <v>0</v>
      </c>
      <c r="H40" s="20" t="s">
        <v>0</v>
      </c>
      <c r="I40" s="22" t="s">
        <v>0</v>
      </c>
      <c r="J40" s="20" t="s">
        <v>0</v>
      </c>
      <c r="K40" s="20" t="s">
        <v>0</v>
      </c>
      <c r="L40" s="20" t="s">
        <v>0</v>
      </c>
      <c r="M40" s="23" t="s">
        <v>0</v>
      </c>
      <c r="N40" s="22" t="s">
        <v>0</v>
      </c>
      <c r="O40" s="22">
        <v>1.0863</v>
      </c>
    </row>
    <row r="41" spans="1:15" x14ac:dyDescent="0.25">
      <c r="A41" s="26" t="s">
        <v>378</v>
      </c>
      <c r="B41" s="20" t="s">
        <v>379</v>
      </c>
      <c r="C41" s="21">
        <v>1</v>
      </c>
      <c r="D41" s="20">
        <v>4.8499999999999996</v>
      </c>
      <c r="E41" s="20">
        <v>5</v>
      </c>
      <c r="F41" s="20" t="s">
        <v>0</v>
      </c>
      <c r="G41" s="20" t="s">
        <v>0</v>
      </c>
      <c r="H41" s="20" t="s">
        <v>0</v>
      </c>
      <c r="I41" s="22" t="s">
        <v>0</v>
      </c>
      <c r="J41" s="20" t="s">
        <v>0</v>
      </c>
      <c r="K41" s="20" t="s">
        <v>0</v>
      </c>
      <c r="L41" s="20" t="s">
        <v>0</v>
      </c>
      <c r="M41" s="23" t="s">
        <v>0</v>
      </c>
      <c r="N41" s="22" t="s">
        <v>0</v>
      </c>
      <c r="O41" s="22">
        <v>1.0889</v>
      </c>
    </row>
    <row r="42" spans="1:15" x14ac:dyDescent="0.25">
      <c r="A42" s="26" t="s">
        <v>283</v>
      </c>
      <c r="B42" s="20" t="s">
        <v>223</v>
      </c>
      <c r="C42" s="21">
        <v>0.25</v>
      </c>
      <c r="D42" s="20">
        <v>4.93</v>
      </c>
      <c r="E42" s="20">
        <v>5.03</v>
      </c>
      <c r="F42" s="20" t="s">
        <v>0</v>
      </c>
      <c r="G42" s="20" t="s">
        <v>0</v>
      </c>
      <c r="H42" s="20" t="s">
        <v>0</v>
      </c>
      <c r="I42" s="22" t="s">
        <v>0</v>
      </c>
      <c r="J42" s="20" t="s">
        <v>0</v>
      </c>
      <c r="K42" s="20" t="s">
        <v>0</v>
      </c>
      <c r="L42" s="20" t="s">
        <v>0</v>
      </c>
      <c r="M42" s="23" t="s">
        <v>0</v>
      </c>
      <c r="N42" s="22" t="s">
        <v>0</v>
      </c>
      <c r="O42" s="22">
        <v>1.0902000000000001</v>
      </c>
    </row>
    <row r="43" spans="1:15" x14ac:dyDescent="0.25">
      <c r="A43" s="26" t="s">
        <v>28</v>
      </c>
      <c r="B43" s="20" t="s">
        <v>139</v>
      </c>
      <c r="C43" s="21">
        <v>0.875</v>
      </c>
      <c r="D43" s="20">
        <v>5</v>
      </c>
      <c r="E43" s="20">
        <v>5.19</v>
      </c>
      <c r="F43" s="20" t="s">
        <v>0</v>
      </c>
      <c r="G43" s="20" t="s">
        <v>0</v>
      </c>
      <c r="H43" s="20" t="s">
        <v>0</v>
      </c>
      <c r="I43" s="22" t="s">
        <v>0</v>
      </c>
      <c r="J43" s="20" t="s">
        <v>0</v>
      </c>
      <c r="K43" s="20" t="s">
        <v>0</v>
      </c>
      <c r="L43" s="20" t="s">
        <v>0</v>
      </c>
      <c r="M43" s="23" t="s">
        <v>0</v>
      </c>
      <c r="N43" s="22" t="s">
        <v>0</v>
      </c>
      <c r="O43" s="22">
        <v>1.0914999999999999</v>
      </c>
    </row>
    <row r="44" spans="1:15" x14ac:dyDescent="0.25">
      <c r="A44" s="26" t="s">
        <v>16</v>
      </c>
      <c r="B44" s="20" t="s">
        <v>138</v>
      </c>
      <c r="C44" s="21">
        <v>2.125</v>
      </c>
      <c r="D44" s="20">
        <v>5.17</v>
      </c>
      <c r="E44" s="20">
        <v>5.52</v>
      </c>
      <c r="F44" s="20" t="s">
        <v>0</v>
      </c>
      <c r="G44" s="20" t="s">
        <v>0</v>
      </c>
      <c r="H44" s="20" t="s">
        <v>0</v>
      </c>
      <c r="I44" s="22" t="s">
        <v>0</v>
      </c>
      <c r="J44" s="20" t="s">
        <v>0</v>
      </c>
      <c r="K44" s="20" t="s">
        <v>0</v>
      </c>
      <c r="L44" s="20" t="s">
        <v>0</v>
      </c>
      <c r="M44" s="23" t="s">
        <v>0</v>
      </c>
      <c r="N44" s="22" t="s">
        <v>0</v>
      </c>
      <c r="O44" s="22">
        <v>1.0936999999999999</v>
      </c>
    </row>
    <row r="45" spans="1:15" x14ac:dyDescent="0.25">
      <c r="A45" s="26" t="s">
        <v>3</v>
      </c>
      <c r="B45" s="20" t="s">
        <v>140</v>
      </c>
      <c r="C45" s="21">
        <v>0.75</v>
      </c>
      <c r="D45" s="20">
        <v>5.34</v>
      </c>
      <c r="E45" s="20">
        <v>5.51</v>
      </c>
      <c r="F45" s="20" t="s">
        <v>0</v>
      </c>
      <c r="G45" s="20" t="s">
        <v>0</v>
      </c>
      <c r="H45" s="20" t="s">
        <v>0</v>
      </c>
      <c r="I45" s="22" t="s">
        <v>0</v>
      </c>
      <c r="J45" s="20" t="s">
        <v>0</v>
      </c>
      <c r="K45" s="20" t="s">
        <v>0</v>
      </c>
      <c r="L45" s="20" t="s">
        <v>0</v>
      </c>
      <c r="M45" s="23" t="s">
        <v>0</v>
      </c>
      <c r="N45" s="22" t="s">
        <v>0</v>
      </c>
      <c r="O45" s="22">
        <v>1.0953999999999999</v>
      </c>
    </row>
    <row r="46" spans="1:15" x14ac:dyDescent="0.25">
      <c r="A46" s="26" t="s">
        <v>17</v>
      </c>
      <c r="B46" s="20" t="s">
        <v>141</v>
      </c>
      <c r="C46" s="21">
        <v>2.125</v>
      </c>
      <c r="D46" s="20">
        <v>5.54</v>
      </c>
      <c r="E46" s="20">
        <v>6.01</v>
      </c>
      <c r="F46" s="20" t="s">
        <v>0</v>
      </c>
      <c r="G46" s="20" t="s">
        <v>0</v>
      </c>
      <c r="H46" s="20" t="s">
        <v>0</v>
      </c>
      <c r="I46" s="22" t="s">
        <v>0</v>
      </c>
      <c r="J46" s="20" t="s">
        <v>0</v>
      </c>
      <c r="K46" s="20" t="s">
        <v>0</v>
      </c>
      <c r="L46" s="20" t="s">
        <v>0</v>
      </c>
      <c r="M46" s="23" t="s">
        <v>0</v>
      </c>
      <c r="N46" s="22" t="s">
        <v>0</v>
      </c>
      <c r="O46" s="22">
        <v>1.0992</v>
      </c>
    </row>
    <row r="47" spans="1:15" x14ac:dyDescent="0.25">
      <c r="A47" s="26" t="s">
        <v>4</v>
      </c>
      <c r="B47" s="20" t="s">
        <v>142</v>
      </c>
      <c r="C47" s="21">
        <v>0.625</v>
      </c>
      <c r="D47" s="20">
        <v>5.72</v>
      </c>
      <c r="E47" s="20">
        <v>5.88</v>
      </c>
      <c r="F47" s="20" t="s">
        <v>0</v>
      </c>
      <c r="G47" s="20" t="s">
        <v>0</v>
      </c>
      <c r="H47" s="20" t="s">
        <v>0</v>
      </c>
      <c r="I47" s="22" t="s">
        <v>0</v>
      </c>
      <c r="J47" s="20" t="s">
        <v>0</v>
      </c>
      <c r="K47" s="20" t="s">
        <v>0</v>
      </c>
      <c r="L47" s="20" t="s">
        <v>0</v>
      </c>
      <c r="M47" s="23" t="s">
        <v>0</v>
      </c>
      <c r="N47" s="22" t="s">
        <v>0</v>
      </c>
      <c r="O47" s="22">
        <v>1.0994999999999999</v>
      </c>
    </row>
    <row r="48" spans="1:15" x14ac:dyDescent="0.25">
      <c r="A48" s="26" t="s">
        <v>6</v>
      </c>
      <c r="B48" s="20" t="s">
        <v>144</v>
      </c>
      <c r="C48" s="21">
        <v>0.625</v>
      </c>
      <c r="D48" s="20">
        <v>5.98</v>
      </c>
      <c r="E48" s="20">
        <v>6.18</v>
      </c>
      <c r="F48" s="20" t="s">
        <v>0</v>
      </c>
      <c r="G48" s="20" t="s">
        <v>0</v>
      </c>
      <c r="H48" s="20" t="s">
        <v>0</v>
      </c>
      <c r="I48" s="22" t="s">
        <v>0</v>
      </c>
      <c r="J48" s="20" t="s">
        <v>0</v>
      </c>
      <c r="K48" s="20" t="s">
        <v>0</v>
      </c>
      <c r="L48" s="20" t="s">
        <v>0</v>
      </c>
      <c r="M48" s="23" t="s">
        <v>0</v>
      </c>
      <c r="N48" s="22" t="s">
        <v>0</v>
      </c>
      <c r="O48" s="22">
        <v>1.1032999999999999</v>
      </c>
    </row>
    <row r="49" spans="1:15" x14ac:dyDescent="0.25">
      <c r="A49" s="26" t="s">
        <v>18</v>
      </c>
      <c r="B49" s="20" t="s">
        <v>143</v>
      </c>
      <c r="C49" s="21">
        <v>1.875</v>
      </c>
      <c r="D49" s="20">
        <v>6.1</v>
      </c>
      <c r="E49" s="20">
        <v>6.54</v>
      </c>
      <c r="F49" s="20" t="s">
        <v>0</v>
      </c>
      <c r="G49" s="20" t="s">
        <v>0</v>
      </c>
      <c r="H49" s="20" t="s">
        <v>0</v>
      </c>
      <c r="I49" s="22" t="s">
        <v>0</v>
      </c>
      <c r="J49" s="20" t="s">
        <v>0</v>
      </c>
      <c r="K49" s="20" t="s">
        <v>0</v>
      </c>
      <c r="L49" s="20" t="s">
        <v>0</v>
      </c>
      <c r="M49" s="23" t="s">
        <v>0</v>
      </c>
      <c r="N49" s="22" t="s">
        <v>0</v>
      </c>
      <c r="O49" s="22">
        <v>1.1072</v>
      </c>
    </row>
    <row r="50" spans="1:15" x14ac:dyDescent="0.25">
      <c r="A50" s="26" t="s">
        <v>284</v>
      </c>
      <c r="B50" s="20" t="s">
        <v>145</v>
      </c>
      <c r="C50" s="21">
        <v>0.5</v>
      </c>
      <c r="D50" s="20">
        <v>6.35</v>
      </c>
      <c r="E50" s="20">
        <v>6.53</v>
      </c>
      <c r="F50" s="20" t="s">
        <v>0</v>
      </c>
      <c r="G50" s="20" t="s">
        <v>0</v>
      </c>
      <c r="H50" s="20" t="s">
        <v>0</v>
      </c>
      <c r="I50" s="22" t="s">
        <v>0</v>
      </c>
      <c r="J50" s="20" t="s">
        <v>0</v>
      </c>
      <c r="K50" s="20" t="s">
        <v>0</v>
      </c>
      <c r="L50" s="20" t="s">
        <v>0</v>
      </c>
      <c r="M50" s="23" t="s">
        <v>0</v>
      </c>
      <c r="N50" s="22" t="s">
        <v>0</v>
      </c>
      <c r="O50" s="22">
        <v>1.1092</v>
      </c>
    </row>
    <row r="51" spans="1:15" x14ac:dyDescent="0.25">
      <c r="A51" s="26" t="s">
        <v>19</v>
      </c>
      <c r="B51" s="20" t="s">
        <v>146</v>
      </c>
      <c r="C51" s="21">
        <v>1.75</v>
      </c>
      <c r="D51" s="20">
        <v>6.48</v>
      </c>
      <c r="E51" s="20">
        <v>7</v>
      </c>
      <c r="F51" s="20" t="s">
        <v>0</v>
      </c>
      <c r="G51" s="20" t="s">
        <v>0</v>
      </c>
      <c r="H51" s="20" t="s">
        <v>0</v>
      </c>
      <c r="I51" s="22" t="s">
        <v>0</v>
      </c>
      <c r="J51" s="20" t="s">
        <v>0</v>
      </c>
      <c r="K51" s="20" t="s">
        <v>0</v>
      </c>
      <c r="L51" s="20" t="s">
        <v>0</v>
      </c>
      <c r="M51" s="23" t="s">
        <v>0</v>
      </c>
      <c r="N51" s="22" t="s">
        <v>0</v>
      </c>
      <c r="O51" s="22">
        <v>1.1175999999999999</v>
      </c>
    </row>
    <row r="52" spans="1:15" x14ac:dyDescent="0.25">
      <c r="A52" s="26" t="s">
        <v>285</v>
      </c>
      <c r="B52" s="20" t="s">
        <v>149</v>
      </c>
      <c r="C52" s="21">
        <v>0.375</v>
      </c>
      <c r="D52" s="20">
        <v>6.68</v>
      </c>
      <c r="E52" s="20">
        <v>6.83</v>
      </c>
      <c r="F52" s="20" t="s">
        <v>0</v>
      </c>
      <c r="G52" s="20" t="s">
        <v>0</v>
      </c>
      <c r="H52" s="20" t="s">
        <v>0</v>
      </c>
      <c r="I52" s="22" t="s">
        <v>0</v>
      </c>
      <c r="J52" s="20" t="s">
        <v>0</v>
      </c>
      <c r="K52" s="20" t="s">
        <v>0</v>
      </c>
      <c r="L52" s="20" t="s">
        <v>0</v>
      </c>
      <c r="M52" s="23" t="s">
        <v>0</v>
      </c>
      <c r="N52" s="22" t="s">
        <v>0</v>
      </c>
      <c r="O52" s="22">
        <v>1.1156999999999999</v>
      </c>
    </row>
    <row r="53" spans="1:15" x14ac:dyDescent="0.25">
      <c r="A53" s="26" t="s">
        <v>50</v>
      </c>
      <c r="B53" s="20" t="s">
        <v>147</v>
      </c>
      <c r="C53" s="21">
        <v>2.125</v>
      </c>
      <c r="D53" s="20">
        <v>6.81</v>
      </c>
      <c r="E53" s="20">
        <v>7.43</v>
      </c>
      <c r="F53" s="20">
        <v>1.1399999999999999</v>
      </c>
      <c r="G53" s="20">
        <v>1.1399999999999999</v>
      </c>
      <c r="H53" s="20">
        <v>1.1399999999999999</v>
      </c>
      <c r="I53" s="22">
        <v>1</v>
      </c>
      <c r="J53" s="20" t="s">
        <v>0</v>
      </c>
      <c r="K53" s="20" t="s">
        <v>0</v>
      </c>
      <c r="L53" s="20" t="s">
        <v>0</v>
      </c>
      <c r="M53" s="23" t="s">
        <v>0</v>
      </c>
      <c r="N53" s="22" t="s">
        <v>0</v>
      </c>
      <c r="O53" s="22">
        <v>1.1293</v>
      </c>
    </row>
    <row r="54" spans="1:15" x14ac:dyDescent="0.25">
      <c r="A54" s="26" t="s">
        <v>20</v>
      </c>
      <c r="B54" s="20" t="s">
        <v>148</v>
      </c>
      <c r="C54" s="21">
        <v>3.625</v>
      </c>
      <c r="D54" s="20">
        <v>7.03</v>
      </c>
      <c r="E54" s="20">
        <v>7.93</v>
      </c>
      <c r="F54" s="20" t="s">
        <v>0</v>
      </c>
      <c r="G54" s="20" t="s">
        <v>0</v>
      </c>
      <c r="H54" s="20" t="s">
        <v>0</v>
      </c>
      <c r="I54" s="22" t="s">
        <v>0</v>
      </c>
      <c r="J54" s="20" t="s">
        <v>0</v>
      </c>
      <c r="K54" s="20" t="s">
        <v>0</v>
      </c>
      <c r="L54" s="20" t="s">
        <v>0</v>
      </c>
      <c r="M54" s="23" t="s">
        <v>0</v>
      </c>
      <c r="N54" s="22" t="s">
        <v>0</v>
      </c>
      <c r="O54" s="22">
        <v>1.1424000000000001</v>
      </c>
    </row>
    <row r="55" spans="1:15" x14ac:dyDescent="0.25">
      <c r="A55" s="26" t="s">
        <v>286</v>
      </c>
      <c r="B55" s="20" t="s">
        <v>151</v>
      </c>
      <c r="C55" s="21">
        <v>0.25</v>
      </c>
      <c r="D55" s="20">
        <v>7.02</v>
      </c>
      <c r="E55" s="20">
        <v>7.18</v>
      </c>
      <c r="F55" s="20" t="s">
        <v>0</v>
      </c>
      <c r="G55" s="20" t="s">
        <v>0</v>
      </c>
      <c r="H55" s="20" t="s">
        <v>0</v>
      </c>
      <c r="I55" s="22" t="s">
        <v>0</v>
      </c>
      <c r="J55" s="20" t="s">
        <v>0</v>
      </c>
      <c r="K55" s="20" t="s">
        <v>0</v>
      </c>
      <c r="L55" s="20" t="s">
        <v>0</v>
      </c>
      <c r="M55" s="23" t="s">
        <v>0</v>
      </c>
      <c r="N55" s="22" t="s">
        <v>0</v>
      </c>
      <c r="O55" s="22">
        <v>1.125</v>
      </c>
    </row>
    <row r="56" spans="1:15" x14ac:dyDescent="0.25">
      <c r="A56" s="26" t="s">
        <v>58</v>
      </c>
      <c r="B56" s="20" t="s">
        <v>150</v>
      </c>
      <c r="C56" s="21">
        <v>1.75</v>
      </c>
      <c r="D56" s="20">
        <v>7.25</v>
      </c>
      <c r="E56" s="20">
        <v>7.79</v>
      </c>
      <c r="F56" s="20" t="s">
        <v>0</v>
      </c>
      <c r="G56" s="20" t="s">
        <v>0</v>
      </c>
      <c r="H56" s="20" t="s">
        <v>0</v>
      </c>
      <c r="I56" s="22" t="s">
        <v>0</v>
      </c>
      <c r="J56" s="20" t="s">
        <v>0</v>
      </c>
      <c r="K56" s="20" t="s">
        <v>0</v>
      </c>
      <c r="L56" s="20" t="s">
        <v>0</v>
      </c>
      <c r="M56" s="23" t="s">
        <v>0</v>
      </c>
      <c r="N56" s="22" t="s">
        <v>0</v>
      </c>
      <c r="O56" s="22">
        <v>1.1418999999999999</v>
      </c>
    </row>
    <row r="57" spans="1:15" x14ac:dyDescent="0.25">
      <c r="A57" s="26" t="s">
        <v>61</v>
      </c>
      <c r="B57" s="20" t="s">
        <v>153</v>
      </c>
      <c r="C57" s="21">
        <v>1.875</v>
      </c>
      <c r="D57" s="20">
        <v>7.41</v>
      </c>
      <c r="E57" s="20">
        <v>7.98</v>
      </c>
      <c r="F57" s="20" t="s">
        <v>0</v>
      </c>
      <c r="G57" s="20" t="s">
        <v>0</v>
      </c>
      <c r="H57" s="20" t="s">
        <v>0</v>
      </c>
      <c r="I57" s="22" t="s">
        <v>0</v>
      </c>
      <c r="J57" s="20" t="s">
        <v>0</v>
      </c>
      <c r="K57" s="20" t="s">
        <v>0</v>
      </c>
      <c r="L57" s="20" t="s">
        <v>0</v>
      </c>
      <c r="M57" s="23" t="s">
        <v>0</v>
      </c>
      <c r="N57" s="22" t="s">
        <v>0</v>
      </c>
      <c r="O57" s="22">
        <v>1.1475</v>
      </c>
    </row>
    <row r="58" spans="1:15" x14ac:dyDescent="0.25">
      <c r="A58" s="26" t="s">
        <v>287</v>
      </c>
      <c r="B58" s="20" t="s">
        <v>152</v>
      </c>
      <c r="C58" s="21">
        <v>0.25</v>
      </c>
      <c r="D58" s="20">
        <v>7.38</v>
      </c>
      <c r="E58" s="20">
        <v>7.54</v>
      </c>
      <c r="F58" s="20" t="s">
        <v>0</v>
      </c>
      <c r="G58" s="20" t="s">
        <v>0</v>
      </c>
      <c r="H58" s="20" t="s">
        <v>0</v>
      </c>
      <c r="I58" s="22" t="s">
        <v>0</v>
      </c>
      <c r="J58" s="20" t="s">
        <v>0</v>
      </c>
      <c r="K58" s="20" t="s">
        <v>0</v>
      </c>
      <c r="L58" s="20" t="s">
        <v>0</v>
      </c>
      <c r="M58" s="23" t="s">
        <v>0</v>
      </c>
      <c r="N58" s="22" t="s">
        <v>0</v>
      </c>
      <c r="O58" s="22">
        <v>1.1367</v>
      </c>
    </row>
    <row r="59" spans="1:15" x14ac:dyDescent="0.25">
      <c r="A59" s="26" t="s">
        <v>288</v>
      </c>
      <c r="B59" s="20" t="s">
        <v>212</v>
      </c>
      <c r="C59" s="21">
        <v>0.375</v>
      </c>
      <c r="D59" s="20">
        <v>7.54</v>
      </c>
      <c r="E59" s="20">
        <v>7.74</v>
      </c>
      <c r="F59" s="20" t="s">
        <v>0</v>
      </c>
      <c r="G59" s="20" t="s">
        <v>0</v>
      </c>
      <c r="H59" s="20" t="s">
        <v>0</v>
      </c>
      <c r="I59" s="22" t="s">
        <v>0</v>
      </c>
      <c r="J59" s="20" t="s">
        <v>0</v>
      </c>
      <c r="K59" s="20" t="s">
        <v>0</v>
      </c>
      <c r="L59" s="20" t="s">
        <v>0</v>
      </c>
      <c r="M59" s="23" t="s">
        <v>0</v>
      </c>
      <c r="N59" s="22" t="s">
        <v>0</v>
      </c>
      <c r="O59" s="22">
        <v>1.1434</v>
      </c>
    </row>
    <row r="60" spans="1:15" x14ac:dyDescent="0.25">
      <c r="A60" s="26" t="s">
        <v>276</v>
      </c>
      <c r="B60" s="20" t="s">
        <v>216</v>
      </c>
      <c r="C60" s="21">
        <v>0.375</v>
      </c>
      <c r="D60" s="20">
        <v>7.67</v>
      </c>
      <c r="E60" s="20">
        <v>7.87</v>
      </c>
      <c r="F60" s="20" t="s">
        <v>0</v>
      </c>
      <c r="G60" s="20" t="s">
        <v>0</v>
      </c>
      <c r="H60" s="20" t="s">
        <v>0</v>
      </c>
      <c r="I60" s="22" t="s">
        <v>0</v>
      </c>
      <c r="J60" s="20" t="s">
        <v>0</v>
      </c>
      <c r="K60" s="20" t="s">
        <v>0</v>
      </c>
      <c r="L60" s="20" t="s">
        <v>0</v>
      </c>
      <c r="M60" s="23" t="s">
        <v>0</v>
      </c>
      <c r="N60" s="22" t="s">
        <v>0</v>
      </c>
      <c r="O60" s="22">
        <v>1.1476999999999999</v>
      </c>
    </row>
    <row r="61" spans="1:15" x14ac:dyDescent="0.25">
      <c r="A61" s="26" t="s">
        <v>43</v>
      </c>
      <c r="B61" s="20" t="s">
        <v>154</v>
      </c>
      <c r="C61" s="21">
        <v>1.625</v>
      </c>
      <c r="D61" s="20">
        <v>7.81</v>
      </c>
      <c r="E61" s="20">
        <v>8.44</v>
      </c>
      <c r="F61" s="20" t="s">
        <v>0</v>
      </c>
      <c r="G61" s="20" t="s">
        <v>0</v>
      </c>
      <c r="H61" s="20" t="s">
        <v>0</v>
      </c>
      <c r="I61" s="22" t="s">
        <v>0</v>
      </c>
      <c r="J61" s="20" t="s">
        <v>0</v>
      </c>
      <c r="K61" s="20" t="s">
        <v>0</v>
      </c>
      <c r="L61" s="20" t="s">
        <v>0</v>
      </c>
      <c r="M61" s="23" t="s">
        <v>0</v>
      </c>
      <c r="N61" s="22" t="s">
        <v>0</v>
      </c>
      <c r="O61" s="22">
        <v>1.1612</v>
      </c>
    </row>
    <row r="62" spans="1:15" x14ac:dyDescent="0.25">
      <c r="A62" s="26" t="s">
        <v>289</v>
      </c>
      <c r="B62" s="20" t="s">
        <v>232</v>
      </c>
      <c r="C62" s="21">
        <v>0.5</v>
      </c>
      <c r="D62" s="20">
        <v>7.92</v>
      </c>
      <c r="E62" s="20">
        <v>8.1999999999999993</v>
      </c>
      <c r="F62" s="20" t="s">
        <v>0</v>
      </c>
      <c r="G62" s="20" t="s">
        <v>0</v>
      </c>
      <c r="H62" s="20" t="s">
        <v>0</v>
      </c>
      <c r="I62" s="22" t="s">
        <v>0</v>
      </c>
      <c r="J62" s="20" t="s">
        <v>0</v>
      </c>
      <c r="K62" s="20" t="s">
        <v>0</v>
      </c>
      <c r="L62" s="20" t="s">
        <v>0</v>
      </c>
      <c r="M62" s="23" t="s">
        <v>0</v>
      </c>
      <c r="N62" s="22" t="s">
        <v>0</v>
      </c>
      <c r="O62" s="22">
        <v>1.1577999999999999</v>
      </c>
    </row>
    <row r="63" spans="1:15" x14ac:dyDescent="0.25">
      <c r="A63" s="26" t="s">
        <v>25</v>
      </c>
      <c r="B63" s="20" t="s">
        <v>155</v>
      </c>
      <c r="C63" s="21">
        <v>1.625</v>
      </c>
      <c r="D63" s="20">
        <v>7.96</v>
      </c>
      <c r="E63" s="20">
        <v>8.6</v>
      </c>
      <c r="F63" s="20" t="s">
        <v>0</v>
      </c>
      <c r="G63" s="20" t="s">
        <v>0</v>
      </c>
      <c r="H63" s="20" t="s">
        <v>0</v>
      </c>
      <c r="I63" s="22" t="s">
        <v>0</v>
      </c>
      <c r="J63" s="20" t="s">
        <v>0</v>
      </c>
      <c r="K63" s="20" t="s">
        <v>0</v>
      </c>
      <c r="L63" s="20" t="s">
        <v>0</v>
      </c>
      <c r="M63" s="23" t="s">
        <v>0</v>
      </c>
      <c r="N63" s="22" t="s">
        <v>0</v>
      </c>
      <c r="O63" s="22">
        <v>1.1645000000000001</v>
      </c>
    </row>
    <row r="64" spans="1:15" x14ac:dyDescent="0.25">
      <c r="A64" s="26" t="s">
        <v>290</v>
      </c>
      <c r="B64" s="20" t="s">
        <v>248</v>
      </c>
      <c r="C64" s="21">
        <v>0.75</v>
      </c>
      <c r="D64" s="20">
        <v>8.0500000000000007</v>
      </c>
      <c r="E64" s="20">
        <v>8.42</v>
      </c>
      <c r="F64" s="20" t="s">
        <v>0</v>
      </c>
      <c r="G64" s="20" t="s">
        <v>0</v>
      </c>
      <c r="H64" s="20" t="s">
        <v>0</v>
      </c>
      <c r="I64" s="22" t="s">
        <v>0</v>
      </c>
      <c r="J64" s="20" t="s">
        <v>0</v>
      </c>
      <c r="K64" s="20" t="s">
        <v>0</v>
      </c>
      <c r="L64" s="20" t="s">
        <v>0</v>
      </c>
      <c r="M64" s="23" t="s">
        <v>0</v>
      </c>
      <c r="N64" s="22" t="s">
        <v>0</v>
      </c>
      <c r="O64" s="22">
        <v>1.1631</v>
      </c>
    </row>
    <row r="65" spans="1:15" x14ac:dyDescent="0.25">
      <c r="A65" s="26" t="s">
        <v>245</v>
      </c>
      <c r="B65" s="20" t="s">
        <v>249</v>
      </c>
      <c r="C65" s="21">
        <v>0.625</v>
      </c>
      <c r="D65" s="20">
        <v>8.1999999999999993</v>
      </c>
      <c r="E65" s="20">
        <v>8.52</v>
      </c>
      <c r="F65" s="20" t="s">
        <v>0</v>
      </c>
      <c r="G65" s="20" t="s">
        <v>0</v>
      </c>
      <c r="H65" s="20" t="s">
        <v>0</v>
      </c>
      <c r="I65" s="22" t="s">
        <v>0</v>
      </c>
      <c r="J65" s="20" t="s">
        <v>0</v>
      </c>
      <c r="K65" s="20" t="s">
        <v>0</v>
      </c>
      <c r="L65" s="20" t="s">
        <v>0</v>
      </c>
      <c r="M65" s="23" t="s">
        <v>0</v>
      </c>
      <c r="N65" s="22" t="s">
        <v>0</v>
      </c>
      <c r="O65" s="22">
        <v>1.1658999999999999</v>
      </c>
    </row>
    <row r="66" spans="1:15" x14ac:dyDescent="0.25">
      <c r="A66" s="26" t="s">
        <v>29</v>
      </c>
      <c r="B66" s="20" t="s">
        <v>156</v>
      </c>
      <c r="C66" s="21">
        <v>1.5</v>
      </c>
      <c r="D66" s="20">
        <v>8.39</v>
      </c>
      <c r="E66" s="20">
        <v>9</v>
      </c>
      <c r="F66" s="20" t="s">
        <v>0</v>
      </c>
      <c r="G66" s="20" t="s">
        <v>0</v>
      </c>
      <c r="H66" s="20" t="s">
        <v>0</v>
      </c>
      <c r="I66" s="22" t="s">
        <v>0</v>
      </c>
      <c r="J66" s="20" t="s">
        <v>0</v>
      </c>
      <c r="K66" s="20" t="s">
        <v>0</v>
      </c>
      <c r="L66" s="20" t="s">
        <v>0</v>
      </c>
      <c r="M66" s="23" t="s">
        <v>0</v>
      </c>
      <c r="N66" s="22" t="s">
        <v>489</v>
      </c>
      <c r="O66" s="22">
        <v>1.1716</v>
      </c>
    </row>
    <row r="67" spans="1:15" x14ac:dyDescent="0.25">
      <c r="A67" s="26" t="s">
        <v>264</v>
      </c>
      <c r="B67" s="20" t="s">
        <v>266</v>
      </c>
      <c r="C67" s="21">
        <v>1.25</v>
      </c>
      <c r="D67" s="20">
        <v>8.36</v>
      </c>
      <c r="E67" s="20">
        <v>8.89</v>
      </c>
      <c r="F67" s="20" t="s">
        <v>0</v>
      </c>
      <c r="G67" s="20" t="s">
        <v>0</v>
      </c>
      <c r="H67" s="20" t="s">
        <v>0</v>
      </c>
      <c r="I67" s="22" t="s">
        <v>0</v>
      </c>
      <c r="J67" s="20" t="s">
        <v>0</v>
      </c>
      <c r="K67" s="20" t="s">
        <v>0</v>
      </c>
      <c r="L67" s="20" t="s">
        <v>0</v>
      </c>
      <c r="M67" s="23" t="s">
        <v>0</v>
      </c>
      <c r="N67" s="22" t="s">
        <v>0</v>
      </c>
      <c r="O67" s="22">
        <v>1.1707000000000001</v>
      </c>
    </row>
    <row r="68" spans="1:15" x14ac:dyDescent="0.25">
      <c r="A68" s="26" t="s">
        <v>313</v>
      </c>
      <c r="B68" s="20" t="s">
        <v>314</v>
      </c>
      <c r="C68" s="21">
        <v>1.75</v>
      </c>
      <c r="D68" s="20">
        <v>8.3699999999999992</v>
      </c>
      <c r="E68" s="20">
        <v>9.19</v>
      </c>
      <c r="F68" s="20" t="s">
        <v>0</v>
      </c>
      <c r="G68" s="20" t="s">
        <v>0</v>
      </c>
      <c r="H68" s="20" t="s">
        <v>0</v>
      </c>
      <c r="I68" s="22" t="s">
        <v>0</v>
      </c>
      <c r="J68" s="20" t="s">
        <v>0</v>
      </c>
      <c r="K68" s="20" t="s">
        <v>0</v>
      </c>
      <c r="L68" s="20" t="s">
        <v>0</v>
      </c>
      <c r="M68" s="23" t="s">
        <v>0</v>
      </c>
      <c r="N68" s="22" t="s">
        <v>0</v>
      </c>
      <c r="O68" s="22">
        <v>1.1732</v>
      </c>
    </row>
    <row r="69" spans="1:15" x14ac:dyDescent="0.25">
      <c r="A69" s="26" t="s">
        <v>53</v>
      </c>
      <c r="B69" s="20" t="s">
        <v>159</v>
      </c>
      <c r="C69" s="21">
        <v>1.5</v>
      </c>
      <c r="D69" s="20">
        <v>8.74</v>
      </c>
      <c r="E69" s="20">
        <v>9.4700000000000006</v>
      </c>
      <c r="F69" s="20" t="s">
        <v>0</v>
      </c>
      <c r="G69" s="20" t="s">
        <v>0</v>
      </c>
      <c r="H69" s="20" t="s">
        <v>0</v>
      </c>
      <c r="I69" s="22" t="s">
        <v>0</v>
      </c>
      <c r="J69" s="20" t="s">
        <v>0</v>
      </c>
      <c r="K69" s="20" t="s">
        <v>0</v>
      </c>
      <c r="L69" s="20" t="s">
        <v>0</v>
      </c>
      <c r="M69" s="23" t="s">
        <v>0</v>
      </c>
      <c r="N69" s="22" t="s">
        <v>0</v>
      </c>
      <c r="O69" s="22">
        <v>1.1771</v>
      </c>
    </row>
    <row r="70" spans="1:15" x14ac:dyDescent="0.25">
      <c r="A70" s="26" t="s">
        <v>329</v>
      </c>
      <c r="B70" s="20" t="s">
        <v>330</v>
      </c>
      <c r="C70" s="21">
        <v>1.25</v>
      </c>
      <c r="D70" s="20">
        <v>8.7799999999999994</v>
      </c>
      <c r="E70" s="20">
        <v>9.42</v>
      </c>
      <c r="F70" s="20" t="s">
        <v>0</v>
      </c>
      <c r="G70" s="20" t="s">
        <v>0</v>
      </c>
      <c r="H70" s="20" t="s">
        <v>0</v>
      </c>
      <c r="I70" s="22" t="s">
        <v>0</v>
      </c>
      <c r="J70" s="20" t="s">
        <v>0</v>
      </c>
      <c r="K70" s="20" t="s">
        <v>0</v>
      </c>
      <c r="L70" s="20" t="s">
        <v>0</v>
      </c>
      <c r="M70" s="23" t="s">
        <v>0</v>
      </c>
      <c r="N70" s="22" t="s">
        <v>0</v>
      </c>
      <c r="O70" s="22">
        <v>1.1773</v>
      </c>
    </row>
    <row r="71" spans="1:15" x14ac:dyDescent="0.25">
      <c r="A71" s="26" t="s">
        <v>62</v>
      </c>
      <c r="B71" s="20" t="s">
        <v>158</v>
      </c>
      <c r="C71" s="21">
        <v>1.75</v>
      </c>
      <c r="D71" s="20">
        <v>8.7899999999999991</v>
      </c>
      <c r="E71" s="20">
        <v>9.61</v>
      </c>
      <c r="F71" s="20" t="s">
        <v>0</v>
      </c>
      <c r="G71" s="20" t="s">
        <v>0</v>
      </c>
      <c r="H71" s="20" t="s">
        <v>0</v>
      </c>
      <c r="I71" s="22" t="s">
        <v>0</v>
      </c>
      <c r="J71" s="20" t="s">
        <v>0</v>
      </c>
      <c r="K71" s="20" t="s">
        <v>0</v>
      </c>
      <c r="L71" s="20" t="s">
        <v>0</v>
      </c>
      <c r="M71" s="23" t="s">
        <v>0</v>
      </c>
      <c r="N71" s="22" t="s">
        <v>0</v>
      </c>
      <c r="O71" s="22">
        <v>1.1778</v>
      </c>
    </row>
    <row r="72" spans="1:15" x14ac:dyDescent="0.25">
      <c r="A72" s="26" t="s">
        <v>30</v>
      </c>
      <c r="B72" s="20" t="s">
        <v>160</v>
      </c>
      <c r="C72" s="21">
        <v>2</v>
      </c>
      <c r="D72" s="20">
        <v>9.0500000000000007</v>
      </c>
      <c r="E72" s="20">
        <v>9.9600000000000009</v>
      </c>
      <c r="F72" s="20" t="s">
        <v>0</v>
      </c>
      <c r="G72" s="20" t="s">
        <v>0</v>
      </c>
      <c r="H72" s="20" t="s">
        <v>0</v>
      </c>
      <c r="I72" s="22" t="s">
        <v>0</v>
      </c>
      <c r="J72" s="20" t="s">
        <v>0</v>
      </c>
      <c r="K72" s="20" t="s">
        <v>0</v>
      </c>
      <c r="L72" s="20" t="s">
        <v>0</v>
      </c>
      <c r="M72" s="23" t="s">
        <v>0</v>
      </c>
      <c r="N72" s="22" t="s">
        <v>0</v>
      </c>
      <c r="O72" s="22">
        <v>1.1807000000000001</v>
      </c>
    </row>
    <row r="73" spans="1:15" x14ac:dyDescent="0.25">
      <c r="A73" s="26" t="s">
        <v>327</v>
      </c>
      <c r="B73" s="20" t="s">
        <v>328</v>
      </c>
      <c r="C73" s="21">
        <v>1.125</v>
      </c>
      <c r="D73" s="20">
        <v>8.93</v>
      </c>
      <c r="E73" s="20">
        <v>9.52</v>
      </c>
      <c r="F73" s="20" t="s">
        <v>0</v>
      </c>
      <c r="G73" s="20" t="s">
        <v>0</v>
      </c>
      <c r="H73" s="20" t="s">
        <v>0</v>
      </c>
      <c r="I73" s="22" t="s">
        <v>0</v>
      </c>
      <c r="J73" s="20" t="s">
        <v>0</v>
      </c>
      <c r="K73" s="20" t="s">
        <v>0</v>
      </c>
      <c r="L73" s="20" t="s">
        <v>0</v>
      </c>
      <c r="M73" s="23" t="s">
        <v>0</v>
      </c>
      <c r="N73" s="22" t="s">
        <v>0</v>
      </c>
      <c r="O73" s="22">
        <v>1.1787000000000001</v>
      </c>
    </row>
    <row r="74" spans="1:15" x14ac:dyDescent="0.25">
      <c r="A74" s="26" t="s">
        <v>377</v>
      </c>
      <c r="B74" s="20" t="s">
        <v>362</v>
      </c>
      <c r="C74" s="21">
        <v>1.125</v>
      </c>
      <c r="D74" s="20">
        <v>9.19</v>
      </c>
      <c r="E74" s="20">
        <v>9.83</v>
      </c>
      <c r="F74" s="20">
        <v>1.1779999999999999</v>
      </c>
      <c r="G74" s="20">
        <v>1.177</v>
      </c>
      <c r="H74" s="20">
        <v>1.1775</v>
      </c>
      <c r="I74" s="22">
        <v>2</v>
      </c>
      <c r="J74" s="20" t="s">
        <v>0</v>
      </c>
      <c r="K74" s="20" t="s">
        <v>0</v>
      </c>
      <c r="L74" s="20" t="s">
        <v>0</v>
      </c>
      <c r="M74" s="23" t="s">
        <v>0</v>
      </c>
      <c r="N74" s="22" t="s">
        <v>0</v>
      </c>
      <c r="O74" s="22">
        <v>1.1816</v>
      </c>
    </row>
    <row r="75" spans="1:15" x14ac:dyDescent="0.25">
      <c r="A75" s="26" t="s">
        <v>21</v>
      </c>
      <c r="B75" s="20" t="s">
        <v>157</v>
      </c>
      <c r="C75" s="21">
        <v>3.875</v>
      </c>
      <c r="D75" s="20">
        <v>9.09</v>
      </c>
      <c r="E75" s="20">
        <v>10.79</v>
      </c>
      <c r="F75" s="20" t="s">
        <v>0</v>
      </c>
      <c r="G75" s="20" t="s">
        <v>0</v>
      </c>
      <c r="H75" s="20" t="s">
        <v>0</v>
      </c>
      <c r="I75" s="22" t="s">
        <v>0</v>
      </c>
      <c r="J75" s="20" t="s">
        <v>0</v>
      </c>
      <c r="K75" s="20" t="s">
        <v>0</v>
      </c>
      <c r="L75" s="20" t="s">
        <v>0</v>
      </c>
      <c r="M75" s="23" t="s">
        <v>0</v>
      </c>
      <c r="N75" s="22" t="s">
        <v>0</v>
      </c>
      <c r="O75" s="22">
        <v>1.1856</v>
      </c>
    </row>
    <row r="76" spans="1:15" x14ac:dyDescent="0.25">
      <c r="A76" s="26" t="s">
        <v>361</v>
      </c>
      <c r="B76" s="20" t="s">
        <v>362</v>
      </c>
      <c r="C76" s="21">
        <v>1.125</v>
      </c>
      <c r="D76" s="20">
        <v>9.23</v>
      </c>
      <c r="E76" s="20">
        <v>9.83</v>
      </c>
      <c r="F76" s="20">
        <v>1.1795</v>
      </c>
      <c r="G76" s="20">
        <v>1.1795</v>
      </c>
      <c r="H76" s="20">
        <v>1.1795</v>
      </c>
      <c r="I76" s="22">
        <v>0.5</v>
      </c>
      <c r="J76" s="20" t="s">
        <v>0</v>
      </c>
      <c r="K76" s="20" t="s">
        <v>0</v>
      </c>
      <c r="L76" s="20" t="s">
        <v>0</v>
      </c>
      <c r="M76" s="23" t="s">
        <v>0</v>
      </c>
      <c r="N76" s="22" t="s">
        <v>0</v>
      </c>
      <c r="O76" s="22">
        <v>1.1819999999999999</v>
      </c>
    </row>
    <row r="77" spans="1:15" x14ac:dyDescent="0.25">
      <c r="A77" s="26" t="s">
        <v>63</v>
      </c>
      <c r="B77" s="20" t="s">
        <v>161</v>
      </c>
      <c r="C77" s="21">
        <v>2</v>
      </c>
      <c r="D77" s="20">
        <v>9.39</v>
      </c>
      <c r="E77" s="20">
        <v>10.47</v>
      </c>
      <c r="F77" s="20" t="s">
        <v>0</v>
      </c>
      <c r="G77" s="20" t="s">
        <v>0</v>
      </c>
      <c r="H77" s="20" t="s">
        <v>0</v>
      </c>
      <c r="I77" s="22" t="s">
        <v>0</v>
      </c>
      <c r="J77" s="20" t="s">
        <v>0</v>
      </c>
      <c r="K77" s="20" t="s">
        <v>0</v>
      </c>
      <c r="L77" s="20" t="s">
        <v>0</v>
      </c>
      <c r="M77" s="23" t="s">
        <v>0</v>
      </c>
      <c r="N77" s="22" t="s">
        <v>0</v>
      </c>
      <c r="O77" s="22">
        <v>1.1868000000000001</v>
      </c>
    </row>
    <row r="78" spans="1:15" x14ac:dyDescent="0.25">
      <c r="A78" s="26" t="s">
        <v>65</v>
      </c>
      <c r="B78" s="20" t="s">
        <v>163</v>
      </c>
      <c r="C78" s="21">
        <v>2.125</v>
      </c>
      <c r="D78" s="20">
        <v>9.83</v>
      </c>
      <c r="E78" s="20">
        <v>10.97</v>
      </c>
      <c r="F78" s="20" t="s">
        <v>0</v>
      </c>
      <c r="G78" s="20" t="s">
        <v>0</v>
      </c>
      <c r="H78" s="20" t="s">
        <v>0</v>
      </c>
      <c r="I78" s="22" t="s">
        <v>0</v>
      </c>
      <c r="J78" s="20" t="s">
        <v>0</v>
      </c>
      <c r="K78" s="20" t="s">
        <v>0</v>
      </c>
      <c r="L78" s="20" t="s">
        <v>0</v>
      </c>
      <c r="M78" s="23" t="s">
        <v>0</v>
      </c>
      <c r="N78" s="22" t="s">
        <v>0</v>
      </c>
      <c r="O78" s="22">
        <v>1.1933</v>
      </c>
    </row>
    <row r="79" spans="1:15" x14ac:dyDescent="0.25">
      <c r="A79" s="26" t="s">
        <v>44</v>
      </c>
      <c r="B79" s="20" t="s">
        <v>162</v>
      </c>
      <c r="C79" s="21">
        <v>1.875</v>
      </c>
      <c r="D79" s="20">
        <v>9.67</v>
      </c>
      <c r="E79" s="20">
        <v>10.71</v>
      </c>
      <c r="F79" s="20" t="s">
        <v>0</v>
      </c>
      <c r="G79" s="20" t="s">
        <v>0</v>
      </c>
      <c r="H79" s="20" t="s">
        <v>0</v>
      </c>
      <c r="I79" s="22" t="s">
        <v>0</v>
      </c>
      <c r="J79" s="20" t="s">
        <v>0</v>
      </c>
      <c r="K79" s="20" t="s">
        <v>0</v>
      </c>
      <c r="L79" s="20" t="s">
        <v>0</v>
      </c>
      <c r="M79" s="23" t="s">
        <v>0</v>
      </c>
      <c r="N79" s="22" t="s">
        <v>0</v>
      </c>
      <c r="O79" s="22">
        <v>1.1903999999999999</v>
      </c>
    </row>
    <row r="80" spans="1:15" x14ac:dyDescent="0.25">
      <c r="A80" s="26" t="s">
        <v>64</v>
      </c>
      <c r="B80" s="20" t="s">
        <v>164</v>
      </c>
      <c r="C80" s="21">
        <v>2.25</v>
      </c>
      <c r="D80" s="20">
        <v>9.76</v>
      </c>
      <c r="E80" s="20">
        <v>11.14</v>
      </c>
      <c r="F80" s="20" t="s">
        <v>0</v>
      </c>
      <c r="G80" s="20" t="s">
        <v>0</v>
      </c>
      <c r="H80" s="20" t="s">
        <v>0</v>
      </c>
      <c r="I80" s="22" t="s">
        <v>0</v>
      </c>
      <c r="J80" s="20" t="s">
        <v>0</v>
      </c>
      <c r="K80" s="20" t="s">
        <v>0</v>
      </c>
      <c r="L80" s="20" t="s">
        <v>0</v>
      </c>
      <c r="M80" s="23" t="s">
        <v>0</v>
      </c>
      <c r="N80" s="22" t="s">
        <v>0</v>
      </c>
      <c r="O80" s="22">
        <v>1.1953</v>
      </c>
    </row>
    <row r="81" spans="1:15" x14ac:dyDescent="0.25">
      <c r="A81" s="26" t="s">
        <v>26</v>
      </c>
      <c r="B81" s="20" t="s">
        <v>165</v>
      </c>
      <c r="C81" s="21">
        <v>2</v>
      </c>
      <c r="D81" s="20">
        <v>10.18</v>
      </c>
      <c r="E81" s="20">
        <v>11.45</v>
      </c>
      <c r="F81" s="20" t="s">
        <v>0</v>
      </c>
      <c r="G81" s="20" t="s">
        <v>0</v>
      </c>
      <c r="H81" s="20" t="s">
        <v>0</v>
      </c>
      <c r="I81" s="22" t="s">
        <v>0</v>
      </c>
      <c r="J81" s="20" t="s">
        <v>0</v>
      </c>
      <c r="K81" s="20" t="s">
        <v>0</v>
      </c>
      <c r="L81" s="20" t="s">
        <v>0</v>
      </c>
      <c r="M81" s="23" t="s">
        <v>0</v>
      </c>
      <c r="N81" s="22" t="s">
        <v>0</v>
      </c>
      <c r="O81" s="22">
        <v>1.2007000000000001</v>
      </c>
    </row>
    <row r="82" spans="1:15" x14ac:dyDescent="0.25">
      <c r="A82" s="26" t="s">
        <v>49</v>
      </c>
      <c r="B82" s="20" t="s">
        <v>166</v>
      </c>
      <c r="C82" s="21">
        <v>2.125</v>
      </c>
      <c r="D82" s="20">
        <v>10.34</v>
      </c>
      <c r="E82" s="20">
        <v>11.68</v>
      </c>
      <c r="F82" s="20" t="s">
        <v>0</v>
      </c>
      <c r="G82" s="20" t="s">
        <v>0</v>
      </c>
      <c r="H82" s="20" t="s">
        <v>0</v>
      </c>
      <c r="I82" s="22" t="s">
        <v>0</v>
      </c>
      <c r="J82" s="20" t="s">
        <v>0</v>
      </c>
      <c r="K82" s="20" t="s">
        <v>0</v>
      </c>
      <c r="L82" s="20" t="s">
        <v>0</v>
      </c>
      <c r="M82" s="23" t="s">
        <v>0</v>
      </c>
      <c r="N82" s="22" t="s">
        <v>0</v>
      </c>
      <c r="O82" s="22">
        <v>1.2038</v>
      </c>
    </row>
    <row r="83" spans="1:15" x14ac:dyDescent="0.25">
      <c r="A83" s="26" t="s">
        <v>54</v>
      </c>
      <c r="B83" s="20" t="s">
        <v>167</v>
      </c>
      <c r="C83" s="21">
        <v>1.75</v>
      </c>
      <c r="D83" s="20">
        <v>10.86</v>
      </c>
      <c r="E83" s="20">
        <v>12.21</v>
      </c>
      <c r="F83" s="20" t="s">
        <v>0</v>
      </c>
      <c r="G83" s="20" t="s">
        <v>0</v>
      </c>
      <c r="H83" s="20" t="s">
        <v>0</v>
      </c>
      <c r="I83" s="22" t="s">
        <v>0</v>
      </c>
      <c r="J83" s="20" t="s">
        <v>0</v>
      </c>
      <c r="K83" s="20" t="s">
        <v>0</v>
      </c>
      <c r="L83" s="20" t="s">
        <v>0</v>
      </c>
      <c r="M83" s="23" t="s">
        <v>0</v>
      </c>
      <c r="N83" s="22" t="s">
        <v>0</v>
      </c>
      <c r="O83" s="22">
        <v>1.2138</v>
      </c>
    </row>
    <row r="84" spans="1:15" x14ac:dyDescent="0.25">
      <c r="A84" s="26" t="s">
        <v>39</v>
      </c>
      <c r="B84" s="20" t="s">
        <v>168</v>
      </c>
      <c r="C84" s="21">
        <v>1.375</v>
      </c>
      <c r="D84" s="20">
        <v>11.32</v>
      </c>
      <c r="E84" s="20">
        <v>12.45</v>
      </c>
      <c r="F84" s="20" t="s">
        <v>0</v>
      </c>
      <c r="G84" s="20" t="s">
        <v>0</v>
      </c>
      <c r="H84" s="20" t="s">
        <v>0</v>
      </c>
      <c r="I84" s="22" t="s">
        <v>0</v>
      </c>
      <c r="J84" s="20" t="s">
        <v>0</v>
      </c>
      <c r="K84" s="20" t="s">
        <v>0</v>
      </c>
      <c r="L84" s="20" t="s">
        <v>0</v>
      </c>
      <c r="M84" s="23" t="s">
        <v>0</v>
      </c>
      <c r="N84" s="22" t="s">
        <v>0</v>
      </c>
      <c r="O84" s="22">
        <v>1.2195</v>
      </c>
    </row>
    <row r="85" spans="1:15" x14ac:dyDescent="0.25">
      <c r="A85" s="26" t="s">
        <v>34</v>
      </c>
      <c r="B85" s="20" t="s">
        <v>169</v>
      </c>
      <c r="C85" s="21">
        <v>1.25</v>
      </c>
      <c r="D85" s="20">
        <v>11.6</v>
      </c>
      <c r="E85" s="20">
        <v>12.66</v>
      </c>
      <c r="F85" s="20" t="s">
        <v>0</v>
      </c>
      <c r="G85" s="20" t="s">
        <v>0</v>
      </c>
      <c r="H85" s="20" t="s">
        <v>0</v>
      </c>
      <c r="I85" s="22" t="s">
        <v>0</v>
      </c>
      <c r="J85" s="20" t="s">
        <v>0</v>
      </c>
      <c r="K85" s="20" t="s">
        <v>0</v>
      </c>
      <c r="L85" s="20" t="s">
        <v>0</v>
      </c>
      <c r="M85" s="23" t="s">
        <v>0</v>
      </c>
      <c r="N85" s="22" t="s">
        <v>0</v>
      </c>
      <c r="O85" s="22">
        <v>1.2237</v>
      </c>
    </row>
    <row r="86" spans="1:15" x14ac:dyDescent="0.25">
      <c r="A86" s="26" t="s">
        <v>45</v>
      </c>
      <c r="B86" s="20" t="s">
        <v>171</v>
      </c>
      <c r="C86" s="21">
        <v>1.125</v>
      </c>
      <c r="D86" s="20">
        <v>11.95</v>
      </c>
      <c r="E86" s="20">
        <v>12.94</v>
      </c>
      <c r="F86" s="20" t="s">
        <v>0</v>
      </c>
      <c r="G86" s="20" t="s">
        <v>0</v>
      </c>
      <c r="H86" s="20" t="s">
        <v>0</v>
      </c>
      <c r="I86" s="22" t="s">
        <v>0</v>
      </c>
      <c r="J86" s="20" t="s">
        <v>0</v>
      </c>
      <c r="K86" s="20" t="s">
        <v>0</v>
      </c>
      <c r="L86" s="20" t="s">
        <v>0</v>
      </c>
      <c r="M86" s="23" t="s">
        <v>0</v>
      </c>
      <c r="N86" s="22" t="s">
        <v>0</v>
      </c>
      <c r="O86" s="22">
        <v>1.2294</v>
      </c>
    </row>
    <row r="87" spans="1:15" x14ac:dyDescent="0.25">
      <c r="A87" s="26" t="s">
        <v>36</v>
      </c>
      <c r="B87" s="20" t="s">
        <v>170</v>
      </c>
      <c r="C87" s="21">
        <v>1.75</v>
      </c>
      <c r="D87" s="20">
        <v>11.97</v>
      </c>
      <c r="E87" s="20">
        <v>13.53</v>
      </c>
      <c r="F87" s="20" t="s">
        <v>0</v>
      </c>
      <c r="G87" s="20" t="s">
        <v>0</v>
      </c>
      <c r="H87" s="20" t="s">
        <v>0</v>
      </c>
      <c r="I87" s="22" t="s">
        <v>0</v>
      </c>
      <c r="J87" s="20" t="s">
        <v>0</v>
      </c>
      <c r="K87" s="20" t="s">
        <v>0</v>
      </c>
      <c r="L87" s="20" t="s">
        <v>0</v>
      </c>
      <c r="M87" s="23" t="s">
        <v>0</v>
      </c>
      <c r="N87" s="22" t="s">
        <v>0</v>
      </c>
      <c r="O87" s="22">
        <v>1.2372000000000001</v>
      </c>
    </row>
    <row r="88" spans="1:15" x14ac:dyDescent="0.25">
      <c r="A88" s="26" t="s">
        <v>66</v>
      </c>
      <c r="B88" s="20" t="s">
        <v>172</v>
      </c>
      <c r="C88" s="21">
        <v>1.5</v>
      </c>
      <c r="D88" s="20">
        <v>12.44</v>
      </c>
      <c r="E88" s="20">
        <v>14.02</v>
      </c>
      <c r="F88" s="20" t="s">
        <v>0</v>
      </c>
      <c r="G88" s="20" t="s">
        <v>0</v>
      </c>
      <c r="H88" s="20" t="s">
        <v>0</v>
      </c>
      <c r="I88" s="22" t="s">
        <v>0</v>
      </c>
      <c r="J88" s="20" t="s">
        <v>0</v>
      </c>
      <c r="K88" s="20" t="s">
        <v>0</v>
      </c>
      <c r="L88" s="20" t="s">
        <v>0</v>
      </c>
      <c r="M88" s="23" t="s">
        <v>0</v>
      </c>
      <c r="N88" s="22" t="s">
        <v>0</v>
      </c>
      <c r="O88" s="22">
        <v>1.2477</v>
      </c>
    </row>
    <row r="89" spans="1:15" x14ac:dyDescent="0.25">
      <c r="A89" s="26" t="s">
        <v>67</v>
      </c>
      <c r="B89" s="20" t="s">
        <v>173</v>
      </c>
      <c r="C89" s="21">
        <v>1.375</v>
      </c>
      <c r="D89" s="20">
        <v>13.09</v>
      </c>
      <c r="E89" s="20">
        <v>14.59</v>
      </c>
      <c r="F89" s="20" t="s">
        <v>0</v>
      </c>
      <c r="G89" s="20" t="s">
        <v>0</v>
      </c>
      <c r="H89" s="20" t="s">
        <v>0</v>
      </c>
      <c r="I89" s="22" t="s">
        <v>0</v>
      </c>
      <c r="J89" s="20" t="s">
        <v>0</v>
      </c>
      <c r="K89" s="20" t="s">
        <v>0</v>
      </c>
      <c r="L89" s="20" t="s">
        <v>0</v>
      </c>
      <c r="M89" s="23" t="s">
        <v>0</v>
      </c>
      <c r="N89" s="22" t="s">
        <v>0</v>
      </c>
      <c r="O89" s="22">
        <v>1.2594000000000001</v>
      </c>
    </row>
    <row r="90" spans="1:15" x14ac:dyDescent="0.25">
      <c r="A90" s="26" t="s">
        <v>68</v>
      </c>
      <c r="B90" s="20" t="s">
        <v>175</v>
      </c>
      <c r="C90" s="21">
        <v>1.125</v>
      </c>
      <c r="D90" s="20">
        <v>13.65</v>
      </c>
      <c r="E90" s="20">
        <v>15.11</v>
      </c>
      <c r="F90" s="20" t="s">
        <v>0</v>
      </c>
      <c r="G90" s="20" t="s">
        <v>0</v>
      </c>
      <c r="H90" s="20" t="s">
        <v>0</v>
      </c>
      <c r="I90" s="22" t="s">
        <v>0</v>
      </c>
      <c r="J90" s="20" t="s">
        <v>0</v>
      </c>
      <c r="K90" s="20" t="s">
        <v>0</v>
      </c>
      <c r="L90" s="20" t="s">
        <v>0</v>
      </c>
      <c r="M90" s="23" t="s">
        <v>0</v>
      </c>
      <c r="N90" s="22" t="s">
        <v>0</v>
      </c>
      <c r="O90" s="22">
        <v>1.2716000000000001</v>
      </c>
    </row>
    <row r="91" spans="1:15" x14ac:dyDescent="0.25">
      <c r="A91" s="26" t="s">
        <v>22</v>
      </c>
      <c r="B91" s="20" t="s">
        <v>174</v>
      </c>
      <c r="C91" s="21">
        <v>2.25</v>
      </c>
      <c r="D91" s="20">
        <v>13.81</v>
      </c>
      <c r="E91" s="20">
        <v>16.47</v>
      </c>
      <c r="F91" s="20" t="s">
        <v>0</v>
      </c>
      <c r="G91" s="20" t="s">
        <v>0</v>
      </c>
      <c r="H91" s="20" t="s">
        <v>0</v>
      </c>
      <c r="I91" s="22" t="s">
        <v>0</v>
      </c>
      <c r="J91" s="20" t="s">
        <v>0</v>
      </c>
      <c r="K91" s="20" t="s">
        <v>0</v>
      </c>
      <c r="L91" s="20" t="s">
        <v>0</v>
      </c>
      <c r="M91" s="23" t="s">
        <v>0</v>
      </c>
      <c r="N91" s="22" t="s">
        <v>0</v>
      </c>
      <c r="O91" s="22">
        <v>1.2907999999999999</v>
      </c>
    </row>
    <row r="92" spans="1:15" x14ac:dyDescent="0.25">
      <c r="A92" s="26" t="s">
        <v>291</v>
      </c>
      <c r="B92" s="20" t="s">
        <v>176</v>
      </c>
      <c r="C92" s="21">
        <v>1.125</v>
      </c>
      <c r="D92" s="20">
        <v>14</v>
      </c>
      <c r="E92" s="20">
        <v>15.47</v>
      </c>
      <c r="F92" s="20" t="s">
        <v>0</v>
      </c>
      <c r="G92" s="20" t="s">
        <v>0</v>
      </c>
      <c r="H92" s="20" t="s">
        <v>0</v>
      </c>
      <c r="I92" s="22" t="s">
        <v>0</v>
      </c>
      <c r="J92" s="20" t="s">
        <v>0</v>
      </c>
      <c r="K92" s="20" t="s">
        <v>0</v>
      </c>
      <c r="L92" s="20" t="s">
        <v>0</v>
      </c>
      <c r="M92" s="23" t="s">
        <v>0</v>
      </c>
      <c r="N92" s="22" t="s">
        <v>0</v>
      </c>
      <c r="O92" s="22">
        <v>1.2786999999999999</v>
      </c>
    </row>
    <row r="93" spans="1:15" x14ac:dyDescent="0.25">
      <c r="A93" s="26" t="s">
        <v>292</v>
      </c>
      <c r="B93" s="20" t="s">
        <v>177</v>
      </c>
      <c r="C93" s="21">
        <v>1.125</v>
      </c>
      <c r="D93" s="20">
        <v>14.1</v>
      </c>
      <c r="E93" s="20">
        <v>15.56</v>
      </c>
      <c r="F93" s="20" t="s">
        <v>0</v>
      </c>
      <c r="G93" s="20" t="s">
        <v>0</v>
      </c>
      <c r="H93" s="20" t="s">
        <v>0</v>
      </c>
      <c r="I93" s="22" t="s">
        <v>0</v>
      </c>
      <c r="J93" s="20" t="s">
        <v>0</v>
      </c>
      <c r="K93" s="20" t="s">
        <v>0</v>
      </c>
      <c r="L93" s="20" t="s">
        <v>0</v>
      </c>
      <c r="M93" s="23" t="s">
        <v>0</v>
      </c>
      <c r="N93" s="22" t="s">
        <v>0</v>
      </c>
      <c r="O93" s="22">
        <v>1.2806</v>
      </c>
    </row>
    <row r="94" spans="1:15" x14ac:dyDescent="0.25">
      <c r="A94" s="26" t="s">
        <v>46</v>
      </c>
      <c r="B94" s="20" t="s">
        <v>178</v>
      </c>
      <c r="C94" s="21">
        <v>2.125</v>
      </c>
      <c r="D94" s="20">
        <v>14.54</v>
      </c>
      <c r="E94" s="20">
        <v>17.38</v>
      </c>
      <c r="F94" s="20" t="s">
        <v>0</v>
      </c>
      <c r="G94" s="20" t="s">
        <v>0</v>
      </c>
      <c r="H94" s="20" t="s">
        <v>0</v>
      </c>
      <c r="I94" s="22" t="s">
        <v>0</v>
      </c>
      <c r="J94" s="20" t="s">
        <v>0</v>
      </c>
      <c r="K94" s="20" t="s">
        <v>0</v>
      </c>
      <c r="L94" s="20" t="s">
        <v>0</v>
      </c>
      <c r="M94" s="23" t="s">
        <v>0</v>
      </c>
      <c r="N94" s="22" t="s">
        <v>0</v>
      </c>
      <c r="O94" s="22">
        <v>1.3097000000000001</v>
      </c>
    </row>
    <row r="95" spans="1:15" x14ac:dyDescent="0.25">
      <c r="A95" s="26" t="s">
        <v>23</v>
      </c>
      <c r="B95" s="20" t="s">
        <v>179</v>
      </c>
      <c r="C95" s="21">
        <v>2</v>
      </c>
      <c r="D95" s="20">
        <v>14.8</v>
      </c>
      <c r="E95" s="20">
        <v>17.54</v>
      </c>
      <c r="F95" s="20" t="s">
        <v>0</v>
      </c>
      <c r="G95" s="20" t="s">
        <v>0</v>
      </c>
      <c r="H95" s="20" t="s">
        <v>0</v>
      </c>
      <c r="I95" s="22" t="s">
        <v>0</v>
      </c>
      <c r="J95" s="20" t="s">
        <v>0</v>
      </c>
      <c r="K95" s="20" t="s">
        <v>0</v>
      </c>
      <c r="L95" s="20" t="s">
        <v>0</v>
      </c>
      <c r="M95" s="23" t="s">
        <v>0</v>
      </c>
      <c r="N95" s="22" t="s">
        <v>0</v>
      </c>
      <c r="O95" s="22">
        <v>1.3138000000000001</v>
      </c>
    </row>
    <row r="96" spans="1:15" x14ac:dyDescent="0.25">
      <c r="A96" s="26" t="s">
        <v>40</v>
      </c>
      <c r="B96" s="20" t="s">
        <v>180</v>
      </c>
      <c r="C96" s="21">
        <v>0.75</v>
      </c>
      <c r="D96" s="20">
        <v>14.85</v>
      </c>
      <c r="E96" s="20">
        <v>16.07</v>
      </c>
      <c r="F96" s="20" t="s">
        <v>0</v>
      </c>
      <c r="G96" s="20" t="s">
        <v>0</v>
      </c>
      <c r="H96" s="20" t="s">
        <v>0</v>
      </c>
      <c r="I96" s="22" t="s">
        <v>0</v>
      </c>
      <c r="J96" s="20" t="s">
        <v>0</v>
      </c>
      <c r="K96" s="20" t="s">
        <v>0</v>
      </c>
      <c r="L96" s="20" t="s">
        <v>0</v>
      </c>
      <c r="M96" s="23" t="s">
        <v>0</v>
      </c>
      <c r="N96" s="22" t="s">
        <v>0</v>
      </c>
      <c r="O96" s="22">
        <v>1.2942</v>
      </c>
    </row>
    <row r="97" spans="1:15" x14ac:dyDescent="0.25">
      <c r="A97" s="26" t="s">
        <v>47</v>
      </c>
      <c r="B97" s="20" t="s">
        <v>181</v>
      </c>
      <c r="C97" s="21">
        <v>1.875</v>
      </c>
      <c r="D97" s="20">
        <v>15.14</v>
      </c>
      <c r="E97" s="20">
        <v>18.03</v>
      </c>
      <c r="F97" s="20">
        <v>1.3360000000000001</v>
      </c>
      <c r="G97" s="20">
        <v>1.335</v>
      </c>
      <c r="H97" s="20">
        <v>1.3354999999999999</v>
      </c>
      <c r="I97" s="22">
        <v>2</v>
      </c>
      <c r="J97" s="20" t="s">
        <v>0</v>
      </c>
      <c r="K97" s="20" t="s">
        <v>0</v>
      </c>
      <c r="L97" s="20" t="s">
        <v>0</v>
      </c>
      <c r="M97" s="23" t="s">
        <v>0</v>
      </c>
      <c r="N97" s="22" t="s">
        <v>0</v>
      </c>
      <c r="O97" s="22">
        <v>1.3248</v>
      </c>
    </row>
    <row r="98" spans="1:15" x14ac:dyDescent="0.25">
      <c r="A98" s="26" t="s">
        <v>293</v>
      </c>
      <c r="B98" s="20" t="s">
        <v>182</v>
      </c>
      <c r="C98" s="21">
        <v>0.75</v>
      </c>
      <c r="D98" s="20">
        <v>15.21</v>
      </c>
      <c r="E98" s="20">
        <v>16.440000000000001</v>
      </c>
      <c r="F98" s="20" t="s">
        <v>0</v>
      </c>
      <c r="G98" s="20" t="s">
        <v>0</v>
      </c>
      <c r="H98" s="20" t="s">
        <v>0</v>
      </c>
      <c r="I98" s="22" t="s">
        <v>0</v>
      </c>
      <c r="J98" s="20" t="s">
        <v>0</v>
      </c>
      <c r="K98" s="20" t="s">
        <v>0</v>
      </c>
      <c r="L98" s="20" t="s">
        <v>0</v>
      </c>
      <c r="M98" s="23" t="s">
        <v>0</v>
      </c>
      <c r="N98" s="22" t="s">
        <v>0</v>
      </c>
      <c r="O98" s="22">
        <v>1.3018000000000001</v>
      </c>
    </row>
    <row r="99" spans="1:15" x14ac:dyDescent="0.25">
      <c r="A99" s="26" t="s">
        <v>294</v>
      </c>
      <c r="B99" s="20" t="s">
        <v>184</v>
      </c>
      <c r="C99" s="21">
        <v>0.5</v>
      </c>
      <c r="D99" s="20">
        <v>15.65</v>
      </c>
      <c r="E99" s="20">
        <v>16.579999999999998</v>
      </c>
      <c r="F99" s="20">
        <v>1.3075000000000001</v>
      </c>
      <c r="G99" s="20">
        <v>1.3075000000000001</v>
      </c>
      <c r="H99" s="20">
        <v>1.3075000000000001</v>
      </c>
      <c r="I99" s="22">
        <v>18</v>
      </c>
      <c r="J99" s="20">
        <v>1.3085</v>
      </c>
      <c r="K99" s="20">
        <v>1.3085</v>
      </c>
      <c r="L99" s="20">
        <v>1.3085</v>
      </c>
      <c r="M99" s="23">
        <v>1</v>
      </c>
      <c r="N99" s="22">
        <v>18</v>
      </c>
      <c r="O99" s="22">
        <v>1.3070999999999999</v>
      </c>
    </row>
    <row r="100" spans="1:15" x14ac:dyDescent="0.25">
      <c r="A100" s="26" t="s">
        <v>24</v>
      </c>
      <c r="B100" s="20" t="s">
        <v>183</v>
      </c>
      <c r="C100" s="21">
        <v>1.75</v>
      </c>
      <c r="D100" s="20">
        <v>15.73</v>
      </c>
      <c r="E100" s="20">
        <v>18.510000000000002</v>
      </c>
      <c r="F100" s="20" t="s">
        <v>0</v>
      </c>
      <c r="G100" s="20" t="s">
        <v>0</v>
      </c>
      <c r="H100" s="20" t="s">
        <v>0</v>
      </c>
      <c r="I100" s="22" t="s">
        <v>0</v>
      </c>
      <c r="J100" s="20" t="s">
        <v>0</v>
      </c>
      <c r="K100" s="20" t="s">
        <v>0</v>
      </c>
      <c r="L100" s="20" t="s">
        <v>0</v>
      </c>
      <c r="M100" s="23" t="s">
        <v>0</v>
      </c>
      <c r="N100" s="22" t="s">
        <v>0</v>
      </c>
      <c r="O100" s="22">
        <v>1.3354999999999999</v>
      </c>
    </row>
    <row r="101" spans="1:15" x14ac:dyDescent="0.25">
      <c r="A101" s="26" t="s">
        <v>69</v>
      </c>
      <c r="B101" s="20" t="s">
        <v>185</v>
      </c>
      <c r="C101" s="21">
        <v>2.5</v>
      </c>
      <c r="D101" s="20">
        <v>16.14</v>
      </c>
      <c r="E101" s="20">
        <v>19.98</v>
      </c>
      <c r="F101" s="20">
        <v>1.3634999999999999</v>
      </c>
      <c r="G101" s="20">
        <v>1.3634999999999999</v>
      </c>
      <c r="H101" s="20">
        <v>1.3634999999999999</v>
      </c>
      <c r="I101" s="22">
        <v>15.5</v>
      </c>
      <c r="J101" s="20">
        <v>1.3625</v>
      </c>
      <c r="K101" s="20">
        <v>1.3625</v>
      </c>
      <c r="L101" s="20">
        <v>1.3625</v>
      </c>
      <c r="M101" s="23">
        <v>1</v>
      </c>
      <c r="N101" s="22">
        <v>14.5</v>
      </c>
      <c r="O101" s="22">
        <v>1.3567</v>
      </c>
    </row>
    <row r="102" spans="1:15" x14ac:dyDescent="0.25">
      <c r="A102" s="26" t="s">
        <v>311</v>
      </c>
      <c r="B102" s="20" t="s">
        <v>306</v>
      </c>
      <c r="C102" s="21">
        <v>1.875</v>
      </c>
      <c r="D102" s="20">
        <v>15.95</v>
      </c>
      <c r="E102" s="20">
        <v>19.14</v>
      </c>
      <c r="F102" s="20" t="s">
        <v>0</v>
      </c>
      <c r="G102" s="20" t="s">
        <v>0</v>
      </c>
      <c r="H102" s="20" t="s">
        <v>0</v>
      </c>
      <c r="I102" s="22" t="s">
        <v>0</v>
      </c>
      <c r="J102" s="20" t="s">
        <v>0</v>
      </c>
      <c r="K102" s="20" t="s">
        <v>0</v>
      </c>
      <c r="L102" s="20" t="s">
        <v>0</v>
      </c>
      <c r="M102" s="23" t="s">
        <v>0</v>
      </c>
      <c r="N102" s="22" t="s">
        <v>0</v>
      </c>
      <c r="O102" s="22">
        <v>1.3467</v>
      </c>
    </row>
    <row r="103" spans="1:15" x14ac:dyDescent="0.25">
      <c r="A103" s="26" t="s">
        <v>295</v>
      </c>
      <c r="B103" s="20" t="s">
        <v>187</v>
      </c>
      <c r="C103" s="21">
        <v>0.5</v>
      </c>
      <c r="D103" s="20">
        <v>16.079999999999998</v>
      </c>
      <c r="E103" s="20">
        <v>17.11</v>
      </c>
      <c r="F103" s="20" t="s">
        <v>0</v>
      </c>
      <c r="G103" s="20" t="s">
        <v>0</v>
      </c>
      <c r="H103" s="20" t="s">
        <v>0</v>
      </c>
      <c r="I103" s="22" t="s">
        <v>0</v>
      </c>
      <c r="J103" s="20" t="s">
        <v>0</v>
      </c>
      <c r="K103" s="20" t="s">
        <v>0</v>
      </c>
      <c r="L103" s="20" t="s">
        <v>0</v>
      </c>
      <c r="M103" s="23" t="s">
        <v>0</v>
      </c>
      <c r="N103" s="22" t="s">
        <v>0</v>
      </c>
      <c r="O103" s="22">
        <v>1.3184</v>
      </c>
    </row>
    <row r="104" spans="1:15" x14ac:dyDescent="0.25">
      <c r="A104" s="26" t="s">
        <v>70</v>
      </c>
      <c r="B104" s="20" t="s">
        <v>186</v>
      </c>
      <c r="C104" s="21">
        <v>1.625</v>
      </c>
      <c r="D104" s="20">
        <v>16.13</v>
      </c>
      <c r="E104" s="20">
        <v>19.04</v>
      </c>
      <c r="F104" s="20" t="s">
        <v>0</v>
      </c>
      <c r="G104" s="20" t="s">
        <v>0</v>
      </c>
      <c r="H104" s="20" t="s">
        <v>0</v>
      </c>
      <c r="I104" s="22" t="s">
        <v>0</v>
      </c>
      <c r="J104" s="20" t="s">
        <v>0</v>
      </c>
      <c r="K104" s="20" t="s">
        <v>0</v>
      </c>
      <c r="L104" s="20" t="s">
        <v>0</v>
      </c>
      <c r="M104" s="23" t="s">
        <v>0</v>
      </c>
      <c r="N104" s="22" t="s">
        <v>0</v>
      </c>
      <c r="O104" s="22">
        <v>1.3472999999999999</v>
      </c>
    </row>
    <row r="105" spans="1:15" x14ac:dyDescent="0.25">
      <c r="A105" s="26" t="s">
        <v>297</v>
      </c>
      <c r="B105" s="20" t="s">
        <v>193</v>
      </c>
      <c r="C105" s="21">
        <v>0.5</v>
      </c>
      <c r="D105" s="20">
        <v>16.440000000000001</v>
      </c>
      <c r="E105" s="20">
        <v>17.47</v>
      </c>
      <c r="F105" s="20" t="s">
        <v>0</v>
      </c>
      <c r="G105" s="20" t="s">
        <v>0</v>
      </c>
      <c r="H105" s="20" t="s">
        <v>0</v>
      </c>
      <c r="I105" s="22" t="s">
        <v>0</v>
      </c>
      <c r="J105" s="20" t="s">
        <v>0</v>
      </c>
      <c r="K105" s="20" t="s">
        <v>0</v>
      </c>
      <c r="L105" s="20" t="s">
        <v>0</v>
      </c>
      <c r="M105" s="23" t="s">
        <v>0</v>
      </c>
      <c r="N105" s="22" t="s">
        <v>0</v>
      </c>
      <c r="O105" s="22">
        <v>1.3263</v>
      </c>
    </row>
    <row r="106" spans="1:15" x14ac:dyDescent="0.25">
      <c r="A106" s="26" t="s">
        <v>41</v>
      </c>
      <c r="B106" s="20" t="s">
        <v>188</v>
      </c>
      <c r="C106" s="21">
        <v>1.75</v>
      </c>
      <c r="D106" s="20">
        <v>16.48</v>
      </c>
      <c r="E106" s="20">
        <v>19.55</v>
      </c>
      <c r="F106" s="20" t="s">
        <v>0</v>
      </c>
      <c r="G106" s="20" t="s">
        <v>0</v>
      </c>
      <c r="H106" s="20" t="s">
        <v>0</v>
      </c>
      <c r="I106" s="22" t="s">
        <v>0</v>
      </c>
      <c r="J106" s="20" t="s">
        <v>0</v>
      </c>
      <c r="K106" s="20" t="s">
        <v>0</v>
      </c>
      <c r="L106" s="20" t="s">
        <v>0</v>
      </c>
      <c r="M106" s="23" t="s">
        <v>0</v>
      </c>
      <c r="N106" s="22" t="s">
        <v>0</v>
      </c>
      <c r="O106" s="22">
        <v>1.3560000000000001</v>
      </c>
    </row>
    <row r="107" spans="1:15" x14ac:dyDescent="0.25">
      <c r="A107" s="26" t="s">
        <v>260</v>
      </c>
      <c r="B107" s="20" t="s">
        <v>192</v>
      </c>
      <c r="C107" s="21">
        <v>0.375</v>
      </c>
      <c r="D107" s="20">
        <v>16.54</v>
      </c>
      <c r="E107" s="20">
        <v>17.39</v>
      </c>
      <c r="F107" s="20" t="s">
        <v>0</v>
      </c>
      <c r="G107" s="20" t="s">
        <v>0</v>
      </c>
      <c r="H107" s="20" t="s">
        <v>0</v>
      </c>
      <c r="I107" s="22" t="s">
        <v>0</v>
      </c>
      <c r="J107" s="20" t="s">
        <v>0</v>
      </c>
      <c r="K107" s="20" t="s">
        <v>0</v>
      </c>
      <c r="L107" s="20" t="s">
        <v>0</v>
      </c>
      <c r="M107" s="23" t="s">
        <v>0</v>
      </c>
      <c r="N107" s="22" t="s">
        <v>0</v>
      </c>
      <c r="O107" s="22">
        <v>1.3258000000000001</v>
      </c>
    </row>
    <row r="108" spans="1:15" x14ac:dyDescent="0.25">
      <c r="A108" s="26" t="s">
        <v>256</v>
      </c>
      <c r="B108" s="20" t="s">
        <v>250</v>
      </c>
      <c r="C108" s="21">
        <v>1</v>
      </c>
      <c r="D108" s="20">
        <v>16.55</v>
      </c>
      <c r="E108" s="20">
        <v>18.440000000000001</v>
      </c>
      <c r="F108" s="20" t="s">
        <v>0</v>
      </c>
      <c r="G108" s="20" t="s">
        <v>0</v>
      </c>
      <c r="H108" s="20" t="s">
        <v>0</v>
      </c>
      <c r="I108" s="22" t="s">
        <v>0</v>
      </c>
      <c r="J108" s="20" t="s">
        <v>0</v>
      </c>
      <c r="K108" s="20" t="s">
        <v>0</v>
      </c>
      <c r="L108" s="20" t="s">
        <v>0</v>
      </c>
      <c r="M108" s="23" t="s">
        <v>0</v>
      </c>
      <c r="N108" s="22" t="s">
        <v>0</v>
      </c>
      <c r="O108" s="22">
        <v>1.3415999999999999</v>
      </c>
    </row>
    <row r="109" spans="1:15" x14ac:dyDescent="0.25">
      <c r="A109" s="26" t="s">
        <v>296</v>
      </c>
      <c r="B109" s="20" t="s">
        <v>213</v>
      </c>
      <c r="C109" s="21">
        <v>0.625</v>
      </c>
      <c r="D109" s="20">
        <v>16.559999999999999</v>
      </c>
      <c r="E109" s="20">
        <v>17.78</v>
      </c>
      <c r="F109" s="20" t="s">
        <v>0</v>
      </c>
      <c r="G109" s="20" t="s">
        <v>0</v>
      </c>
      <c r="H109" s="20" t="s">
        <v>0</v>
      </c>
      <c r="I109" s="22" t="s">
        <v>0</v>
      </c>
      <c r="J109" s="20" t="s">
        <v>0</v>
      </c>
      <c r="K109" s="20" t="s">
        <v>0</v>
      </c>
      <c r="L109" s="20" t="s">
        <v>0</v>
      </c>
      <c r="M109" s="23" t="s">
        <v>0</v>
      </c>
      <c r="N109" s="22" t="s">
        <v>0</v>
      </c>
      <c r="O109" s="22">
        <v>1.3315999999999999</v>
      </c>
    </row>
    <row r="110" spans="1:15" x14ac:dyDescent="0.25">
      <c r="A110" s="26" t="s">
        <v>72</v>
      </c>
      <c r="B110" s="20" t="s">
        <v>190</v>
      </c>
      <c r="C110" s="21">
        <v>2.25</v>
      </c>
      <c r="D110" s="20">
        <v>17.05</v>
      </c>
      <c r="E110" s="20">
        <v>20.98</v>
      </c>
      <c r="F110" s="20" t="s">
        <v>0</v>
      </c>
      <c r="G110" s="20" t="s">
        <v>0</v>
      </c>
      <c r="H110" s="20" t="s">
        <v>0</v>
      </c>
      <c r="I110" s="22" t="s">
        <v>0</v>
      </c>
      <c r="J110" s="20" t="s">
        <v>0</v>
      </c>
      <c r="K110" s="20" t="s">
        <v>0</v>
      </c>
      <c r="L110" s="20" t="s">
        <v>0</v>
      </c>
      <c r="M110" s="23" t="s">
        <v>0</v>
      </c>
      <c r="N110" s="22" t="s">
        <v>0</v>
      </c>
      <c r="O110" s="22">
        <v>1.3783000000000001</v>
      </c>
    </row>
    <row r="111" spans="1:15" x14ac:dyDescent="0.25">
      <c r="A111" s="26" t="s">
        <v>48</v>
      </c>
      <c r="B111" s="20" t="s">
        <v>189</v>
      </c>
      <c r="C111" s="21">
        <v>2.125</v>
      </c>
      <c r="D111" s="20">
        <v>16.760000000000002</v>
      </c>
      <c r="E111" s="20">
        <v>20.55</v>
      </c>
      <c r="F111" s="20" t="s">
        <v>0</v>
      </c>
      <c r="G111" s="20" t="s">
        <v>0</v>
      </c>
      <c r="H111" s="20" t="s">
        <v>0</v>
      </c>
      <c r="I111" s="22" t="s">
        <v>0</v>
      </c>
      <c r="J111" s="20" t="s">
        <v>0</v>
      </c>
      <c r="K111" s="20" t="s">
        <v>0</v>
      </c>
      <c r="L111" s="20" t="s">
        <v>0</v>
      </c>
      <c r="M111" s="23" t="s">
        <v>0</v>
      </c>
      <c r="N111" s="22" t="s">
        <v>0</v>
      </c>
      <c r="O111" s="22">
        <v>1.3713</v>
      </c>
    </row>
    <row r="112" spans="1:15" x14ac:dyDescent="0.25">
      <c r="A112" s="26" t="s">
        <v>259</v>
      </c>
      <c r="B112" s="20" t="s">
        <v>251</v>
      </c>
      <c r="C112" s="21">
        <v>0.875</v>
      </c>
      <c r="D112" s="20">
        <v>16.850000000000001</v>
      </c>
      <c r="E112" s="20">
        <v>18.559999999999999</v>
      </c>
      <c r="F112" s="20" t="s">
        <v>0</v>
      </c>
      <c r="G112" s="20" t="s">
        <v>0</v>
      </c>
      <c r="H112" s="20" t="s">
        <v>0</v>
      </c>
      <c r="I112" s="22" t="s">
        <v>0</v>
      </c>
      <c r="J112" s="20" t="s">
        <v>0</v>
      </c>
      <c r="K112" s="20" t="s">
        <v>0</v>
      </c>
      <c r="L112" s="20" t="s">
        <v>0</v>
      </c>
      <c r="M112" s="23" t="s">
        <v>0</v>
      </c>
      <c r="N112" s="22" t="s">
        <v>0</v>
      </c>
      <c r="O112" s="22">
        <v>1.3456999999999999</v>
      </c>
    </row>
    <row r="113" spans="1:15" x14ac:dyDescent="0.25">
      <c r="A113" s="26" t="s">
        <v>298</v>
      </c>
      <c r="B113" s="20" t="s">
        <v>233</v>
      </c>
      <c r="C113" s="21">
        <v>0.625</v>
      </c>
      <c r="D113" s="20">
        <v>16.920000000000002</v>
      </c>
      <c r="E113" s="20">
        <v>18.260000000000002</v>
      </c>
      <c r="F113" s="20" t="s">
        <v>0</v>
      </c>
      <c r="G113" s="20" t="s">
        <v>0</v>
      </c>
      <c r="H113" s="20" t="s">
        <v>0</v>
      </c>
      <c r="I113" s="22" t="s">
        <v>0</v>
      </c>
      <c r="J113" s="20" t="s">
        <v>0</v>
      </c>
      <c r="K113" s="20" t="s">
        <v>0</v>
      </c>
      <c r="L113" s="20" t="s">
        <v>0</v>
      </c>
      <c r="M113" s="23" t="s">
        <v>0</v>
      </c>
      <c r="N113" s="22" t="s">
        <v>0</v>
      </c>
      <c r="O113" s="22">
        <v>1.3419000000000001</v>
      </c>
    </row>
    <row r="114" spans="1:15" x14ac:dyDescent="0.25">
      <c r="A114" s="26" t="s">
        <v>331</v>
      </c>
      <c r="B114" s="20" t="s">
        <v>332</v>
      </c>
      <c r="C114" s="21">
        <v>1.375</v>
      </c>
      <c r="D114" s="20">
        <v>16.95</v>
      </c>
      <c r="E114" s="20">
        <v>19.559999999999999</v>
      </c>
      <c r="F114" s="20" t="s">
        <v>0</v>
      </c>
      <c r="G114" s="20" t="s">
        <v>0</v>
      </c>
      <c r="H114" s="20" t="s">
        <v>0</v>
      </c>
      <c r="I114" s="22" t="s">
        <v>0</v>
      </c>
      <c r="J114" s="20" t="s">
        <v>0</v>
      </c>
      <c r="K114" s="20" t="s">
        <v>0</v>
      </c>
      <c r="L114" s="20" t="s">
        <v>0</v>
      </c>
      <c r="M114" s="23" t="s">
        <v>0</v>
      </c>
      <c r="N114" s="22" t="s">
        <v>0</v>
      </c>
      <c r="O114" s="22">
        <v>1.3605</v>
      </c>
    </row>
    <row r="115" spans="1:15" x14ac:dyDescent="0.25">
      <c r="A115" s="26" t="s">
        <v>299</v>
      </c>
      <c r="B115" s="20" t="s">
        <v>224</v>
      </c>
      <c r="C115" s="21">
        <v>0.5</v>
      </c>
      <c r="D115" s="20">
        <v>17</v>
      </c>
      <c r="E115" s="20">
        <v>18.14</v>
      </c>
      <c r="F115" s="20" t="s">
        <v>0</v>
      </c>
      <c r="G115" s="20" t="s">
        <v>0</v>
      </c>
      <c r="H115" s="20" t="s">
        <v>0</v>
      </c>
      <c r="I115" s="22" t="s">
        <v>0</v>
      </c>
      <c r="J115" s="20" t="s">
        <v>0</v>
      </c>
      <c r="K115" s="20" t="s">
        <v>0</v>
      </c>
      <c r="L115" s="20" t="s">
        <v>0</v>
      </c>
      <c r="M115" s="23" t="s">
        <v>0</v>
      </c>
      <c r="N115" s="22" t="s">
        <v>0</v>
      </c>
      <c r="O115" s="22">
        <v>1.3407</v>
      </c>
    </row>
    <row r="116" spans="1:15" x14ac:dyDescent="0.25">
      <c r="A116" s="26" t="s">
        <v>71</v>
      </c>
      <c r="B116" s="20" t="s">
        <v>195</v>
      </c>
      <c r="C116" s="21">
        <v>2.25</v>
      </c>
      <c r="D116" s="20">
        <v>17.03</v>
      </c>
      <c r="E116" s="20">
        <v>21.3</v>
      </c>
      <c r="F116" s="20" t="s">
        <v>0</v>
      </c>
      <c r="G116" s="20" t="s">
        <v>0</v>
      </c>
      <c r="H116" s="20" t="s">
        <v>0</v>
      </c>
      <c r="I116" s="22" t="s">
        <v>0</v>
      </c>
      <c r="J116" s="20" t="s">
        <v>0</v>
      </c>
      <c r="K116" s="20" t="s">
        <v>0</v>
      </c>
      <c r="L116" s="20" t="s">
        <v>0</v>
      </c>
      <c r="M116" s="23" t="s">
        <v>0</v>
      </c>
      <c r="N116" s="22" t="s">
        <v>0</v>
      </c>
      <c r="O116" s="22">
        <v>1.3839999999999999</v>
      </c>
    </row>
    <row r="117" spans="1:15" x14ac:dyDescent="0.25">
      <c r="A117" s="26" t="s">
        <v>55</v>
      </c>
      <c r="B117" s="20" t="s">
        <v>191</v>
      </c>
      <c r="C117" s="21">
        <v>2.375</v>
      </c>
      <c r="D117" s="20">
        <v>17.100000000000001</v>
      </c>
      <c r="E117" s="20">
        <v>21.51</v>
      </c>
      <c r="F117" s="20" t="s">
        <v>0</v>
      </c>
      <c r="G117" s="20" t="s">
        <v>0</v>
      </c>
      <c r="H117" s="20" t="s">
        <v>0</v>
      </c>
      <c r="I117" s="22" t="s">
        <v>0</v>
      </c>
      <c r="J117" s="20" t="s">
        <v>0</v>
      </c>
      <c r="K117" s="20" t="s">
        <v>0</v>
      </c>
      <c r="L117" s="20" t="s">
        <v>0</v>
      </c>
      <c r="M117" s="23" t="s">
        <v>0</v>
      </c>
      <c r="N117" s="22" t="s">
        <v>0</v>
      </c>
      <c r="O117" s="22">
        <v>1.3867</v>
      </c>
    </row>
    <row r="118" spans="1:15" x14ac:dyDescent="0.25">
      <c r="A118" s="26" t="s">
        <v>73</v>
      </c>
      <c r="B118" s="20" t="s">
        <v>194</v>
      </c>
      <c r="C118" s="21">
        <v>2</v>
      </c>
      <c r="D118" s="20">
        <v>17.14</v>
      </c>
      <c r="E118" s="20">
        <v>20.8</v>
      </c>
      <c r="F118" s="20" t="s">
        <v>0</v>
      </c>
      <c r="G118" s="20" t="s">
        <v>0</v>
      </c>
      <c r="H118" s="20" t="s">
        <v>0</v>
      </c>
      <c r="I118" s="22" t="s">
        <v>0</v>
      </c>
      <c r="J118" s="20" t="s">
        <v>0</v>
      </c>
      <c r="K118" s="20" t="s">
        <v>0</v>
      </c>
      <c r="L118" s="20" t="s">
        <v>0</v>
      </c>
      <c r="M118" s="23" t="s">
        <v>0</v>
      </c>
      <c r="N118" s="22" t="s">
        <v>0</v>
      </c>
      <c r="O118" s="22">
        <v>1.3775999999999999</v>
      </c>
    </row>
    <row r="119" spans="1:15" x14ac:dyDescent="0.25">
      <c r="A119" s="26" t="s">
        <v>380</v>
      </c>
      <c r="B119" s="20" t="s">
        <v>381</v>
      </c>
      <c r="C119" s="21">
        <v>1.375</v>
      </c>
      <c r="D119" s="20">
        <v>17.38</v>
      </c>
      <c r="E119" s="20">
        <v>20</v>
      </c>
      <c r="F119" s="20" t="s">
        <v>0</v>
      </c>
      <c r="G119" s="20" t="s">
        <v>0</v>
      </c>
      <c r="H119" s="20" t="s">
        <v>0</v>
      </c>
      <c r="I119" s="22" t="s">
        <v>0</v>
      </c>
      <c r="J119" s="20" t="s">
        <v>0</v>
      </c>
      <c r="K119" s="20" t="s">
        <v>0</v>
      </c>
      <c r="L119" s="20" t="s">
        <v>0</v>
      </c>
      <c r="M119" s="23" t="s">
        <v>0</v>
      </c>
      <c r="N119" s="22" t="s">
        <v>0</v>
      </c>
      <c r="O119" s="22">
        <v>1.3694</v>
      </c>
    </row>
    <row r="120" spans="1:15" x14ac:dyDescent="0.25">
      <c r="A120" s="26" t="s">
        <v>74</v>
      </c>
      <c r="B120" s="20" t="s">
        <v>196</v>
      </c>
      <c r="C120" s="21">
        <v>2.375</v>
      </c>
      <c r="D120" s="20">
        <v>17.350000000000001</v>
      </c>
      <c r="E120" s="20">
        <v>21.76</v>
      </c>
      <c r="F120" s="20" t="s">
        <v>0</v>
      </c>
      <c r="G120" s="20" t="s">
        <v>0</v>
      </c>
      <c r="H120" s="20" t="s">
        <v>0</v>
      </c>
      <c r="I120" s="22" t="s">
        <v>0</v>
      </c>
      <c r="J120" s="20" t="s">
        <v>0</v>
      </c>
      <c r="K120" s="20" t="s">
        <v>0</v>
      </c>
      <c r="L120" s="20" t="s">
        <v>0</v>
      </c>
      <c r="M120" s="23" t="s">
        <v>0</v>
      </c>
      <c r="N120" s="22" t="s">
        <v>0</v>
      </c>
      <c r="O120" s="22">
        <v>1.3912</v>
      </c>
    </row>
    <row r="121" spans="1:15" x14ac:dyDescent="0.25">
      <c r="A121" s="26" t="s">
        <v>75</v>
      </c>
      <c r="B121" s="20" t="s">
        <v>197</v>
      </c>
      <c r="C121" s="21">
        <v>2.25</v>
      </c>
      <c r="D121" s="20">
        <v>17.71</v>
      </c>
      <c r="E121" s="20">
        <v>22</v>
      </c>
      <c r="F121" s="20" t="s">
        <v>0</v>
      </c>
      <c r="G121" s="20" t="s">
        <v>0</v>
      </c>
      <c r="H121" s="20" t="s">
        <v>0</v>
      </c>
      <c r="I121" s="22" t="s">
        <v>0</v>
      </c>
      <c r="J121" s="20" t="s">
        <v>0</v>
      </c>
      <c r="K121" s="20" t="s">
        <v>0</v>
      </c>
      <c r="L121" s="20" t="s">
        <v>0</v>
      </c>
      <c r="M121" s="23" t="s">
        <v>0</v>
      </c>
      <c r="N121" s="22" t="s">
        <v>0</v>
      </c>
      <c r="O121" s="22">
        <v>1.3971</v>
      </c>
    </row>
    <row r="122" spans="1:15" x14ac:dyDescent="0.25">
      <c r="A122" s="26" t="s">
        <v>76</v>
      </c>
      <c r="B122" s="20" t="s">
        <v>198</v>
      </c>
      <c r="C122" s="21">
        <v>2</v>
      </c>
      <c r="D122" s="20">
        <v>18.62</v>
      </c>
      <c r="E122" s="20">
        <v>23.29</v>
      </c>
      <c r="F122" s="20" t="s">
        <v>0</v>
      </c>
      <c r="G122" s="20" t="s">
        <v>0</v>
      </c>
      <c r="H122" s="20" t="s">
        <v>0</v>
      </c>
      <c r="I122" s="22" t="s">
        <v>0</v>
      </c>
      <c r="J122" s="20" t="s">
        <v>0</v>
      </c>
      <c r="K122" s="20" t="s">
        <v>0</v>
      </c>
      <c r="L122" s="20" t="s">
        <v>0</v>
      </c>
      <c r="M122" s="23" t="s">
        <v>0</v>
      </c>
      <c r="N122" s="22" t="s">
        <v>0</v>
      </c>
      <c r="O122" s="22">
        <v>1.4235</v>
      </c>
    </row>
    <row r="123" spans="1:15" x14ac:dyDescent="0.25">
      <c r="A123" s="26" t="s">
        <v>77</v>
      </c>
      <c r="B123" s="20" t="s">
        <v>199</v>
      </c>
      <c r="C123" s="21">
        <v>1.625</v>
      </c>
      <c r="D123" s="20">
        <v>18.96</v>
      </c>
      <c r="E123" s="20">
        <v>22.77</v>
      </c>
      <c r="F123" s="20" t="s">
        <v>0</v>
      </c>
      <c r="G123" s="20" t="s">
        <v>0</v>
      </c>
      <c r="H123" s="20" t="s">
        <v>0</v>
      </c>
      <c r="I123" s="22" t="s">
        <v>0</v>
      </c>
      <c r="J123" s="20" t="s">
        <v>0</v>
      </c>
      <c r="K123" s="20" t="s">
        <v>0</v>
      </c>
      <c r="L123" s="20" t="s">
        <v>0</v>
      </c>
      <c r="M123" s="23" t="s">
        <v>0</v>
      </c>
      <c r="N123" s="22" t="s">
        <v>0</v>
      </c>
      <c r="O123" s="22">
        <v>1.4195</v>
      </c>
    </row>
    <row r="124" spans="1:15" x14ac:dyDescent="0.25">
      <c r="A124" s="26" t="s">
        <v>78</v>
      </c>
      <c r="B124" s="20" t="s">
        <v>200</v>
      </c>
      <c r="C124" s="21">
        <v>1.875</v>
      </c>
      <c r="D124" s="20">
        <v>19.28</v>
      </c>
      <c r="E124" s="20">
        <v>23.79</v>
      </c>
      <c r="F124" s="20" t="s">
        <v>0</v>
      </c>
      <c r="G124" s="20" t="s">
        <v>0</v>
      </c>
      <c r="H124" s="20" t="s">
        <v>0</v>
      </c>
      <c r="I124" s="22" t="s">
        <v>0</v>
      </c>
      <c r="J124" s="20" t="s">
        <v>0</v>
      </c>
      <c r="K124" s="20" t="s">
        <v>0</v>
      </c>
      <c r="L124" s="20" t="s">
        <v>0</v>
      </c>
      <c r="M124" s="23" t="s">
        <v>0</v>
      </c>
      <c r="N124" s="22" t="s">
        <v>0</v>
      </c>
      <c r="O124" s="22">
        <v>1.4340999999999999</v>
      </c>
    </row>
    <row r="125" spans="1:15" x14ac:dyDescent="0.25">
      <c r="A125" s="26" t="s">
        <v>79</v>
      </c>
      <c r="B125" s="20" t="s">
        <v>201</v>
      </c>
      <c r="C125" s="21">
        <v>1.375</v>
      </c>
      <c r="D125" s="20">
        <v>19.559999999999999</v>
      </c>
      <c r="E125" s="20">
        <v>22.98</v>
      </c>
      <c r="F125" s="20" t="s">
        <v>0</v>
      </c>
      <c r="G125" s="20" t="s">
        <v>0</v>
      </c>
      <c r="H125" s="20" t="s">
        <v>0</v>
      </c>
      <c r="I125" s="22" t="s">
        <v>0</v>
      </c>
      <c r="J125" s="20" t="s">
        <v>0</v>
      </c>
      <c r="K125" s="20" t="s">
        <v>0</v>
      </c>
      <c r="L125" s="20" t="s">
        <v>0</v>
      </c>
      <c r="M125" s="23" t="s">
        <v>0</v>
      </c>
      <c r="N125" s="22" t="s">
        <v>0</v>
      </c>
      <c r="O125" s="22">
        <v>1.4274</v>
      </c>
    </row>
    <row r="126" spans="1:15" x14ac:dyDescent="0.25">
      <c r="A126" s="26" t="s">
        <v>80</v>
      </c>
      <c r="B126" s="20" t="s">
        <v>202</v>
      </c>
      <c r="C126" s="21">
        <v>1.625</v>
      </c>
      <c r="D126" s="20">
        <v>19.84</v>
      </c>
      <c r="E126" s="20">
        <v>24.29</v>
      </c>
      <c r="F126" s="20" t="s">
        <v>0</v>
      </c>
      <c r="G126" s="20" t="s">
        <v>0</v>
      </c>
      <c r="H126" s="20" t="s">
        <v>0</v>
      </c>
      <c r="I126" s="22" t="s">
        <v>0</v>
      </c>
      <c r="J126" s="20" t="s">
        <v>0</v>
      </c>
      <c r="K126" s="20" t="s">
        <v>0</v>
      </c>
      <c r="L126" s="20" t="s">
        <v>0</v>
      </c>
      <c r="M126" s="23" t="s">
        <v>0</v>
      </c>
      <c r="N126" s="22" t="s">
        <v>0</v>
      </c>
      <c r="O126" s="22">
        <v>1.4468000000000001</v>
      </c>
    </row>
    <row r="127" spans="1:15" x14ac:dyDescent="0.25">
      <c r="A127" s="26" t="s">
        <v>81</v>
      </c>
      <c r="B127" s="20" t="s">
        <v>203</v>
      </c>
      <c r="C127" s="21">
        <v>1.5</v>
      </c>
      <c r="D127" s="20">
        <v>20.52</v>
      </c>
      <c r="E127" s="20">
        <v>24.77</v>
      </c>
      <c r="F127" s="20" t="s">
        <v>0</v>
      </c>
      <c r="G127" s="20" t="s">
        <v>0</v>
      </c>
      <c r="H127" s="20" t="s">
        <v>0</v>
      </c>
      <c r="I127" s="22" t="s">
        <v>0</v>
      </c>
      <c r="J127" s="20" t="s">
        <v>0</v>
      </c>
      <c r="K127" s="20" t="s">
        <v>0</v>
      </c>
      <c r="L127" s="20" t="s">
        <v>0</v>
      </c>
      <c r="M127" s="23" t="s">
        <v>0</v>
      </c>
      <c r="N127" s="22" t="s">
        <v>0</v>
      </c>
      <c r="O127" s="22">
        <v>1.4572000000000001</v>
      </c>
    </row>
    <row r="128" spans="1:15" x14ac:dyDescent="0.25">
      <c r="A128" s="26" t="s">
        <v>57</v>
      </c>
      <c r="B128" s="20" t="s">
        <v>204</v>
      </c>
      <c r="C128" s="21">
        <v>1.375</v>
      </c>
      <c r="D128" s="20">
        <v>20.93</v>
      </c>
      <c r="E128" s="20">
        <v>25.25</v>
      </c>
      <c r="F128" s="20" t="s">
        <v>0</v>
      </c>
      <c r="G128" s="20" t="s">
        <v>0</v>
      </c>
      <c r="H128" s="20" t="s">
        <v>0</v>
      </c>
      <c r="I128" s="22" t="s">
        <v>0</v>
      </c>
      <c r="J128" s="20" t="s">
        <v>0</v>
      </c>
      <c r="K128" s="20" t="s">
        <v>0</v>
      </c>
      <c r="L128" s="20" t="s">
        <v>0</v>
      </c>
      <c r="M128" s="23" t="s">
        <v>0</v>
      </c>
      <c r="N128" s="22" t="s">
        <v>0</v>
      </c>
      <c r="O128" s="22">
        <v>1.4677</v>
      </c>
    </row>
    <row r="129" spans="1:15" x14ac:dyDescent="0.25">
      <c r="A129" s="26" t="s">
        <v>320</v>
      </c>
      <c r="B129" s="20" t="s">
        <v>315</v>
      </c>
      <c r="C129" s="21">
        <v>2.375</v>
      </c>
      <c r="D129" s="20">
        <v>21.56</v>
      </c>
      <c r="E129" s="20">
        <v>29.25</v>
      </c>
      <c r="F129" s="20">
        <v>1.5365</v>
      </c>
      <c r="G129" s="20">
        <v>1.5365</v>
      </c>
      <c r="H129" s="20">
        <v>1.5365</v>
      </c>
      <c r="I129" s="22">
        <v>2.5</v>
      </c>
      <c r="J129" s="20">
        <v>1.5355000000000001</v>
      </c>
      <c r="K129" s="20">
        <v>1.5355000000000001</v>
      </c>
      <c r="L129" s="20">
        <v>1.5355000000000001</v>
      </c>
      <c r="M129" s="23">
        <v>1</v>
      </c>
      <c r="N129" s="22">
        <v>2.5</v>
      </c>
      <c r="O129" s="22">
        <v>1.5079</v>
      </c>
    </row>
    <row r="130" spans="1:15" x14ac:dyDescent="0.25">
      <c r="A130" s="26" t="s">
        <v>84</v>
      </c>
      <c r="B130" s="20" t="s">
        <v>205</v>
      </c>
      <c r="C130" s="21">
        <v>1.125</v>
      </c>
      <c r="D130" s="20">
        <v>21.96</v>
      </c>
      <c r="E130" s="20">
        <v>25.77</v>
      </c>
      <c r="F130" s="20" t="s">
        <v>0</v>
      </c>
      <c r="G130" s="20" t="s">
        <v>0</v>
      </c>
      <c r="H130" s="20" t="s">
        <v>0</v>
      </c>
      <c r="I130" s="22" t="s">
        <v>0</v>
      </c>
      <c r="J130" s="20" t="s">
        <v>0</v>
      </c>
      <c r="K130" s="20" t="s">
        <v>0</v>
      </c>
      <c r="L130" s="20" t="s">
        <v>0</v>
      </c>
      <c r="M130" s="23" t="s">
        <v>0</v>
      </c>
      <c r="N130" s="22" t="s">
        <v>0</v>
      </c>
      <c r="O130" s="22">
        <v>1.4813000000000001</v>
      </c>
    </row>
    <row r="131" spans="1:15" x14ac:dyDescent="0.25">
      <c r="A131" s="26" t="s">
        <v>268</v>
      </c>
      <c r="B131" s="20" t="s">
        <v>267</v>
      </c>
      <c r="C131" s="21">
        <v>2</v>
      </c>
      <c r="D131" s="20">
        <v>22.14</v>
      </c>
      <c r="E131" s="20">
        <v>28.78</v>
      </c>
      <c r="F131" s="20" t="s">
        <v>0</v>
      </c>
      <c r="G131" s="20" t="s">
        <v>0</v>
      </c>
      <c r="H131" s="20" t="s">
        <v>0</v>
      </c>
      <c r="I131" s="22" t="s">
        <v>0</v>
      </c>
      <c r="J131" s="20" t="s">
        <v>0</v>
      </c>
      <c r="K131" s="20" t="s">
        <v>0</v>
      </c>
      <c r="L131" s="20" t="s">
        <v>0</v>
      </c>
      <c r="M131" s="23" t="s">
        <v>0</v>
      </c>
      <c r="N131" s="22" t="s">
        <v>0</v>
      </c>
      <c r="O131" s="22">
        <v>1.5086999999999999</v>
      </c>
    </row>
    <row r="132" spans="1:15" x14ac:dyDescent="0.25">
      <c r="A132" s="26" t="s">
        <v>51</v>
      </c>
      <c r="B132" s="20" t="s">
        <v>206</v>
      </c>
      <c r="C132" s="21">
        <v>1</v>
      </c>
      <c r="D132" s="20">
        <v>22.46</v>
      </c>
      <c r="E132" s="20">
        <v>26.25</v>
      </c>
      <c r="F132" s="20" t="s">
        <v>0</v>
      </c>
      <c r="G132" s="20" t="s">
        <v>0</v>
      </c>
      <c r="H132" s="20" t="s">
        <v>0</v>
      </c>
      <c r="I132" s="22" t="s">
        <v>0</v>
      </c>
      <c r="J132" s="20" t="s">
        <v>0</v>
      </c>
      <c r="K132" s="20" t="s">
        <v>0</v>
      </c>
      <c r="L132" s="20" t="s">
        <v>0</v>
      </c>
      <c r="M132" s="23" t="s">
        <v>0</v>
      </c>
      <c r="N132" s="22" t="s">
        <v>0</v>
      </c>
      <c r="O132" s="22">
        <v>1.4919</v>
      </c>
    </row>
    <row r="133" spans="1:15" x14ac:dyDescent="0.25">
      <c r="A133" s="26" t="s">
        <v>300</v>
      </c>
      <c r="B133" s="20" t="s">
        <v>207</v>
      </c>
      <c r="C133" s="21">
        <v>0.75</v>
      </c>
      <c r="D133" s="20">
        <v>23.64</v>
      </c>
      <c r="E133" s="20">
        <v>26.75</v>
      </c>
      <c r="F133" s="20" t="s">
        <v>0</v>
      </c>
      <c r="G133" s="20" t="s">
        <v>0</v>
      </c>
      <c r="H133" s="20" t="s">
        <v>0</v>
      </c>
      <c r="I133" s="22" t="s">
        <v>0</v>
      </c>
      <c r="J133" s="20" t="s">
        <v>0</v>
      </c>
      <c r="K133" s="20" t="s">
        <v>0</v>
      </c>
      <c r="L133" s="20" t="s">
        <v>0</v>
      </c>
      <c r="M133" s="23" t="s">
        <v>0</v>
      </c>
      <c r="N133" s="22" t="s">
        <v>0</v>
      </c>
      <c r="O133" s="22">
        <v>1.5061</v>
      </c>
    </row>
    <row r="134" spans="1:15" x14ac:dyDescent="0.25">
      <c r="A134" s="26" t="s">
        <v>301</v>
      </c>
      <c r="B134" s="20" t="s">
        <v>238</v>
      </c>
      <c r="C134" s="21">
        <v>1.125</v>
      </c>
      <c r="D134" s="20">
        <v>23.66</v>
      </c>
      <c r="E134" s="20">
        <v>28.37</v>
      </c>
      <c r="F134" s="20" t="s">
        <v>0</v>
      </c>
      <c r="G134" s="20" t="s">
        <v>0</v>
      </c>
      <c r="H134" s="20" t="s">
        <v>0</v>
      </c>
      <c r="I134" s="22" t="s">
        <v>0</v>
      </c>
      <c r="J134" s="20" t="s">
        <v>0</v>
      </c>
      <c r="K134" s="20" t="s">
        <v>0</v>
      </c>
      <c r="L134" s="20" t="s">
        <v>0</v>
      </c>
      <c r="M134" s="23" t="s">
        <v>0</v>
      </c>
      <c r="N134" s="22" t="s">
        <v>0</v>
      </c>
      <c r="O134" s="22">
        <v>1.5219</v>
      </c>
    </row>
    <row r="135" spans="1:15" x14ac:dyDescent="0.25">
      <c r="A135" s="26" t="s">
        <v>363</v>
      </c>
      <c r="B135" s="20" t="s">
        <v>364</v>
      </c>
      <c r="C135" s="21">
        <v>1.5</v>
      </c>
      <c r="D135" s="20">
        <v>23.74</v>
      </c>
      <c r="E135" s="20">
        <v>29.75</v>
      </c>
      <c r="F135" s="20" t="s">
        <v>0</v>
      </c>
      <c r="G135" s="20" t="s">
        <v>0</v>
      </c>
      <c r="H135" s="20" t="s">
        <v>0</v>
      </c>
      <c r="I135" s="22" t="s">
        <v>0</v>
      </c>
      <c r="J135" s="20" t="s">
        <v>0</v>
      </c>
      <c r="K135" s="20" t="s">
        <v>0</v>
      </c>
      <c r="L135" s="20" t="s">
        <v>0</v>
      </c>
      <c r="M135" s="23" t="s">
        <v>0</v>
      </c>
      <c r="N135" s="22" t="s">
        <v>0</v>
      </c>
      <c r="O135" s="22">
        <v>1.5315000000000001</v>
      </c>
    </row>
    <row r="136" spans="1:15" x14ac:dyDescent="0.25">
      <c r="A136" s="26" t="s">
        <v>302</v>
      </c>
      <c r="B136" s="20" t="s">
        <v>209</v>
      </c>
      <c r="C136" s="21">
        <v>0.625</v>
      </c>
      <c r="D136" s="20">
        <v>24.59</v>
      </c>
      <c r="E136" s="20">
        <v>27.54</v>
      </c>
      <c r="F136" s="20" t="s">
        <v>0</v>
      </c>
      <c r="G136" s="20" t="s">
        <v>0</v>
      </c>
      <c r="H136" s="20" t="s">
        <v>0</v>
      </c>
      <c r="I136" s="22" t="s">
        <v>0</v>
      </c>
      <c r="J136" s="20" t="s">
        <v>0</v>
      </c>
      <c r="K136" s="20" t="s">
        <v>0</v>
      </c>
      <c r="L136" s="20" t="s">
        <v>0</v>
      </c>
      <c r="M136" s="23" t="s">
        <v>0</v>
      </c>
      <c r="N136" s="22" t="s">
        <v>0</v>
      </c>
      <c r="O136" s="22">
        <v>1.522</v>
      </c>
    </row>
    <row r="137" spans="1:15" x14ac:dyDescent="0.25">
      <c r="A137" s="32" t="s">
        <v>303</v>
      </c>
      <c r="B137" s="20" t="s">
        <v>208</v>
      </c>
      <c r="C137" s="21">
        <v>0.375</v>
      </c>
      <c r="D137" s="20">
        <v>25.25</v>
      </c>
      <c r="E137" s="20">
        <v>27.3</v>
      </c>
      <c r="F137" s="20" t="s">
        <v>0</v>
      </c>
      <c r="G137" s="20" t="s">
        <v>0</v>
      </c>
      <c r="H137" s="20" t="s">
        <v>0</v>
      </c>
      <c r="I137" s="22" t="s">
        <v>0</v>
      </c>
      <c r="J137" s="20" t="s">
        <v>0</v>
      </c>
      <c r="K137" s="20" t="s">
        <v>0</v>
      </c>
      <c r="L137" s="20" t="s">
        <v>0</v>
      </c>
      <c r="M137" s="23" t="s">
        <v>0</v>
      </c>
      <c r="N137" s="22" t="s">
        <v>0</v>
      </c>
      <c r="O137" s="22">
        <v>1.5248999999999999</v>
      </c>
    </row>
    <row r="138" spans="1:15" x14ac:dyDescent="0.25">
      <c r="A138" s="26" t="s">
        <v>399</v>
      </c>
      <c r="B138" s="34" t="s">
        <v>400</v>
      </c>
      <c r="C138" s="40">
        <v>0.73</v>
      </c>
      <c r="D138" s="40">
        <v>0.74</v>
      </c>
      <c r="E138" s="20"/>
      <c r="F138" s="20">
        <v>1.46</v>
      </c>
      <c r="G138" s="20">
        <v>1.46</v>
      </c>
      <c r="H138" s="20">
        <v>1.46</v>
      </c>
      <c r="I138" s="22">
        <v>5</v>
      </c>
      <c r="J138" s="20">
        <v>1.45</v>
      </c>
      <c r="K138" s="20">
        <v>1.45</v>
      </c>
      <c r="L138" s="20">
        <v>1.45</v>
      </c>
      <c r="M138" s="23">
        <v>1</v>
      </c>
      <c r="N138" s="22">
        <v>5</v>
      </c>
      <c r="O138" s="22" t="e">
        <v>#N/A</v>
      </c>
    </row>
    <row r="139" spans="1:15" x14ac:dyDescent="0.25">
      <c r="A139" s="26" t="s">
        <v>411</v>
      </c>
      <c r="B139" s="34" t="s">
        <v>412</v>
      </c>
      <c r="C139" s="26" t="s">
        <v>321</v>
      </c>
      <c r="D139" s="35">
        <v>8.23</v>
      </c>
      <c r="E139" s="35">
        <v>9.9700000000000006</v>
      </c>
      <c r="F139" s="20" t="s">
        <v>0</v>
      </c>
      <c r="G139" s="20" t="s">
        <v>0</v>
      </c>
      <c r="H139" s="20" t="s">
        <v>0</v>
      </c>
      <c r="I139" s="22" t="s">
        <v>0</v>
      </c>
      <c r="J139" s="20">
        <v>3.5790000000000002</v>
      </c>
      <c r="K139" s="20">
        <v>3.5790000000000002</v>
      </c>
      <c r="L139" s="20">
        <v>3.5790000000000002</v>
      </c>
      <c r="M139" s="23">
        <v>3</v>
      </c>
      <c r="N139" s="22">
        <v>0.18</v>
      </c>
      <c r="O139" s="22" t="e">
        <v>#N/A</v>
      </c>
    </row>
    <row r="140" spans="1:15" x14ac:dyDescent="0.25">
      <c r="M140" s="33"/>
    </row>
    <row r="141" spans="1:15" x14ac:dyDescent="0.25">
      <c r="M141" s="33"/>
    </row>
    <row r="142" spans="1:15" x14ac:dyDescent="0.25">
      <c r="M142" s="33"/>
    </row>
    <row r="143" spans="1:15" x14ac:dyDescent="0.25">
      <c r="M143" s="33"/>
    </row>
    <row r="144" spans="1:15" x14ac:dyDescent="0.25">
      <c r="M144" s="33"/>
    </row>
    <row r="145" spans="13:13" x14ac:dyDescent="0.25">
      <c r="M145" s="33"/>
    </row>
    <row r="146" spans="13:13" x14ac:dyDescent="0.25">
      <c r="M146" s="33"/>
    </row>
    <row r="147" spans="13:13" x14ac:dyDescent="0.25">
      <c r="M147" s="33"/>
    </row>
    <row r="148" spans="13:13" x14ac:dyDescent="0.25">
      <c r="M148" s="33"/>
    </row>
    <row r="149" spans="13:13" x14ac:dyDescent="0.25">
      <c r="M149" s="33"/>
    </row>
    <row r="150" spans="13:13" x14ac:dyDescent="0.25">
      <c r="M150" s="33"/>
    </row>
    <row r="151" spans="13:13" x14ac:dyDescent="0.25">
      <c r="M151" s="33"/>
    </row>
    <row r="152" spans="13:13" x14ac:dyDescent="0.25">
      <c r="M152" s="33"/>
    </row>
    <row r="153" spans="13:13" x14ac:dyDescent="0.25">
      <c r="M153" s="33"/>
    </row>
    <row r="154" spans="13:13" x14ac:dyDescent="0.25">
      <c r="M154" s="33"/>
    </row>
    <row r="155" spans="13:13" x14ac:dyDescent="0.25">
      <c r="M155" s="33"/>
    </row>
    <row r="156" spans="13:13" x14ac:dyDescent="0.25">
      <c r="M156" s="33"/>
    </row>
    <row r="157" spans="13:13" x14ac:dyDescent="0.25">
      <c r="M157" s="33"/>
    </row>
    <row r="158" spans="13:13" x14ac:dyDescent="0.25">
      <c r="M158" s="33"/>
    </row>
    <row r="159" spans="13:13" x14ac:dyDescent="0.25">
      <c r="M159" s="33"/>
    </row>
    <row r="160" spans="13:13" x14ac:dyDescent="0.25">
      <c r="M160" s="33"/>
    </row>
    <row r="161" spans="13:13" x14ac:dyDescent="0.25">
      <c r="M161" s="33"/>
    </row>
    <row r="162" spans="13:13" x14ac:dyDescent="0.25">
      <c r="M162" s="33"/>
    </row>
    <row r="163" spans="13:13" x14ac:dyDescent="0.25">
      <c r="M163" s="33"/>
    </row>
    <row r="164" spans="13:13" x14ac:dyDescent="0.25">
      <c r="M164" s="33"/>
    </row>
    <row r="165" spans="13:13" x14ac:dyDescent="0.25">
      <c r="M165" s="33"/>
    </row>
    <row r="166" spans="13:13" x14ac:dyDescent="0.25">
      <c r="M166" s="33"/>
    </row>
    <row r="167" spans="13:13" x14ac:dyDescent="0.25">
      <c r="M167" s="33"/>
    </row>
    <row r="168" spans="13:13" x14ac:dyDescent="0.25">
      <c r="M168" s="33"/>
    </row>
    <row r="169" spans="13:13" x14ac:dyDescent="0.25">
      <c r="M169" s="33"/>
    </row>
    <row r="170" spans="13:13" x14ac:dyDescent="0.25">
      <c r="M170" s="33"/>
    </row>
    <row r="171" spans="13:13" x14ac:dyDescent="0.25">
      <c r="M171" s="33"/>
    </row>
    <row r="172" spans="13:13" x14ac:dyDescent="0.25">
      <c r="M172" s="33"/>
    </row>
    <row r="173" spans="13:13" x14ac:dyDescent="0.25">
      <c r="M173" s="33"/>
    </row>
    <row r="174" spans="13:13" x14ac:dyDescent="0.25">
      <c r="M174" s="33"/>
    </row>
    <row r="175" spans="13:13" x14ac:dyDescent="0.25">
      <c r="M175" s="33"/>
    </row>
    <row r="176" spans="13:13" x14ac:dyDescent="0.25">
      <c r="M176" s="33"/>
    </row>
    <row r="177" spans="13:13" x14ac:dyDescent="0.25">
      <c r="M177" s="33"/>
    </row>
    <row r="178" spans="13:13" x14ac:dyDescent="0.25">
      <c r="M178" s="33"/>
    </row>
    <row r="179" spans="13:13" x14ac:dyDescent="0.25">
      <c r="M179" s="33"/>
    </row>
    <row r="180" spans="13:13" x14ac:dyDescent="0.25">
      <c r="M180" s="33"/>
    </row>
    <row r="181" spans="13:13" x14ac:dyDescent="0.25">
      <c r="M181" s="33"/>
    </row>
    <row r="182" spans="13:13" x14ac:dyDescent="0.25">
      <c r="M182" s="33"/>
    </row>
    <row r="183" spans="13:13" x14ac:dyDescent="0.25">
      <c r="M183" s="33"/>
    </row>
    <row r="184" spans="13:13" x14ac:dyDescent="0.25">
      <c r="M184" s="33"/>
    </row>
    <row r="185" spans="13:13" x14ac:dyDescent="0.25">
      <c r="M185" s="33"/>
    </row>
    <row r="186" spans="13:13" x14ac:dyDescent="0.25">
      <c r="M186" s="33"/>
    </row>
    <row r="187" spans="13:13" x14ac:dyDescent="0.25">
      <c r="M187" s="33"/>
    </row>
    <row r="188" spans="13:13" x14ac:dyDescent="0.25">
      <c r="M188" s="33"/>
    </row>
    <row r="189" spans="13:13" x14ac:dyDescent="0.25">
      <c r="M189" s="33"/>
    </row>
    <row r="190" spans="13:13" x14ac:dyDescent="0.25">
      <c r="M190" s="33"/>
    </row>
    <row r="191" spans="13:13" x14ac:dyDescent="0.25">
      <c r="M191" s="33"/>
    </row>
    <row r="192" spans="13:13" x14ac:dyDescent="0.25">
      <c r="M192" s="33"/>
    </row>
    <row r="193" spans="13:13" x14ac:dyDescent="0.25">
      <c r="M193" s="33"/>
    </row>
    <row r="194" spans="13:13" x14ac:dyDescent="0.25">
      <c r="M194" s="33"/>
    </row>
    <row r="195" spans="13:13" x14ac:dyDescent="0.25">
      <c r="M195" s="33"/>
    </row>
    <row r="196" spans="13:13" x14ac:dyDescent="0.25">
      <c r="M196" s="33"/>
    </row>
    <row r="197" spans="13:13" x14ac:dyDescent="0.25">
      <c r="M197" s="33"/>
    </row>
    <row r="198" spans="13:13" x14ac:dyDescent="0.25">
      <c r="M198" s="33"/>
    </row>
    <row r="199" spans="13:13" x14ac:dyDescent="0.25">
      <c r="M199" s="33"/>
    </row>
    <row r="200" spans="13:13" x14ac:dyDescent="0.25">
      <c r="M200" s="33"/>
    </row>
    <row r="201" spans="13:13" x14ac:dyDescent="0.25">
      <c r="M201" s="33"/>
    </row>
    <row r="202" spans="13:13" x14ac:dyDescent="0.25">
      <c r="M202" s="33"/>
    </row>
    <row r="203" spans="13:13" x14ac:dyDescent="0.25">
      <c r="M203" s="33"/>
    </row>
    <row r="204" spans="13:13" x14ac:dyDescent="0.25">
      <c r="M204" s="33"/>
    </row>
    <row r="205" spans="13:13" x14ac:dyDescent="0.25">
      <c r="M205" s="33"/>
    </row>
    <row r="206" spans="13:13" x14ac:dyDescent="0.25">
      <c r="M206" s="33"/>
    </row>
    <row r="207" spans="13:13" x14ac:dyDescent="0.25">
      <c r="M207" s="33"/>
    </row>
    <row r="208" spans="13:13" x14ac:dyDescent="0.25">
      <c r="M208" s="33"/>
    </row>
    <row r="209" spans="13:13" x14ac:dyDescent="0.25">
      <c r="M209" s="33"/>
    </row>
    <row r="210" spans="13:13" x14ac:dyDescent="0.25">
      <c r="M210" s="33"/>
    </row>
    <row r="211" spans="13:13" x14ac:dyDescent="0.25">
      <c r="M211" s="33"/>
    </row>
    <row r="212" spans="13:13" x14ac:dyDescent="0.25">
      <c r="M212" s="33"/>
    </row>
    <row r="213" spans="13:13" x14ac:dyDescent="0.25">
      <c r="M213" s="33"/>
    </row>
    <row r="214" spans="13:13" x14ac:dyDescent="0.25">
      <c r="M214" s="33"/>
    </row>
    <row r="215" spans="13:13" x14ac:dyDescent="0.25">
      <c r="M215" s="33"/>
    </row>
    <row r="216" spans="13:13" x14ac:dyDescent="0.25">
      <c r="M216" s="33"/>
    </row>
    <row r="217" spans="13:13" x14ac:dyDescent="0.25">
      <c r="M217" s="33"/>
    </row>
    <row r="218" spans="13:13" x14ac:dyDescent="0.25">
      <c r="M218" s="33"/>
    </row>
    <row r="219" spans="13:13" x14ac:dyDescent="0.25">
      <c r="M219" s="33"/>
    </row>
    <row r="220" spans="13:13" x14ac:dyDescent="0.25">
      <c r="M220" s="33"/>
    </row>
    <row r="221" spans="13:13" x14ac:dyDescent="0.25">
      <c r="M221" s="33"/>
    </row>
    <row r="222" spans="13:13" x14ac:dyDescent="0.25">
      <c r="M222" s="33"/>
    </row>
    <row r="223" spans="13:13" x14ac:dyDescent="0.25">
      <c r="M223" s="33"/>
    </row>
    <row r="224" spans="13:13" x14ac:dyDescent="0.25">
      <c r="M224" s="33"/>
    </row>
    <row r="225" spans="13:13" x14ac:dyDescent="0.25">
      <c r="M225" s="33"/>
    </row>
    <row r="226" spans="13:13" x14ac:dyDescent="0.25">
      <c r="M226" s="33"/>
    </row>
    <row r="227" spans="13:13" x14ac:dyDescent="0.25">
      <c r="M227" s="33"/>
    </row>
    <row r="228" spans="13:13" x14ac:dyDescent="0.25">
      <c r="M228" s="33"/>
    </row>
    <row r="229" spans="13:13" x14ac:dyDescent="0.25">
      <c r="M229" s="33"/>
    </row>
    <row r="230" spans="13:13" x14ac:dyDescent="0.25">
      <c r="M230" s="33"/>
    </row>
    <row r="231" spans="13:13" x14ac:dyDescent="0.25">
      <c r="M231" s="33"/>
    </row>
    <row r="232" spans="13:13" x14ac:dyDescent="0.25">
      <c r="M232" s="33"/>
    </row>
    <row r="233" spans="13:13" x14ac:dyDescent="0.25">
      <c r="M233" s="33"/>
    </row>
    <row r="234" spans="13:13" x14ac:dyDescent="0.25">
      <c r="M234" s="33"/>
    </row>
    <row r="235" spans="13:13" x14ac:dyDescent="0.25">
      <c r="M235" s="33"/>
    </row>
    <row r="236" spans="13:13" x14ac:dyDescent="0.25">
      <c r="M236" s="33"/>
    </row>
    <row r="237" spans="13:13" x14ac:dyDescent="0.25">
      <c r="M237" s="33"/>
    </row>
    <row r="238" spans="13:13" x14ac:dyDescent="0.25">
      <c r="M238" s="33"/>
    </row>
    <row r="239" spans="13:13" x14ac:dyDescent="0.25">
      <c r="M239" s="33"/>
    </row>
    <row r="240" spans="13:13" x14ac:dyDescent="0.25">
      <c r="M240" s="33"/>
    </row>
    <row r="241" spans="13:13" x14ac:dyDescent="0.25">
      <c r="M241" s="33"/>
    </row>
    <row r="242" spans="13:13" x14ac:dyDescent="0.25">
      <c r="M242" s="33"/>
    </row>
    <row r="243" spans="13:13" x14ac:dyDescent="0.25">
      <c r="M243" s="33"/>
    </row>
    <row r="244" spans="13:13" x14ac:dyDescent="0.25">
      <c r="M244" s="33"/>
    </row>
    <row r="245" spans="13:13" x14ac:dyDescent="0.25">
      <c r="M245" s="33"/>
    </row>
    <row r="246" spans="13:13" x14ac:dyDescent="0.25">
      <c r="M246" s="33"/>
    </row>
    <row r="247" spans="13:13" x14ac:dyDescent="0.25">
      <c r="M247" s="33"/>
    </row>
    <row r="248" spans="13:13" x14ac:dyDescent="0.25">
      <c r="M248" s="33"/>
    </row>
    <row r="249" spans="13:13" x14ac:dyDescent="0.25">
      <c r="M249" s="33"/>
    </row>
    <row r="250" spans="13:13" x14ac:dyDescent="0.25">
      <c r="M250" s="33"/>
    </row>
    <row r="251" spans="13:13" x14ac:dyDescent="0.25">
      <c r="M251" s="33"/>
    </row>
    <row r="252" spans="13:13" x14ac:dyDescent="0.25">
      <c r="M252" s="33"/>
    </row>
    <row r="253" spans="13:13" x14ac:dyDescent="0.25">
      <c r="M253" s="33"/>
    </row>
    <row r="254" spans="13:13" x14ac:dyDescent="0.25">
      <c r="M254" s="33"/>
    </row>
    <row r="255" spans="13:13" x14ac:dyDescent="0.25">
      <c r="M255" s="33"/>
    </row>
    <row r="256" spans="13:13" x14ac:dyDescent="0.25">
      <c r="M256" s="33"/>
    </row>
    <row r="257" spans="13:13" x14ac:dyDescent="0.25">
      <c r="M257" s="33"/>
    </row>
    <row r="258" spans="13:13" x14ac:dyDescent="0.25">
      <c r="M258" s="33"/>
    </row>
    <row r="259" spans="13:13" x14ac:dyDescent="0.25">
      <c r="M259" s="33"/>
    </row>
    <row r="260" spans="13:13" x14ac:dyDescent="0.25">
      <c r="M260" s="33"/>
    </row>
    <row r="261" spans="13:13" x14ac:dyDescent="0.25">
      <c r="M261" s="33"/>
    </row>
    <row r="262" spans="13:13" x14ac:dyDescent="0.25">
      <c r="M262" s="33"/>
    </row>
    <row r="263" spans="13:13" x14ac:dyDescent="0.25">
      <c r="M263" s="33"/>
    </row>
    <row r="264" spans="13:13" x14ac:dyDescent="0.25">
      <c r="M264" s="33"/>
    </row>
    <row r="265" spans="13:13" x14ac:dyDescent="0.25">
      <c r="M265" s="33"/>
    </row>
    <row r="266" spans="13:13" x14ac:dyDescent="0.25">
      <c r="M266" s="33"/>
    </row>
    <row r="267" spans="13:13" x14ac:dyDescent="0.25">
      <c r="M267" s="33"/>
    </row>
    <row r="268" spans="13:13" x14ac:dyDescent="0.25">
      <c r="M268" s="33"/>
    </row>
    <row r="269" spans="13:13" x14ac:dyDescent="0.25">
      <c r="M269" s="33"/>
    </row>
    <row r="270" spans="13:13" x14ac:dyDescent="0.25">
      <c r="M270" s="33"/>
    </row>
    <row r="271" spans="13:13" x14ac:dyDescent="0.25">
      <c r="M271" s="33"/>
    </row>
    <row r="272" spans="13:13" x14ac:dyDescent="0.25">
      <c r="M272" s="33"/>
    </row>
    <row r="273" spans="13:13" x14ac:dyDescent="0.25">
      <c r="M273" s="33"/>
    </row>
    <row r="274" spans="13:13" x14ac:dyDescent="0.25">
      <c r="M274" s="33"/>
    </row>
    <row r="275" spans="13:13" x14ac:dyDescent="0.25">
      <c r="M275" s="33"/>
    </row>
    <row r="276" spans="13:13" x14ac:dyDescent="0.25">
      <c r="M276" s="33"/>
    </row>
    <row r="277" spans="13:13" x14ac:dyDescent="0.25">
      <c r="M277" s="33"/>
    </row>
    <row r="278" spans="13:13" x14ac:dyDescent="0.25">
      <c r="M278" s="33"/>
    </row>
    <row r="279" spans="13:13" x14ac:dyDescent="0.25">
      <c r="M279" s="33"/>
    </row>
    <row r="280" spans="13:13" x14ac:dyDescent="0.25">
      <c r="M280" s="33"/>
    </row>
    <row r="281" spans="13:13" x14ac:dyDescent="0.25">
      <c r="M281" s="33"/>
    </row>
    <row r="282" spans="13:13" x14ac:dyDescent="0.25">
      <c r="M282" s="33"/>
    </row>
    <row r="283" spans="13:13" x14ac:dyDescent="0.25">
      <c r="M283" s="33"/>
    </row>
    <row r="284" spans="13:13" x14ac:dyDescent="0.25">
      <c r="M284" s="33"/>
    </row>
    <row r="285" spans="13:13" x14ac:dyDescent="0.25">
      <c r="M285" s="33"/>
    </row>
    <row r="286" spans="13:13" x14ac:dyDescent="0.25">
      <c r="M286" s="33"/>
    </row>
    <row r="287" spans="13:13" x14ac:dyDescent="0.25">
      <c r="M287" s="33"/>
    </row>
    <row r="288" spans="13:13" x14ac:dyDescent="0.25">
      <c r="M288" s="33"/>
    </row>
    <row r="289" spans="13:13" x14ac:dyDescent="0.25">
      <c r="M289" s="33"/>
    </row>
    <row r="290" spans="13:13" x14ac:dyDescent="0.25">
      <c r="M290" s="33"/>
    </row>
    <row r="291" spans="13:13" x14ac:dyDescent="0.25">
      <c r="M291" s="33"/>
    </row>
    <row r="292" spans="13:13" x14ac:dyDescent="0.25">
      <c r="M292" s="33"/>
    </row>
    <row r="293" spans="13:13" x14ac:dyDescent="0.25">
      <c r="M293" s="33"/>
    </row>
    <row r="294" spans="13:13" x14ac:dyDescent="0.25">
      <c r="M294" s="33"/>
    </row>
    <row r="295" spans="13:13" x14ac:dyDescent="0.25">
      <c r="M295" s="33"/>
    </row>
    <row r="296" spans="13:13" x14ac:dyDescent="0.25">
      <c r="M296" s="33"/>
    </row>
    <row r="297" spans="13:13" x14ac:dyDescent="0.25">
      <c r="M297" s="33"/>
    </row>
    <row r="298" spans="13:13" x14ac:dyDescent="0.25">
      <c r="M298" s="33"/>
    </row>
    <row r="299" spans="13:13" x14ac:dyDescent="0.25">
      <c r="M299" s="33"/>
    </row>
    <row r="300" spans="13:13" x14ac:dyDescent="0.25">
      <c r="M300" s="33"/>
    </row>
    <row r="301" spans="13:13" x14ac:dyDescent="0.25">
      <c r="M301" s="33"/>
    </row>
    <row r="302" spans="13:13" x14ac:dyDescent="0.25">
      <c r="M302" s="33"/>
    </row>
    <row r="303" spans="13:13" x14ac:dyDescent="0.25">
      <c r="M303" s="33"/>
    </row>
    <row r="304" spans="13:13" x14ac:dyDescent="0.25">
      <c r="M304" s="33"/>
    </row>
    <row r="305" spans="13:13" x14ac:dyDescent="0.25">
      <c r="M305" s="33"/>
    </row>
    <row r="306" spans="13:13" x14ac:dyDescent="0.25">
      <c r="M306" s="33"/>
    </row>
    <row r="307" spans="13:13" x14ac:dyDescent="0.25">
      <c r="M307" s="33"/>
    </row>
    <row r="308" spans="13:13" x14ac:dyDescent="0.25">
      <c r="M308" s="33"/>
    </row>
    <row r="309" spans="13:13" x14ac:dyDescent="0.25">
      <c r="M309" s="33"/>
    </row>
    <row r="310" spans="13:13" x14ac:dyDescent="0.25">
      <c r="M310" s="33"/>
    </row>
    <row r="311" spans="13:13" x14ac:dyDescent="0.25">
      <c r="M311" s="33"/>
    </row>
    <row r="312" spans="13:13" x14ac:dyDescent="0.25">
      <c r="M312" s="33"/>
    </row>
    <row r="313" spans="13:13" x14ac:dyDescent="0.25">
      <c r="M313" s="33"/>
    </row>
    <row r="314" spans="13:13" x14ac:dyDescent="0.25">
      <c r="M314" s="33"/>
    </row>
    <row r="315" spans="13:13" x14ac:dyDescent="0.25">
      <c r="M315" s="33"/>
    </row>
    <row r="316" spans="13:13" x14ac:dyDescent="0.25">
      <c r="M316" s="33"/>
    </row>
    <row r="317" spans="13:13" x14ac:dyDescent="0.25">
      <c r="M317" s="33"/>
    </row>
    <row r="318" spans="13:13" x14ac:dyDescent="0.25">
      <c r="M318" s="33"/>
    </row>
    <row r="319" spans="13:13" x14ac:dyDescent="0.25">
      <c r="M319" s="33"/>
    </row>
    <row r="320" spans="13:13" x14ac:dyDescent="0.25">
      <c r="M320" s="33"/>
    </row>
    <row r="321" spans="13:13" x14ac:dyDescent="0.25">
      <c r="M321" s="33"/>
    </row>
    <row r="322" spans="13:13" x14ac:dyDescent="0.25">
      <c r="M322" s="33"/>
    </row>
    <row r="323" spans="13:13" x14ac:dyDescent="0.25">
      <c r="M323" s="33"/>
    </row>
    <row r="324" spans="13:13" x14ac:dyDescent="0.25">
      <c r="M324" s="33"/>
    </row>
    <row r="325" spans="13:13" x14ac:dyDescent="0.25">
      <c r="M325" s="33"/>
    </row>
    <row r="326" spans="13:13" x14ac:dyDescent="0.25">
      <c r="M326" s="33"/>
    </row>
    <row r="327" spans="13:13" x14ac:dyDescent="0.25">
      <c r="M327" s="33"/>
    </row>
    <row r="328" spans="13:13" x14ac:dyDescent="0.25">
      <c r="M328" s="33"/>
    </row>
    <row r="329" spans="13:13" x14ac:dyDescent="0.25">
      <c r="M329" s="33"/>
    </row>
    <row r="330" spans="13:13" x14ac:dyDescent="0.25">
      <c r="M330" s="33"/>
    </row>
    <row r="331" spans="13:13" x14ac:dyDescent="0.25">
      <c r="M331" s="33"/>
    </row>
    <row r="332" spans="13:13" x14ac:dyDescent="0.25">
      <c r="M332" s="33"/>
    </row>
    <row r="333" spans="13:13" x14ac:dyDescent="0.25">
      <c r="M333" s="33"/>
    </row>
    <row r="334" spans="13:13" x14ac:dyDescent="0.25">
      <c r="M334" s="33"/>
    </row>
    <row r="335" spans="13:13" x14ac:dyDescent="0.25">
      <c r="M335" s="33"/>
    </row>
    <row r="336" spans="13:13" x14ac:dyDescent="0.25">
      <c r="M336" s="33"/>
    </row>
    <row r="337" spans="13:13" x14ac:dyDescent="0.25">
      <c r="M337" s="33"/>
    </row>
    <row r="338" spans="13:13" x14ac:dyDescent="0.25">
      <c r="M338" s="33"/>
    </row>
    <row r="339" spans="13:13" x14ac:dyDescent="0.25">
      <c r="M339" s="33"/>
    </row>
    <row r="340" spans="13:13" x14ac:dyDescent="0.25">
      <c r="M340" s="33"/>
    </row>
    <row r="341" spans="13:13" x14ac:dyDescent="0.25">
      <c r="M341" s="33"/>
    </row>
    <row r="342" spans="13:13" x14ac:dyDescent="0.25">
      <c r="M342" s="33"/>
    </row>
    <row r="343" spans="13:13" x14ac:dyDescent="0.25">
      <c r="M343" s="33"/>
    </row>
    <row r="344" spans="13:13" x14ac:dyDescent="0.25">
      <c r="M344" s="33"/>
    </row>
    <row r="345" spans="13:13" x14ac:dyDescent="0.25">
      <c r="M345" s="33"/>
    </row>
    <row r="346" spans="13:13" x14ac:dyDescent="0.25">
      <c r="M346" s="33"/>
    </row>
    <row r="347" spans="13:13" x14ac:dyDescent="0.25">
      <c r="M347" s="33"/>
    </row>
    <row r="348" spans="13:13" x14ac:dyDescent="0.25">
      <c r="M348" s="33"/>
    </row>
    <row r="349" spans="13:13" x14ac:dyDescent="0.25">
      <c r="M349" s="33"/>
    </row>
    <row r="350" spans="13:13" x14ac:dyDescent="0.25">
      <c r="M350" s="33"/>
    </row>
    <row r="351" spans="13:13" x14ac:dyDescent="0.25">
      <c r="M351" s="33"/>
    </row>
    <row r="352" spans="13:13" x14ac:dyDescent="0.25">
      <c r="M352" s="33"/>
    </row>
    <row r="353" spans="13:13" x14ac:dyDescent="0.25">
      <c r="M353" s="33"/>
    </row>
    <row r="354" spans="13:13" x14ac:dyDescent="0.25">
      <c r="M354" s="33"/>
    </row>
  </sheetData>
  <mergeCells count="6">
    <mergeCell ref="F1:I1"/>
    <mergeCell ref="J1:N1"/>
    <mergeCell ref="Q1:T1"/>
    <mergeCell ref="F2:H2"/>
    <mergeCell ref="J2:L2"/>
    <mergeCell ref="O2:O3"/>
  </mergeCells>
  <phoneticPr fontId="1" type="noConversion"/>
  <printOptions gridLines="1"/>
  <pageMargins left="0.17" right="0.16" top="0.28999999999999998" bottom="0.2" header="0.5" footer="0.5"/>
  <pageSetup paperSize="9" scale="36" orientation="portrait" r:id="rId1"/>
  <headerFooter alignWithMargins="0">
    <oddFooter>&amp;C&amp;"Times New Roman,標準"&amp;P&amp;R&amp;"Times New Roman,標準"&amp;A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>
    <pageSetUpPr fitToPage="1"/>
  </sheetPr>
  <dimension ref="A1:T142"/>
  <sheetViews>
    <sheetView zoomScale="90" workbookViewId="0">
      <pane xSplit="1" ySplit="3" topLeftCell="B4" activePane="bottomRight" state="frozen"/>
      <selection sqref="A1:IV65536"/>
      <selection pane="topRight" sqref="A1:IV65536"/>
      <selection pane="bottomLeft" sqref="A1:IV65536"/>
      <selection pane="bottomRight" activeCell="F53" sqref="F53"/>
    </sheetView>
  </sheetViews>
  <sheetFormatPr defaultRowHeight="16.5" x14ac:dyDescent="0.25"/>
  <cols>
    <col min="1" max="1" width="9" style="52" customWidth="1"/>
    <col min="2" max="2" width="10.5" style="53" bestFit="1" customWidth="1"/>
    <col min="3" max="3" width="6.625" style="53" bestFit="1" customWidth="1"/>
    <col min="4" max="4" width="7.125" style="53" bestFit="1" customWidth="1"/>
    <col min="5" max="15" width="9" style="53"/>
    <col min="16" max="16" width="4" style="53" customWidth="1"/>
    <col min="17" max="17" width="6.625" style="77" customWidth="1"/>
    <col min="18" max="18" width="8.625" style="77" customWidth="1"/>
    <col min="19" max="19" width="11.375" style="80" bestFit="1" customWidth="1"/>
    <col min="20" max="20" width="11.25" style="80" bestFit="1" customWidth="1"/>
    <col min="21" max="256" width="9" style="53"/>
    <col min="257" max="257" width="9" style="53" customWidth="1"/>
    <col min="258" max="258" width="10.5" style="53" bestFit="1" customWidth="1"/>
    <col min="259" max="259" width="6.625" style="53" bestFit="1" customWidth="1"/>
    <col min="260" max="260" width="7.125" style="53" bestFit="1" customWidth="1"/>
    <col min="261" max="271" width="9" style="53"/>
    <col min="272" max="272" width="4" style="53" customWidth="1"/>
    <col min="273" max="273" width="6.625" style="53" customWidth="1"/>
    <col min="274" max="274" width="8.625" style="53" customWidth="1"/>
    <col min="275" max="275" width="11.375" style="53" bestFit="1" customWidth="1"/>
    <col min="276" max="276" width="11.25" style="53" bestFit="1" customWidth="1"/>
    <col min="277" max="512" width="9" style="53"/>
    <col min="513" max="513" width="9" style="53" customWidth="1"/>
    <col min="514" max="514" width="10.5" style="53" bestFit="1" customWidth="1"/>
    <col min="515" max="515" width="6.625" style="53" bestFit="1" customWidth="1"/>
    <col min="516" max="516" width="7.125" style="53" bestFit="1" customWidth="1"/>
    <col min="517" max="527" width="9" style="53"/>
    <col min="528" max="528" width="4" style="53" customWidth="1"/>
    <col min="529" max="529" width="6.625" style="53" customWidth="1"/>
    <col min="530" max="530" width="8.625" style="53" customWidth="1"/>
    <col min="531" max="531" width="11.375" style="53" bestFit="1" customWidth="1"/>
    <col min="532" max="532" width="11.25" style="53" bestFit="1" customWidth="1"/>
    <col min="533" max="768" width="9" style="53"/>
    <col min="769" max="769" width="9" style="53" customWidth="1"/>
    <col min="770" max="770" width="10.5" style="53" bestFit="1" customWidth="1"/>
    <col min="771" max="771" width="6.625" style="53" bestFit="1" customWidth="1"/>
    <col min="772" max="772" width="7.125" style="53" bestFit="1" customWidth="1"/>
    <col min="773" max="783" width="9" style="53"/>
    <col min="784" max="784" width="4" style="53" customWidth="1"/>
    <col min="785" max="785" width="6.625" style="53" customWidth="1"/>
    <col min="786" max="786" width="8.625" style="53" customWidth="1"/>
    <col min="787" max="787" width="11.375" style="53" bestFit="1" customWidth="1"/>
    <col min="788" max="788" width="11.25" style="53" bestFit="1" customWidth="1"/>
    <col min="789" max="1024" width="9" style="53"/>
    <col min="1025" max="1025" width="9" style="53" customWidth="1"/>
    <col min="1026" max="1026" width="10.5" style="53" bestFit="1" customWidth="1"/>
    <col min="1027" max="1027" width="6.625" style="53" bestFit="1" customWidth="1"/>
    <col min="1028" max="1028" width="7.125" style="53" bestFit="1" customWidth="1"/>
    <col min="1029" max="1039" width="9" style="53"/>
    <col min="1040" max="1040" width="4" style="53" customWidth="1"/>
    <col min="1041" max="1041" width="6.625" style="53" customWidth="1"/>
    <col min="1042" max="1042" width="8.625" style="53" customWidth="1"/>
    <col min="1043" max="1043" width="11.375" style="53" bestFit="1" customWidth="1"/>
    <col min="1044" max="1044" width="11.25" style="53" bestFit="1" customWidth="1"/>
    <col min="1045" max="1280" width="9" style="53"/>
    <col min="1281" max="1281" width="9" style="53" customWidth="1"/>
    <col min="1282" max="1282" width="10.5" style="53" bestFit="1" customWidth="1"/>
    <col min="1283" max="1283" width="6.625" style="53" bestFit="1" customWidth="1"/>
    <col min="1284" max="1284" width="7.125" style="53" bestFit="1" customWidth="1"/>
    <col min="1285" max="1295" width="9" style="53"/>
    <col min="1296" max="1296" width="4" style="53" customWidth="1"/>
    <col min="1297" max="1297" width="6.625" style="53" customWidth="1"/>
    <col min="1298" max="1298" width="8.625" style="53" customWidth="1"/>
    <col min="1299" max="1299" width="11.375" style="53" bestFit="1" customWidth="1"/>
    <col min="1300" max="1300" width="11.25" style="53" bestFit="1" customWidth="1"/>
    <col min="1301" max="1536" width="9" style="53"/>
    <col min="1537" max="1537" width="9" style="53" customWidth="1"/>
    <col min="1538" max="1538" width="10.5" style="53" bestFit="1" customWidth="1"/>
    <col min="1539" max="1539" width="6.625" style="53" bestFit="1" customWidth="1"/>
    <col min="1540" max="1540" width="7.125" style="53" bestFit="1" customWidth="1"/>
    <col min="1541" max="1551" width="9" style="53"/>
    <col min="1552" max="1552" width="4" style="53" customWidth="1"/>
    <col min="1553" max="1553" width="6.625" style="53" customWidth="1"/>
    <col min="1554" max="1554" width="8.625" style="53" customWidth="1"/>
    <col min="1555" max="1555" width="11.375" style="53" bestFit="1" customWidth="1"/>
    <col min="1556" max="1556" width="11.25" style="53" bestFit="1" customWidth="1"/>
    <col min="1557" max="1792" width="9" style="53"/>
    <col min="1793" max="1793" width="9" style="53" customWidth="1"/>
    <col min="1794" max="1794" width="10.5" style="53" bestFit="1" customWidth="1"/>
    <col min="1795" max="1795" width="6.625" style="53" bestFit="1" customWidth="1"/>
    <col min="1796" max="1796" width="7.125" style="53" bestFit="1" customWidth="1"/>
    <col min="1797" max="1807" width="9" style="53"/>
    <col min="1808" max="1808" width="4" style="53" customWidth="1"/>
    <col min="1809" max="1809" width="6.625" style="53" customWidth="1"/>
    <col min="1810" max="1810" width="8.625" style="53" customWidth="1"/>
    <col min="1811" max="1811" width="11.375" style="53" bestFit="1" customWidth="1"/>
    <col min="1812" max="1812" width="11.25" style="53" bestFit="1" customWidth="1"/>
    <col min="1813" max="2048" width="9" style="53"/>
    <col min="2049" max="2049" width="9" style="53" customWidth="1"/>
    <col min="2050" max="2050" width="10.5" style="53" bestFit="1" customWidth="1"/>
    <col min="2051" max="2051" width="6.625" style="53" bestFit="1" customWidth="1"/>
    <col min="2052" max="2052" width="7.125" style="53" bestFit="1" customWidth="1"/>
    <col min="2053" max="2063" width="9" style="53"/>
    <col min="2064" max="2064" width="4" style="53" customWidth="1"/>
    <col min="2065" max="2065" width="6.625" style="53" customWidth="1"/>
    <col min="2066" max="2066" width="8.625" style="53" customWidth="1"/>
    <col min="2067" max="2067" width="11.375" style="53" bestFit="1" customWidth="1"/>
    <col min="2068" max="2068" width="11.25" style="53" bestFit="1" customWidth="1"/>
    <col min="2069" max="2304" width="9" style="53"/>
    <col min="2305" max="2305" width="9" style="53" customWidth="1"/>
    <col min="2306" max="2306" width="10.5" style="53" bestFit="1" customWidth="1"/>
    <col min="2307" max="2307" width="6.625" style="53" bestFit="1" customWidth="1"/>
    <col min="2308" max="2308" width="7.125" style="53" bestFit="1" customWidth="1"/>
    <col min="2309" max="2319" width="9" style="53"/>
    <col min="2320" max="2320" width="4" style="53" customWidth="1"/>
    <col min="2321" max="2321" width="6.625" style="53" customWidth="1"/>
    <col min="2322" max="2322" width="8.625" style="53" customWidth="1"/>
    <col min="2323" max="2323" width="11.375" style="53" bestFit="1" customWidth="1"/>
    <col min="2324" max="2324" width="11.25" style="53" bestFit="1" customWidth="1"/>
    <col min="2325" max="2560" width="9" style="53"/>
    <col min="2561" max="2561" width="9" style="53" customWidth="1"/>
    <col min="2562" max="2562" width="10.5" style="53" bestFit="1" customWidth="1"/>
    <col min="2563" max="2563" width="6.625" style="53" bestFit="1" customWidth="1"/>
    <col min="2564" max="2564" width="7.125" style="53" bestFit="1" customWidth="1"/>
    <col min="2565" max="2575" width="9" style="53"/>
    <col min="2576" max="2576" width="4" style="53" customWidth="1"/>
    <col min="2577" max="2577" width="6.625" style="53" customWidth="1"/>
    <col min="2578" max="2578" width="8.625" style="53" customWidth="1"/>
    <col min="2579" max="2579" width="11.375" style="53" bestFit="1" customWidth="1"/>
    <col min="2580" max="2580" width="11.25" style="53" bestFit="1" customWidth="1"/>
    <col min="2581" max="2816" width="9" style="53"/>
    <col min="2817" max="2817" width="9" style="53" customWidth="1"/>
    <col min="2818" max="2818" width="10.5" style="53" bestFit="1" customWidth="1"/>
    <col min="2819" max="2819" width="6.625" style="53" bestFit="1" customWidth="1"/>
    <col min="2820" max="2820" width="7.125" style="53" bestFit="1" customWidth="1"/>
    <col min="2821" max="2831" width="9" style="53"/>
    <col min="2832" max="2832" width="4" style="53" customWidth="1"/>
    <col min="2833" max="2833" width="6.625" style="53" customWidth="1"/>
    <col min="2834" max="2834" width="8.625" style="53" customWidth="1"/>
    <col min="2835" max="2835" width="11.375" style="53" bestFit="1" customWidth="1"/>
    <col min="2836" max="2836" width="11.25" style="53" bestFit="1" customWidth="1"/>
    <col min="2837" max="3072" width="9" style="53"/>
    <col min="3073" max="3073" width="9" style="53" customWidth="1"/>
    <col min="3074" max="3074" width="10.5" style="53" bestFit="1" customWidth="1"/>
    <col min="3075" max="3075" width="6.625" style="53" bestFit="1" customWidth="1"/>
    <col min="3076" max="3076" width="7.125" style="53" bestFit="1" customWidth="1"/>
    <col min="3077" max="3087" width="9" style="53"/>
    <col min="3088" max="3088" width="4" style="53" customWidth="1"/>
    <col min="3089" max="3089" width="6.625" style="53" customWidth="1"/>
    <col min="3090" max="3090" width="8.625" style="53" customWidth="1"/>
    <col min="3091" max="3091" width="11.375" style="53" bestFit="1" customWidth="1"/>
    <col min="3092" max="3092" width="11.25" style="53" bestFit="1" customWidth="1"/>
    <col min="3093" max="3328" width="9" style="53"/>
    <col min="3329" max="3329" width="9" style="53" customWidth="1"/>
    <col min="3330" max="3330" width="10.5" style="53" bestFit="1" customWidth="1"/>
    <col min="3331" max="3331" width="6.625" style="53" bestFit="1" customWidth="1"/>
    <col min="3332" max="3332" width="7.125" style="53" bestFit="1" customWidth="1"/>
    <col min="3333" max="3343" width="9" style="53"/>
    <col min="3344" max="3344" width="4" style="53" customWidth="1"/>
    <col min="3345" max="3345" width="6.625" style="53" customWidth="1"/>
    <col min="3346" max="3346" width="8.625" style="53" customWidth="1"/>
    <col min="3347" max="3347" width="11.375" style="53" bestFit="1" customWidth="1"/>
    <col min="3348" max="3348" width="11.25" style="53" bestFit="1" customWidth="1"/>
    <col min="3349" max="3584" width="9" style="53"/>
    <col min="3585" max="3585" width="9" style="53" customWidth="1"/>
    <col min="3586" max="3586" width="10.5" style="53" bestFit="1" customWidth="1"/>
    <col min="3587" max="3587" width="6.625" style="53" bestFit="1" customWidth="1"/>
    <col min="3588" max="3588" width="7.125" style="53" bestFit="1" customWidth="1"/>
    <col min="3589" max="3599" width="9" style="53"/>
    <col min="3600" max="3600" width="4" style="53" customWidth="1"/>
    <col min="3601" max="3601" width="6.625" style="53" customWidth="1"/>
    <col min="3602" max="3602" width="8.625" style="53" customWidth="1"/>
    <col min="3603" max="3603" width="11.375" style="53" bestFit="1" customWidth="1"/>
    <col min="3604" max="3604" width="11.25" style="53" bestFit="1" customWidth="1"/>
    <col min="3605" max="3840" width="9" style="53"/>
    <col min="3841" max="3841" width="9" style="53" customWidth="1"/>
    <col min="3842" max="3842" width="10.5" style="53" bestFit="1" customWidth="1"/>
    <col min="3843" max="3843" width="6.625" style="53" bestFit="1" customWidth="1"/>
    <col min="3844" max="3844" width="7.125" style="53" bestFit="1" customWidth="1"/>
    <col min="3845" max="3855" width="9" style="53"/>
    <col min="3856" max="3856" width="4" style="53" customWidth="1"/>
    <col min="3857" max="3857" width="6.625" style="53" customWidth="1"/>
    <col min="3858" max="3858" width="8.625" style="53" customWidth="1"/>
    <col min="3859" max="3859" width="11.375" style="53" bestFit="1" customWidth="1"/>
    <col min="3860" max="3860" width="11.25" style="53" bestFit="1" customWidth="1"/>
    <col min="3861" max="4096" width="9" style="53"/>
    <col min="4097" max="4097" width="9" style="53" customWidth="1"/>
    <col min="4098" max="4098" width="10.5" style="53" bestFit="1" customWidth="1"/>
    <col min="4099" max="4099" width="6.625" style="53" bestFit="1" customWidth="1"/>
    <col min="4100" max="4100" width="7.125" style="53" bestFit="1" customWidth="1"/>
    <col min="4101" max="4111" width="9" style="53"/>
    <col min="4112" max="4112" width="4" style="53" customWidth="1"/>
    <col min="4113" max="4113" width="6.625" style="53" customWidth="1"/>
    <col min="4114" max="4114" width="8.625" style="53" customWidth="1"/>
    <col min="4115" max="4115" width="11.375" style="53" bestFit="1" customWidth="1"/>
    <col min="4116" max="4116" width="11.25" style="53" bestFit="1" customWidth="1"/>
    <col min="4117" max="4352" width="9" style="53"/>
    <col min="4353" max="4353" width="9" style="53" customWidth="1"/>
    <col min="4354" max="4354" width="10.5" style="53" bestFit="1" customWidth="1"/>
    <col min="4355" max="4355" width="6.625" style="53" bestFit="1" customWidth="1"/>
    <col min="4356" max="4356" width="7.125" style="53" bestFit="1" customWidth="1"/>
    <col min="4357" max="4367" width="9" style="53"/>
    <col min="4368" max="4368" width="4" style="53" customWidth="1"/>
    <col min="4369" max="4369" width="6.625" style="53" customWidth="1"/>
    <col min="4370" max="4370" width="8.625" style="53" customWidth="1"/>
    <col min="4371" max="4371" width="11.375" style="53" bestFit="1" customWidth="1"/>
    <col min="4372" max="4372" width="11.25" style="53" bestFit="1" customWidth="1"/>
    <col min="4373" max="4608" width="9" style="53"/>
    <col min="4609" max="4609" width="9" style="53" customWidth="1"/>
    <col min="4610" max="4610" width="10.5" style="53" bestFit="1" customWidth="1"/>
    <col min="4611" max="4611" width="6.625" style="53" bestFit="1" customWidth="1"/>
    <col min="4612" max="4612" width="7.125" style="53" bestFit="1" customWidth="1"/>
    <col min="4613" max="4623" width="9" style="53"/>
    <col min="4624" max="4624" width="4" style="53" customWidth="1"/>
    <col min="4625" max="4625" width="6.625" style="53" customWidth="1"/>
    <col min="4626" max="4626" width="8.625" style="53" customWidth="1"/>
    <col min="4627" max="4627" width="11.375" style="53" bestFit="1" customWidth="1"/>
    <col min="4628" max="4628" width="11.25" style="53" bestFit="1" customWidth="1"/>
    <col min="4629" max="4864" width="9" style="53"/>
    <col min="4865" max="4865" width="9" style="53" customWidth="1"/>
    <col min="4866" max="4866" width="10.5" style="53" bestFit="1" customWidth="1"/>
    <col min="4867" max="4867" width="6.625" style="53" bestFit="1" customWidth="1"/>
    <col min="4868" max="4868" width="7.125" style="53" bestFit="1" customWidth="1"/>
    <col min="4869" max="4879" width="9" style="53"/>
    <col min="4880" max="4880" width="4" style="53" customWidth="1"/>
    <col min="4881" max="4881" width="6.625" style="53" customWidth="1"/>
    <col min="4882" max="4882" width="8.625" style="53" customWidth="1"/>
    <col min="4883" max="4883" width="11.375" style="53" bestFit="1" customWidth="1"/>
    <col min="4884" max="4884" width="11.25" style="53" bestFit="1" customWidth="1"/>
    <col min="4885" max="5120" width="9" style="53"/>
    <col min="5121" max="5121" width="9" style="53" customWidth="1"/>
    <col min="5122" max="5122" width="10.5" style="53" bestFit="1" customWidth="1"/>
    <col min="5123" max="5123" width="6.625" style="53" bestFit="1" customWidth="1"/>
    <col min="5124" max="5124" width="7.125" style="53" bestFit="1" customWidth="1"/>
    <col min="5125" max="5135" width="9" style="53"/>
    <col min="5136" max="5136" width="4" style="53" customWidth="1"/>
    <col min="5137" max="5137" width="6.625" style="53" customWidth="1"/>
    <col min="5138" max="5138" width="8.625" style="53" customWidth="1"/>
    <col min="5139" max="5139" width="11.375" style="53" bestFit="1" customWidth="1"/>
    <col min="5140" max="5140" width="11.25" style="53" bestFit="1" customWidth="1"/>
    <col min="5141" max="5376" width="9" style="53"/>
    <col min="5377" max="5377" width="9" style="53" customWidth="1"/>
    <col min="5378" max="5378" width="10.5" style="53" bestFit="1" customWidth="1"/>
    <col min="5379" max="5379" width="6.625" style="53" bestFit="1" customWidth="1"/>
    <col min="5380" max="5380" width="7.125" style="53" bestFit="1" customWidth="1"/>
    <col min="5381" max="5391" width="9" style="53"/>
    <col min="5392" max="5392" width="4" style="53" customWidth="1"/>
    <col min="5393" max="5393" width="6.625" style="53" customWidth="1"/>
    <col min="5394" max="5394" width="8.625" style="53" customWidth="1"/>
    <col min="5395" max="5395" width="11.375" style="53" bestFit="1" customWidth="1"/>
    <col min="5396" max="5396" width="11.25" style="53" bestFit="1" customWidth="1"/>
    <col min="5397" max="5632" width="9" style="53"/>
    <col min="5633" max="5633" width="9" style="53" customWidth="1"/>
    <col min="5634" max="5634" width="10.5" style="53" bestFit="1" customWidth="1"/>
    <col min="5635" max="5635" width="6.625" style="53" bestFit="1" customWidth="1"/>
    <col min="5636" max="5636" width="7.125" style="53" bestFit="1" customWidth="1"/>
    <col min="5637" max="5647" width="9" style="53"/>
    <col min="5648" max="5648" width="4" style="53" customWidth="1"/>
    <col min="5649" max="5649" width="6.625" style="53" customWidth="1"/>
    <col min="5650" max="5650" width="8.625" style="53" customWidth="1"/>
    <col min="5651" max="5651" width="11.375" style="53" bestFit="1" customWidth="1"/>
    <col min="5652" max="5652" width="11.25" style="53" bestFit="1" customWidth="1"/>
    <col min="5653" max="5888" width="9" style="53"/>
    <col min="5889" max="5889" width="9" style="53" customWidth="1"/>
    <col min="5890" max="5890" width="10.5" style="53" bestFit="1" customWidth="1"/>
    <col min="5891" max="5891" width="6.625" style="53" bestFit="1" customWidth="1"/>
    <col min="5892" max="5892" width="7.125" style="53" bestFit="1" customWidth="1"/>
    <col min="5893" max="5903" width="9" style="53"/>
    <col min="5904" max="5904" width="4" style="53" customWidth="1"/>
    <col min="5905" max="5905" width="6.625" style="53" customWidth="1"/>
    <col min="5906" max="5906" width="8.625" style="53" customWidth="1"/>
    <col min="5907" max="5907" width="11.375" style="53" bestFit="1" customWidth="1"/>
    <col min="5908" max="5908" width="11.25" style="53" bestFit="1" customWidth="1"/>
    <col min="5909" max="6144" width="9" style="53"/>
    <col min="6145" max="6145" width="9" style="53" customWidth="1"/>
    <col min="6146" max="6146" width="10.5" style="53" bestFit="1" customWidth="1"/>
    <col min="6147" max="6147" width="6.625" style="53" bestFit="1" customWidth="1"/>
    <col min="6148" max="6148" width="7.125" style="53" bestFit="1" customWidth="1"/>
    <col min="6149" max="6159" width="9" style="53"/>
    <col min="6160" max="6160" width="4" style="53" customWidth="1"/>
    <col min="6161" max="6161" width="6.625" style="53" customWidth="1"/>
    <col min="6162" max="6162" width="8.625" style="53" customWidth="1"/>
    <col min="6163" max="6163" width="11.375" style="53" bestFit="1" customWidth="1"/>
    <col min="6164" max="6164" width="11.25" style="53" bestFit="1" customWidth="1"/>
    <col min="6165" max="6400" width="9" style="53"/>
    <col min="6401" max="6401" width="9" style="53" customWidth="1"/>
    <col min="6402" max="6402" width="10.5" style="53" bestFit="1" customWidth="1"/>
    <col min="6403" max="6403" width="6.625" style="53" bestFit="1" customWidth="1"/>
    <col min="6404" max="6404" width="7.125" style="53" bestFit="1" customWidth="1"/>
    <col min="6405" max="6415" width="9" style="53"/>
    <col min="6416" max="6416" width="4" style="53" customWidth="1"/>
    <col min="6417" max="6417" width="6.625" style="53" customWidth="1"/>
    <col min="6418" max="6418" width="8.625" style="53" customWidth="1"/>
    <col min="6419" max="6419" width="11.375" style="53" bestFit="1" customWidth="1"/>
    <col min="6420" max="6420" width="11.25" style="53" bestFit="1" customWidth="1"/>
    <col min="6421" max="6656" width="9" style="53"/>
    <col min="6657" max="6657" width="9" style="53" customWidth="1"/>
    <col min="6658" max="6658" width="10.5" style="53" bestFit="1" customWidth="1"/>
    <col min="6659" max="6659" width="6.625" style="53" bestFit="1" customWidth="1"/>
    <col min="6660" max="6660" width="7.125" style="53" bestFit="1" customWidth="1"/>
    <col min="6661" max="6671" width="9" style="53"/>
    <col min="6672" max="6672" width="4" style="53" customWidth="1"/>
    <col min="6673" max="6673" width="6.625" style="53" customWidth="1"/>
    <col min="6674" max="6674" width="8.625" style="53" customWidth="1"/>
    <col min="6675" max="6675" width="11.375" style="53" bestFit="1" customWidth="1"/>
    <col min="6676" max="6676" width="11.25" style="53" bestFit="1" customWidth="1"/>
    <col min="6677" max="6912" width="9" style="53"/>
    <col min="6913" max="6913" width="9" style="53" customWidth="1"/>
    <col min="6914" max="6914" width="10.5" style="53" bestFit="1" customWidth="1"/>
    <col min="6915" max="6915" width="6.625" style="53" bestFit="1" customWidth="1"/>
    <col min="6916" max="6916" width="7.125" style="53" bestFit="1" customWidth="1"/>
    <col min="6917" max="6927" width="9" style="53"/>
    <col min="6928" max="6928" width="4" style="53" customWidth="1"/>
    <col min="6929" max="6929" width="6.625" style="53" customWidth="1"/>
    <col min="6930" max="6930" width="8.625" style="53" customWidth="1"/>
    <col min="6931" max="6931" width="11.375" style="53" bestFit="1" customWidth="1"/>
    <col min="6932" max="6932" width="11.25" style="53" bestFit="1" customWidth="1"/>
    <col min="6933" max="7168" width="9" style="53"/>
    <col min="7169" max="7169" width="9" style="53" customWidth="1"/>
    <col min="7170" max="7170" width="10.5" style="53" bestFit="1" customWidth="1"/>
    <col min="7171" max="7171" width="6.625" style="53" bestFit="1" customWidth="1"/>
    <col min="7172" max="7172" width="7.125" style="53" bestFit="1" customWidth="1"/>
    <col min="7173" max="7183" width="9" style="53"/>
    <col min="7184" max="7184" width="4" style="53" customWidth="1"/>
    <col min="7185" max="7185" width="6.625" style="53" customWidth="1"/>
    <col min="7186" max="7186" width="8.625" style="53" customWidth="1"/>
    <col min="7187" max="7187" width="11.375" style="53" bestFit="1" customWidth="1"/>
    <col min="7188" max="7188" width="11.25" style="53" bestFit="1" customWidth="1"/>
    <col min="7189" max="7424" width="9" style="53"/>
    <col min="7425" max="7425" width="9" style="53" customWidth="1"/>
    <col min="7426" max="7426" width="10.5" style="53" bestFit="1" customWidth="1"/>
    <col min="7427" max="7427" width="6.625" style="53" bestFit="1" customWidth="1"/>
    <col min="7428" max="7428" width="7.125" style="53" bestFit="1" customWidth="1"/>
    <col min="7429" max="7439" width="9" style="53"/>
    <col min="7440" max="7440" width="4" style="53" customWidth="1"/>
    <col min="7441" max="7441" width="6.625" style="53" customWidth="1"/>
    <col min="7442" max="7442" width="8.625" style="53" customWidth="1"/>
    <col min="7443" max="7443" width="11.375" style="53" bestFit="1" customWidth="1"/>
    <col min="7444" max="7444" width="11.25" style="53" bestFit="1" customWidth="1"/>
    <col min="7445" max="7680" width="9" style="53"/>
    <col min="7681" max="7681" width="9" style="53" customWidth="1"/>
    <col min="7682" max="7682" width="10.5" style="53" bestFit="1" customWidth="1"/>
    <col min="7683" max="7683" width="6.625" style="53" bestFit="1" customWidth="1"/>
    <col min="7684" max="7684" width="7.125" style="53" bestFit="1" customWidth="1"/>
    <col min="7685" max="7695" width="9" style="53"/>
    <col min="7696" max="7696" width="4" style="53" customWidth="1"/>
    <col min="7697" max="7697" width="6.625" style="53" customWidth="1"/>
    <col min="7698" max="7698" width="8.625" style="53" customWidth="1"/>
    <col min="7699" max="7699" width="11.375" style="53" bestFit="1" customWidth="1"/>
    <col min="7700" max="7700" width="11.25" style="53" bestFit="1" customWidth="1"/>
    <col min="7701" max="7936" width="9" style="53"/>
    <col min="7937" max="7937" width="9" style="53" customWidth="1"/>
    <col min="7938" max="7938" width="10.5" style="53" bestFit="1" customWidth="1"/>
    <col min="7939" max="7939" width="6.625" style="53" bestFit="1" customWidth="1"/>
    <col min="7940" max="7940" width="7.125" style="53" bestFit="1" customWidth="1"/>
    <col min="7941" max="7951" width="9" style="53"/>
    <col min="7952" max="7952" width="4" style="53" customWidth="1"/>
    <col min="7953" max="7953" width="6.625" style="53" customWidth="1"/>
    <col min="7954" max="7954" width="8.625" style="53" customWidth="1"/>
    <col min="7955" max="7955" width="11.375" style="53" bestFit="1" customWidth="1"/>
    <col min="7956" max="7956" width="11.25" style="53" bestFit="1" customWidth="1"/>
    <col min="7957" max="8192" width="9" style="53"/>
    <col min="8193" max="8193" width="9" style="53" customWidth="1"/>
    <col min="8194" max="8194" width="10.5" style="53" bestFit="1" customWidth="1"/>
    <col min="8195" max="8195" width="6.625" style="53" bestFit="1" customWidth="1"/>
    <col min="8196" max="8196" width="7.125" style="53" bestFit="1" customWidth="1"/>
    <col min="8197" max="8207" width="9" style="53"/>
    <col min="8208" max="8208" width="4" style="53" customWidth="1"/>
    <col min="8209" max="8209" width="6.625" style="53" customWidth="1"/>
    <col min="8210" max="8210" width="8.625" style="53" customWidth="1"/>
    <col min="8211" max="8211" width="11.375" style="53" bestFit="1" customWidth="1"/>
    <col min="8212" max="8212" width="11.25" style="53" bestFit="1" customWidth="1"/>
    <col min="8213" max="8448" width="9" style="53"/>
    <col min="8449" max="8449" width="9" style="53" customWidth="1"/>
    <col min="8450" max="8450" width="10.5" style="53" bestFit="1" customWidth="1"/>
    <col min="8451" max="8451" width="6.625" style="53" bestFit="1" customWidth="1"/>
    <col min="8452" max="8452" width="7.125" style="53" bestFit="1" customWidth="1"/>
    <col min="8453" max="8463" width="9" style="53"/>
    <col min="8464" max="8464" width="4" style="53" customWidth="1"/>
    <col min="8465" max="8465" width="6.625" style="53" customWidth="1"/>
    <col min="8466" max="8466" width="8.625" style="53" customWidth="1"/>
    <col min="8467" max="8467" width="11.375" style="53" bestFit="1" customWidth="1"/>
    <col min="8468" max="8468" width="11.25" style="53" bestFit="1" customWidth="1"/>
    <col min="8469" max="8704" width="9" style="53"/>
    <col min="8705" max="8705" width="9" style="53" customWidth="1"/>
    <col min="8706" max="8706" width="10.5" style="53" bestFit="1" customWidth="1"/>
    <col min="8707" max="8707" width="6.625" style="53" bestFit="1" customWidth="1"/>
    <col min="8708" max="8708" width="7.125" style="53" bestFit="1" customWidth="1"/>
    <col min="8709" max="8719" width="9" style="53"/>
    <col min="8720" max="8720" width="4" style="53" customWidth="1"/>
    <col min="8721" max="8721" width="6.625" style="53" customWidth="1"/>
    <col min="8722" max="8722" width="8.625" style="53" customWidth="1"/>
    <col min="8723" max="8723" width="11.375" style="53" bestFit="1" customWidth="1"/>
    <col min="8724" max="8724" width="11.25" style="53" bestFit="1" customWidth="1"/>
    <col min="8725" max="8960" width="9" style="53"/>
    <col min="8961" max="8961" width="9" style="53" customWidth="1"/>
    <col min="8962" max="8962" width="10.5" style="53" bestFit="1" customWidth="1"/>
    <col min="8963" max="8963" width="6.625" style="53" bestFit="1" customWidth="1"/>
    <col min="8964" max="8964" width="7.125" style="53" bestFit="1" customWidth="1"/>
    <col min="8965" max="8975" width="9" style="53"/>
    <col min="8976" max="8976" width="4" style="53" customWidth="1"/>
    <col min="8977" max="8977" width="6.625" style="53" customWidth="1"/>
    <col min="8978" max="8978" width="8.625" style="53" customWidth="1"/>
    <col min="8979" max="8979" width="11.375" style="53" bestFit="1" customWidth="1"/>
    <col min="8980" max="8980" width="11.25" style="53" bestFit="1" customWidth="1"/>
    <col min="8981" max="9216" width="9" style="53"/>
    <col min="9217" max="9217" width="9" style="53" customWidth="1"/>
    <col min="9218" max="9218" width="10.5" style="53" bestFit="1" customWidth="1"/>
    <col min="9219" max="9219" width="6.625" style="53" bestFit="1" customWidth="1"/>
    <col min="9220" max="9220" width="7.125" style="53" bestFit="1" customWidth="1"/>
    <col min="9221" max="9231" width="9" style="53"/>
    <col min="9232" max="9232" width="4" style="53" customWidth="1"/>
    <col min="9233" max="9233" width="6.625" style="53" customWidth="1"/>
    <col min="9234" max="9234" width="8.625" style="53" customWidth="1"/>
    <col min="9235" max="9235" width="11.375" style="53" bestFit="1" customWidth="1"/>
    <col min="9236" max="9236" width="11.25" style="53" bestFit="1" customWidth="1"/>
    <col min="9237" max="9472" width="9" style="53"/>
    <col min="9473" max="9473" width="9" style="53" customWidth="1"/>
    <col min="9474" max="9474" width="10.5" style="53" bestFit="1" customWidth="1"/>
    <col min="9475" max="9475" width="6.625" style="53" bestFit="1" customWidth="1"/>
    <col min="9476" max="9476" width="7.125" style="53" bestFit="1" customWidth="1"/>
    <col min="9477" max="9487" width="9" style="53"/>
    <col min="9488" max="9488" width="4" style="53" customWidth="1"/>
    <col min="9489" max="9489" width="6.625" style="53" customWidth="1"/>
    <col min="9490" max="9490" width="8.625" style="53" customWidth="1"/>
    <col min="9491" max="9491" width="11.375" style="53" bestFit="1" customWidth="1"/>
    <col min="9492" max="9492" width="11.25" style="53" bestFit="1" customWidth="1"/>
    <col min="9493" max="9728" width="9" style="53"/>
    <col min="9729" max="9729" width="9" style="53" customWidth="1"/>
    <col min="9730" max="9730" width="10.5" style="53" bestFit="1" customWidth="1"/>
    <col min="9731" max="9731" width="6.625" style="53" bestFit="1" customWidth="1"/>
    <col min="9732" max="9732" width="7.125" style="53" bestFit="1" customWidth="1"/>
    <col min="9733" max="9743" width="9" style="53"/>
    <col min="9744" max="9744" width="4" style="53" customWidth="1"/>
    <col min="9745" max="9745" width="6.625" style="53" customWidth="1"/>
    <col min="9746" max="9746" width="8.625" style="53" customWidth="1"/>
    <col min="9747" max="9747" width="11.375" style="53" bestFit="1" customWidth="1"/>
    <col min="9748" max="9748" width="11.25" style="53" bestFit="1" customWidth="1"/>
    <col min="9749" max="9984" width="9" style="53"/>
    <col min="9985" max="9985" width="9" style="53" customWidth="1"/>
    <col min="9986" max="9986" width="10.5" style="53" bestFit="1" customWidth="1"/>
    <col min="9987" max="9987" width="6.625" style="53" bestFit="1" customWidth="1"/>
    <col min="9988" max="9988" width="7.125" style="53" bestFit="1" customWidth="1"/>
    <col min="9989" max="9999" width="9" style="53"/>
    <col min="10000" max="10000" width="4" style="53" customWidth="1"/>
    <col min="10001" max="10001" width="6.625" style="53" customWidth="1"/>
    <col min="10002" max="10002" width="8.625" style="53" customWidth="1"/>
    <col min="10003" max="10003" width="11.375" style="53" bestFit="1" customWidth="1"/>
    <col min="10004" max="10004" width="11.25" style="53" bestFit="1" customWidth="1"/>
    <col min="10005" max="10240" width="9" style="53"/>
    <col min="10241" max="10241" width="9" style="53" customWidth="1"/>
    <col min="10242" max="10242" width="10.5" style="53" bestFit="1" customWidth="1"/>
    <col min="10243" max="10243" width="6.625" style="53" bestFit="1" customWidth="1"/>
    <col min="10244" max="10244" width="7.125" style="53" bestFit="1" customWidth="1"/>
    <col min="10245" max="10255" width="9" style="53"/>
    <col min="10256" max="10256" width="4" style="53" customWidth="1"/>
    <col min="10257" max="10257" width="6.625" style="53" customWidth="1"/>
    <col min="10258" max="10258" width="8.625" style="53" customWidth="1"/>
    <col min="10259" max="10259" width="11.375" style="53" bestFit="1" customWidth="1"/>
    <col min="10260" max="10260" width="11.25" style="53" bestFit="1" customWidth="1"/>
    <col min="10261" max="10496" width="9" style="53"/>
    <col min="10497" max="10497" width="9" style="53" customWidth="1"/>
    <col min="10498" max="10498" width="10.5" style="53" bestFit="1" customWidth="1"/>
    <col min="10499" max="10499" width="6.625" style="53" bestFit="1" customWidth="1"/>
    <col min="10500" max="10500" width="7.125" style="53" bestFit="1" customWidth="1"/>
    <col min="10501" max="10511" width="9" style="53"/>
    <col min="10512" max="10512" width="4" style="53" customWidth="1"/>
    <col min="10513" max="10513" width="6.625" style="53" customWidth="1"/>
    <col min="10514" max="10514" width="8.625" style="53" customWidth="1"/>
    <col min="10515" max="10515" width="11.375" style="53" bestFit="1" customWidth="1"/>
    <col min="10516" max="10516" width="11.25" style="53" bestFit="1" customWidth="1"/>
    <col min="10517" max="10752" width="9" style="53"/>
    <col min="10753" max="10753" width="9" style="53" customWidth="1"/>
    <col min="10754" max="10754" width="10.5" style="53" bestFit="1" customWidth="1"/>
    <col min="10755" max="10755" width="6.625" style="53" bestFit="1" customWidth="1"/>
    <col min="10756" max="10756" width="7.125" style="53" bestFit="1" customWidth="1"/>
    <col min="10757" max="10767" width="9" style="53"/>
    <col min="10768" max="10768" width="4" style="53" customWidth="1"/>
    <col min="10769" max="10769" width="6.625" style="53" customWidth="1"/>
    <col min="10770" max="10770" width="8.625" style="53" customWidth="1"/>
    <col min="10771" max="10771" width="11.375" style="53" bestFit="1" customWidth="1"/>
    <col min="10772" max="10772" width="11.25" style="53" bestFit="1" customWidth="1"/>
    <col min="10773" max="11008" width="9" style="53"/>
    <col min="11009" max="11009" width="9" style="53" customWidth="1"/>
    <col min="11010" max="11010" width="10.5" style="53" bestFit="1" customWidth="1"/>
    <col min="11011" max="11011" width="6.625" style="53" bestFit="1" customWidth="1"/>
    <col min="11012" max="11012" width="7.125" style="53" bestFit="1" customWidth="1"/>
    <col min="11013" max="11023" width="9" style="53"/>
    <col min="11024" max="11024" width="4" style="53" customWidth="1"/>
    <col min="11025" max="11025" width="6.625" style="53" customWidth="1"/>
    <col min="11026" max="11026" width="8.625" style="53" customWidth="1"/>
    <col min="11027" max="11027" width="11.375" style="53" bestFit="1" customWidth="1"/>
    <col min="11028" max="11028" width="11.25" style="53" bestFit="1" customWidth="1"/>
    <col min="11029" max="11264" width="9" style="53"/>
    <col min="11265" max="11265" width="9" style="53" customWidth="1"/>
    <col min="11266" max="11266" width="10.5" style="53" bestFit="1" customWidth="1"/>
    <col min="11267" max="11267" width="6.625" style="53" bestFit="1" customWidth="1"/>
    <col min="11268" max="11268" width="7.125" style="53" bestFit="1" customWidth="1"/>
    <col min="11269" max="11279" width="9" style="53"/>
    <col min="11280" max="11280" width="4" style="53" customWidth="1"/>
    <col min="11281" max="11281" width="6.625" style="53" customWidth="1"/>
    <col min="11282" max="11282" width="8.625" style="53" customWidth="1"/>
    <col min="11283" max="11283" width="11.375" style="53" bestFit="1" customWidth="1"/>
    <col min="11284" max="11284" width="11.25" style="53" bestFit="1" customWidth="1"/>
    <col min="11285" max="11520" width="9" style="53"/>
    <col min="11521" max="11521" width="9" style="53" customWidth="1"/>
    <col min="11522" max="11522" width="10.5" style="53" bestFit="1" customWidth="1"/>
    <col min="11523" max="11523" width="6.625" style="53" bestFit="1" customWidth="1"/>
    <col min="11524" max="11524" width="7.125" style="53" bestFit="1" customWidth="1"/>
    <col min="11525" max="11535" width="9" style="53"/>
    <col min="11536" max="11536" width="4" style="53" customWidth="1"/>
    <col min="11537" max="11537" width="6.625" style="53" customWidth="1"/>
    <col min="11538" max="11538" width="8.625" style="53" customWidth="1"/>
    <col min="11539" max="11539" width="11.375" style="53" bestFit="1" customWidth="1"/>
    <col min="11540" max="11540" width="11.25" style="53" bestFit="1" customWidth="1"/>
    <col min="11541" max="11776" width="9" style="53"/>
    <col min="11777" max="11777" width="9" style="53" customWidth="1"/>
    <col min="11778" max="11778" width="10.5" style="53" bestFit="1" customWidth="1"/>
    <col min="11779" max="11779" width="6.625" style="53" bestFit="1" customWidth="1"/>
    <col min="11780" max="11780" width="7.125" style="53" bestFit="1" customWidth="1"/>
    <col min="11781" max="11791" width="9" style="53"/>
    <col min="11792" max="11792" width="4" style="53" customWidth="1"/>
    <col min="11793" max="11793" width="6.625" style="53" customWidth="1"/>
    <col min="11794" max="11794" width="8.625" style="53" customWidth="1"/>
    <col min="11795" max="11795" width="11.375" style="53" bestFit="1" customWidth="1"/>
    <col min="11796" max="11796" width="11.25" style="53" bestFit="1" customWidth="1"/>
    <col min="11797" max="12032" width="9" style="53"/>
    <col min="12033" max="12033" width="9" style="53" customWidth="1"/>
    <col min="12034" max="12034" width="10.5" style="53" bestFit="1" customWidth="1"/>
    <col min="12035" max="12035" width="6.625" style="53" bestFit="1" customWidth="1"/>
    <col min="12036" max="12036" width="7.125" style="53" bestFit="1" customWidth="1"/>
    <col min="12037" max="12047" width="9" style="53"/>
    <col min="12048" max="12048" width="4" style="53" customWidth="1"/>
    <col min="12049" max="12049" width="6.625" style="53" customWidth="1"/>
    <col min="12050" max="12050" width="8.625" style="53" customWidth="1"/>
    <col min="12051" max="12051" width="11.375" style="53" bestFit="1" customWidth="1"/>
    <col min="12052" max="12052" width="11.25" style="53" bestFit="1" customWidth="1"/>
    <col min="12053" max="12288" width="9" style="53"/>
    <col min="12289" max="12289" width="9" style="53" customWidth="1"/>
    <col min="12290" max="12290" width="10.5" style="53" bestFit="1" customWidth="1"/>
    <col min="12291" max="12291" width="6.625" style="53" bestFit="1" customWidth="1"/>
    <col min="12292" max="12292" width="7.125" style="53" bestFit="1" customWidth="1"/>
    <col min="12293" max="12303" width="9" style="53"/>
    <col min="12304" max="12304" width="4" style="53" customWidth="1"/>
    <col min="12305" max="12305" width="6.625" style="53" customWidth="1"/>
    <col min="12306" max="12306" width="8.625" style="53" customWidth="1"/>
    <col min="12307" max="12307" width="11.375" style="53" bestFit="1" customWidth="1"/>
    <col min="12308" max="12308" width="11.25" style="53" bestFit="1" customWidth="1"/>
    <col min="12309" max="12544" width="9" style="53"/>
    <col min="12545" max="12545" width="9" style="53" customWidth="1"/>
    <col min="12546" max="12546" width="10.5" style="53" bestFit="1" customWidth="1"/>
    <col min="12547" max="12547" width="6.625" style="53" bestFit="1" customWidth="1"/>
    <col min="12548" max="12548" width="7.125" style="53" bestFit="1" customWidth="1"/>
    <col min="12549" max="12559" width="9" style="53"/>
    <col min="12560" max="12560" width="4" style="53" customWidth="1"/>
    <col min="12561" max="12561" width="6.625" style="53" customWidth="1"/>
    <col min="12562" max="12562" width="8.625" style="53" customWidth="1"/>
    <col min="12563" max="12563" width="11.375" style="53" bestFit="1" customWidth="1"/>
    <col min="12564" max="12564" width="11.25" style="53" bestFit="1" customWidth="1"/>
    <col min="12565" max="12800" width="9" style="53"/>
    <col min="12801" max="12801" width="9" style="53" customWidth="1"/>
    <col min="12802" max="12802" width="10.5" style="53" bestFit="1" customWidth="1"/>
    <col min="12803" max="12803" width="6.625" style="53" bestFit="1" customWidth="1"/>
    <col min="12804" max="12804" width="7.125" style="53" bestFit="1" customWidth="1"/>
    <col min="12805" max="12815" width="9" style="53"/>
    <col min="12816" max="12816" width="4" style="53" customWidth="1"/>
    <col min="12817" max="12817" width="6.625" style="53" customWidth="1"/>
    <col min="12818" max="12818" width="8.625" style="53" customWidth="1"/>
    <col min="12819" max="12819" width="11.375" style="53" bestFit="1" customWidth="1"/>
    <col min="12820" max="12820" width="11.25" style="53" bestFit="1" customWidth="1"/>
    <col min="12821" max="13056" width="9" style="53"/>
    <col min="13057" max="13057" width="9" style="53" customWidth="1"/>
    <col min="13058" max="13058" width="10.5" style="53" bestFit="1" customWidth="1"/>
    <col min="13059" max="13059" width="6.625" style="53" bestFit="1" customWidth="1"/>
    <col min="13060" max="13060" width="7.125" style="53" bestFit="1" customWidth="1"/>
    <col min="13061" max="13071" width="9" style="53"/>
    <col min="13072" max="13072" width="4" style="53" customWidth="1"/>
    <col min="13073" max="13073" width="6.625" style="53" customWidth="1"/>
    <col min="13074" max="13074" width="8.625" style="53" customWidth="1"/>
    <col min="13075" max="13075" width="11.375" style="53" bestFit="1" customWidth="1"/>
    <col min="13076" max="13076" width="11.25" style="53" bestFit="1" customWidth="1"/>
    <col min="13077" max="13312" width="9" style="53"/>
    <col min="13313" max="13313" width="9" style="53" customWidth="1"/>
    <col min="13314" max="13314" width="10.5" style="53" bestFit="1" customWidth="1"/>
    <col min="13315" max="13315" width="6.625" style="53" bestFit="1" customWidth="1"/>
    <col min="13316" max="13316" width="7.125" style="53" bestFit="1" customWidth="1"/>
    <col min="13317" max="13327" width="9" style="53"/>
    <col min="13328" max="13328" width="4" style="53" customWidth="1"/>
    <col min="13329" max="13329" width="6.625" style="53" customWidth="1"/>
    <col min="13330" max="13330" width="8.625" style="53" customWidth="1"/>
    <col min="13331" max="13331" width="11.375" style="53" bestFit="1" customWidth="1"/>
    <col min="13332" max="13332" width="11.25" style="53" bestFit="1" customWidth="1"/>
    <col min="13333" max="13568" width="9" style="53"/>
    <col min="13569" max="13569" width="9" style="53" customWidth="1"/>
    <col min="13570" max="13570" width="10.5" style="53" bestFit="1" customWidth="1"/>
    <col min="13571" max="13571" width="6.625" style="53" bestFit="1" customWidth="1"/>
    <col min="13572" max="13572" width="7.125" style="53" bestFit="1" customWidth="1"/>
    <col min="13573" max="13583" width="9" style="53"/>
    <col min="13584" max="13584" width="4" style="53" customWidth="1"/>
    <col min="13585" max="13585" width="6.625" style="53" customWidth="1"/>
    <col min="13586" max="13586" width="8.625" style="53" customWidth="1"/>
    <col min="13587" max="13587" width="11.375" style="53" bestFit="1" customWidth="1"/>
    <col min="13588" max="13588" width="11.25" style="53" bestFit="1" customWidth="1"/>
    <col min="13589" max="13824" width="9" style="53"/>
    <col min="13825" max="13825" width="9" style="53" customWidth="1"/>
    <col min="13826" max="13826" width="10.5" style="53" bestFit="1" customWidth="1"/>
    <col min="13827" max="13827" width="6.625" style="53" bestFit="1" customWidth="1"/>
    <col min="13828" max="13828" width="7.125" style="53" bestFit="1" customWidth="1"/>
    <col min="13829" max="13839" width="9" style="53"/>
    <col min="13840" max="13840" width="4" style="53" customWidth="1"/>
    <col min="13841" max="13841" width="6.625" style="53" customWidth="1"/>
    <col min="13842" max="13842" width="8.625" style="53" customWidth="1"/>
    <col min="13843" max="13843" width="11.375" style="53" bestFit="1" customWidth="1"/>
    <col min="13844" max="13844" width="11.25" style="53" bestFit="1" customWidth="1"/>
    <col min="13845" max="14080" width="9" style="53"/>
    <col min="14081" max="14081" width="9" style="53" customWidth="1"/>
    <col min="14082" max="14082" width="10.5" style="53" bestFit="1" customWidth="1"/>
    <col min="14083" max="14083" width="6.625" style="53" bestFit="1" customWidth="1"/>
    <col min="14084" max="14084" width="7.125" style="53" bestFit="1" customWidth="1"/>
    <col min="14085" max="14095" width="9" style="53"/>
    <col min="14096" max="14096" width="4" style="53" customWidth="1"/>
    <col min="14097" max="14097" width="6.625" style="53" customWidth="1"/>
    <col min="14098" max="14098" width="8.625" style="53" customWidth="1"/>
    <col min="14099" max="14099" width="11.375" style="53" bestFit="1" customWidth="1"/>
    <col min="14100" max="14100" width="11.25" style="53" bestFit="1" customWidth="1"/>
    <col min="14101" max="14336" width="9" style="53"/>
    <col min="14337" max="14337" width="9" style="53" customWidth="1"/>
    <col min="14338" max="14338" width="10.5" style="53" bestFit="1" customWidth="1"/>
    <col min="14339" max="14339" width="6.625" style="53" bestFit="1" customWidth="1"/>
    <col min="14340" max="14340" width="7.125" style="53" bestFit="1" customWidth="1"/>
    <col min="14341" max="14351" width="9" style="53"/>
    <col min="14352" max="14352" width="4" style="53" customWidth="1"/>
    <col min="14353" max="14353" width="6.625" style="53" customWidth="1"/>
    <col min="14354" max="14354" width="8.625" style="53" customWidth="1"/>
    <col min="14355" max="14355" width="11.375" style="53" bestFit="1" customWidth="1"/>
    <col min="14356" max="14356" width="11.25" style="53" bestFit="1" customWidth="1"/>
    <col min="14357" max="14592" width="9" style="53"/>
    <col min="14593" max="14593" width="9" style="53" customWidth="1"/>
    <col min="14594" max="14594" width="10.5" style="53" bestFit="1" customWidth="1"/>
    <col min="14595" max="14595" width="6.625" style="53" bestFit="1" customWidth="1"/>
    <col min="14596" max="14596" width="7.125" style="53" bestFit="1" customWidth="1"/>
    <col min="14597" max="14607" width="9" style="53"/>
    <col min="14608" max="14608" width="4" style="53" customWidth="1"/>
    <col min="14609" max="14609" width="6.625" style="53" customWidth="1"/>
    <col min="14610" max="14610" width="8.625" style="53" customWidth="1"/>
    <col min="14611" max="14611" width="11.375" style="53" bestFit="1" customWidth="1"/>
    <col min="14612" max="14612" width="11.25" style="53" bestFit="1" customWidth="1"/>
    <col min="14613" max="14848" width="9" style="53"/>
    <col min="14849" max="14849" width="9" style="53" customWidth="1"/>
    <col min="14850" max="14850" width="10.5" style="53" bestFit="1" customWidth="1"/>
    <col min="14851" max="14851" width="6.625" style="53" bestFit="1" customWidth="1"/>
    <col min="14852" max="14852" width="7.125" style="53" bestFit="1" customWidth="1"/>
    <col min="14853" max="14863" width="9" style="53"/>
    <col min="14864" max="14864" width="4" style="53" customWidth="1"/>
    <col min="14865" max="14865" width="6.625" style="53" customWidth="1"/>
    <col min="14866" max="14866" width="8.625" style="53" customWidth="1"/>
    <col min="14867" max="14867" width="11.375" style="53" bestFit="1" customWidth="1"/>
    <col min="14868" max="14868" width="11.25" style="53" bestFit="1" customWidth="1"/>
    <col min="14869" max="15104" width="9" style="53"/>
    <col min="15105" max="15105" width="9" style="53" customWidth="1"/>
    <col min="15106" max="15106" width="10.5" style="53" bestFit="1" customWidth="1"/>
    <col min="15107" max="15107" width="6.625" style="53" bestFit="1" customWidth="1"/>
    <col min="15108" max="15108" width="7.125" style="53" bestFit="1" customWidth="1"/>
    <col min="15109" max="15119" width="9" style="53"/>
    <col min="15120" max="15120" width="4" style="53" customWidth="1"/>
    <col min="15121" max="15121" width="6.625" style="53" customWidth="1"/>
    <col min="15122" max="15122" width="8.625" style="53" customWidth="1"/>
    <col min="15123" max="15123" width="11.375" style="53" bestFit="1" customWidth="1"/>
    <col min="15124" max="15124" width="11.25" style="53" bestFit="1" customWidth="1"/>
    <col min="15125" max="15360" width="9" style="53"/>
    <col min="15361" max="15361" width="9" style="53" customWidth="1"/>
    <col min="15362" max="15362" width="10.5" style="53" bestFit="1" customWidth="1"/>
    <col min="15363" max="15363" width="6.625" style="53" bestFit="1" customWidth="1"/>
    <col min="15364" max="15364" width="7.125" style="53" bestFit="1" customWidth="1"/>
    <col min="15365" max="15375" width="9" style="53"/>
    <col min="15376" max="15376" width="4" style="53" customWidth="1"/>
    <col min="15377" max="15377" width="6.625" style="53" customWidth="1"/>
    <col min="15378" max="15378" width="8.625" style="53" customWidth="1"/>
    <col min="15379" max="15379" width="11.375" style="53" bestFit="1" customWidth="1"/>
    <col min="15380" max="15380" width="11.25" style="53" bestFit="1" customWidth="1"/>
    <col min="15381" max="15616" width="9" style="53"/>
    <col min="15617" max="15617" width="9" style="53" customWidth="1"/>
    <col min="15618" max="15618" width="10.5" style="53" bestFit="1" customWidth="1"/>
    <col min="15619" max="15619" width="6.625" style="53" bestFit="1" customWidth="1"/>
    <col min="15620" max="15620" width="7.125" style="53" bestFit="1" customWidth="1"/>
    <col min="15621" max="15631" width="9" style="53"/>
    <col min="15632" max="15632" width="4" style="53" customWidth="1"/>
    <col min="15633" max="15633" width="6.625" style="53" customWidth="1"/>
    <col min="15634" max="15634" width="8.625" style="53" customWidth="1"/>
    <col min="15635" max="15635" width="11.375" style="53" bestFit="1" customWidth="1"/>
    <col min="15636" max="15636" width="11.25" style="53" bestFit="1" customWidth="1"/>
    <col min="15637" max="15872" width="9" style="53"/>
    <col min="15873" max="15873" width="9" style="53" customWidth="1"/>
    <col min="15874" max="15874" width="10.5" style="53" bestFit="1" customWidth="1"/>
    <col min="15875" max="15875" width="6.625" style="53" bestFit="1" customWidth="1"/>
    <col min="15876" max="15876" width="7.125" style="53" bestFit="1" customWidth="1"/>
    <col min="15877" max="15887" width="9" style="53"/>
    <col min="15888" max="15888" width="4" style="53" customWidth="1"/>
    <col min="15889" max="15889" width="6.625" style="53" customWidth="1"/>
    <col min="15890" max="15890" width="8.625" style="53" customWidth="1"/>
    <col min="15891" max="15891" width="11.375" style="53" bestFit="1" customWidth="1"/>
    <col min="15892" max="15892" width="11.25" style="53" bestFit="1" customWidth="1"/>
    <col min="15893" max="16128" width="9" style="53"/>
    <col min="16129" max="16129" width="9" style="53" customWidth="1"/>
    <col min="16130" max="16130" width="10.5" style="53" bestFit="1" customWidth="1"/>
    <col min="16131" max="16131" width="6.625" style="53" bestFit="1" customWidth="1"/>
    <col min="16132" max="16132" width="7.125" style="53" bestFit="1" customWidth="1"/>
    <col min="16133" max="16143" width="9" style="53"/>
    <col min="16144" max="16144" width="4" style="53" customWidth="1"/>
    <col min="16145" max="16145" width="6.625" style="53" customWidth="1"/>
    <col min="16146" max="16146" width="8.625" style="53" customWidth="1"/>
    <col min="16147" max="16147" width="11.375" style="53" bestFit="1" customWidth="1"/>
    <col min="16148" max="16148" width="11.25" style="53" bestFit="1" customWidth="1"/>
    <col min="16149" max="16384" width="9" style="53"/>
  </cols>
  <sheetData>
    <row r="1" spans="1:20" ht="16.5" customHeight="1" x14ac:dyDescent="0.25">
      <c r="F1" s="101" t="s">
        <v>490</v>
      </c>
      <c r="G1" s="102"/>
      <c r="H1" s="102"/>
      <c r="I1" s="103"/>
      <c r="J1" s="101" t="s">
        <v>491</v>
      </c>
      <c r="K1" s="102"/>
      <c r="L1" s="102"/>
      <c r="M1" s="102"/>
      <c r="N1" s="103"/>
      <c r="O1" s="53" t="s">
        <v>492</v>
      </c>
      <c r="Q1" s="104" t="s">
        <v>493</v>
      </c>
      <c r="R1" s="105"/>
      <c r="S1" s="105"/>
      <c r="T1" s="105"/>
    </row>
    <row r="2" spans="1:20" ht="28.5" x14ac:dyDescent="0.25">
      <c r="D2" s="54" t="s">
        <v>389</v>
      </c>
      <c r="E2" s="54" t="s">
        <v>494</v>
      </c>
      <c r="F2" s="106" t="s">
        <v>391</v>
      </c>
      <c r="G2" s="107"/>
      <c r="H2" s="107"/>
      <c r="I2" s="55" t="s">
        <v>392</v>
      </c>
      <c r="J2" s="106" t="s">
        <v>495</v>
      </c>
      <c r="K2" s="107"/>
      <c r="L2" s="107"/>
      <c r="M2" s="55" t="s">
        <v>496</v>
      </c>
      <c r="N2" s="55" t="s">
        <v>392</v>
      </c>
      <c r="O2" s="108" t="s">
        <v>393</v>
      </c>
      <c r="Q2" s="56" t="s">
        <v>497</v>
      </c>
      <c r="R2" s="57"/>
      <c r="S2" s="58"/>
      <c r="T2" s="58"/>
    </row>
    <row r="3" spans="1:20" ht="45.75" x14ac:dyDescent="0.25">
      <c r="B3" s="53" t="s">
        <v>353</v>
      </c>
      <c r="C3" s="53" t="s">
        <v>498</v>
      </c>
      <c r="D3" s="59" t="s">
        <v>105</v>
      </c>
      <c r="E3" s="59" t="s">
        <v>106</v>
      </c>
      <c r="F3" s="60" t="s">
        <v>499</v>
      </c>
      <c r="G3" s="60" t="s">
        <v>394</v>
      </c>
      <c r="H3" s="60" t="s">
        <v>388</v>
      </c>
      <c r="I3" s="61" t="s">
        <v>395</v>
      </c>
      <c r="J3" s="60" t="s">
        <v>500</v>
      </c>
      <c r="K3" s="60" t="s">
        <v>501</v>
      </c>
      <c r="L3" s="60" t="s">
        <v>502</v>
      </c>
      <c r="M3" s="62" t="s">
        <v>107</v>
      </c>
      <c r="N3" s="61" t="s">
        <v>503</v>
      </c>
      <c r="O3" s="108"/>
      <c r="Q3" s="63" t="s">
        <v>396</v>
      </c>
      <c r="R3" s="64" t="s">
        <v>108</v>
      </c>
      <c r="S3" s="65" t="s">
        <v>504</v>
      </c>
      <c r="T3" s="65" t="s">
        <v>109</v>
      </c>
    </row>
    <row r="4" spans="1:20" x14ac:dyDescent="0.25">
      <c r="A4" s="66" t="s">
        <v>274</v>
      </c>
      <c r="B4" s="67" t="s">
        <v>221</v>
      </c>
      <c r="C4" s="68">
        <v>0.25</v>
      </c>
      <c r="D4" s="67">
        <v>0.03</v>
      </c>
      <c r="E4" s="67">
        <v>0.04</v>
      </c>
      <c r="F4" s="69" t="s">
        <v>0</v>
      </c>
      <c r="G4" s="69" t="s">
        <v>0</v>
      </c>
      <c r="H4" s="69" t="s">
        <v>0</v>
      </c>
      <c r="I4" s="70" t="s">
        <v>0</v>
      </c>
      <c r="J4" s="69" t="s">
        <v>0</v>
      </c>
      <c r="K4" s="69" t="s">
        <v>0</v>
      </c>
      <c r="L4" s="69" t="s">
        <v>0</v>
      </c>
      <c r="M4" s="71" t="s">
        <v>0</v>
      </c>
      <c r="N4" s="70" t="s">
        <v>0</v>
      </c>
      <c r="O4" s="70">
        <v>0.97040000000000004</v>
      </c>
      <c r="Q4" s="72" t="s">
        <v>74</v>
      </c>
      <c r="R4" s="72" t="s">
        <v>397</v>
      </c>
      <c r="S4" s="73">
        <v>0</v>
      </c>
      <c r="T4" s="73">
        <v>100000000</v>
      </c>
    </row>
    <row r="5" spans="1:20" x14ac:dyDescent="0.25">
      <c r="A5" s="66" t="s">
        <v>33</v>
      </c>
      <c r="B5" s="67" t="s">
        <v>110</v>
      </c>
      <c r="C5" s="68">
        <v>1.75</v>
      </c>
      <c r="D5" s="67">
        <v>0.1</v>
      </c>
      <c r="E5" s="67">
        <v>0.1</v>
      </c>
      <c r="F5" s="69" t="s">
        <v>0</v>
      </c>
      <c r="G5" s="69" t="s">
        <v>0</v>
      </c>
      <c r="H5" s="69" t="s">
        <v>0</v>
      </c>
      <c r="I5" s="70" t="s">
        <v>0</v>
      </c>
      <c r="J5" s="69" t="s">
        <v>0</v>
      </c>
      <c r="K5" s="69" t="s">
        <v>0</v>
      </c>
      <c r="L5" s="69" t="s">
        <v>0</v>
      </c>
      <c r="M5" s="71" t="s">
        <v>0</v>
      </c>
      <c r="N5" s="70" t="s">
        <v>0</v>
      </c>
      <c r="O5" s="70">
        <v>0.94089999999999996</v>
      </c>
      <c r="Q5" s="66" t="s">
        <v>0</v>
      </c>
      <c r="R5" s="66" t="s">
        <v>505</v>
      </c>
      <c r="S5" s="74">
        <v>100000000</v>
      </c>
      <c r="T5" s="74">
        <v>0</v>
      </c>
    </row>
    <row r="6" spans="1:20" x14ac:dyDescent="0.25">
      <c r="A6" s="66" t="s">
        <v>37</v>
      </c>
      <c r="B6" s="67" t="s">
        <v>111</v>
      </c>
      <c r="C6" s="68">
        <v>0.75</v>
      </c>
      <c r="D6" s="67">
        <v>0.27</v>
      </c>
      <c r="E6" s="67">
        <v>0.28000000000000003</v>
      </c>
      <c r="F6" s="69" t="s">
        <v>0</v>
      </c>
      <c r="G6" s="69" t="s">
        <v>0</v>
      </c>
      <c r="H6" s="69" t="s">
        <v>0</v>
      </c>
      <c r="I6" s="70" t="s">
        <v>0</v>
      </c>
      <c r="J6" s="69" t="s">
        <v>0</v>
      </c>
      <c r="K6" s="69" t="s">
        <v>0</v>
      </c>
      <c r="L6" s="69" t="s">
        <v>0</v>
      </c>
      <c r="M6" s="71" t="s">
        <v>0</v>
      </c>
      <c r="N6" s="70" t="s">
        <v>0</v>
      </c>
      <c r="O6" s="70">
        <v>0.93720000000000003</v>
      </c>
      <c r="Q6" s="72" t="s">
        <v>67</v>
      </c>
      <c r="R6" s="72" t="s">
        <v>506</v>
      </c>
      <c r="S6" s="73">
        <v>0</v>
      </c>
      <c r="T6" s="73">
        <v>200000000</v>
      </c>
    </row>
    <row r="7" spans="1:20" x14ac:dyDescent="0.25">
      <c r="A7" s="66" t="s">
        <v>27</v>
      </c>
      <c r="B7" s="67" t="s">
        <v>113</v>
      </c>
      <c r="C7" s="68">
        <v>0.625</v>
      </c>
      <c r="D7" s="67">
        <v>0.42</v>
      </c>
      <c r="E7" s="67">
        <v>0.42</v>
      </c>
      <c r="F7" s="69" t="s">
        <v>0</v>
      </c>
      <c r="G7" s="69" t="s">
        <v>0</v>
      </c>
      <c r="H7" s="69" t="s">
        <v>0</v>
      </c>
      <c r="I7" s="70" t="s">
        <v>0</v>
      </c>
      <c r="J7" s="69" t="s">
        <v>0</v>
      </c>
      <c r="K7" s="69" t="s">
        <v>0</v>
      </c>
      <c r="L7" s="69" t="s">
        <v>0</v>
      </c>
      <c r="M7" s="71" t="s">
        <v>0</v>
      </c>
      <c r="N7" s="70" t="s">
        <v>0</v>
      </c>
      <c r="O7" s="70">
        <v>0.94089999999999996</v>
      </c>
      <c r="Q7" s="66" t="s">
        <v>0</v>
      </c>
      <c r="R7" s="66" t="s">
        <v>398</v>
      </c>
      <c r="S7" s="74">
        <v>200000000</v>
      </c>
      <c r="T7" s="74">
        <v>0</v>
      </c>
    </row>
    <row r="8" spans="1:20" x14ac:dyDescent="0.25">
      <c r="A8" s="66" t="s">
        <v>9</v>
      </c>
      <c r="B8" s="67" t="s">
        <v>112</v>
      </c>
      <c r="C8" s="68">
        <v>3</v>
      </c>
      <c r="D8" s="67">
        <v>0.49</v>
      </c>
      <c r="E8" s="67">
        <v>0.5</v>
      </c>
      <c r="F8" s="69" t="s">
        <v>0</v>
      </c>
      <c r="G8" s="69" t="s">
        <v>0</v>
      </c>
      <c r="H8" s="69" t="s">
        <v>0</v>
      </c>
      <c r="I8" s="70" t="s">
        <v>0</v>
      </c>
      <c r="J8" s="69" t="s">
        <v>0</v>
      </c>
      <c r="K8" s="69" t="s">
        <v>0</v>
      </c>
      <c r="L8" s="69" t="s">
        <v>0</v>
      </c>
      <c r="M8" s="71" t="s">
        <v>0</v>
      </c>
      <c r="N8" s="70" t="s">
        <v>0</v>
      </c>
      <c r="O8" s="70">
        <v>0.94320000000000004</v>
      </c>
      <c r="Q8" s="72" t="s">
        <v>275</v>
      </c>
      <c r="R8" s="72" t="s">
        <v>507</v>
      </c>
      <c r="S8" s="73">
        <v>1000000000</v>
      </c>
      <c r="T8" s="73">
        <v>1000000000</v>
      </c>
    </row>
    <row r="9" spans="1:20" x14ac:dyDescent="0.25">
      <c r="A9" s="66" t="s">
        <v>52</v>
      </c>
      <c r="B9" s="67" t="s">
        <v>114</v>
      </c>
      <c r="C9" s="68">
        <v>1.5</v>
      </c>
      <c r="D9" s="67">
        <v>0.55000000000000004</v>
      </c>
      <c r="E9" s="67">
        <v>0.56000000000000005</v>
      </c>
      <c r="F9" s="69" t="s">
        <v>0</v>
      </c>
      <c r="G9" s="69" t="s">
        <v>0</v>
      </c>
      <c r="H9" s="69" t="s">
        <v>0</v>
      </c>
      <c r="I9" s="70" t="s">
        <v>0</v>
      </c>
      <c r="J9" s="69" t="s">
        <v>0</v>
      </c>
      <c r="K9" s="69" t="s">
        <v>0</v>
      </c>
      <c r="L9" s="69" t="s">
        <v>0</v>
      </c>
      <c r="M9" s="71" t="s">
        <v>0</v>
      </c>
      <c r="N9" s="70" t="s">
        <v>0</v>
      </c>
      <c r="O9" s="70">
        <v>0.94510000000000005</v>
      </c>
      <c r="Q9" s="72" t="s">
        <v>264</v>
      </c>
      <c r="R9" s="72" t="s">
        <v>507</v>
      </c>
      <c r="S9" s="73">
        <v>150000000</v>
      </c>
      <c r="T9" s="73">
        <v>150000000</v>
      </c>
    </row>
    <row r="10" spans="1:20" x14ac:dyDescent="0.25">
      <c r="A10" s="66" t="s">
        <v>277</v>
      </c>
      <c r="B10" s="67" t="s">
        <v>246</v>
      </c>
      <c r="C10" s="68">
        <v>0.75</v>
      </c>
      <c r="D10" s="67">
        <v>0.62</v>
      </c>
      <c r="E10" s="67">
        <v>0.64</v>
      </c>
      <c r="F10" s="69" t="s">
        <v>0</v>
      </c>
      <c r="G10" s="69" t="s">
        <v>0</v>
      </c>
      <c r="H10" s="69" t="s">
        <v>0</v>
      </c>
      <c r="I10" s="70" t="s">
        <v>0</v>
      </c>
      <c r="J10" s="69" t="s">
        <v>0</v>
      </c>
      <c r="K10" s="69" t="s">
        <v>0</v>
      </c>
      <c r="L10" s="69" t="s">
        <v>0</v>
      </c>
      <c r="M10" s="71" t="s">
        <v>0</v>
      </c>
      <c r="N10" s="70" t="s">
        <v>0</v>
      </c>
      <c r="O10" s="70">
        <v>0.9476</v>
      </c>
      <c r="Q10" s="72" t="s">
        <v>320</v>
      </c>
      <c r="R10" s="72" t="s">
        <v>507</v>
      </c>
      <c r="S10" s="73">
        <v>0</v>
      </c>
      <c r="T10" s="73">
        <v>400000000</v>
      </c>
    </row>
    <row r="11" spans="1:20" x14ac:dyDescent="0.25">
      <c r="A11" s="66" t="s">
        <v>5</v>
      </c>
      <c r="B11" s="67" t="s">
        <v>115</v>
      </c>
      <c r="C11" s="68">
        <v>0.5</v>
      </c>
      <c r="D11" s="67">
        <v>0.91</v>
      </c>
      <c r="E11" s="67">
        <v>0.93</v>
      </c>
      <c r="F11" s="69" t="s">
        <v>0</v>
      </c>
      <c r="G11" s="69" t="s">
        <v>0</v>
      </c>
      <c r="H11" s="69" t="s">
        <v>0</v>
      </c>
      <c r="I11" s="70" t="s">
        <v>0</v>
      </c>
      <c r="J11" s="69" t="s">
        <v>0</v>
      </c>
      <c r="K11" s="69" t="s">
        <v>0</v>
      </c>
      <c r="L11" s="69" t="s">
        <v>0</v>
      </c>
      <c r="M11" s="71" t="s">
        <v>0</v>
      </c>
      <c r="N11" s="70" t="s">
        <v>0</v>
      </c>
      <c r="O11" s="70">
        <v>0.95709999999999995</v>
      </c>
      <c r="Q11" s="66" t="s">
        <v>0</v>
      </c>
      <c r="R11" s="66" t="s">
        <v>398</v>
      </c>
      <c r="S11" s="74">
        <v>400000000</v>
      </c>
      <c r="T11" s="74">
        <v>0</v>
      </c>
    </row>
    <row r="12" spans="1:20" x14ac:dyDescent="0.25">
      <c r="A12" s="66" t="s">
        <v>42</v>
      </c>
      <c r="B12" s="67" t="s">
        <v>116</v>
      </c>
      <c r="C12" s="68">
        <v>1.625</v>
      </c>
      <c r="D12" s="67">
        <v>1.0900000000000001</v>
      </c>
      <c r="E12" s="67">
        <v>1.1299999999999999</v>
      </c>
      <c r="F12" s="69" t="s">
        <v>0</v>
      </c>
      <c r="G12" s="69" t="s">
        <v>0</v>
      </c>
      <c r="H12" s="69" t="s">
        <v>0</v>
      </c>
      <c r="I12" s="70" t="s">
        <v>0</v>
      </c>
      <c r="J12" s="69" t="s">
        <v>0</v>
      </c>
      <c r="K12" s="69" t="s">
        <v>0</v>
      </c>
      <c r="L12" s="69" t="s">
        <v>0</v>
      </c>
      <c r="M12" s="71" t="s">
        <v>0</v>
      </c>
      <c r="N12" s="70" t="s">
        <v>0</v>
      </c>
      <c r="O12" s="70">
        <v>0.96299999999999997</v>
      </c>
      <c r="Q12" s="72" t="s">
        <v>327</v>
      </c>
      <c r="R12" s="72" t="s">
        <v>397</v>
      </c>
      <c r="S12" s="73">
        <v>450000000</v>
      </c>
      <c r="T12" s="73">
        <v>450000000</v>
      </c>
    </row>
    <row r="13" spans="1:20" x14ac:dyDescent="0.25">
      <c r="A13" s="66" t="s">
        <v>10</v>
      </c>
      <c r="B13" s="67" t="s">
        <v>117</v>
      </c>
      <c r="C13" s="68">
        <v>3</v>
      </c>
      <c r="D13" s="67">
        <v>1.22</v>
      </c>
      <c r="E13" s="67">
        <v>1.27</v>
      </c>
      <c r="F13" s="69" t="s">
        <v>0</v>
      </c>
      <c r="G13" s="69" t="s">
        <v>0</v>
      </c>
      <c r="H13" s="69" t="s">
        <v>0</v>
      </c>
      <c r="I13" s="70" t="s">
        <v>0</v>
      </c>
      <c r="J13" s="69" t="s">
        <v>0</v>
      </c>
      <c r="K13" s="69" t="s">
        <v>0</v>
      </c>
      <c r="L13" s="69" t="s">
        <v>0</v>
      </c>
      <c r="M13" s="71" t="s">
        <v>0</v>
      </c>
      <c r="N13" s="70" t="s">
        <v>0</v>
      </c>
      <c r="O13" s="70">
        <v>0.96689999999999998</v>
      </c>
      <c r="Q13" s="72" t="s">
        <v>322</v>
      </c>
      <c r="R13" s="72" t="s">
        <v>397</v>
      </c>
      <c r="S13" s="73">
        <v>500000000</v>
      </c>
      <c r="T13" s="73">
        <v>500000000</v>
      </c>
    </row>
    <row r="14" spans="1:20" x14ac:dyDescent="0.25">
      <c r="A14" s="66" t="s">
        <v>275</v>
      </c>
      <c r="B14" s="67" t="s">
        <v>119</v>
      </c>
      <c r="C14" s="68">
        <v>0.5</v>
      </c>
      <c r="D14" s="67">
        <v>1.39</v>
      </c>
      <c r="E14" s="67">
        <v>1.42</v>
      </c>
      <c r="F14" s="69">
        <v>0.98499999999999999</v>
      </c>
      <c r="G14" s="69">
        <v>0.97</v>
      </c>
      <c r="H14" s="69">
        <v>0.97829999999999995</v>
      </c>
      <c r="I14" s="70">
        <v>15</v>
      </c>
      <c r="J14" s="69" t="s">
        <v>0</v>
      </c>
      <c r="K14" s="69" t="s">
        <v>0</v>
      </c>
      <c r="L14" s="69" t="s">
        <v>0</v>
      </c>
      <c r="M14" s="71" t="s">
        <v>0</v>
      </c>
      <c r="N14" s="70" t="s">
        <v>0</v>
      </c>
      <c r="O14" s="70">
        <v>0.97119999999999995</v>
      </c>
      <c r="Q14" s="72" t="s">
        <v>15</v>
      </c>
      <c r="R14" s="72" t="s">
        <v>507</v>
      </c>
      <c r="S14" s="73">
        <v>300000000</v>
      </c>
      <c r="T14" s="73">
        <v>300000000</v>
      </c>
    </row>
    <row r="15" spans="1:20" x14ac:dyDescent="0.25">
      <c r="A15" s="66" t="s">
        <v>7</v>
      </c>
      <c r="B15" s="67" t="s">
        <v>118</v>
      </c>
      <c r="C15" s="68">
        <v>2.375</v>
      </c>
      <c r="D15" s="67">
        <v>1.5</v>
      </c>
      <c r="E15" s="67">
        <v>1.54</v>
      </c>
      <c r="F15" s="69" t="s">
        <v>0</v>
      </c>
      <c r="G15" s="69" t="s">
        <v>0</v>
      </c>
      <c r="H15" s="69" t="s">
        <v>0</v>
      </c>
      <c r="I15" s="70" t="s">
        <v>0</v>
      </c>
      <c r="J15" s="69" t="s">
        <v>0</v>
      </c>
      <c r="K15" s="69" t="s">
        <v>0</v>
      </c>
      <c r="L15" s="69" t="s">
        <v>0</v>
      </c>
      <c r="M15" s="71" t="s">
        <v>0</v>
      </c>
      <c r="N15" s="70" t="s">
        <v>0</v>
      </c>
      <c r="O15" s="70">
        <v>0.97450000000000003</v>
      </c>
      <c r="Q15" s="72" t="s">
        <v>508</v>
      </c>
      <c r="R15" s="72" t="s">
        <v>397</v>
      </c>
      <c r="S15" s="73">
        <v>300000000</v>
      </c>
      <c r="T15" s="73">
        <v>0</v>
      </c>
    </row>
    <row r="16" spans="1:20" x14ac:dyDescent="0.25">
      <c r="A16" s="66" t="s">
        <v>322</v>
      </c>
      <c r="B16" s="67" t="s">
        <v>323</v>
      </c>
      <c r="C16" s="68">
        <v>1</v>
      </c>
      <c r="D16" s="67">
        <v>1.5</v>
      </c>
      <c r="E16" s="67">
        <v>1.54</v>
      </c>
      <c r="F16" s="69">
        <v>0.97</v>
      </c>
      <c r="G16" s="69">
        <v>0.97</v>
      </c>
      <c r="H16" s="69">
        <v>0.97</v>
      </c>
      <c r="I16" s="70">
        <v>5</v>
      </c>
      <c r="J16" s="69" t="s">
        <v>0</v>
      </c>
      <c r="K16" s="69" t="s">
        <v>0</v>
      </c>
      <c r="L16" s="69" t="s">
        <v>0</v>
      </c>
      <c r="M16" s="71" t="s">
        <v>0</v>
      </c>
      <c r="N16" s="70" t="s">
        <v>0</v>
      </c>
      <c r="O16" s="70">
        <v>0.97440000000000004</v>
      </c>
      <c r="Q16" s="75" t="s">
        <v>0</v>
      </c>
      <c r="R16" s="75" t="s">
        <v>398</v>
      </c>
      <c r="S16" s="76">
        <v>0</v>
      </c>
      <c r="T16" s="76">
        <v>300000000</v>
      </c>
    </row>
    <row r="17" spans="1:20" x14ac:dyDescent="0.25">
      <c r="A17" s="66" t="s">
        <v>31</v>
      </c>
      <c r="B17" s="67" t="s">
        <v>120</v>
      </c>
      <c r="C17" s="68">
        <v>1.625</v>
      </c>
      <c r="D17" s="67">
        <v>1.55</v>
      </c>
      <c r="E17" s="67">
        <v>1.59</v>
      </c>
      <c r="F17" s="69" t="s">
        <v>0</v>
      </c>
      <c r="G17" s="69" t="s">
        <v>0</v>
      </c>
      <c r="H17" s="69" t="s">
        <v>0</v>
      </c>
      <c r="I17" s="70" t="s">
        <v>0</v>
      </c>
      <c r="J17" s="69" t="s">
        <v>0</v>
      </c>
      <c r="K17" s="69" t="s">
        <v>0</v>
      </c>
      <c r="L17" s="69" t="s">
        <v>0</v>
      </c>
      <c r="M17" s="71" t="s">
        <v>0</v>
      </c>
      <c r="N17" s="70" t="s">
        <v>0</v>
      </c>
      <c r="O17" s="70">
        <v>0.97570000000000001</v>
      </c>
      <c r="S17" s="78"/>
      <c r="T17" s="78"/>
    </row>
    <row r="18" spans="1:20" x14ac:dyDescent="0.25">
      <c r="A18" s="66" t="s">
        <v>278</v>
      </c>
      <c r="B18" s="67" t="s">
        <v>121</v>
      </c>
      <c r="C18" s="68">
        <v>0.25</v>
      </c>
      <c r="D18" s="67">
        <v>1.9</v>
      </c>
      <c r="E18" s="67">
        <v>1.93</v>
      </c>
      <c r="F18" s="69" t="s">
        <v>0</v>
      </c>
      <c r="G18" s="69" t="s">
        <v>0</v>
      </c>
      <c r="H18" s="69" t="s">
        <v>0</v>
      </c>
      <c r="I18" s="70" t="s">
        <v>0</v>
      </c>
      <c r="J18" s="69" t="s">
        <v>0</v>
      </c>
      <c r="K18" s="69" t="s">
        <v>0</v>
      </c>
      <c r="L18" s="69" t="s">
        <v>0</v>
      </c>
      <c r="M18" s="71" t="s">
        <v>0</v>
      </c>
      <c r="N18" s="70" t="s">
        <v>0</v>
      </c>
      <c r="O18" s="70">
        <v>0.98519999999999996</v>
      </c>
      <c r="Q18" s="79"/>
      <c r="R18" s="79"/>
      <c r="S18" s="79"/>
      <c r="T18" s="79"/>
    </row>
    <row r="19" spans="1:20" x14ac:dyDescent="0.25">
      <c r="A19" s="66" t="s">
        <v>38</v>
      </c>
      <c r="B19" s="67" t="s">
        <v>122</v>
      </c>
      <c r="C19" s="68">
        <v>1.125</v>
      </c>
      <c r="D19" s="67">
        <v>2.02</v>
      </c>
      <c r="E19" s="67">
        <v>2.08</v>
      </c>
      <c r="F19" s="69" t="s">
        <v>0</v>
      </c>
      <c r="G19" s="69" t="s">
        <v>0</v>
      </c>
      <c r="H19" s="69" t="s">
        <v>0</v>
      </c>
      <c r="I19" s="70" t="s">
        <v>0</v>
      </c>
      <c r="J19" s="69" t="s">
        <v>0</v>
      </c>
      <c r="K19" s="69" t="s">
        <v>0</v>
      </c>
      <c r="L19" s="69" t="s">
        <v>0</v>
      </c>
      <c r="M19" s="71" t="s">
        <v>0</v>
      </c>
      <c r="N19" s="70" t="s">
        <v>0</v>
      </c>
      <c r="O19" s="70">
        <v>0.98909999999999998</v>
      </c>
    </row>
    <row r="20" spans="1:20" x14ac:dyDescent="0.25">
      <c r="A20" s="66" t="s">
        <v>279</v>
      </c>
      <c r="B20" s="67" t="s">
        <v>124</v>
      </c>
      <c r="C20" s="68">
        <v>0.125</v>
      </c>
      <c r="D20" s="67">
        <v>2.29</v>
      </c>
      <c r="E20" s="67">
        <v>2.3199999999999998</v>
      </c>
      <c r="F20" s="69" t="s">
        <v>0</v>
      </c>
      <c r="G20" s="69" t="s">
        <v>0</v>
      </c>
      <c r="H20" s="69" t="s">
        <v>0</v>
      </c>
      <c r="I20" s="70" t="s">
        <v>0</v>
      </c>
      <c r="J20" s="69" t="s">
        <v>0</v>
      </c>
      <c r="K20" s="69" t="s">
        <v>0</v>
      </c>
      <c r="L20" s="69" t="s">
        <v>0</v>
      </c>
      <c r="M20" s="71" t="s">
        <v>0</v>
      </c>
      <c r="N20" s="70" t="s">
        <v>0</v>
      </c>
      <c r="O20" s="70">
        <v>0.99580000000000002</v>
      </c>
    </row>
    <row r="21" spans="1:20" x14ac:dyDescent="0.25">
      <c r="A21" s="66" t="s">
        <v>280</v>
      </c>
      <c r="B21" s="67" t="s">
        <v>125</v>
      </c>
      <c r="C21" s="68">
        <v>0.25</v>
      </c>
      <c r="D21" s="67">
        <v>2.39</v>
      </c>
      <c r="E21" s="67">
        <v>2.42</v>
      </c>
      <c r="F21" s="69" t="s">
        <v>0</v>
      </c>
      <c r="G21" s="69" t="s">
        <v>0</v>
      </c>
      <c r="H21" s="69" t="s">
        <v>0</v>
      </c>
      <c r="I21" s="70" t="s">
        <v>0</v>
      </c>
      <c r="J21" s="69" t="s">
        <v>0</v>
      </c>
      <c r="K21" s="69" t="s">
        <v>0</v>
      </c>
      <c r="L21" s="69" t="s">
        <v>0</v>
      </c>
      <c r="M21" s="71" t="s">
        <v>0</v>
      </c>
      <c r="N21" s="70" t="s">
        <v>0</v>
      </c>
      <c r="O21" s="70">
        <v>0.99829999999999997</v>
      </c>
    </row>
    <row r="22" spans="1:20" x14ac:dyDescent="0.25">
      <c r="A22" s="66" t="s">
        <v>8</v>
      </c>
      <c r="B22" s="67" t="s">
        <v>123</v>
      </c>
      <c r="C22" s="68">
        <v>1.875</v>
      </c>
      <c r="D22" s="67">
        <v>2.4500000000000002</v>
      </c>
      <c r="E22" s="67">
        <v>2.54</v>
      </c>
      <c r="F22" s="69" t="s">
        <v>0</v>
      </c>
      <c r="G22" s="69" t="s">
        <v>0</v>
      </c>
      <c r="H22" s="69" t="s">
        <v>0</v>
      </c>
      <c r="I22" s="70" t="s">
        <v>0</v>
      </c>
      <c r="J22" s="69" t="s">
        <v>0</v>
      </c>
      <c r="K22" s="69" t="s">
        <v>0</v>
      </c>
      <c r="L22" s="69" t="s">
        <v>0</v>
      </c>
      <c r="M22" s="71" t="s">
        <v>0</v>
      </c>
      <c r="N22" s="70" t="s">
        <v>0</v>
      </c>
      <c r="O22" s="70">
        <v>1.0009999999999999</v>
      </c>
    </row>
    <row r="23" spans="1:20" x14ac:dyDescent="0.25">
      <c r="A23" s="66" t="s">
        <v>59</v>
      </c>
      <c r="B23" s="67" t="s">
        <v>126</v>
      </c>
      <c r="C23" s="68">
        <v>0.75</v>
      </c>
      <c r="D23" s="67">
        <v>2.5099999999999998</v>
      </c>
      <c r="E23" s="67">
        <v>2.56</v>
      </c>
      <c r="F23" s="69" t="s">
        <v>0</v>
      </c>
      <c r="G23" s="69" t="s">
        <v>0</v>
      </c>
      <c r="H23" s="69" t="s">
        <v>0</v>
      </c>
      <c r="I23" s="70" t="s">
        <v>0</v>
      </c>
      <c r="J23" s="69" t="s">
        <v>0</v>
      </c>
      <c r="K23" s="69" t="s">
        <v>0</v>
      </c>
      <c r="L23" s="69" t="s">
        <v>0</v>
      </c>
      <c r="M23" s="71" t="s">
        <v>0</v>
      </c>
      <c r="N23" s="70" t="s">
        <v>0</v>
      </c>
      <c r="O23" s="70">
        <v>1.0019</v>
      </c>
    </row>
    <row r="24" spans="1:20" x14ac:dyDescent="0.25">
      <c r="A24" s="66" t="s">
        <v>281</v>
      </c>
      <c r="B24" s="67" t="s">
        <v>222</v>
      </c>
      <c r="C24" s="68">
        <v>0.25</v>
      </c>
      <c r="D24" s="67">
        <v>2.92</v>
      </c>
      <c r="E24" s="67">
        <v>2.96</v>
      </c>
      <c r="F24" s="69" t="s">
        <v>0</v>
      </c>
      <c r="G24" s="69" t="s">
        <v>0</v>
      </c>
      <c r="H24" s="69" t="s">
        <v>0</v>
      </c>
      <c r="I24" s="70" t="s">
        <v>0</v>
      </c>
      <c r="J24" s="69" t="s">
        <v>0</v>
      </c>
      <c r="K24" s="69" t="s">
        <v>0</v>
      </c>
      <c r="L24" s="69" t="s">
        <v>0</v>
      </c>
      <c r="M24" s="71" t="s">
        <v>0</v>
      </c>
      <c r="N24" s="70" t="s">
        <v>0</v>
      </c>
      <c r="O24" s="70">
        <v>1.0145</v>
      </c>
    </row>
    <row r="25" spans="1:20" x14ac:dyDescent="0.25">
      <c r="A25" s="66" t="s">
        <v>56</v>
      </c>
      <c r="B25" s="67" t="s">
        <v>128</v>
      </c>
      <c r="C25" s="68">
        <v>0.625</v>
      </c>
      <c r="D25" s="67">
        <v>3</v>
      </c>
      <c r="E25" s="67">
        <v>3.07</v>
      </c>
      <c r="F25" s="69" t="s">
        <v>0</v>
      </c>
      <c r="G25" s="69" t="s">
        <v>0</v>
      </c>
      <c r="H25" s="69" t="s">
        <v>0</v>
      </c>
      <c r="I25" s="70" t="s">
        <v>0</v>
      </c>
      <c r="J25" s="69" t="s">
        <v>0</v>
      </c>
      <c r="K25" s="69" t="s">
        <v>0</v>
      </c>
      <c r="L25" s="69" t="s">
        <v>0</v>
      </c>
      <c r="M25" s="71" t="s">
        <v>0</v>
      </c>
      <c r="N25" s="70" t="s">
        <v>0</v>
      </c>
      <c r="O25" s="70">
        <v>1.0185</v>
      </c>
    </row>
    <row r="26" spans="1:20" x14ac:dyDescent="0.25">
      <c r="A26" s="66" t="s">
        <v>11</v>
      </c>
      <c r="B26" s="67" t="s">
        <v>127</v>
      </c>
      <c r="C26" s="68">
        <v>2.125</v>
      </c>
      <c r="D26" s="67">
        <v>3.09</v>
      </c>
      <c r="E26" s="67">
        <v>3.25</v>
      </c>
      <c r="F26" s="69" t="s">
        <v>0</v>
      </c>
      <c r="G26" s="69" t="s">
        <v>0</v>
      </c>
      <c r="H26" s="69" t="s">
        <v>0</v>
      </c>
      <c r="I26" s="70" t="s">
        <v>0</v>
      </c>
      <c r="J26" s="69" t="s">
        <v>0</v>
      </c>
      <c r="K26" s="69" t="s">
        <v>0</v>
      </c>
      <c r="L26" s="69" t="s">
        <v>0</v>
      </c>
      <c r="M26" s="71" t="s">
        <v>0</v>
      </c>
      <c r="N26" s="70" t="s">
        <v>0</v>
      </c>
      <c r="O26" s="70">
        <v>1.0254000000000001</v>
      </c>
    </row>
    <row r="27" spans="1:20" x14ac:dyDescent="0.25">
      <c r="A27" s="66" t="s">
        <v>12</v>
      </c>
      <c r="B27" s="67" t="s">
        <v>129</v>
      </c>
      <c r="C27" s="68">
        <v>2</v>
      </c>
      <c r="D27" s="67">
        <v>3.36</v>
      </c>
      <c r="E27" s="67">
        <v>3.51</v>
      </c>
      <c r="F27" s="69" t="s">
        <v>0</v>
      </c>
      <c r="G27" s="69" t="s">
        <v>0</v>
      </c>
      <c r="H27" s="69" t="s">
        <v>0</v>
      </c>
      <c r="I27" s="70" t="s">
        <v>0</v>
      </c>
      <c r="J27" s="69" t="s">
        <v>0</v>
      </c>
      <c r="K27" s="69" t="s">
        <v>0</v>
      </c>
      <c r="L27" s="69" t="s">
        <v>0</v>
      </c>
      <c r="M27" s="71" t="s">
        <v>0</v>
      </c>
      <c r="N27" s="70" t="s">
        <v>0</v>
      </c>
      <c r="O27" s="70">
        <v>1.0391999999999999</v>
      </c>
    </row>
    <row r="28" spans="1:20" x14ac:dyDescent="0.25">
      <c r="A28" s="66" t="s">
        <v>32</v>
      </c>
      <c r="B28" s="67" t="s">
        <v>130</v>
      </c>
      <c r="C28" s="68">
        <v>1.125</v>
      </c>
      <c r="D28" s="67">
        <v>3.44</v>
      </c>
      <c r="E28" s="67">
        <v>3.55</v>
      </c>
      <c r="F28" s="69" t="s">
        <v>0</v>
      </c>
      <c r="G28" s="69" t="s">
        <v>0</v>
      </c>
      <c r="H28" s="69" t="s">
        <v>0</v>
      </c>
      <c r="I28" s="70" t="s">
        <v>0</v>
      </c>
      <c r="J28" s="69" t="s">
        <v>0</v>
      </c>
      <c r="K28" s="69" t="s">
        <v>0</v>
      </c>
      <c r="L28" s="69" t="s">
        <v>0</v>
      </c>
      <c r="M28" s="71" t="s">
        <v>0</v>
      </c>
      <c r="N28" s="70" t="s">
        <v>0</v>
      </c>
      <c r="O28" s="70">
        <v>1.0424</v>
      </c>
    </row>
    <row r="29" spans="1:20" x14ac:dyDescent="0.25">
      <c r="A29" s="66" t="s">
        <v>282</v>
      </c>
      <c r="B29" s="67" t="s">
        <v>247</v>
      </c>
      <c r="C29" s="68">
        <v>0.5</v>
      </c>
      <c r="D29" s="67">
        <v>3.47</v>
      </c>
      <c r="E29" s="67">
        <v>3.54</v>
      </c>
      <c r="F29" s="69" t="s">
        <v>0</v>
      </c>
      <c r="G29" s="69" t="s">
        <v>0</v>
      </c>
      <c r="H29" s="69" t="s">
        <v>0</v>
      </c>
      <c r="I29" s="70" t="s">
        <v>0</v>
      </c>
      <c r="J29" s="69" t="s">
        <v>0</v>
      </c>
      <c r="K29" s="69" t="s">
        <v>0</v>
      </c>
      <c r="L29" s="69" t="s">
        <v>0</v>
      </c>
      <c r="M29" s="71" t="s">
        <v>0</v>
      </c>
      <c r="N29" s="70" t="s">
        <v>0</v>
      </c>
      <c r="O29" s="70">
        <v>1.042</v>
      </c>
    </row>
    <row r="30" spans="1:20" x14ac:dyDescent="0.25">
      <c r="A30" s="66" t="s">
        <v>263</v>
      </c>
      <c r="B30" s="67" t="s">
        <v>265</v>
      </c>
      <c r="C30" s="68">
        <v>1</v>
      </c>
      <c r="D30" s="67">
        <v>3.76</v>
      </c>
      <c r="E30" s="67">
        <v>3.86</v>
      </c>
      <c r="F30" s="69" t="s">
        <v>0</v>
      </c>
      <c r="G30" s="69" t="s">
        <v>0</v>
      </c>
      <c r="H30" s="69" t="s">
        <v>0</v>
      </c>
      <c r="I30" s="70" t="s">
        <v>0</v>
      </c>
      <c r="J30" s="69" t="s">
        <v>0</v>
      </c>
      <c r="K30" s="69" t="s">
        <v>0</v>
      </c>
      <c r="L30" s="69" t="s">
        <v>0</v>
      </c>
      <c r="M30" s="71" t="s">
        <v>0</v>
      </c>
      <c r="N30" s="70" t="s">
        <v>0</v>
      </c>
      <c r="O30" s="70">
        <v>1.0643</v>
      </c>
    </row>
    <row r="31" spans="1:20" x14ac:dyDescent="0.25">
      <c r="A31" s="66" t="s">
        <v>304</v>
      </c>
      <c r="B31" s="67" t="s">
        <v>305</v>
      </c>
      <c r="C31" s="68">
        <v>1.25</v>
      </c>
      <c r="D31" s="67">
        <v>3.95</v>
      </c>
      <c r="E31" s="67">
        <v>4.12</v>
      </c>
      <c r="F31" s="69" t="s">
        <v>0</v>
      </c>
      <c r="G31" s="69" t="s">
        <v>0</v>
      </c>
      <c r="H31" s="69" t="s">
        <v>0</v>
      </c>
      <c r="I31" s="70" t="s">
        <v>0</v>
      </c>
      <c r="J31" s="69" t="s">
        <v>0</v>
      </c>
      <c r="K31" s="69" t="s">
        <v>0</v>
      </c>
      <c r="L31" s="69" t="s">
        <v>0</v>
      </c>
      <c r="M31" s="71" t="s">
        <v>0</v>
      </c>
      <c r="N31" s="70" t="s">
        <v>0</v>
      </c>
      <c r="O31" s="70">
        <v>1.0853999999999999</v>
      </c>
    </row>
    <row r="32" spans="1:20" x14ac:dyDescent="0.25">
      <c r="A32" s="66" t="s">
        <v>13</v>
      </c>
      <c r="B32" s="67" t="s">
        <v>131</v>
      </c>
      <c r="C32" s="68">
        <v>3</v>
      </c>
      <c r="D32" s="67">
        <v>3.95</v>
      </c>
      <c r="E32" s="67">
        <v>4.26</v>
      </c>
      <c r="F32" s="69" t="s">
        <v>0</v>
      </c>
      <c r="G32" s="69" t="s">
        <v>0</v>
      </c>
      <c r="H32" s="69" t="s">
        <v>0</v>
      </c>
      <c r="I32" s="70" t="s">
        <v>0</v>
      </c>
      <c r="J32" s="69" t="s">
        <v>0</v>
      </c>
      <c r="K32" s="69" t="s">
        <v>0</v>
      </c>
      <c r="L32" s="69" t="s">
        <v>0</v>
      </c>
      <c r="M32" s="71" t="s">
        <v>0</v>
      </c>
      <c r="N32" s="70" t="s">
        <v>0</v>
      </c>
      <c r="O32" s="70">
        <v>1.0960000000000001</v>
      </c>
    </row>
    <row r="33" spans="1:15" x14ac:dyDescent="0.25">
      <c r="A33" s="66" t="s">
        <v>1</v>
      </c>
      <c r="B33" s="67" t="s">
        <v>132</v>
      </c>
      <c r="C33" s="68">
        <v>1</v>
      </c>
      <c r="D33" s="67">
        <v>3.96</v>
      </c>
      <c r="E33" s="67">
        <v>4.1100000000000003</v>
      </c>
      <c r="F33" s="69" t="s">
        <v>0</v>
      </c>
      <c r="G33" s="69" t="s">
        <v>0</v>
      </c>
      <c r="H33" s="69" t="s">
        <v>0</v>
      </c>
      <c r="I33" s="70" t="s">
        <v>0</v>
      </c>
      <c r="J33" s="69" t="s">
        <v>0</v>
      </c>
      <c r="K33" s="69" t="s">
        <v>0</v>
      </c>
      <c r="L33" s="69" t="s">
        <v>0</v>
      </c>
      <c r="M33" s="71" t="s">
        <v>0</v>
      </c>
      <c r="N33" s="70" t="s">
        <v>0</v>
      </c>
      <c r="O33" s="70">
        <v>1.0848</v>
      </c>
    </row>
    <row r="34" spans="1:15" x14ac:dyDescent="0.25">
      <c r="A34" s="66" t="s">
        <v>60</v>
      </c>
      <c r="B34" s="67" t="s">
        <v>134</v>
      </c>
      <c r="C34" s="68">
        <v>1.375</v>
      </c>
      <c r="D34" s="67">
        <v>4.2300000000000004</v>
      </c>
      <c r="E34" s="67">
        <v>4.41</v>
      </c>
      <c r="F34" s="69" t="s">
        <v>0</v>
      </c>
      <c r="G34" s="69" t="s">
        <v>0</v>
      </c>
      <c r="H34" s="69" t="s">
        <v>0</v>
      </c>
      <c r="I34" s="70" t="s">
        <v>0</v>
      </c>
      <c r="J34" s="69" t="s">
        <v>0</v>
      </c>
      <c r="K34" s="69" t="s">
        <v>0</v>
      </c>
      <c r="L34" s="69" t="s">
        <v>0</v>
      </c>
      <c r="M34" s="71" t="s">
        <v>0</v>
      </c>
      <c r="N34" s="70" t="s">
        <v>0</v>
      </c>
      <c r="O34" s="70">
        <v>1.1112</v>
      </c>
    </row>
    <row r="35" spans="1:15" x14ac:dyDescent="0.25">
      <c r="A35" s="66" t="s">
        <v>14</v>
      </c>
      <c r="B35" s="67" t="s">
        <v>133</v>
      </c>
      <c r="C35" s="68">
        <v>2.5</v>
      </c>
      <c r="D35" s="67">
        <v>4.2300000000000004</v>
      </c>
      <c r="E35" s="67">
        <v>4.51</v>
      </c>
      <c r="F35" s="69" t="s">
        <v>0</v>
      </c>
      <c r="G35" s="69" t="s">
        <v>0</v>
      </c>
      <c r="H35" s="69" t="s">
        <v>0</v>
      </c>
      <c r="I35" s="70" t="s">
        <v>0</v>
      </c>
      <c r="J35" s="69" t="s">
        <v>0</v>
      </c>
      <c r="K35" s="69" t="s">
        <v>0</v>
      </c>
      <c r="L35" s="69" t="s">
        <v>0</v>
      </c>
      <c r="M35" s="71" t="s">
        <v>0</v>
      </c>
      <c r="N35" s="70" t="s">
        <v>0</v>
      </c>
      <c r="O35" s="70">
        <v>1.1173</v>
      </c>
    </row>
    <row r="36" spans="1:15" x14ac:dyDescent="0.25">
      <c r="A36" s="66" t="s">
        <v>326</v>
      </c>
      <c r="B36" s="67" t="s">
        <v>325</v>
      </c>
      <c r="C36" s="68">
        <v>1</v>
      </c>
      <c r="D36" s="67">
        <v>4.28</v>
      </c>
      <c r="E36" s="67">
        <v>4.43</v>
      </c>
      <c r="F36" s="69" t="s">
        <v>0</v>
      </c>
      <c r="G36" s="69" t="s">
        <v>0</v>
      </c>
      <c r="H36" s="69" t="s">
        <v>0</v>
      </c>
      <c r="I36" s="70" t="s">
        <v>0</v>
      </c>
      <c r="J36" s="69" t="s">
        <v>0</v>
      </c>
      <c r="K36" s="69" t="s">
        <v>0</v>
      </c>
      <c r="L36" s="69" t="s">
        <v>0</v>
      </c>
      <c r="M36" s="71" t="s">
        <v>0</v>
      </c>
      <c r="N36" s="70" t="s">
        <v>0</v>
      </c>
      <c r="O36" s="70">
        <v>1.1136999999999999</v>
      </c>
    </row>
    <row r="37" spans="1:15" x14ac:dyDescent="0.25">
      <c r="A37" s="66" t="s">
        <v>35</v>
      </c>
      <c r="B37" s="67" t="s">
        <v>135</v>
      </c>
      <c r="C37" s="68">
        <v>1</v>
      </c>
      <c r="D37" s="67">
        <v>4.34</v>
      </c>
      <c r="E37" s="67">
        <v>4.49</v>
      </c>
      <c r="F37" s="69" t="s">
        <v>0</v>
      </c>
      <c r="G37" s="69" t="s">
        <v>0</v>
      </c>
      <c r="H37" s="69" t="s">
        <v>0</v>
      </c>
      <c r="I37" s="70" t="s">
        <v>0</v>
      </c>
      <c r="J37" s="69" t="s">
        <v>0</v>
      </c>
      <c r="K37" s="69" t="s">
        <v>0</v>
      </c>
      <c r="L37" s="69" t="s">
        <v>0</v>
      </c>
      <c r="M37" s="71" t="s">
        <v>0</v>
      </c>
      <c r="N37" s="70" t="s">
        <v>0</v>
      </c>
      <c r="O37" s="70">
        <v>1.1188</v>
      </c>
    </row>
    <row r="38" spans="1:15" x14ac:dyDescent="0.25">
      <c r="A38" s="66" t="s">
        <v>15</v>
      </c>
      <c r="B38" s="67" t="s">
        <v>136</v>
      </c>
      <c r="C38" s="68">
        <v>2.625</v>
      </c>
      <c r="D38" s="67">
        <v>4.71</v>
      </c>
      <c r="E38" s="67">
        <v>5.01</v>
      </c>
      <c r="F38" s="69">
        <v>1.095</v>
      </c>
      <c r="G38" s="69">
        <v>1.0940000000000001</v>
      </c>
      <c r="H38" s="69">
        <v>1.0945</v>
      </c>
      <c r="I38" s="70">
        <v>6</v>
      </c>
      <c r="J38" s="69" t="s">
        <v>0</v>
      </c>
      <c r="K38" s="69" t="s">
        <v>0</v>
      </c>
      <c r="L38" s="69" t="s">
        <v>0</v>
      </c>
      <c r="M38" s="71" t="s">
        <v>0</v>
      </c>
      <c r="N38" s="70" t="s">
        <v>0</v>
      </c>
      <c r="O38" s="70">
        <v>1.1458999999999999</v>
      </c>
    </row>
    <row r="39" spans="1:15" x14ac:dyDescent="0.25">
      <c r="A39" s="66" t="s">
        <v>359</v>
      </c>
      <c r="B39" s="67" t="s">
        <v>360</v>
      </c>
      <c r="C39" s="68">
        <v>1</v>
      </c>
      <c r="D39" s="67">
        <v>4.63</v>
      </c>
      <c r="E39" s="67">
        <v>4.79</v>
      </c>
      <c r="F39" s="69" t="s">
        <v>0</v>
      </c>
      <c r="G39" s="69" t="s">
        <v>0</v>
      </c>
      <c r="H39" s="69" t="s">
        <v>0</v>
      </c>
      <c r="I39" s="70" t="s">
        <v>0</v>
      </c>
      <c r="J39" s="69" t="s">
        <v>0</v>
      </c>
      <c r="K39" s="69" t="s">
        <v>0</v>
      </c>
      <c r="L39" s="69" t="s">
        <v>0</v>
      </c>
      <c r="M39" s="71" t="s">
        <v>0</v>
      </c>
      <c r="N39" s="70" t="s">
        <v>0</v>
      </c>
      <c r="O39" s="70">
        <v>1.1395</v>
      </c>
    </row>
    <row r="40" spans="1:15" x14ac:dyDescent="0.25">
      <c r="A40" s="66" t="s">
        <v>2</v>
      </c>
      <c r="B40" s="67" t="s">
        <v>137</v>
      </c>
      <c r="C40" s="68">
        <v>0.875</v>
      </c>
      <c r="D40" s="67">
        <v>4.68</v>
      </c>
      <c r="E40" s="67">
        <v>4.82</v>
      </c>
      <c r="F40" s="69" t="s">
        <v>0</v>
      </c>
      <c r="G40" s="69" t="s">
        <v>0</v>
      </c>
      <c r="H40" s="69" t="s">
        <v>0</v>
      </c>
      <c r="I40" s="70" t="s">
        <v>0</v>
      </c>
      <c r="J40" s="69" t="s">
        <v>0</v>
      </c>
      <c r="K40" s="69" t="s">
        <v>0</v>
      </c>
      <c r="L40" s="69" t="s">
        <v>0</v>
      </c>
      <c r="M40" s="71" t="s">
        <v>0</v>
      </c>
      <c r="N40" s="70" t="s">
        <v>0</v>
      </c>
      <c r="O40" s="70">
        <v>1.1416999999999999</v>
      </c>
    </row>
    <row r="41" spans="1:15" x14ac:dyDescent="0.25">
      <c r="A41" s="66" t="s">
        <v>378</v>
      </c>
      <c r="B41" s="67" t="s">
        <v>379</v>
      </c>
      <c r="C41" s="68">
        <v>1</v>
      </c>
      <c r="D41" s="67">
        <v>4.8499999999999996</v>
      </c>
      <c r="E41" s="67">
        <v>5</v>
      </c>
      <c r="F41" s="69" t="s">
        <v>0</v>
      </c>
      <c r="G41" s="69" t="s">
        <v>0</v>
      </c>
      <c r="H41" s="69" t="s">
        <v>0</v>
      </c>
      <c r="I41" s="70" t="s">
        <v>0</v>
      </c>
      <c r="J41" s="69" t="s">
        <v>0</v>
      </c>
      <c r="K41" s="69" t="s">
        <v>0</v>
      </c>
      <c r="L41" s="69" t="s">
        <v>0</v>
      </c>
      <c r="M41" s="71" t="s">
        <v>0</v>
      </c>
      <c r="N41" s="70" t="s">
        <v>0</v>
      </c>
      <c r="O41" s="70">
        <v>1.1495</v>
      </c>
    </row>
    <row r="42" spans="1:15" x14ac:dyDescent="0.25">
      <c r="A42" s="66" t="s">
        <v>283</v>
      </c>
      <c r="B42" s="67" t="s">
        <v>223</v>
      </c>
      <c r="C42" s="68">
        <v>0.25</v>
      </c>
      <c r="D42" s="67">
        <v>4.92</v>
      </c>
      <c r="E42" s="67">
        <v>5.0199999999999996</v>
      </c>
      <c r="F42" s="69" t="s">
        <v>0</v>
      </c>
      <c r="G42" s="69" t="s">
        <v>0</v>
      </c>
      <c r="H42" s="69" t="s">
        <v>0</v>
      </c>
      <c r="I42" s="70" t="s">
        <v>0</v>
      </c>
      <c r="J42" s="69" t="s">
        <v>0</v>
      </c>
      <c r="K42" s="69" t="s">
        <v>0</v>
      </c>
      <c r="L42" s="69" t="s">
        <v>0</v>
      </c>
      <c r="M42" s="71" t="s">
        <v>0</v>
      </c>
      <c r="N42" s="70" t="s">
        <v>0</v>
      </c>
      <c r="O42" s="70">
        <v>1.1518999999999999</v>
      </c>
    </row>
    <row r="43" spans="1:15" x14ac:dyDescent="0.25">
      <c r="A43" s="66" t="s">
        <v>28</v>
      </c>
      <c r="B43" s="67" t="s">
        <v>139</v>
      </c>
      <c r="C43" s="68">
        <v>0.875</v>
      </c>
      <c r="D43" s="67">
        <v>4.99</v>
      </c>
      <c r="E43" s="67">
        <v>5.18</v>
      </c>
      <c r="F43" s="69" t="s">
        <v>0</v>
      </c>
      <c r="G43" s="69" t="s">
        <v>0</v>
      </c>
      <c r="H43" s="69" t="s">
        <v>0</v>
      </c>
      <c r="I43" s="70" t="s">
        <v>0</v>
      </c>
      <c r="J43" s="69" t="s">
        <v>0</v>
      </c>
      <c r="K43" s="69" t="s">
        <v>0</v>
      </c>
      <c r="L43" s="69" t="s">
        <v>0</v>
      </c>
      <c r="M43" s="71" t="s">
        <v>0</v>
      </c>
      <c r="N43" s="70" t="s">
        <v>0</v>
      </c>
      <c r="O43" s="70">
        <v>1.1535</v>
      </c>
    </row>
    <row r="44" spans="1:15" x14ac:dyDescent="0.25">
      <c r="A44" s="66" t="s">
        <v>16</v>
      </c>
      <c r="B44" s="67" t="s">
        <v>138</v>
      </c>
      <c r="C44" s="68">
        <v>2.125</v>
      </c>
      <c r="D44" s="67">
        <v>5.16</v>
      </c>
      <c r="E44" s="67">
        <v>5.52</v>
      </c>
      <c r="F44" s="69" t="s">
        <v>0</v>
      </c>
      <c r="G44" s="69" t="s">
        <v>0</v>
      </c>
      <c r="H44" s="69" t="s">
        <v>0</v>
      </c>
      <c r="I44" s="70" t="s">
        <v>0</v>
      </c>
      <c r="J44" s="69" t="s">
        <v>0</v>
      </c>
      <c r="K44" s="69" t="s">
        <v>0</v>
      </c>
      <c r="L44" s="69" t="s">
        <v>0</v>
      </c>
      <c r="M44" s="71" t="s">
        <v>0</v>
      </c>
      <c r="N44" s="70" t="s">
        <v>0</v>
      </c>
      <c r="O44" s="70">
        <v>1.1483000000000001</v>
      </c>
    </row>
    <row r="45" spans="1:15" x14ac:dyDescent="0.25">
      <c r="A45" s="66" t="s">
        <v>3</v>
      </c>
      <c r="B45" s="67" t="s">
        <v>140</v>
      </c>
      <c r="C45" s="68">
        <v>0.75</v>
      </c>
      <c r="D45" s="67">
        <v>5.33</v>
      </c>
      <c r="E45" s="67">
        <v>5.51</v>
      </c>
      <c r="F45" s="69" t="s">
        <v>0</v>
      </c>
      <c r="G45" s="69" t="s">
        <v>0</v>
      </c>
      <c r="H45" s="69" t="s">
        <v>0</v>
      </c>
      <c r="I45" s="70" t="s">
        <v>0</v>
      </c>
      <c r="J45" s="69" t="s">
        <v>0</v>
      </c>
      <c r="K45" s="69" t="s">
        <v>0</v>
      </c>
      <c r="L45" s="69" t="s">
        <v>0</v>
      </c>
      <c r="M45" s="71" t="s">
        <v>0</v>
      </c>
      <c r="N45" s="70" t="s">
        <v>0</v>
      </c>
      <c r="O45" s="70">
        <v>1.1515</v>
      </c>
    </row>
    <row r="46" spans="1:15" x14ac:dyDescent="0.25">
      <c r="A46" s="66" t="s">
        <v>17</v>
      </c>
      <c r="B46" s="67" t="s">
        <v>141</v>
      </c>
      <c r="C46" s="68">
        <v>2.125</v>
      </c>
      <c r="D46" s="67">
        <v>5.64</v>
      </c>
      <c r="E46" s="67">
        <v>6</v>
      </c>
      <c r="F46" s="69" t="s">
        <v>0</v>
      </c>
      <c r="G46" s="69" t="s">
        <v>0</v>
      </c>
      <c r="H46" s="69" t="s">
        <v>0</v>
      </c>
      <c r="I46" s="70" t="s">
        <v>0</v>
      </c>
      <c r="J46" s="69" t="s">
        <v>0</v>
      </c>
      <c r="K46" s="69" t="s">
        <v>0</v>
      </c>
      <c r="L46" s="69" t="s">
        <v>0</v>
      </c>
      <c r="M46" s="71" t="s">
        <v>0</v>
      </c>
      <c r="N46" s="70" t="s">
        <v>0</v>
      </c>
      <c r="O46" s="70">
        <v>1.1336999999999999</v>
      </c>
    </row>
    <row r="47" spans="1:15" x14ac:dyDescent="0.25">
      <c r="A47" s="66" t="s">
        <v>4</v>
      </c>
      <c r="B47" s="67" t="s">
        <v>142</v>
      </c>
      <c r="C47" s="68">
        <v>0.625</v>
      </c>
      <c r="D47" s="67">
        <v>5.71</v>
      </c>
      <c r="E47" s="67">
        <v>5.87</v>
      </c>
      <c r="F47" s="69" t="s">
        <v>0</v>
      </c>
      <c r="G47" s="69" t="s">
        <v>0</v>
      </c>
      <c r="H47" s="69" t="s">
        <v>0</v>
      </c>
      <c r="I47" s="70" t="s">
        <v>0</v>
      </c>
      <c r="J47" s="69"/>
      <c r="K47" s="69" t="s">
        <v>0</v>
      </c>
      <c r="L47" s="69" t="s">
        <v>0</v>
      </c>
      <c r="M47" s="71" t="s">
        <v>0</v>
      </c>
      <c r="N47" s="70" t="s">
        <v>0</v>
      </c>
      <c r="O47" s="70">
        <v>1.1409</v>
      </c>
    </row>
    <row r="48" spans="1:15" x14ac:dyDescent="0.25">
      <c r="A48" s="66" t="s">
        <v>6</v>
      </c>
      <c r="B48" s="67" t="s">
        <v>144</v>
      </c>
      <c r="C48" s="68">
        <v>0.625</v>
      </c>
      <c r="D48" s="67">
        <v>5.97</v>
      </c>
      <c r="E48" s="67">
        <v>6.17</v>
      </c>
      <c r="F48" s="69" t="s">
        <v>0</v>
      </c>
      <c r="G48" s="69" t="s">
        <v>0</v>
      </c>
      <c r="H48" s="69" t="s">
        <v>0</v>
      </c>
      <c r="I48" s="70" t="s">
        <v>0</v>
      </c>
      <c r="J48" s="69" t="s">
        <v>0</v>
      </c>
      <c r="K48" s="69" t="s">
        <v>0</v>
      </c>
      <c r="L48" s="69" t="s">
        <v>0</v>
      </c>
      <c r="M48" s="71" t="s">
        <v>0</v>
      </c>
      <c r="N48" s="70" t="s">
        <v>0</v>
      </c>
      <c r="O48" s="70">
        <v>1.1297999999999999</v>
      </c>
    </row>
    <row r="49" spans="1:15" x14ac:dyDescent="0.25">
      <c r="A49" s="66" t="s">
        <v>18</v>
      </c>
      <c r="B49" s="67" t="s">
        <v>143</v>
      </c>
      <c r="C49" s="68">
        <v>1.875</v>
      </c>
      <c r="D49" s="67">
        <v>6.09</v>
      </c>
      <c r="E49" s="67">
        <v>6.53</v>
      </c>
      <c r="F49" s="69" t="s">
        <v>0</v>
      </c>
      <c r="G49" s="69" t="s">
        <v>0</v>
      </c>
      <c r="H49" s="69" t="s">
        <v>0</v>
      </c>
      <c r="I49" s="70" t="s">
        <v>0</v>
      </c>
      <c r="J49" s="69" t="s">
        <v>0</v>
      </c>
      <c r="K49" s="69" t="s">
        <v>0</v>
      </c>
      <c r="L49" s="69" t="s">
        <v>0</v>
      </c>
      <c r="M49" s="71" t="s">
        <v>0</v>
      </c>
      <c r="N49" s="70" t="s">
        <v>0</v>
      </c>
      <c r="O49" s="70">
        <v>1.1173</v>
      </c>
    </row>
    <row r="50" spans="1:15" x14ac:dyDescent="0.25">
      <c r="A50" s="66" t="s">
        <v>284</v>
      </c>
      <c r="B50" s="67" t="s">
        <v>145</v>
      </c>
      <c r="C50" s="68">
        <v>0.5</v>
      </c>
      <c r="D50" s="67">
        <v>6.35</v>
      </c>
      <c r="E50" s="67">
        <v>6.53</v>
      </c>
      <c r="F50" s="69" t="s">
        <v>0</v>
      </c>
      <c r="G50" s="69" t="s">
        <v>0</v>
      </c>
      <c r="H50" s="69" t="s">
        <v>0</v>
      </c>
      <c r="I50" s="70" t="s">
        <v>0</v>
      </c>
      <c r="J50" s="69" t="s">
        <v>0</v>
      </c>
      <c r="K50" s="69" t="s">
        <v>0</v>
      </c>
      <c r="L50" s="69" t="s">
        <v>0</v>
      </c>
      <c r="M50" s="71" t="s">
        <v>0</v>
      </c>
      <c r="N50" s="70" t="s">
        <v>0</v>
      </c>
      <c r="O50" s="70">
        <v>1.1188</v>
      </c>
    </row>
    <row r="51" spans="1:15" x14ac:dyDescent="0.25">
      <c r="A51" s="66" t="s">
        <v>19</v>
      </c>
      <c r="B51" s="67" t="s">
        <v>146</v>
      </c>
      <c r="C51" s="68">
        <v>1.75</v>
      </c>
      <c r="D51" s="67">
        <v>6.58</v>
      </c>
      <c r="E51" s="67">
        <v>7</v>
      </c>
      <c r="F51" s="69" t="s">
        <v>0</v>
      </c>
      <c r="G51" s="69" t="s">
        <v>0</v>
      </c>
      <c r="H51" s="69" t="s">
        <v>0</v>
      </c>
      <c r="I51" s="70" t="s">
        <v>0</v>
      </c>
      <c r="J51" s="69" t="s">
        <v>0</v>
      </c>
      <c r="K51" s="69" t="s">
        <v>0</v>
      </c>
      <c r="L51" s="69" t="s">
        <v>0</v>
      </c>
      <c r="M51" s="71" t="s">
        <v>0</v>
      </c>
      <c r="N51" s="70" t="s">
        <v>0</v>
      </c>
      <c r="O51" s="70">
        <v>1.1127</v>
      </c>
    </row>
    <row r="52" spans="1:15" x14ac:dyDescent="0.25">
      <c r="A52" s="66" t="s">
        <v>285</v>
      </c>
      <c r="B52" s="67" t="s">
        <v>149</v>
      </c>
      <c r="C52" s="68">
        <v>0.375</v>
      </c>
      <c r="D52" s="67">
        <v>6.67</v>
      </c>
      <c r="E52" s="67">
        <v>6.83</v>
      </c>
      <c r="F52" s="69" t="s">
        <v>0</v>
      </c>
      <c r="G52" s="69" t="s">
        <v>0</v>
      </c>
      <c r="H52" s="69" t="s">
        <v>0</v>
      </c>
      <c r="I52" s="70" t="s">
        <v>0</v>
      </c>
      <c r="J52" s="69" t="s">
        <v>0</v>
      </c>
      <c r="K52" s="69" t="s">
        <v>0</v>
      </c>
      <c r="L52" s="69" t="s">
        <v>0</v>
      </c>
      <c r="M52" s="71" t="s">
        <v>0</v>
      </c>
      <c r="N52" s="70" t="s">
        <v>0</v>
      </c>
      <c r="O52" s="70">
        <v>1.1138999999999999</v>
      </c>
    </row>
    <row r="53" spans="1:15" x14ac:dyDescent="0.25">
      <c r="A53" s="66" t="s">
        <v>50</v>
      </c>
      <c r="B53" s="67" t="s">
        <v>147</v>
      </c>
      <c r="C53" s="68">
        <v>2.125</v>
      </c>
      <c r="D53" s="67">
        <v>6.81</v>
      </c>
      <c r="E53" s="67">
        <v>7.42</v>
      </c>
      <c r="F53" s="69" t="s">
        <v>0</v>
      </c>
      <c r="G53" s="69" t="s">
        <v>0</v>
      </c>
      <c r="H53" s="69" t="s">
        <v>0</v>
      </c>
      <c r="I53" s="70" t="s">
        <v>0</v>
      </c>
      <c r="J53" s="69" t="s">
        <v>0</v>
      </c>
      <c r="K53" s="69" t="s">
        <v>0</v>
      </c>
      <c r="L53" s="69" t="s">
        <v>0</v>
      </c>
      <c r="M53" s="71" t="s">
        <v>0</v>
      </c>
      <c r="N53" s="70" t="s">
        <v>0</v>
      </c>
      <c r="O53" s="70">
        <v>1.1214</v>
      </c>
    </row>
    <row r="54" spans="1:15" x14ac:dyDescent="0.25">
      <c r="A54" s="66" t="s">
        <v>286</v>
      </c>
      <c r="B54" s="67" t="s">
        <v>151</v>
      </c>
      <c r="C54" s="68">
        <v>0.25</v>
      </c>
      <c r="D54" s="67">
        <v>7.02</v>
      </c>
      <c r="E54" s="67">
        <v>7.17</v>
      </c>
      <c r="F54" s="69" t="s">
        <v>0</v>
      </c>
      <c r="G54" s="69" t="s">
        <v>0</v>
      </c>
      <c r="H54" s="69" t="s">
        <v>0</v>
      </c>
      <c r="I54" s="70" t="s">
        <v>0</v>
      </c>
      <c r="J54" s="69" t="s">
        <v>0</v>
      </c>
      <c r="K54" s="69" t="s">
        <v>0</v>
      </c>
      <c r="L54" s="69" t="s">
        <v>0</v>
      </c>
      <c r="M54" s="71" t="s">
        <v>0</v>
      </c>
      <c r="N54" s="70" t="s">
        <v>0</v>
      </c>
      <c r="O54" s="70">
        <v>1.1161000000000001</v>
      </c>
    </row>
    <row r="55" spans="1:15" x14ac:dyDescent="0.25">
      <c r="A55" s="66" t="s">
        <v>20</v>
      </c>
      <c r="B55" s="67" t="s">
        <v>148</v>
      </c>
      <c r="C55" s="68">
        <v>3.625</v>
      </c>
      <c r="D55" s="67">
        <v>7.02</v>
      </c>
      <c r="E55" s="67">
        <v>7.93</v>
      </c>
      <c r="F55" s="69" t="s">
        <v>0</v>
      </c>
      <c r="G55" s="69" t="s">
        <v>0</v>
      </c>
      <c r="H55" s="69" t="s">
        <v>0</v>
      </c>
      <c r="I55" s="70" t="s">
        <v>0</v>
      </c>
      <c r="J55" s="69" t="s">
        <v>0</v>
      </c>
      <c r="K55" s="69" t="s">
        <v>0</v>
      </c>
      <c r="L55" s="69" t="s">
        <v>0</v>
      </c>
      <c r="M55" s="71" t="s">
        <v>0</v>
      </c>
      <c r="N55" s="70" t="s">
        <v>0</v>
      </c>
      <c r="O55" s="70">
        <v>1.1408</v>
      </c>
    </row>
    <row r="56" spans="1:15" x14ac:dyDescent="0.25">
      <c r="A56" s="66" t="s">
        <v>58</v>
      </c>
      <c r="B56" s="67" t="s">
        <v>150</v>
      </c>
      <c r="C56" s="68">
        <v>1.75</v>
      </c>
      <c r="D56" s="67">
        <v>7.25</v>
      </c>
      <c r="E56" s="67">
        <v>7.79</v>
      </c>
      <c r="F56" s="69" t="s">
        <v>0</v>
      </c>
      <c r="G56" s="69" t="s">
        <v>0</v>
      </c>
      <c r="H56" s="69" t="s">
        <v>0</v>
      </c>
      <c r="I56" s="70" t="s">
        <v>0</v>
      </c>
      <c r="J56" s="69" t="s">
        <v>0</v>
      </c>
      <c r="K56" s="69" t="s">
        <v>0</v>
      </c>
      <c r="L56" s="69" t="s">
        <v>0</v>
      </c>
      <c r="M56" s="71" t="s">
        <v>0</v>
      </c>
      <c r="N56" s="70" t="s">
        <v>0</v>
      </c>
      <c r="O56" s="70">
        <v>1.1371</v>
      </c>
    </row>
    <row r="57" spans="1:15" x14ac:dyDescent="0.25">
      <c r="A57" s="66" t="s">
        <v>61</v>
      </c>
      <c r="B57" s="67" t="s">
        <v>153</v>
      </c>
      <c r="C57" s="68">
        <v>1.875</v>
      </c>
      <c r="D57" s="67">
        <v>7.4</v>
      </c>
      <c r="E57" s="67">
        <v>7.97</v>
      </c>
      <c r="F57" s="69" t="s">
        <v>0</v>
      </c>
      <c r="G57" s="69" t="s">
        <v>0</v>
      </c>
      <c r="H57" s="69" t="s">
        <v>0</v>
      </c>
      <c r="I57" s="70" t="s">
        <v>0</v>
      </c>
      <c r="J57" s="69" t="s">
        <v>0</v>
      </c>
      <c r="K57" s="69" t="s">
        <v>0</v>
      </c>
      <c r="L57" s="69" t="s">
        <v>0</v>
      </c>
      <c r="M57" s="71" t="s">
        <v>0</v>
      </c>
      <c r="N57" s="70" t="s">
        <v>0</v>
      </c>
      <c r="O57" s="70">
        <v>1.1455</v>
      </c>
    </row>
    <row r="58" spans="1:15" x14ac:dyDescent="0.25">
      <c r="A58" s="66" t="s">
        <v>287</v>
      </c>
      <c r="B58" s="67" t="s">
        <v>152</v>
      </c>
      <c r="C58" s="68">
        <v>0.25</v>
      </c>
      <c r="D58" s="67">
        <v>7.37</v>
      </c>
      <c r="E58" s="67">
        <v>7.53</v>
      </c>
      <c r="F58" s="69" t="s">
        <v>0</v>
      </c>
      <c r="G58" s="69" t="s">
        <v>0</v>
      </c>
      <c r="H58" s="69" t="s">
        <v>0</v>
      </c>
      <c r="I58" s="70" t="s">
        <v>0</v>
      </c>
      <c r="J58" s="69" t="s">
        <v>0</v>
      </c>
      <c r="K58" s="69" t="s">
        <v>0</v>
      </c>
      <c r="L58" s="69" t="s">
        <v>0</v>
      </c>
      <c r="M58" s="71" t="s">
        <v>0</v>
      </c>
      <c r="N58" s="70" t="s">
        <v>0</v>
      </c>
      <c r="O58" s="70">
        <v>1.1276999999999999</v>
      </c>
    </row>
    <row r="59" spans="1:15" x14ac:dyDescent="0.25">
      <c r="A59" s="66" t="s">
        <v>288</v>
      </c>
      <c r="B59" s="67" t="s">
        <v>212</v>
      </c>
      <c r="C59" s="68">
        <v>0.375</v>
      </c>
      <c r="D59" s="67">
        <v>7.54</v>
      </c>
      <c r="E59" s="67">
        <v>7.73</v>
      </c>
      <c r="F59" s="69" t="s">
        <v>0</v>
      </c>
      <c r="G59" s="69" t="s">
        <v>0</v>
      </c>
      <c r="H59" s="69" t="s">
        <v>0</v>
      </c>
      <c r="I59" s="70" t="s">
        <v>0</v>
      </c>
      <c r="J59" s="69" t="s">
        <v>0</v>
      </c>
      <c r="K59" s="69" t="s">
        <v>0</v>
      </c>
      <c r="L59" s="69" t="s">
        <v>0</v>
      </c>
      <c r="M59" s="71" t="s">
        <v>0</v>
      </c>
      <c r="N59" s="70" t="s">
        <v>0</v>
      </c>
      <c r="O59" s="70">
        <v>1.1367</v>
      </c>
    </row>
    <row r="60" spans="1:15" x14ac:dyDescent="0.25">
      <c r="A60" s="66" t="s">
        <v>276</v>
      </c>
      <c r="B60" s="67" t="s">
        <v>216</v>
      </c>
      <c r="C60" s="68">
        <v>0.375</v>
      </c>
      <c r="D60" s="67">
        <v>7.66</v>
      </c>
      <c r="E60" s="67">
        <v>7.86</v>
      </c>
      <c r="F60" s="69" t="s">
        <v>0</v>
      </c>
      <c r="G60" s="69" t="s">
        <v>0</v>
      </c>
      <c r="H60" s="69" t="s">
        <v>0</v>
      </c>
      <c r="I60" s="70" t="s">
        <v>0</v>
      </c>
      <c r="J60" s="69" t="s">
        <v>0</v>
      </c>
      <c r="K60" s="69" t="s">
        <v>0</v>
      </c>
      <c r="L60" s="69" t="s">
        <v>0</v>
      </c>
      <c r="M60" s="71" t="s">
        <v>0</v>
      </c>
      <c r="N60" s="70" t="s">
        <v>0</v>
      </c>
      <c r="O60" s="70">
        <v>1.1428</v>
      </c>
    </row>
    <row r="61" spans="1:15" x14ac:dyDescent="0.25">
      <c r="A61" s="66" t="s">
        <v>43</v>
      </c>
      <c r="B61" s="67" t="s">
        <v>154</v>
      </c>
      <c r="C61" s="68">
        <v>1.625</v>
      </c>
      <c r="D61" s="67">
        <v>7.8</v>
      </c>
      <c r="E61" s="67">
        <v>8.44</v>
      </c>
      <c r="F61" s="69" t="s">
        <v>0</v>
      </c>
      <c r="G61" s="69" t="s">
        <v>0</v>
      </c>
      <c r="H61" s="69" t="s">
        <v>0</v>
      </c>
      <c r="I61" s="70" t="s">
        <v>0</v>
      </c>
      <c r="J61" s="69" t="s">
        <v>0</v>
      </c>
      <c r="K61" s="69" t="s">
        <v>0</v>
      </c>
      <c r="L61" s="69" t="s">
        <v>0</v>
      </c>
      <c r="M61" s="71" t="s">
        <v>0</v>
      </c>
      <c r="N61" s="70" t="s">
        <v>0</v>
      </c>
      <c r="O61" s="70">
        <v>1.1657</v>
      </c>
    </row>
    <row r="62" spans="1:15" x14ac:dyDescent="0.25">
      <c r="A62" s="66" t="s">
        <v>289</v>
      </c>
      <c r="B62" s="67" t="s">
        <v>232</v>
      </c>
      <c r="C62" s="68">
        <v>0.5</v>
      </c>
      <c r="D62" s="67">
        <v>7.91</v>
      </c>
      <c r="E62" s="67">
        <v>8.19</v>
      </c>
      <c r="F62" s="69" t="s">
        <v>0</v>
      </c>
      <c r="G62" s="69" t="s">
        <v>0</v>
      </c>
      <c r="H62" s="69" t="s">
        <v>0</v>
      </c>
      <c r="I62" s="70" t="s">
        <v>0</v>
      </c>
      <c r="J62" s="69" t="s">
        <v>0</v>
      </c>
      <c r="K62" s="69" t="s">
        <v>0</v>
      </c>
      <c r="L62" s="69" t="s">
        <v>0</v>
      </c>
      <c r="M62" s="71" t="s">
        <v>0</v>
      </c>
      <c r="N62" s="70" t="s">
        <v>0</v>
      </c>
      <c r="O62" s="70">
        <v>1.1584000000000001</v>
      </c>
    </row>
    <row r="63" spans="1:15" x14ac:dyDescent="0.25">
      <c r="A63" s="66" t="s">
        <v>25</v>
      </c>
      <c r="B63" s="67" t="s">
        <v>155</v>
      </c>
      <c r="C63" s="68">
        <v>1.625</v>
      </c>
      <c r="D63" s="67">
        <v>7.95</v>
      </c>
      <c r="E63" s="67">
        <v>8.59</v>
      </c>
      <c r="F63" s="69" t="s">
        <v>0</v>
      </c>
      <c r="G63" s="69" t="s">
        <v>0</v>
      </c>
      <c r="H63" s="69" t="s">
        <v>0</v>
      </c>
      <c r="I63" s="70" t="s">
        <v>0</v>
      </c>
      <c r="J63" s="69" t="s">
        <v>0</v>
      </c>
      <c r="K63" s="69" t="s">
        <v>0</v>
      </c>
      <c r="L63" s="69" t="s">
        <v>0</v>
      </c>
      <c r="M63" s="71" t="s">
        <v>0</v>
      </c>
      <c r="N63" s="70" t="s">
        <v>0</v>
      </c>
      <c r="O63" s="70">
        <v>1.1705000000000001</v>
      </c>
    </row>
    <row r="64" spans="1:15" x14ac:dyDescent="0.25">
      <c r="A64" s="66" t="s">
        <v>290</v>
      </c>
      <c r="B64" s="67" t="s">
        <v>248</v>
      </c>
      <c r="C64" s="68">
        <v>0.75</v>
      </c>
      <c r="D64" s="67">
        <v>8.0500000000000007</v>
      </c>
      <c r="E64" s="67">
        <v>8.41</v>
      </c>
      <c r="F64" s="69" t="s">
        <v>0</v>
      </c>
      <c r="G64" s="69" t="s">
        <v>0</v>
      </c>
      <c r="H64" s="69" t="s">
        <v>0</v>
      </c>
      <c r="I64" s="70" t="s">
        <v>0</v>
      </c>
      <c r="J64" s="69" t="s">
        <v>0</v>
      </c>
      <c r="K64" s="69" t="s">
        <v>0</v>
      </c>
      <c r="L64" s="69" t="s">
        <v>0</v>
      </c>
      <c r="M64" s="71" t="s">
        <v>0</v>
      </c>
      <c r="N64" s="70" t="s">
        <v>0</v>
      </c>
      <c r="O64" s="70">
        <v>1.1669</v>
      </c>
    </row>
    <row r="65" spans="1:15" x14ac:dyDescent="0.25">
      <c r="A65" s="66" t="s">
        <v>245</v>
      </c>
      <c r="B65" s="67" t="s">
        <v>249</v>
      </c>
      <c r="C65" s="68">
        <v>0.625</v>
      </c>
      <c r="D65" s="67">
        <v>8.19</v>
      </c>
      <c r="E65" s="67">
        <v>8.52</v>
      </c>
      <c r="F65" s="69" t="s">
        <v>0</v>
      </c>
      <c r="G65" s="69" t="s">
        <v>0</v>
      </c>
      <c r="H65" s="69" t="s">
        <v>0</v>
      </c>
      <c r="I65" s="70" t="s">
        <v>0</v>
      </c>
      <c r="J65" s="69" t="s">
        <v>0</v>
      </c>
      <c r="K65" s="69" t="s">
        <v>0</v>
      </c>
      <c r="L65" s="69" t="s">
        <v>0</v>
      </c>
      <c r="M65" s="71" t="s">
        <v>0</v>
      </c>
      <c r="N65" s="70" t="s">
        <v>0</v>
      </c>
      <c r="O65" s="70">
        <v>1.1709000000000001</v>
      </c>
    </row>
    <row r="66" spans="1:15" x14ac:dyDescent="0.25">
      <c r="A66" s="66" t="s">
        <v>29</v>
      </c>
      <c r="B66" s="67" t="s">
        <v>156</v>
      </c>
      <c r="C66" s="68">
        <v>1.5</v>
      </c>
      <c r="D66" s="67">
        <v>8.3800000000000008</v>
      </c>
      <c r="E66" s="67">
        <v>9</v>
      </c>
      <c r="F66" s="69" t="s">
        <v>0</v>
      </c>
      <c r="G66" s="69" t="s">
        <v>0</v>
      </c>
      <c r="H66" s="69" t="s">
        <v>0</v>
      </c>
      <c r="I66" s="70" t="s">
        <v>0</v>
      </c>
      <c r="J66" s="69" t="s">
        <v>0</v>
      </c>
      <c r="K66" s="69" t="s">
        <v>0</v>
      </c>
      <c r="L66" s="69" t="s">
        <v>0</v>
      </c>
      <c r="M66" s="71" t="s">
        <v>0</v>
      </c>
      <c r="N66" s="70" t="s">
        <v>0</v>
      </c>
      <c r="O66" s="70">
        <v>1.1797</v>
      </c>
    </row>
    <row r="67" spans="1:15" x14ac:dyDescent="0.25">
      <c r="A67" s="66" t="s">
        <v>264</v>
      </c>
      <c r="B67" s="67" t="s">
        <v>266</v>
      </c>
      <c r="C67" s="68">
        <v>1.25</v>
      </c>
      <c r="D67" s="67">
        <v>8.35</v>
      </c>
      <c r="E67" s="67">
        <v>8.8800000000000008</v>
      </c>
      <c r="F67" s="69">
        <v>1.1759999999999999</v>
      </c>
      <c r="G67" s="69">
        <v>1.175</v>
      </c>
      <c r="H67" s="69">
        <v>1.1755</v>
      </c>
      <c r="I67" s="70">
        <v>3</v>
      </c>
      <c r="J67" s="69" t="s">
        <v>0</v>
      </c>
      <c r="K67" s="69" t="s">
        <v>0</v>
      </c>
      <c r="L67" s="69" t="s">
        <v>0</v>
      </c>
      <c r="M67" s="71" t="s">
        <v>0</v>
      </c>
      <c r="N67" s="70" t="s">
        <v>0</v>
      </c>
      <c r="O67" s="70">
        <v>1.1783999999999999</v>
      </c>
    </row>
    <row r="68" spans="1:15" x14ac:dyDescent="0.25">
      <c r="A68" s="66" t="s">
        <v>313</v>
      </c>
      <c r="B68" s="67" t="s">
        <v>314</v>
      </c>
      <c r="C68" s="68">
        <v>1.75</v>
      </c>
      <c r="D68" s="67">
        <v>8.36</v>
      </c>
      <c r="E68" s="67">
        <v>9.18</v>
      </c>
      <c r="F68" s="69" t="s">
        <v>0</v>
      </c>
      <c r="G68" s="69" t="s">
        <v>0</v>
      </c>
      <c r="H68" s="69" t="s">
        <v>0</v>
      </c>
      <c r="I68" s="70" t="s">
        <v>0</v>
      </c>
      <c r="J68" s="69" t="s">
        <v>0</v>
      </c>
      <c r="K68" s="69" t="s">
        <v>0</v>
      </c>
      <c r="L68" s="69" t="s">
        <v>0</v>
      </c>
      <c r="M68" s="71" t="s">
        <v>0</v>
      </c>
      <c r="N68" s="70" t="s">
        <v>0</v>
      </c>
      <c r="O68" s="70">
        <v>1.1815</v>
      </c>
    </row>
    <row r="69" spans="1:15" x14ac:dyDescent="0.25">
      <c r="A69" s="66" t="s">
        <v>53</v>
      </c>
      <c r="B69" s="67" t="s">
        <v>159</v>
      </c>
      <c r="C69" s="68">
        <v>1.5</v>
      </c>
      <c r="D69" s="67">
        <v>8.73</v>
      </c>
      <c r="E69" s="67">
        <v>9.4700000000000006</v>
      </c>
      <c r="F69" s="69" t="s">
        <v>0</v>
      </c>
      <c r="G69" s="69" t="s">
        <v>0</v>
      </c>
      <c r="H69" s="69" t="s">
        <v>0</v>
      </c>
      <c r="I69" s="70" t="s">
        <v>0</v>
      </c>
      <c r="J69" s="69" t="s">
        <v>0</v>
      </c>
      <c r="K69" s="69" t="s">
        <v>0</v>
      </c>
      <c r="L69" s="69" t="s">
        <v>0</v>
      </c>
      <c r="M69" s="71" t="s">
        <v>0</v>
      </c>
      <c r="N69" s="70" t="s">
        <v>0</v>
      </c>
      <c r="O69" s="70">
        <v>1.1850000000000001</v>
      </c>
    </row>
    <row r="70" spans="1:15" x14ac:dyDescent="0.25">
      <c r="A70" s="66" t="s">
        <v>329</v>
      </c>
      <c r="B70" s="67" t="s">
        <v>330</v>
      </c>
      <c r="C70" s="68">
        <v>1.25</v>
      </c>
      <c r="D70" s="67">
        <v>8.77</v>
      </c>
      <c r="E70" s="67">
        <v>9.42</v>
      </c>
      <c r="F70" s="69" t="s">
        <v>0</v>
      </c>
      <c r="G70" s="69" t="s">
        <v>0</v>
      </c>
      <c r="H70" s="69" t="s">
        <v>0</v>
      </c>
      <c r="I70" s="70" t="s">
        <v>0</v>
      </c>
      <c r="J70" s="69" t="s">
        <v>0</v>
      </c>
      <c r="K70" s="69" t="s">
        <v>0</v>
      </c>
      <c r="L70" s="69" t="s">
        <v>0</v>
      </c>
      <c r="M70" s="71" t="s">
        <v>0</v>
      </c>
      <c r="N70" s="70" t="s">
        <v>0</v>
      </c>
      <c r="O70" s="70">
        <v>1.1853</v>
      </c>
    </row>
    <row r="71" spans="1:15" x14ac:dyDescent="0.25">
      <c r="A71" s="66" t="s">
        <v>62</v>
      </c>
      <c r="B71" s="67" t="s">
        <v>158</v>
      </c>
      <c r="C71" s="68">
        <v>1.75</v>
      </c>
      <c r="D71" s="67">
        <v>8.7799999999999994</v>
      </c>
      <c r="E71" s="67">
        <v>9.61</v>
      </c>
      <c r="F71" s="69" t="s">
        <v>0</v>
      </c>
      <c r="G71" s="69" t="s">
        <v>0</v>
      </c>
      <c r="H71" s="69" t="s">
        <v>0</v>
      </c>
      <c r="I71" s="70" t="s">
        <v>0</v>
      </c>
      <c r="J71" s="69" t="s">
        <v>0</v>
      </c>
      <c r="K71" s="69" t="s">
        <v>0</v>
      </c>
      <c r="L71" s="69" t="s">
        <v>0</v>
      </c>
      <c r="M71" s="71" t="s">
        <v>0</v>
      </c>
      <c r="N71" s="70" t="s">
        <v>0</v>
      </c>
      <c r="O71" s="70">
        <v>1.1855</v>
      </c>
    </row>
    <row r="72" spans="1:15" x14ac:dyDescent="0.25">
      <c r="A72" s="66" t="s">
        <v>30</v>
      </c>
      <c r="B72" s="67" t="s">
        <v>160</v>
      </c>
      <c r="C72" s="68">
        <v>2</v>
      </c>
      <c r="D72" s="67">
        <v>9.0399999999999991</v>
      </c>
      <c r="E72" s="67">
        <v>9.9600000000000009</v>
      </c>
      <c r="F72" s="69" t="s">
        <v>0</v>
      </c>
      <c r="G72" s="69" t="s">
        <v>0</v>
      </c>
      <c r="H72" s="69" t="s">
        <v>0</v>
      </c>
      <c r="I72" s="70" t="s">
        <v>0</v>
      </c>
      <c r="J72" s="69" t="s">
        <v>0</v>
      </c>
      <c r="K72" s="69" t="s">
        <v>0</v>
      </c>
      <c r="L72" s="69" t="s">
        <v>0</v>
      </c>
      <c r="M72" s="71" t="s">
        <v>0</v>
      </c>
      <c r="N72" s="70" t="s">
        <v>0</v>
      </c>
      <c r="O72" s="70">
        <v>1.1877</v>
      </c>
    </row>
    <row r="73" spans="1:15" x14ac:dyDescent="0.25">
      <c r="A73" s="66" t="s">
        <v>327</v>
      </c>
      <c r="B73" s="67" t="s">
        <v>328</v>
      </c>
      <c r="C73" s="68">
        <v>1.125</v>
      </c>
      <c r="D73" s="67">
        <v>8.92</v>
      </c>
      <c r="E73" s="67">
        <v>9.52</v>
      </c>
      <c r="F73" s="69">
        <v>1.181</v>
      </c>
      <c r="G73" s="69">
        <v>1.18</v>
      </c>
      <c r="H73" s="69">
        <v>1.1805000000000001</v>
      </c>
      <c r="I73" s="70">
        <v>9</v>
      </c>
      <c r="J73" s="69" t="s">
        <v>0</v>
      </c>
      <c r="K73" s="69" t="s">
        <v>0</v>
      </c>
      <c r="L73" s="69" t="s">
        <v>0</v>
      </c>
      <c r="M73" s="71" t="s">
        <v>0</v>
      </c>
      <c r="N73" s="70" t="s">
        <v>0</v>
      </c>
      <c r="O73" s="70">
        <v>1.1866000000000001</v>
      </c>
    </row>
    <row r="74" spans="1:15" x14ac:dyDescent="0.25">
      <c r="A74" s="66" t="s">
        <v>21</v>
      </c>
      <c r="B74" s="67" t="s">
        <v>157</v>
      </c>
      <c r="C74" s="68">
        <v>3.875</v>
      </c>
      <c r="D74" s="67">
        <v>9.08</v>
      </c>
      <c r="E74" s="67">
        <v>10.79</v>
      </c>
      <c r="F74" s="69" t="s">
        <v>0</v>
      </c>
      <c r="G74" s="69" t="s">
        <v>0</v>
      </c>
      <c r="H74" s="69" t="s">
        <v>0</v>
      </c>
      <c r="I74" s="70" t="s">
        <v>0</v>
      </c>
      <c r="J74" s="69" t="s">
        <v>0</v>
      </c>
      <c r="K74" s="69" t="s">
        <v>0</v>
      </c>
      <c r="L74" s="69" t="s">
        <v>0</v>
      </c>
      <c r="M74" s="71" t="s">
        <v>0</v>
      </c>
      <c r="N74" s="70" t="s">
        <v>0</v>
      </c>
      <c r="O74" s="70">
        <v>1.1915</v>
      </c>
    </row>
    <row r="75" spans="1:15" x14ac:dyDescent="0.25">
      <c r="A75" s="66" t="s">
        <v>377</v>
      </c>
      <c r="B75" s="67" t="s">
        <v>362</v>
      </c>
      <c r="C75" s="68">
        <v>1.125</v>
      </c>
      <c r="D75" s="67">
        <v>9.19</v>
      </c>
      <c r="E75" s="67">
        <v>9.83</v>
      </c>
      <c r="F75" s="69" t="s">
        <v>0</v>
      </c>
      <c r="G75" s="69" t="s">
        <v>0</v>
      </c>
      <c r="H75" s="69" t="s">
        <v>0</v>
      </c>
      <c r="I75" s="70" t="s">
        <v>0</v>
      </c>
      <c r="J75" s="69" t="s">
        <v>0</v>
      </c>
      <c r="K75" s="69" t="s">
        <v>0</v>
      </c>
      <c r="L75" s="69" t="s">
        <v>0</v>
      </c>
      <c r="M75" s="71" t="s">
        <v>0</v>
      </c>
      <c r="N75" s="70" t="s">
        <v>0</v>
      </c>
      <c r="O75" s="70">
        <v>1.1889000000000001</v>
      </c>
    </row>
    <row r="76" spans="1:15" x14ac:dyDescent="0.25">
      <c r="A76" s="66" t="s">
        <v>361</v>
      </c>
      <c r="B76" s="67" t="s">
        <v>362</v>
      </c>
      <c r="C76" s="68">
        <v>1.125</v>
      </c>
      <c r="D76" s="67">
        <v>9.2200000000000006</v>
      </c>
      <c r="E76" s="67">
        <v>9.83</v>
      </c>
      <c r="F76" s="69" t="s">
        <v>0</v>
      </c>
      <c r="G76" s="69" t="s">
        <v>0</v>
      </c>
      <c r="H76" s="69" t="s">
        <v>0</v>
      </c>
      <c r="I76" s="70" t="s">
        <v>0</v>
      </c>
      <c r="J76" s="69" t="s">
        <v>0</v>
      </c>
      <c r="K76" s="69" t="s">
        <v>0</v>
      </c>
      <c r="L76" s="69" t="s">
        <v>0</v>
      </c>
      <c r="M76" s="71" t="s">
        <v>0</v>
      </c>
      <c r="N76" s="70" t="s">
        <v>0</v>
      </c>
      <c r="O76" s="70">
        <v>1.1891</v>
      </c>
    </row>
    <row r="77" spans="1:15" x14ac:dyDescent="0.25">
      <c r="A77" s="66" t="s">
        <v>63</v>
      </c>
      <c r="B77" s="67" t="s">
        <v>161</v>
      </c>
      <c r="C77" s="68">
        <v>2</v>
      </c>
      <c r="D77" s="67">
        <v>9.3800000000000008</v>
      </c>
      <c r="E77" s="67">
        <v>10.47</v>
      </c>
      <c r="F77" s="69" t="s">
        <v>0</v>
      </c>
      <c r="G77" s="69" t="s">
        <v>0</v>
      </c>
      <c r="H77" s="69" t="s">
        <v>0</v>
      </c>
      <c r="I77" s="70" t="s">
        <v>0</v>
      </c>
      <c r="J77" s="69" t="s">
        <v>0</v>
      </c>
      <c r="K77" s="69" t="s">
        <v>0</v>
      </c>
      <c r="L77" s="69" t="s">
        <v>0</v>
      </c>
      <c r="M77" s="71" t="s">
        <v>0</v>
      </c>
      <c r="N77" s="70" t="s">
        <v>0</v>
      </c>
      <c r="O77" s="70">
        <v>1.1927000000000001</v>
      </c>
    </row>
    <row r="78" spans="1:15" x14ac:dyDescent="0.25">
      <c r="A78" s="66" t="s">
        <v>65</v>
      </c>
      <c r="B78" s="67" t="s">
        <v>163</v>
      </c>
      <c r="C78" s="68">
        <v>2.125</v>
      </c>
      <c r="D78" s="67">
        <v>9.83</v>
      </c>
      <c r="E78" s="67">
        <v>10.97</v>
      </c>
      <c r="F78" s="69" t="s">
        <v>0</v>
      </c>
      <c r="G78" s="69" t="s">
        <v>0</v>
      </c>
      <c r="H78" s="69" t="s">
        <v>0</v>
      </c>
      <c r="I78" s="70" t="s">
        <v>0</v>
      </c>
      <c r="J78" s="69" t="s">
        <v>0</v>
      </c>
      <c r="K78" s="69" t="s">
        <v>0</v>
      </c>
      <c r="L78" s="69" t="s">
        <v>0</v>
      </c>
      <c r="M78" s="71" t="s">
        <v>0</v>
      </c>
      <c r="N78" s="70" t="s">
        <v>0</v>
      </c>
      <c r="O78" s="70">
        <v>1.1982999999999999</v>
      </c>
    </row>
    <row r="79" spans="1:15" x14ac:dyDescent="0.25">
      <c r="A79" s="66" t="s">
        <v>44</v>
      </c>
      <c r="B79" s="67" t="s">
        <v>162</v>
      </c>
      <c r="C79" s="68">
        <v>1.875</v>
      </c>
      <c r="D79" s="67">
        <v>9.66</v>
      </c>
      <c r="E79" s="67">
        <v>10.7</v>
      </c>
      <c r="F79" s="69" t="s">
        <v>0</v>
      </c>
      <c r="G79" s="69" t="s">
        <v>0</v>
      </c>
      <c r="H79" s="69" t="s">
        <v>0</v>
      </c>
      <c r="I79" s="70" t="s">
        <v>0</v>
      </c>
      <c r="J79" s="69" t="s">
        <v>0</v>
      </c>
      <c r="K79" s="69" t="s">
        <v>0</v>
      </c>
      <c r="L79" s="69" t="s">
        <v>0</v>
      </c>
      <c r="M79" s="71" t="s">
        <v>0</v>
      </c>
      <c r="N79" s="70" t="s">
        <v>0</v>
      </c>
      <c r="O79" s="70">
        <v>1.1958</v>
      </c>
    </row>
    <row r="80" spans="1:15" x14ac:dyDescent="0.25">
      <c r="A80" s="66" t="s">
        <v>64</v>
      </c>
      <c r="B80" s="67" t="s">
        <v>164</v>
      </c>
      <c r="C80" s="68">
        <v>2.25</v>
      </c>
      <c r="D80" s="67">
        <v>9.75</v>
      </c>
      <c r="E80" s="67">
        <v>11.14</v>
      </c>
      <c r="F80" s="69" t="s">
        <v>0</v>
      </c>
      <c r="G80" s="69" t="s">
        <v>0</v>
      </c>
      <c r="H80" s="69" t="s">
        <v>0</v>
      </c>
      <c r="I80" s="70" t="s">
        <v>0</v>
      </c>
      <c r="J80" s="69" t="s">
        <v>0</v>
      </c>
      <c r="K80" s="69" t="s">
        <v>0</v>
      </c>
      <c r="L80" s="69" t="s">
        <v>0</v>
      </c>
      <c r="M80" s="71" t="s">
        <v>0</v>
      </c>
      <c r="N80" s="70" t="s">
        <v>0</v>
      </c>
      <c r="O80" s="70">
        <v>1.2000999999999999</v>
      </c>
    </row>
    <row r="81" spans="1:15" x14ac:dyDescent="0.25">
      <c r="A81" s="66" t="s">
        <v>26</v>
      </c>
      <c r="B81" s="67" t="s">
        <v>165</v>
      </c>
      <c r="C81" s="68">
        <v>2</v>
      </c>
      <c r="D81" s="67">
        <v>10.17</v>
      </c>
      <c r="E81" s="67">
        <v>11.45</v>
      </c>
      <c r="F81" s="69" t="s">
        <v>0</v>
      </c>
      <c r="G81" s="69" t="s">
        <v>0</v>
      </c>
      <c r="H81" s="69" t="s">
        <v>0</v>
      </c>
      <c r="I81" s="70" t="s">
        <v>0</v>
      </c>
      <c r="J81" s="69" t="s">
        <v>0</v>
      </c>
      <c r="K81" s="69" t="s">
        <v>0</v>
      </c>
      <c r="L81" s="69" t="s">
        <v>0</v>
      </c>
      <c r="M81" s="71" t="s">
        <v>0</v>
      </c>
      <c r="N81" s="70" t="s">
        <v>0</v>
      </c>
      <c r="O81" s="70">
        <v>1.2050000000000001</v>
      </c>
    </row>
    <row r="82" spans="1:15" x14ac:dyDescent="0.25">
      <c r="A82" s="66" t="s">
        <v>49</v>
      </c>
      <c r="B82" s="67" t="s">
        <v>166</v>
      </c>
      <c r="C82" s="68">
        <v>2.125</v>
      </c>
      <c r="D82" s="67">
        <v>10.34</v>
      </c>
      <c r="E82" s="67">
        <v>11.67</v>
      </c>
      <c r="F82" s="69" t="s">
        <v>0</v>
      </c>
      <c r="G82" s="69" t="s">
        <v>0</v>
      </c>
      <c r="H82" s="69" t="s">
        <v>0</v>
      </c>
      <c r="I82" s="70" t="s">
        <v>0</v>
      </c>
      <c r="J82" s="69" t="s">
        <v>0</v>
      </c>
      <c r="K82" s="69" t="s">
        <v>0</v>
      </c>
      <c r="L82" s="69" t="s">
        <v>0</v>
      </c>
      <c r="M82" s="71" t="s">
        <v>0</v>
      </c>
      <c r="N82" s="70" t="s">
        <v>0</v>
      </c>
      <c r="O82" s="70">
        <v>1.2078</v>
      </c>
    </row>
    <row r="83" spans="1:15" x14ac:dyDescent="0.25">
      <c r="A83" s="66" t="s">
        <v>54</v>
      </c>
      <c r="B83" s="67" t="s">
        <v>167</v>
      </c>
      <c r="C83" s="68">
        <v>1.75</v>
      </c>
      <c r="D83" s="67">
        <v>10.85</v>
      </c>
      <c r="E83" s="67">
        <v>12.21</v>
      </c>
      <c r="F83" s="69" t="s">
        <v>0</v>
      </c>
      <c r="G83" s="69" t="s">
        <v>0</v>
      </c>
      <c r="H83" s="69" t="s">
        <v>0</v>
      </c>
      <c r="I83" s="70" t="s">
        <v>0</v>
      </c>
      <c r="J83" s="69" t="s">
        <v>0</v>
      </c>
      <c r="K83" s="69" t="s">
        <v>0</v>
      </c>
      <c r="L83" s="69" t="s">
        <v>0</v>
      </c>
      <c r="M83" s="71" t="s">
        <v>0</v>
      </c>
      <c r="N83" s="70" t="s">
        <v>0</v>
      </c>
      <c r="O83" s="70">
        <v>1.2170000000000001</v>
      </c>
    </row>
    <row r="84" spans="1:15" x14ac:dyDescent="0.25">
      <c r="A84" s="66" t="s">
        <v>39</v>
      </c>
      <c r="B84" s="67" t="s">
        <v>168</v>
      </c>
      <c r="C84" s="68">
        <v>1.375</v>
      </c>
      <c r="D84" s="67">
        <v>11.31</v>
      </c>
      <c r="E84" s="67">
        <v>12.45</v>
      </c>
      <c r="F84" s="69" t="s">
        <v>0</v>
      </c>
      <c r="G84" s="69" t="s">
        <v>0</v>
      </c>
      <c r="H84" s="69" t="s">
        <v>0</v>
      </c>
      <c r="I84" s="70" t="s">
        <v>0</v>
      </c>
      <c r="J84" s="69" t="s">
        <v>0</v>
      </c>
      <c r="K84" s="69" t="s">
        <v>0</v>
      </c>
      <c r="L84" s="69" t="s">
        <v>0</v>
      </c>
      <c r="M84" s="71" t="s">
        <v>0</v>
      </c>
      <c r="N84" s="70" t="s">
        <v>0</v>
      </c>
      <c r="O84" s="70">
        <v>1.2223999999999999</v>
      </c>
    </row>
    <row r="85" spans="1:15" x14ac:dyDescent="0.25">
      <c r="A85" s="66" t="s">
        <v>34</v>
      </c>
      <c r="B85" s="67" t="s">
        <v>169</v>
      </c>
      <c r="C85" s="68">
        <v>1.25</v>
      </c>
      <c r="D85" s="67">
        <v>11.59</v>
      </c>
      <c r="E85" s="67">
        <v>12.66</v>
      </c>
      <c r="F85" s="69" t="s">
        <v>0</v>
      </c>
      <c r="G85" s="69" t="s">
        <v>0</v>
      </c>
      <c r="H85" s="69" t="s">
        <v>0</v>
      </c>
      <c r="I85" s="70" t="s">
        <v>0</v>
      </c>
      <c r="J85" s="69" t="s">
        <v>0</v>
      </c>
      <c r="K85" s="69" t="s">
        <v>0</v>
      </c>
      <c r="L85" s="69" t="s">
        <v>0</v>
      </c>
      <c r="M85" s="71" t="s">
        <v>0</v>
      </c>
      <c r="N85" s="70" t="s">
        <v>0</v>
      </c>
      <c r="O85" s="70">
        <v>1.2263999999999999</v>
      </c>
    </row>
    <row r="86" spans="1:15" x14ac:dyDescent="0.25">
      <c r="A86" s="66" t="s">
        <v>45</v>
      </c>
      <c r="B86" s="67" t="s">
        <v>171</v>
      </c>
      <c r="C86" s="68">
        <v>1.125</v>
      </c>
      <c r="D86" s="67">
        <v>11.94</v>
      </c>
      <c r="E86" s="67">
        <v>12.94</v>
      </c>
      <c r="F86" s="69" t="s">
        <v>0</v>
      </c>
      <c r="G86" s="69" t="s">
        <v>0</v>
      </c>
      <c r="H86" s="69" t="s">
        <v>0</v>
      </c>
      <c r="I86" s="70" t="s">
        <v>0</v>
      </c>
      <c r="J86" s="69" t="s">
        <v>0</v>
      </c>
      <c r="K86" s="69" t="s">
        <v>0</v>
      </c>
      <c r="L86" s="69" t="s">
        <v>0</v>
      </c>
      <c r="M86" s="71" t="s">
        <v>0</v>
      </c>
      <c r="N86" s="70" t="s">
        <v>0</v>
      </c>
      <c r="O86" s="70">
        <v>1.2317</v>
      </c>
    </row>
    <row r="87" spans="1:15" x14ac:dyDescent="0.25">
      <c r="A87" s="66" t="s">
        <v>36</v>
      </c>
      <c r="B87" s="67" t="s">
        <v>170</v>
      </c>
      <c r="C87" s="68">
        <v>1.75</v>
      </c>
      <c r="D87" s="67">
        <v>11.97</v>
      </c>
      <c r="E87" s="67">
        <v>13.53</v>
      </c>
      <c r="F87" s="69" t="s">
        <v>0</v>
      </c>
      <c r="G87" s="69" t="s">
        <v>0</v>
      </c>
      <c r="H87" s="69" t="s">
        <v>0</v>
      </c>
      <c r="I87" s="70" t="s">
        <v>0</v>
      </c>
      <c r="J87" s="69" t="s">
        <v>0</v>
      </c>
      <c r="K87" s="69" t="s">
        <v>0</v>
      </c>
      <c r="L87" s="69" t="s">
        <v>0</v>
      </c>
      <c r="M87" s="71" t="s">
        <v>0</v>
      </c>
      <c r="N87" s="70" t="s">
        <v>0</v>
      </c>
      <c r="O87" s="70">
        <v>1.2393000000000001</v>
      </c>
    </row>
    <row r="88" spans="1:15" x14ac:dyDescent="0.25">
      <c r="A88" s="66" t="s">
        <v>66</v>
      </c>
      <c r="B88" s="67" t="s">
        <v>172</v>
      </c>
      <c r="C88" s="68">
        <v>1.5</v>
      </c>
      <c r="D88" s="67">
        <v>12.43</v>
      </c>
      <c r="E88" s="67">
        <v>14.02</v>
      </c>
      <c r="F88" s="69" t="s">
        <v>0</v>
      </c>
      <c r="G88" s="69" t="s">
        <v>0</v>
      </c>
      <c r="H88" s="69" t="s">
        <v>0</v>
      </c>
      <c r="I88" s="70" t="s">
        <v>0</v>
      </c>
      <c r="J88" s="69" t="s">
        <v>0</v>
      </c>
      <c r="K88" s="69" t="s">
        <v>0</v>
      </c>
      <c r="L88" s="69" t="s">
        <v>0</v>
      </c>
      <c r="M88" s="71" t="s">
        <v>0</v>
      </c>
      <c r="N88" s="70" t="s">
        <v>0</v>
      </c>
      <c r="O88" s="70">
        <v>1.2494000000000001</v>
      </c>
    </row>
    <row r="89" spans="1:15" x14ac:dyDescent="0.25">
      <c r="A89" s="66" t="s">
        <v>67</v>
      </c>
      <c r="B89" s="67" t="s">
        <v>173</v>
      </c>
      <c r="C89" s="68">
        <v>1.375</v>
      </c>
      <c r="D89" s="67">
        <v>13.08</v>
      </c>
      <c r="E89" s="67">
        <v>14.59</v>
      </c>
      <c r="F89" s="69">
        <v>1.2609999999999999</v>
      </c>
      <c r="G89" s="69">
        <v>1.2609999999999999</v>
      </c>
      <c r="H89" s="69">
        <v>1.2609999999999999</v>
      </c>
      <c r="I89" s="70">
        <v>2</v>
      </c>
      <c r="J89" s="69">
        <v>1.26</v>
      </c>
      <c r="K89" s="69">
        <v>1.26</v>
      </c>
      <c r="L89" s="69">
        <v>1.26</v>
      </c>
      <c r="M89" s="71">
        <v>1</v>
      </c>
      <c r="N89" s="70">
        <v>2</v>
      </c>
      <c r="O89" s="70">
        <v>1.2606999999999999</v>
      </c>
    </row>
    <row r="90" spans="1:15" x14ac:dyDescent="0.25">
      <c r="A90" s="66" t="s">
        <v>68</v>
      </c>
      <c r="B90" s="67" t="s">
        <v>175</v>
      </c>
      <c r="C90" s="68">
        <v>1.125</v>
      </c>
      <c r="D90" s="67">
        <v>13.65</v>
      </c>
      <c r="E90" s="67">
        <v>15.11</v>
      </c>
      <c r="F90" s="69" t="s">
        <v>0</v>
      </c>
      <c r="G90" s="69" t="s">
        <v>0</v>
      </c>
      <c r="H90" s="69" t="s">
        <v>0</v>
      </c>
      <c r="I90" s="70" t="s">
        <v>0</v>
      </c>
      <c r="J90" s="69" t="s">
        <v>0</v>
      </c>
      <c r="K90" s="69" t="s">
        <v>0</v>
      </c>
      <c r="L90" s="69" t="s">
        <v>0</v>
      </c>
      <c r="M90" s="71" t="s">
        <v>0</v>
      </c>
      <c r="N90" s="70" t="s">
        <v>0</v>
      </c>
      <c r="O90" s="70">
        <v>1.2725</v>
      </c>
    </row>
    <row r="91" spans="1:15" x14ac:dyDescent="0.25">
      <c r="A91" s="66" t="s">
        <v>22</v>
      </c>
      <c r="B91" s="67" t="s">
        <v>174</v>
      </c>
      <c r="C91" s="68">
        <v>2.25</v>
      </c>
      <c r="D91" s="67">
        <v>13.8</v>
      </c>
      <c r="E91" s="67">
        <v>16.46</v>
      </c>
      <c r="F91" s="69" t="s">
        <v>0</v>
      </c>
      <c r="G91" s="69" t="s">
        <v>0</v>
      </c>
      <c r="H91" s="69" t="s">
        <v>0</v>
      </c>
      <c r="I91" s="70" t="s">
        <v>0</v>
      </c>
      <c r="J91" s="69" t="s">
        <v>0</v>
      </c>
      <c r="K91" s="69" t="s">
        <v>0</v>
      </c>
      <c r="L91" s="69" t="s">
        <v>0</v>
      </c>
      <c r="M91" s="71" t="s">
        <v>0</v>
      </c>
      <c r="N91" s="70" t="s">
        <v>0</v>
      </c>
      <c r="O91" s="70">
        <v>1.2918000000000001</v>
      </c>
    </row>
    <row r="92" spans="1:15" x14ac:dyDescent="0.25">
      <c r="A92" s="66" t="s">
        <v>291</v>
      </c>
      <c r="B92" s="67" t="s">
        <v>176</v>
      </c>
      <c r="C92" s="68">
        <v>1.125</v>
      </c>
      <c r="D92" s="67">
        <v>13.99</v>
      </c>
      <c r="E92" s="67">
        <v>15.46</v>
      </c>
      <c r="F92" s="69" t="s">
        <v>0</v>
      </c>
      <c r="G92" s="69" t="s">
        <v>0</v>
      </c>
      <c r="H92" s="69" t="s">
        <v>0</v>
      </c>
      <c r="I92" s="70" t="s">
        <v>0</v>
      </c>
      <c r="J92" s="69" t="s">
        <v>0</v>
      </c>
      <c r="K92" s="69" t="s">
        <v>0</v>
      </c>
      <c r="L92" s="69" t="s">
        <v>0</v>
      </c>
      <c r="M92" s="71" t="s">
        <v>0</v>
      </c>
      <c r="N92" s="70" t="s">
        <v>0</v>
      </c>
      <c r="O92" s="70">
        <v>1.2795000000000001</v>
      </c>
    </row>
    <row r="93" spans="1:15" x14ac:dyDescent="0.25">
      <c r="A93" s="66" t="s">
        <v>292</v>
      </c>
      <c r="B93" s="67" t="s">
        <v>177</v>
      </c>
      <c r="C93" s="68">
        <v>1.125</v>
      </c>
      <c r="D93" s="67">
        <v>14.09</v>
      </c>
      <c r="E93" s="67">
        <v>15.56</v>
      </c>
      <c r="F93" s="69" t="s">
        <v>0</v>
      </c>
      <c r="G93" s="69" t="s">
        <v>0</v>
      </c>
      <c r="H93" s="69" t="s">
        <v>0</v>
      </c>
      <c r="I93" s="70" t="s">
        <v>0</v>
      </c>
      <c r="J93" s="69" t="s">
        <v>0</v>
      </c>
      <c r="K93" s="69" t="s">
        <v>0</v>
      </c>
      <c r="L93" s="69" t="s">
        <v>0</v>
      </c>
      <c r="M93" s="71" t="s">
        <v>0</v>
      </c>
      <c r="N93" s="70" t="s">
        <v>0</v>
      </c>
      <c r="O93" s="70">
        <v>1.2815000000000001</v>
      </c>
    </row>
    <row r="94" spans="1:15" x14ac:dyDescent="0.25">
      <c r="A94" s="66" t="s">
        <v>46</v>
      </c>
      <c r="B94" s="67" t="s">
        <v>178</v>
      </c>
      <c r="C94" s="68">
        <v>2.125</v>
      </c>
      <c r="D94" s="67">
        <v>14.53</v>
      </c>
      <c r="E94" s="67">
        <v>17.38</v>
      </c>
      <c r="F94" s="69" t="s">
        <v>0</v>
      </c>
      <c r="G94" s="69" t="s">
        <v>0</v>
      </c>
      <c r="H94" s="69" t="s">
        <v>0</v>
      </c>
      <c r="I94" s="70" t="s">
        <v>0</v>
      </c>
      <c r="J94" s="69" t="s">
        <v>0</v>
      </c>
      <c r="K94" s="69" t="s">
        <v>0</v>
      </c>
      <c r="L94" s="69" t="s">
        <v>0</v>
      </c>
      <c r="M94" s="71" t="s">
        <v>0</v>
      </c>
      <c r="N94" s="70" t="s">
        <v>0</v>
      </c>
      <c r="O94" s="70">
        <v>1.3104</v>
      </c>
    </row>
    <row r="95" spans="1:15" x14ac:dyDescent="0.25">
      <c r="A95" s="66" t="s">
        <v>23</v>
      </c>
      <c r="B95" s="67" t="s">
        <v>179</v>
      </c>
      <c r="C95" s="68">
        <v>2</v>
      </c>
      <c r="D95" s="67">
        <v>14.79</v>
      </c>
      <c r="E95" s="67">
        <v>17.53</v>
      </c>
      <c r="F95" s="69" t="s">
        <v>0</v>
      </c>
      <c r="G95" s="69" t="s">
        <v>0</v>
      </c>
      <c r="H95" s="69" t="s">
        <v>0</v>
      </c>
      <c r="I95" s="70" t="s">
        <v>0</v>
      </c>
      <c r="J95" s="69" t="s">
        <v>0</v>
      </c>
      <c r="K95" s="69" t="s">
        <v>0</v>
      </c>
      <c r="L95" s="69" t="s">
        <v>0</v>
      </c>
      <c r="M95" s="71" t="s">
        <v>0</v>
      </c>
      <c r="N95" s="70" t="s">
        <v>0</v>
      </c>
      <c r="O95" s="70">
        <v>1.3144</v>
      </c>
    </row>
    <row r="96" spans="1:15" x14ac:dyDescent="0.25">
      <c r="A96" s="66" t="s">
        <v>40</v>
      </c>
      <c r="B96" s="67" t="s">
        <v>180</v>
      </c>
      <c r="C96" s="68">
        <v>0.75</v>
      </c>
      <c r="D96" s="67">
        <v>14.84</v>
      </c>
      <c r="E96" s="67">
        <v>16.07</v>
      </c>
      <c r="F96" s="69" t="s">
        <v>0</v>
      </c>
      <c r="G96" s="69" t="s">
        <v>0</v>
      </c>
      <c r="H96" s="69" t="s">
        <v>0</v>
      </c>
      <c r="I96" s="70" t="s">
        <v>0</v>
      </c>
      <c r="J96" s="69" t="s">
        <v>0</v>
      </c>
      <c r="K96" s="69" t="s">
        <v>0</v>
      </c>
      <c r="L96" s="69" t="s">
        <v>0</v>
      </c>
      <c r="M96" s="71" t="s">
        <v>0</v>
      </c>
      <c r="N96" s="70" t="s">
        <v>0</v>
      </c>
      <c r="O96" s="70">
        <v>1.2945</v>
      </c>
    </row>
    <row r="97" spans="1:15" x14ac:dyDescent="0.25">
      <c r="A97" s="66" t="s">
        <v>47</v>
      </c>
      <c r="B97" s="67" t="s">
        <v>181</v>
      </c>
      <c r="C97" s="68">
        <v>1.875</v>
      </c>
      <c r="D97" s="67">
        <v>15.13</v>
      </c>
      <c r="E97" s="67">
        <v>18.03</v>
      </c>
      <c r="F97" s="69" t="s">
        <v>0</v>
      </c>
      <c r="G97" s="69" t="s">
        <v>0</v>
      </c>
      <c r="H97" s="69" t="s">
        <v>0</v>
      </c>
      <c r="I97" s="70" t="s">
        <v>0</v>
      </c>
      <c r="J97" s="69" t="s">
        <v>0</v>
      </c>
      <c r="K97" s="69" t="s">
        <v>0</v>
      </c>
      <c r="L97" s="69" t="s">
        <v>0</v>
      </c>
      <c r="M97" s="71" t="s">
        <v>0</v>
      </c>
      <c r="N97" s="70" t="s">
        <v>0</v>
      </c>
      <c r="O97" s="70">
        <v>1.3251999999999999</v>
      </c>
    </row>
    <row r="98" spans="1:15" x14ac:dyDescent="0.25">
      <c r="A98" s="66" t="s">
        <v>293</v>
      </c>
      <c r="B98" s="67" t="s">
        <v>182</v>
      </c>
      <c r="C98" s="68">
        <v>0.75</v>
      </c>
      <c r="D98" s="67">
        <v>15.2</v>
      </c>
      <c r="E98" s="67">
        <v>16.43</v>
      </c>
      <c r="F98" s="69" t="s">
        <v>0</v>
      </c>
      <c r="G98" s="69" t="s">
        <v>0</v>
      </c>
      <c r="H98" s="69" t="s">
        <v>0</v>
      </c>
      <c r="I98" s="70" t="s">
        <v>0</v>
      </c>
      <c r="J98" s="69" t="s">
        <v>0</v>
      </c>
      <c r="K98" s="69" t="s">
        <v>0</v>
      </c>
      <c r="L98" s="69" t="s">
        <v>0</v>
      </c>
      <c r="M98" s="71" t="s">
        <v>0</v>
      </c>
      <c r="N98" s="70" t="s">
        <v>0</v>
      </c>
      <c r="O98" s="70">
        <v>1.3021</v>
      </c>
    </row>
    <row r="99" spans="1:15" x14ac:dyDescent="0.25">
      <c r="A99" s="66" t="s">
        <v>294</v>
      </c>
      <c r="B99" s="67" t="s">
        <v>184</v>
      </c>
      <c r="C99" s="68">
        <v>0.5</v>
      </c>
      <c r="D99" s="67">
        <v>15.65</v>
      </c>
      <c r="E99" s="67">
        <v>16.579999999999998</v>
      </c>
      <c r="F99" s="69" t="s">
        <v>0</v>
      </c>
      <c r="G99" s="69" t="s">
        <v>0</v>
      </c>
      <c r="H99" s="69" t="s">
        <v>0</v>
      </c>
      <c r="I99" s="70" t="s">
        <v>0</v>
      </c>
      <c r="J99" s="69" t="s">
        <v>0</v>
      </c>
      <c r="K99" s="69" t="s">
        <v>0</v>
      </c>
      <c r="L99" s="69" t="s">
        <v>0</v>
      </c>
      <c r="M99" s="71" t="s">
        <v>0</v>
      </c>
      <c r="N99" s="70" t="s">
        <v>0</v>
      </c>
      <c r="O99" s="70">
        <v>1.3072999999999999</v>
      </c>
    </row>
    <row r="100" spans="1:15" x14ac:dyDescent="0.25">
      <c r="A100" s="66" t="s">
        <v>24</v>
      </c>
      <c r="B100" s="67" t="s">
        <v>183</v>
      </c>
      <c r="C100" s="68">
        <v>1.75</v>
      </c>
      <c r="D100" s="67">
        <v>15.73</v>
      </c>
      <c r="E100" s="67">
        <v>18.510000000000002</v>
      </c>
      <c r="F100" s="69" t="s">
        <v>0</v>
      </c>
      <c r="G100" s="69" t="s">
        <v>0</v>
      </c>
      <c r="H100" s="69" t="s">
        <v>0</v>
      </c>
      <c r="I100" s="70" t="s">
        <v>0</v>
      </c>
      <c r="J100" s="69" t="s">
        <v>0</v>
      </c>
      <c r="K100" s="69" t="s">
        <v>0</v>
      </c>
      <c r="L100" s="69" t="s">
        <v>0</v>
      </c>
      <c r="M100" s="71" t="s">
        <v>0</v>
      </c>
      <c r="N100" s="70" t="s">
        <v>0</v>
      </c>
      <c r="O100" s="70">
        <v>1.3357000000000001</v>
      </c>
    </row>
    <row r="101" spans="1:15" x14ac:dyDescent="0.25">
      <c r="A101" s="66" t="s">
        <v>69</v>
      </c>
      <c r="B101" s="67" t="s">
        <v>185</v>
      </c>
      <c r="C101" s="68">
        <v>2.5</v>
      </c>
      <c r="D101" s="67">
        <v>16.14</v>
      </c>
      <c r="E101" s="67">
        <v>19.97</v>
      </c>
      <c r="F101" s="69" t="s">
        <v>0</v>
      </c>
      <c r="G101" s="69" t="s">
        <v>0</v>
      </c>
      <c r="H101" s="69" t="s">
        <v>0</v>
      </c>
      <c r="I101" s="70" t="s">
        <v>0</v>
      </c>
      <c r="J101" s="69" t="s">
        <v>0</v>
      </c>
      <c r="K101" s="69" t="s">
        <v>0</v>
      </c>
      <c r="L101" s="69" t="s">
        <v>0</v>
      </c>
      <c r="M101" s="71" t="s">
        <v>0</v>
      </c>
      <c r="N101" s="70" t="s">
        <v>0</v>
      </c>
      <c r="O101" s="70">
        <v>1.3571</v>
      </c>
    </row>
    <row r="102" spans="1:15" x14ac:dyDescent="0.25">
      <c r="A102" s="66" t="s">
        <v>311</v>
      </c>
      <c r="B102" s="67" t="s">
        <v>306</v>
      </c>
      <c r="C102" s="68">
        <v>1.875</v>
      </c>
      <c r="D102" s="67">
        <v>15.94</v>
      </c>
      <c r="E102" s="67">
        <v>19.14</v>
      </c>
      <c r="F102" s="69" t="s">
        <v>0</v>
      </c>
      <c r="G102" s="69" t="s">
        <v>0</v>
      </c>
      <c r="H102" s="69" t="s">
        <v>0</v>
      </c>
      <c r="I102" s="70" t="s">
        <v>0</v>
      </c>
      <c r="J102" s="69" t="s">
        <v>0</v>
      </c>
      <c r="K102" s="69" t="s">
        <v>0</v>
      </c>
      <c r="L102" s="69" t="s">
        <v>0</v>
      </c>
      <c r="M102" s="71" t="s">
        <v>0</v>
      </c>
      <c r="N102" s="70" t="s">
        <v>0</v>
      </c>
      <c r="O102" s="70">
        <v>1.347</v>
      </c>
    </row>
    <row r="103" spans="1:15" x14ac:dyDescent="0.25">
      <c r="A103" s="66" t="s">
        <v>295</v>
      </c>
      <c r="B103" s="67" t="s">
        <v>187</v>
      </c>
      <c r="C103" s="68">
        <v>0.5</v>
      </c>
      <c r="D103" s="67">
        <v>16.07</v>
      </c>
      <c r="E103" s="67">
        <v>17.100000000000001</v>
      </c>
      <c r="F103" s="69" t="s">
        <v>0</v>
      </c>
      <c r="G103" s="69" t="s">
        <v>0</v>
      </c>
      <c r="H103" s="69" t="s">
        <v>0</v>
      </c>
      <c r="I103" s="70" t="s">
        <v>0</v>
      </c>
      <c r="J103" s="69" t="s">
        <v>0</v>
      </c>
      <c r="K103" s="69" t="s">
        <v>0</v>
      </c>
      <c r="L103" s="69" t="s">
        <v>0</v>
      </c>
      <c r="M103" s="71" t="s">
        <v>0</v>
      </c>
      <c r="N103" s="70" t="s">
        <v>0</v>
      </c>
      <c r="O103" s="70">
        <v>1.3185</v>
      </c>
    </row>
    <row r="104" spans="1:15" x14ac:dyDescent="0.25">
      <c r="A104" s="66" t="s">
        <v>70</v>
      </c>
      <c r="B104" s="67" t="s">
        <v>186</v>
      </c>
      <c r="C104" s="68">
        <v>1.625</v>
      </c>
      <c r="D104" s="67">
        <v>16.12</v>
      </c>
      <c r="E104" s="67">
        <v>19.03</v>
      </c>
      <c r="F104" s="69" t="s">
        <v>0</v>
      </c>
      <c r="G104" s="69" t="s">
        <v>0</v>
      </c>
      <c r="H104" s="69" t="s">
        <v>0</v>
      </c>
      <c r="I104" s="70" t="s">
        <v>0</v>
      </c>
      <c r="J104" s="69" t="s">
        <v>0</v>
      </c>
      <c r="K104" s="69" t="s">
        <v>0</v>
      </c>
      <c r="L104" s="69" t="s">
        <v>0</v>
      </c>
      <c r="M104" s="71" t="s">
        <v>0</v>
      </c>
      <c r="N104" s="70" t="s">
        <v>0</v>
      </c>
      <c r="O104" s="70">
        <v>1.3473999999999999</v>
      </c>
    </row>
    <row r="105" spans="1:15" x14ac:dyDescent="0.25">
      <c r="A105" s="66" t="s">
        <v>297</v>
      </c>
      <c r="B105" s="67" t="s">
        <v>193</v>
      </c>
      <c r="C105" s="68">
        <v>0.5</v>
      </c>
      <c r="D105" s="67">
        <v>16.43</v>
      </c>
      <c r="E105" s="67">
        <v>17.47</v>
      </c>
      <c r="F105" s="69" t="s">
        <v>0</v>
      </c>
      <c r="G105" s="69" t="s">
        <v>0</v>
      </c>
      <c r="H105" s="69" t="s">
        <v>0</v>
      </c>
      <c r="I105" s="70" t="s">
        <v>0</v>
      </c>
      <c r="J105" s="69" t="s">
        <v>0</v>
      </c>
      <c r="K105" s="69" t="s">
        <v>0</v>
      </c>
      <c r="L105" s="69" t="s">
        <v>0</v>
      </c>
      <c r="M105" s="71" t="s">
        <v>0</v>
      </c>
      <c r="N105" s="70" t="s">
        <v>0</v>
      </c>
      <c r="O105" s="70">
        <v>1.3263</v>
      </c>
    </row>
    <row r="106" spans="1:15" x14ac:dyDescent="0.25">
      <c r="A106" s="66" t="s">
        <v>41</v>
      </c>
      <c r="B106" s="67" t="s">
        <v>188</v>
      </c>
      <c r="C106" s="68">
        <v>1.75</v>
      </c>
      <c r="D106" s="67">
        <v>16.48</v>
      </c>
      <c r="E106" s="67">
        <v>19.54</v>
      </c>
      <c r="F106" s="69" t="s">
        <v>0</v>
      </c>
      <c r="G106" s="69" t="s">
        <v>0</v>
      </c>
      <c r="H106" s="69" t="s">
        <v>0</v>
      </c>
      <c r="I106" s="70" t="s">
        <v>0</v>
      </c>
      <c r="J106" s="69" t="s">
        <v>0</v>
      </c>
      <c r="K106" s="69" t="s">
        <v>0</v>
      </c>
      <c r="L106" s="69" t="s">
        <v>0</v>
      </c>
      <c r="M106" s="71" t="s">
        <v>0</v>
      </c>
      <c r="N106" s="70" t="s">
        <v>0</v>
      </c>
      <c r="O106" s="70">
        <v>1.3562000000000001</v>
      </c>
    </row>
    <row r="107" spans="1:15" x14ac:dyDescent="0.25">
      <c r="A107" s="66" t="s">
        <v>260</v>
      </c>
      <c r="B107" s="67" t="s">
        <v>192</v>
      </c>
      <c r="C107" s="68">
        <v>0.375</v>
      </c>
      <c r="D107" s="67">
        <v>16.53</v>
      </c>
      <c r="E107" s="67">
        <v>17.38</v>
      </c>
      <c r="F107" s="69" t="s">
        <v>0</v>
      </c>
      <c r="G107" s="69" t="s">
        <v>0</v>
      </c>
      <c r="H107" s="69" t="s">
        <v>0</v>
      </c>
      <c r="I107" s="70" t="s">
        <v>0</v>
      </c>
      <c r="J107" s="69" t="s">
        <v>0</v>
      </c>
      <c r="K107" s="69" t="s">
        <v>0</v>
      </c>
      <c r="L107" s="69" t="s">
        <v>0</v>
      </c>
      <c r="M107" s="71" t="s">
        <v>0</v>
      </c>
      <c r="N107" s="70" t="s">
        <v>0</v>
      </c>
      <c r="O107" s="70">
        <v>1.3257000000000001</v>
      </c>
    </row>
    <row r="108" spans="1:15" x14ac:dyDescent="0.25">
      <c r="A108" s="66" t="s">
        <v>256</v>
      </c>
      <c r="B108" s="67" t="s">
        <v>250</v>
      </c>
      <c r="C108" s="68">
        <v>1</v>
      </c>
      <c r="D108" s="67">
        <v>16.55</v>
      </c>
      <c r="E108" s="67">
        <v>18.440000000000001</v>
      </c>
      <c r="F108" s="69" t="s">
        <v>0</v>
      </c>
      <c r="G108" s="69" t="s">
        <v>0</v>
      </c>
      <c r="H108" s="69" t="s">
        <v>0</v>
      </c>
      <c r="I108" s="70" t="s">
        <v>0</v>
      </c>
      <c r="J108" s="69" t="s">
        <v>0</v>
      </c>
      <c r="K108" s="69" t="s">
        <v>0</v>
      </c>
      <c r="L108" s="69" t="s">
        <v>0</v>
      </c>
      <c r="M108" s="71" t="s">
        <v>0</v>
      </c>
      <c r="N108" s="70" t="s">
        <v>0</v>
      </c>
      <c r="O108" s="70">
        <v>1.3415999999999999</v>
      </c>
    </row>
    <row r="109" spans="1:15" x14ac:dyDescent="0.25">
      <c r="A109" s="66" t="s">
        <v>296</v>
      </c>
      <c r="B109" s="67" t="s">
        <v>213</v>
      </c>
      <c r="C109" s="68">
        <v>0.625</v>
      </c>
      <c r="D109" s="67">
        <v>16.559999999999999</v>
      </c>
      <c r="E109" s="67">
        <v>17.77</v>
      </c>
      <c r="F109" s="69" t="s">
        <v>0</v>
      </c>
      <c r="G109" s="69" t="s">
        <v>0</v>
      </c>
      <c r="H109" s="69" t="s">
        <v>0</v>
      </c>
      <c r="I109" s="70" t="s">
        <v>0</v>
      </c>
      <c r="J109" s="69" t="s">
        <v>0</v>
      </c>
      <c r="K109" s="69" t="s">
        <v>0</v>
      </c>
      <c r="L109" s="69" t="s">
        <v>0</v>
      </c>
      <c r="M109" s="71" t="s">
        <v>0</v>
      </c>
      <c r="N109" s="70" t="s">
        <v>0</v>
      </c>
      <c r="O109" s="70">
        <v>1.3315999999999999</v>
      </c>
    </row>
    <row r="110" spans="1:15" x14ac:dyDescent="0.25">
      <c r="A110" s="66" t="s">
        <v>72</v>
      </c>
      <c r="B110" s="67" t="s">
        <v>190</v>
      </c>
      <c r="C110" s="68">
        <v>2.25</v>
      </c>
      <c r="D110" s="67">
        <v>17.04</v>
      </c>
      <c r="E110" s="67">
        <v>20.98</v>
      </c>
      <c r="F110" s="69" t="s">
        <v>0</v>
      </c>
      <c r="G110" s="69" t="s">
        <v>0</v>
      </c>
      <c r="H110" s="69" t="s">
        <v>0</v>
      </c>
      <c r="I110" s="70" t="s">
        <v>0</v>
      </c>
      <c r="J110" s="69" t="s">
        <v>0</v>
      </c>
      <c r="K110" s="69" t="s">
        <v>0</v>
      </c>
      <c r="L110" s="69" t="s">
        <v>0</v>
      </c>
      <c r="M110" s="71" t="s">
        <v>0</v>
      </c>
      <c r="N110" s="70" t="s">
        <v>0</v>
      </c>
      <c r="O110" s="70">
        <v>1.3784000000000001</v>
      </c>
    </row>
    <row r="111" spans="1:15" x14ac:dyDescent="0.25">
      <c r="A111" s="66" t="s">
        <v>48</v>
      </c>
      <c r="B111" s="67" t="s">
        <v>189</v>
      </c>
      <c r="C111" s="68">
        <v>2.125</v>
      </c>
      <c r="D111" s="67">
        <v>16.75</v>
      </c>
      <c r="E111" s="67">
        <v>20.54</v>
      </c>
      <c r="F111" s="69" t="s">
        <v>0</v>
      </c>
      <c r="G111" s="69" t="s">
        <v>0</v>
      </c>
      <c r="H111" s="69" t="s">
        <v>0</v>
      </c>
      <c r="I111" s="70" t="s">
        <v>0</v>
      </c>
      <c r="J111" s="69" t="s">
        <v>0</v>
      </c>
      <c r="K111" s="69" t="s">
        <v>0</v>
      </c>
      <c r="L111" s="69" t="s">
        <v>0</v>
      </c>
      <c r="M111" s="71" t="s">
        <v>0</v>
      </c>
      <c r="N111" s="70" t="s">
        <v>0</v>
      </c>
      <c r="O111" s="70">
        <v>1.3714999999999999</v>
      </c>
    </row>
    <row r="112" spans="1:15" x14ac:dyDescent="0.25">
      <c r="A112" s="66" t="s">
        <v>259</v>
      </c>
      <c r="B112" s="67" t="s">
        <v>251</v>
      </c>
      <c r="C112" s="68">
        <v>0.875</v>
      </c>
      <c r="D112" s="67">
        <v>16.84</v>
      </c>
      <c r="E112" s="67">
        <v>18.559999999999999</v>
      </c>
      <c r="F112" s="69" t="s">
        <v>0</v>
      </c>
      <c r="G112" s="69" t="s">
        <v>0</v>
      </c>
      <c r="H112" s="69" t="s">
        <v>0</v>
      </c>
      <c r="I112" s="70" t="s">
        <v>0</v>
      </c>
      <c r="J112" s="69" t="s">
        <v>0</v>
      </c>
      <c r="K112" s="69" t="s">
        <v>0</v>
      </c>
      <c r="L112" s="69" t="s">
        <v>0</v>
      </c>
      <c r="M112" s="71" t="s">
        <v>0</v>
      </c>
      <c r="N112" s="70" t="s">
        <v>0</v>
      </c>
      <c r="O112" s="70">
        <v>1.3455999999999999</v>
      </c>
    </row>
    <row r="113" spans="1:15" x14ac:dyDescent="0.25">
      <c r="A113" s="66" t="s">
        <v>298</v>
      </c>
      <c r="B113" s="67" t="s">
        <v>233</v>
      </c>
      <c r="C113" s="68">
        <v>0.625</v>
      </c>
      <c r="D113" s="67">
        <v>16.91</v>
      </c>
      <c r="E113" s="67">
        <v>18.25</v>
      </c>
      <c r="F113" s="69" t="s">
        <v>0</v>
      </c>
      <c r="G113" s="69" t="s">
        <v>0</v>
      </c>
      <c r="H113" s="69" t="s">
        <v>0</v>
      </c>
      <c r="I113" s="70" t="s">
        <v>0</v>
      </c>
      <c r="J113" s="69" t="s">
        <v>0</v>
      </c>
      <c r="K113" s="69" t="s">
        <v>0</v>
      </c>
      <c r="L113" s="69" t="s">
        <v>0</v>
      </c>
      <c r="M113" s="71" t="s">
        <v>0</v>
      </c>
      <c r="N113" s="70" t="s">
        <v>0</v>
      </c>
      <c r="O113" s="70">
        <v>1.3418000000000001</v>
      </c>
    </row>
    <row r="114" spans="1:15" x14ac:dyDescent="0.25">
      <c r="A114" s="66" t="s">
        <v>331</v>
      </c>
      <c r="B114" s="67" t="s">
        <v>332</v>
      </c>
      <c r="C114" s="68">
        <v>1.375</v>
      </c>
      <c r="D114" s="67">
        <v>16.95</v>
      </c>
      <c r="E114" s="67">
        <v>19.559999999999999</v>
      </c>
      <c r="F114" s="69" t="s">
        <v>0</v>
      </c>
      <c r="G114" s="69" t="s">
        <v>0</v>
      </c>
      <c r="H114" s="69" t="s">
        <v>0</v>
      </c>
      <c r="I114" s="70" t="s">
        <v>0</v>
      </c>
      <c r="J114" s="69" t="s">
        <v>0</v>
      </c>
      <c r="K114" s="69" t="s">
        <v>0</v>
      </c>
      <c r="L114" s="69" t="s">
        <v>0</v>
      </c>
      <c r="M114" s="71" t="s">
        <v>0</v>
      </c>
      <c r="N114" s="70" t="s">
        <v>0</v>
      </c>
      <c r="O114" s="70">
        <v>1.3605</v>
      </c>
    </row>
    <row r="115" spans="1:15" x14ac:dyDescent="0.25">
      <c r="A115" s="66" t="s">
        <v>299</v>
      </c>
      <c r="B115" s="67" t="s">
        <v>224</v>
      </c>
      <c r="C115" s="68">
        <v>0.5</v>
      </c>
      <c r="D115" s="67">
        <v>16.989999999999998</v>
      </c>
      <c r="E115" s="67">
        <v>18.13</v>
      </c>
      <c r="F115" s="69" t="s">
        <v>0</v>
      </c>
      <c r="G115" s="69" t="s">
        <v>0</v>
      </c>
      <c r="H115" s="69" t="s">
        <v>0</v>
      </c>
      <c r="I115" s="70" t="s">
        <v>0</v>
      </c>
      <c r="J115" s="69" t="s">
        <v>0</v>
      </c>
      <c r="K115" s="69" t="s">
        <v>0</v>
      </c>
      <c r="L115" s="69" t="s">
        <v>0</v>
      </c>
      <c r="M115" s="71" t="s">
        <v>0</v>
      </c>
      <c r="N115" s="70" t="s">
        <v>0</v>
      </c>
      <c r="O115" s="70">
        <v>1.3406</v>
      </c>
    </row>
    <row r="116" spans="1:15" x14ac:dyDescent="0.25">
      <c r="A116" s="66" t="s">
        <v>71</v>
      </c>
      <c r="B116" s="67" t="s">
        <v>195</v>
      </c>
      <c r="C116" s="68">
        <v>2.25</v>
      </c>
      <c r="D116" s="67">
        <v>17.02</v>
      </c>
      <c r="E116" s="67">
        <v>21.29</v>
      </c>
      <c r="F116" s="69" t="s">
        <v>0</v>
      </c>
      <c r="G116" s="69" t="s">
        <v>0</v>
      </c>
      <c r="H116" s="69" t="s">
        <v>0</v>
      </c>
      <c r="I116" s="70" t="s">
        <v>0</v>
      </c>
      <c r="J116" s="69" t="s">
        <v>0</v>
      </c>
      <c r="K116" s="69" t="s">
        <v>0</v>
      </c>
      <c r="L116" s="69" t="s">
        <v>0</v>
      </c>
      <c r="M116" s="71" t="s">
        <v>0</v>
      </c>
      <c r="N116" s="70" t="s">
        <v>0</v>
      </c>
      <c r="O116" s="70">
        <v>1.3841000000000001</v>
      </c>
    </row>
    <row r="117" spans="1:15" x14ac:dyDescent="0.25">
      <c r="A117" s="66" t="s">
        <v>55</v>
      </c>
      <c r="B117" s="67" t="s">
        <v>191</v>
      </c>
      <c r="C117" s="68">
        <v>2.375</v>
      </c>
      <c r="D117" s="67">
        <v>17.09</v>
      </c>
      <c r="E117" s="67">
        <v>21.51</v>
      </c>
      <c r="F117" s="69" t="s">
        <v>0</v>
      </c>
      <c r="G117" s="69" t="s">
        <v>0</v>
      </c>
      <c r="H117" s="69" t="s">
        <v>0</v>
      </c>
      <c r="I117" s="70" t="s">
        <v>0</v>
      </c>
      <c r="J117" s="69" t="s">
        <v>0</v>
      </c>
      <c r="K117" s="69" t="s">
        <v>0</v>
      </c>
      <c r="L117" s="69" t="s">
        <v>0</v>
      </c>
      <c r="M117" s="71" t="s">
        <v>0</v>
      </c>
      <c r="N117" s="70" t="s">
        <v>0</v>
      </c>
      <c r="O117" s="70">
        <v>1.3867</v>
      </c>
    </row>
    <row r="118" spans="1:15" x14ac:dyDescent="0.25">
      <c r="A118" s="66" t="s">
        <v>73</v>
      </c>
      <c r="B118" s="67" t="s">
        <v>194</v>
      </c>
      <c r="C118" s="68">
        <v>2</v>
      </c>
      <c r="D118" s="67">
        <v>17.13</v>
      </c>
      <c r="E118" s="67">
        <v>20.79</v>
      </c>
      <c r="F118" s="69" t="s">
        <v>0</v>
      </c>
      <c r="G118" s="69" t="s">
        <v>0</v>
      </c>
      <c r="H118" s="69" t="s">
        <v>0</v>
      </c>
      <c r="I118" s="70" t="s">
        <v>0</v>
      </c>
      <c r="J118" s="69" t="s">
        <v>0</v>
      </c>
      <c r="K118" s="69" t="s">
        <v>0</v>
      </c>
      <c r="L118" s="69" t="s">
        <v>0</v>
      </c>
      <c r="M118" s="71" t="s">
        <v>0</v>
      </c>
      <c r="N118" s="70" t="s">
        <v>0</v>
      </c>
      <c r="O118" s="70">
        <v>1.3775999999999999</v>
      </c>
    </row>
    <row r="119" spans="1:15" x14ac:dyDescent="0.25">
      <c r="A119" s="66" t="s">
        <v>380</v>
      </c>
      <c r="B119" s="67" t="s">
        <v>381</v>
      </c>
      <c r="C119" s="68">
        <v>1.375</v>
      </c>
      <c r="D119" s="67">
        <v>17.38</v>
      </c>
      <c r="E119" s="67">
        <v>20</v>
      </c>
      <c r="F119" s="69" t="s">
        <v>0</v>
      </c>
      <c r="G119" s="69" t="s">
        <v>0</v>
      </c>
      <c r="H119" s="69" t="s">
        <v>0</v>
      </c>
      <c r="I119" s="70" t="s">
        <v>0</v>
      </c>
      <c r="J119" s="69" t="s">
        <v>0</v>
      </c>
      <c r="K119" s="69" t="s">
        <v>0</v>
      </c>
      <c r="L119" s="69" t="s">
        <v>0</v>
      </c>
      <c r="M119" s="71" t="s">
        <v>0</v>
      </c>
      <c r="N119" s="70" t="s">
        <v>0</v>
      </c>
      <c r="O119" s="70">
        <v>1.3694999999999999</v>
      </c>
    </row>
    <row r="120" spans="1:15" x14ac:dyDescent="0.25">
      <c r="A120" s="66" t="s">
        <v>74</v>
      </c>
      <c r="B120" s="67" t="s">
        <v>196</v>
      </c>
      <c r="C120" s="68">
        <v>2.375</v>
      </c>
      <c r="D120" s="67">
        <v>17.34</v>
      </c>
      <c r="E120" s="67">
        <v>21.76</v>
      </c>
      <c r="F120" s="69">
        <v>1.3935</v>
      </c>
      <c r="G120" s="69">
        <v>1.3935</v>
      </c>
      <c r="H120" s="69">
        <v>1.3935</v>
      </c>
      <c r="I120" s="70">
        <v>1</v>
      </c>
      <c r="J120" s="69">
        <v>1.3925000000000001</v>
      </c>
      <c r="K120" s="69">
        <v>1.3925000000000001</v>
      </c>
      <c r="L120" s="69">
        <v>1.3925000000000001</v>
      </c>
      <c r="M120" s="71">
        <v>1</v>
      </c>
      <c r="N120" s="70">
        <v>1</v>
      </c>
      <c r="O120" s="70">
        <v>1.3911</v>
      </c>
    </row>
    <row r="121" spans="1:15" x14ac:dyDescent="0.25">
      <c r="A121" s="66" t="s">
        <v>75</v>
      </c>
      <c r="B121" s="67" t="s">
        <v>197</v>
      </c>
      <c r="C121" s="68">
        <v>2.25</v>
      </c>
      <c r="D121" s="67">
        <v>17.71</v>
      </c>
      <c r="E121" s="67">
        <v>22</v>
      </c>
      <c r="F121" s="69" t="s">
        <v>0</v>
      </c>
      <c r="G121" s="69" t="s">
        <v>0</v>
      </c>
      <c r="H121" s="69" t="s">
        <v>0</v>
      </c>
      <c r="I121" s="70" t="s">
        <v>0</v>
      </c>
      <c r="J121" s="69" t="s">
        <v>0</v>
      </c>
      <c r="K121" s="69" t="s">
        <v>0</v>
      </c>
      <c r="L121" s="69" t="s">
        <v>0</v>
      </c>
      <c r="M121" s="71" t="s">
        <v>0</v>
      </c>
      <c r="N121" s="70" t="s">
        <v>0</v>
      </c>
      <c r="O121" s="70">
        <v>1.3969</v>
      </c>
    </row>
    <row r="122" spans="1:15" x14ac:dyDescent="0.25">
      <c r="A122" s="66" t="s">
        <v>76</v>
      </c>
      <c r="B122" s="67" t="s">
        <v>198</v>
      </c>
      <c r="C122" s="68">
        <v>2</v>
      </c>
      <c r="D122" s="67">
        <v>18.61</v>
      </c>
      <c r="E122" s="67">
        <v>23.29</v>
      </c>
      <c r="F122" s="69" t="s">
        <v>0</v>
      </c>
      <c r="G122" s="69" t="s">
        <v>0</v>
      </c>
      <c r="H122" s="69" t="s">
        <v>0</v>
      </c>
      <c r="I122" s="70" t="s">
        <v>0</v>
      </c>
      <c r="J122" s="69" t="s">
        <v>0</v>
      </c>
      <c r="K122" s="69" t="s">
        <v>0</v>
      </c>
      <c r="L122" s="69" t="s">
        <v>0</v>
      </c>
      <c r="M122" s="71" t="s">
        <v>0</v>
      </c>
      <c r="N122" s="70" t="s">
        <v>0</v>
      </c>
      <c r="O122" s="70">
        <v>1.423</v>
      </c>
    </row>
    <row r="123" spans="1:15" x14ac:dyDescent="0.25">
      <c r="A123" s="66" t="s">
        <v>77</v>
      </c>
      <c r="B123" s="67" t="s">
        <v>199</v>
      </c>
      <c r="C123" s="68">
        <v>1.625</v>
      </c>
      <c r="D123" s="67">
        <v>18.96</v>
      </c>
      <c r="E123" s="67">
        <v>22.77</v>
      </c>
      <c r="F123" s="69" t="s">
        <v>0</v>
      </c>
      <c r="G123" s="69" t="s">
        <v>0</v>
      </c>
      <c r="H123" s="69" t="s">
        <v>0</v>
      </c>
      <c r="I123" s="70" t="s">
        <v>0</v>
      </c>
      <c r="J123" s="69" t="s">
        <v>0</v>
      </c>
      <c r="K123" s="69" t="s">
        <v>0</v>
      </c>
      <c r="L123" s="69" t="s">
        <v>0</v>
      </c>
      <c r="M123" s="71" t="s">
        <v>0</v>
      </c>
      <c r="N123" s="70" t="s">
        <v>0</v>
      </c>
      <c r="O123" s="70">
        <v>1.4191</v>
      </c>
    </row>
    <row r="124" spans="1:15" x14ac:dyDescent="0.25">
      <c r="A124" s="66" t="s">
        <v>78</v>
      </c>
      <c r="B124" s="67" t="s">
        <v>200</v>
      </c>
      <c r="C124" s="68">
        <v>1.875</v>
      </c>
      <c r="D124" s="67">
        <v>19.27</v>
      </c>
      <c r="E124" s="67">
        <v>23.79</v>
      </c>
      <c r="F124" s="69" t="s">
        <v>0</v>
      </c>
      <c r="G124" s="69" t="s">
        <v>0</v>
      </c>
      <c r="H124" s="69" t="s">
        <v>0</v>
      </c>
      <c r="I124" s="70" t="s">
        <v>0</v>
      </c>
      <c r="J124" s="69" t="s">
        <v>0</v>
      </c>
      <c r="K124" s="69" t="s">
        <v>0</v>
      </c>
      <c r="L124" s="69" t="s">
        <v>0</v>
      </c>
      <c r="M124" s="71" t="s">
        <v>0</v>
      </c>
      <c r="N124" s="70" t="s">
        <v>0</v>
      </c>
      <c r="O124" s="70">
        <v>1.4334</v>
      </c>
    </row>
    <row r="125" spans="1:15" x14ac:dyDescent="0.25">
      <c r="A125" s="66" t="s">
        <v>79</v>
      </c>
      <c r="B125" s="67" t="s">
        <v>201</v>
      </c>
      <c r="C125" s="68">
        <v>1.375</v>
      </c>
      <c r="D125" s="67">
        <v>19.55</v>
      </c>
      <c r="E125" s="67">
        <v>22.98</v>
      </c>
      <c r="F125" s="69" t="s">
        <v>0</v>
      </c>
      <c r="G125" s="69" t="s">
        <v>0</v>
      </c>
      <c r="H125" s="69" t="s">
        <v>0</v>
      </c>
      <c r="I125" s="70" t="s">
        <v>0</v>
      </c>
      <c r="J125" s="69" t="s">
        <v>0</v>
      </c>
      <c r="K125" s="69" t="s">
        <v>0</v>
      </c>
      <c r="L125" s="69" t="s">
        <v>0</v>
      </c>
      <c r="M125" s="71" t="s">
        <v>0</v>
      </c>
      <c r="N125" s="70" t="s">
        <v>0</v>
      </c>
      <c r="O125" s="70">
        <v>1.4266000000000001</v>
      </c>
    </row>
    <row r="126" spans="1:15" x14ac:dyDescent="0.25">
      <c r="A126" s="66" t="s">
        <v>80</v>
      </c>
      <c r="B126" s="67" t="s">
        <v>202</v>
      </c>
      <c r="C126" s="68">
        <v>1.625</v>
      </c>
      <c r="D126" s="67">
        <v>19.829999999999998</v>
      </c>
      <c r="E126" s="67">
        <v>24.29</v>
      </c>
      <c r="F126" s="69" t="s">
        <v>0</v>
      </c>
      <c r="G126" s="69" t="s">
        <v>0</v>
      </c>
      <c r="H126" s="69" t="s">
        <v>0</v>
      </c>
      <c r="I126" s="70" t="s">
        <v>0</v>
      </c>
      <c r="J126" s="69" t="s">
        <v>0</v>
      </c>
      <c r="K126" s="69" t="s">
        <v>0</v>
      </c>
      <c r="L126" s="69" t="s">
        <v>0</v>
      </c>
      <c r="M126" s="71" t="s">
        <v>0</v>
      </c>
      <c r="N126" s="70" t="s">
        <v>0</v>
      </c>
      <c r="O126" s="70">
        <v>1.4458</v>
      </c>
    </row>
    <row r="127" spans="1:15" x14ac:dyDescent="0.25">
      <c r="A127" s="66" t="s">
        <v>81</v>
      </c>
      <c r="B127" s="67" t="s">
        <v>203</v>
      </c>
      <c r="C127" s="68">
        <v>1.5</v>
      </c>
      <c r="D127" s="67">
        <v>20.51</v>
      </c>
      <c r="E127" s="67">
        <v>24.77</v>
      </c>
      <c r="F127" s="69" t="s">
        <v>0</v>
      </c>
      <c r="G127" s="69" t="s">
        <v>0</v>
      </c>
      <c r="H127" s="69" t="s">
        <v>0</v>
      </c>
      <c r="I127" s="70" t="s">
        <v>0</v>
      </c>
      <c r="J127" s="69" t="s">
        <v>0</v>
      </c>
      <c r="K127" s="69" t="s">
        <v>0</v>
      </c>
      <c r="L127" s="69" t="s">
        <v>0</v>
      </c>
      <c r="M127" s="71" t="s">
        <v>0</v>
      </c>
      <c r="N127" s="70" t="s">
        <v>0</v>
      </c>
      <c r="O127" s="70">
        <v>1.456</v>
      </c>
    </row>
    <row r="128" spans="1:15" x14ac:dyDescent="0.25">
      <c r="A128" s="66" t="s">
        <v>57</v>
      </c>
      <c r="B128" s="67" t="s">
        <v>204</v>
      </c>
      <c r="C128" s="68">
        <v>1.375</v>
      </c>
      <c r="D128" s="67">
        <v>20.92</v>
      </c>
      <c r="E128" s="67">
        <v>25.25</v>
      </c>
      <c r="F128" s="69" t="s">
        <v>0</v>
      </c>
      <c r="G128" s="69" t="s">
        <v>0</v>
      </c>
      <c r="H128" s="69" t="s">
        <v>0</v>
      </c>
      <c r="I128" s="70" t="s">
        <v>0</v>
      </c>
      <c r="J128" s="69" t="s">
        <v>0</v>
      </c>
      <c r="K128" s="69" t="s">
        <v>0</v>
      </c>
      <c r="L128" s="69" t="s">
        <v>0</v>
      </c>
      <c r="M128" s="71" t="s">
        <v>0</v>
      </c>
      <c r="N128" s="70" t="s">
        <v>0</v>
      </c>
      <c r="O128" s="70">
        <v>1.4661999999999999</v>
      </c>
    </row>
    <row r="129" spans="1:15" x14ac:dyDescent="0.25">
      <c r="A129" s="66" t="s">
        <v>320</v>
      </c>
      <c r="B129" s="67" t="s">
        <v>315</v>
      </c>
      <c r="C129" s="68">
        <v>2.375</v>
      </c>
      <c r="D129" s="67">
        <v>21.56</v>
      </c>
      <c r="E129" s="67">
        <v>29.25</v>
      </c>
      <c r="F129" s="69">
        <v>1.5365</v>
      </c>
      <c r="G129" s="69">
        <v>1.5365</v>
      </c>
      <c r="H129" s="69">
        <v>1.5365</v>
      </c>
      <c r="I129" s="70">
        <v>4</v>
      </c>
      <c r="J129" s="69">
        <v>1.5355000000000001</v>
      </c>
      <c r="K129" s="69">
        <v>1.5355000000000001</v>
      </c>
      <c r="L129" s="69">
        <v>1.5355000000000001</v>
      </c>
      <c r="M129" s="71">
        <v>1</v>
      </c>
      <c r="N129" s="70">
        <v>4</v>
      </c>
      <c r="O129" s="70">
        <v>1.5045999999999999</v>
      </c>
    </row>
    <row r="130" spans="1:15" x14ac:dyDescent="0.25">
      <c r="A130" s="66" t="s">
        <v>84</v>
      </c>
      <c r="B130" s="67" t="s">
        <v>205</v>
      </c>
      <c r="C130" s="68">
        <v>1.125</v>
      </c>
      <c r="D130" s="67">
        <v>21.95</v>
      </c>
      <c r="E130" s="67">
        <v>25.76</v>
      </c>
      <c r="F130" s="69" t="s">
        <v>0</v>
      </c>
      <c r="G130" s="69" t="s">
        <v>0</v>
      </c>
      <c r="H130" s="69" t="s">
        <v>0</v>
      </c>
      <c r="I130" s="70" t="s">
        <v>0</v>
      </c>
      <c r="J130" s="69" t="s">
        <v>0</v>
      </c>
      <c r="K130" s="69" t="s">
        <v>0</v>
      </c>
      <c r="L130" s="69" t="s">
        <v>0</v>
      </c>
      <c r="M130" s="71" t="s">
        <v>0</v>
      </c>
      <c r="N130" s="70" t="s">
        <v>0</v>
      </c>
      <c r="O130" s="70">
        <v>1.4795</v>
      </c>
    </row>
    <row r="131" spans="1:15" x14ac:dyDescent="0.25">
      <c r="A131" s="66" t="s">
        <v>268</v>
      </c>
      <c r="B131" s="67" t="s">
        <v>267</v>
      </c>
      <c r="C131" s="68">
        <v>2</v>
      </c>
      <c r="D131" s="67">
        <v>22.13</v>
      </c>
      <c r="E131" s="67">
        <v>28.77</v>
      </c>
      <c r="F131" s="69" t="s">
        <v>0</v>
      </c>
      <c r="G131" s="69" t="s">
        <v>0</v>
      </c>
      <c r="H131" s="69" t="s">
        <v>0</v>
      </c>
      <c r="I131" s="70" t="s">
        <v>0</v>
      </c>
      <c r="J131" s="69" t="s">
        <v>0</v>
      </c>
      <c r="K131" s="69" t="s">
        <v>0</v>
      </c>
      <c r="L131" s="69" t="s">
        <v>0</v>
      </c>
      <c r="M131" s="71" t="s">
        <v>0</v>
      </c>
      <c r="N131" s="70" t="s">
        <v>0</v>
      </c>
      <c r="O131" s="70">
        <v>1.5055000000000001</v>
      </c>
    </row>
    <row r="132" spans="1:15" x14ac:dyDescent="0.25">
      <c r="A132" s="66" t="s">
        <v>51</v>
      </c>
      <c r="B132" s="67" t="s">
        <v>206</v>
      </c>
      <c r="C132" s="68">
        <v>1</v>
      </c>
      <c r="D132" s="67">
        <v>22.46</v>
      </c>
      <c r="E132" s="67">
        <v>26.24</v>
      </c>
      <c r="F132" s="69" t="s">
        <v>0</v>
      </c>
      <c r="G132" s="69" t="s">
        <v>0</v>
      </c>
      <c r="H132" s="69" t="s">
        <v>0</v>
      </c>
      <c r="I132" s="70" t="s">
        <v>0</v>
      </c>
      <c r="J132" s="69" t="s">
        <v>0</v>
      </c>
      <c r="K132" s="69" t="s">
        <v>0</v>
      </c>
      <c r="L132" s="69" t="s">
        <v>0</v>
      </c>
      <c r="M132" s="71" t="s">
        <v>0</v>
      </c>
      <c r="N132" s="70" t="s">
        <v>0</v>
      </c>
      <c r="O132" s="70">
        <v>1.4899</v>
      </c>
    </row>
    <row r="133" spans="1:15" x14ac:dyDescent="0.25">
      <c r="A133" s="66" t="s">
        <v>300</v>
      </c>
      <c r="B133" s="67" t="s">
        <v>207</v>
      </c>
      <c r="C133" s="68">
        <v>0.75</v>
      </c>
      <c r="D133" s="67">
        <v>23.63</v>
      </c>
      <c r="E133" s="67">
        <v>26.75</v>
      </c>
      <c r="F133" s="69" t="s">
        <v>0</v>
      </c>
      <c r="G133" s="69" t="s">
        <v>0</v>
      </c>
      <c r="H133" s="69" t="s">
        <v>0</v>
      </c>
      <c r="I133" s="70" t="s">
        <v>0</v>
      </c>
      <c r="J133" s="69" t="s">
        <v>0</v>
      </c>
      <c r="K133" s="69" t="s">
        <v>0</v>
      </c>
      <c r="L133" s="69" t="s">
        <v>0</v>
      </c>
      <c r="M133" s="71" t="s">
        <v>0</v>
      </c>
      <c r="N133" s="70" t="s">
        <v>0</v>
      </c>
      <c r="O133" s="70">
        <v>1.5035000000000001</v>
      </c>
    </row>
    <row r="134" spans="1:15" x14ac:dyDescent="0.25">
      <c r="A134" s="66" t="s">
        <v>301</v>
      </c>
      <c r="B134" s="67" t="s">
        <v>238</v>
      </c>
      <c r="C134" s="68">
        <v>1.125</v>
      </c>
      <c r="D134" s="67">
        <v>23.65</v>
      </c>
      <c r="E134" s="67">
        <v>28.36</v>
      </c>
      <c r="F134" s="69" t="s">
        <v>0</v>
      </c>
      <c r="G134" s="69" t="s">
        <v>0</v>
      </c>
      <c r="H134" s="69" t="s">
        <v>0</v>
      </c>
      <c r="I134" s="70" t="s">
        <v>0</v>
      </c>
      <c r="J134" s="69" t="s">
        <v>0</v>
      </c>
      <c r="K134" s="69" t="s">
        <v>0</v>
      </c>
      <c r="L134" s="69" t="s">
        <v>0</v>
      </c>
      <c r="M134" s="71" t="s">
        <v>0</v>
      </c>
      <c r="N134" s="70" t="s">
        <v>0</v>
      </c>
      <c r="O134" s="70">
        <v>1.5185</v>
      </c>
    </row>
    <row r="135" spans="1:15" x14ac:dyDescent="0.25">
      <c r="A135" s="66" t="s">
        <v>363</v>
      </c>
      <c r="B135" s="67" t="s">
        <v>364</v>
      </c>
      <c r="C135" s="68">
        <v>1.5</v>
      </c>
      <c r="D135" s="67">
        <v>23.73</v>
      </c>
      <c r="E135" s="67">
        <v>29.75</v>
      </c>
      <c r="F135" s="69" t="s">
        <v>0</v>
      </c>
      <c r="G135" s="69" t="s">
        <v>0</v>
      </c>
      <c r="H135" s="69" t="s">
        <v>0</v>
      </c>
      <c r="I135" s="70" t="s">
        <v>0</v>
      </c>
      <c r="J135" s="69" t="s">
        <v>0</v>
      </c>
      <c r="K135" s="69" t="s">
        <v>0</v>
      </c>
      <c r="L135" s="69" t="s">
        <v>0</v>
      </c>
      <c r="M135" s="71" t="s">
        <v>0</v>
      </c>
      <c r="N135" s="70" t="s">
        <v>0</v>
      </c>
      <c r="O135" s="70">
        <v>1.5271999999999999</v>
      </c>
    </row>
    <row r="136" spans="1:15" x14ac:dyDescent="0.25">
      <c r="A136" s="66" t="s">
        <v>302</v>
      </c>
      <c r="B136" s="67" t="s">
        <v>209</v>
      </c>
      <c r="C136" s="68">
        <v>0.625</v>
      </c>
      <c r="D136" s="67">
        <v>24.59</v>
      </c>
      <c r="E136" s="67">
        <v>27.54</v>
      </c>
      <c r="F136" s="69" t="s">
        <v>0</v>
      </c>
      <c r="G136" s="69" t="s">
        <v>0</v>
      </c>
      <c r="H136" s="69" t="s">
        <v>0</v>
      </c>
      <c r="I136" s="70" t="s">
        <v>0</v>
      </c>
      <c r="J136" s="69" t="s">
        <v>0</v>
      </c>
      <c r="K136" s="69" t="s">
        <v>0</v>
      </c>
      <c r="L136" s="69" t="s">
        <v>0</v>
      </c>
      <c r="M136" s="71" t="s">
        <v>0</v>
      </c>
      <c r="N136" s="70" t="s">
        <v>0</v>
      </c>
      <c r="O136" s="70">
        <v>1.5189999999999999</v>
      </c>
    </row>
    <row r="137" spans="1:15" x14ac:dyDescent="0.25">
      <c r="A137" s="75" t="s">
        <v>303</v>
      </c>
      <c r="B137" s="67" t="s">
        <v>208</v>
      </c>
      <c r="C137" s="68">
        <v>0.375</v>
      </c>
      <c r="D137" s="67">
        <v>25.24</v>
      </c>
      <c r="E137" s="67">
        <v>27.29</v>
      </c>
      <c r="F137" s="69" t="s">
        <v>0</v>
      </c>
      <c r="G137" s="69" t="s">
        <v>0</v>
      </c>
      <c r="H137" s="69" t="s">
        <v>0</v>
      </c>
      <c r="I137" s="70" t="s">
        <v>0</v>
      </c>
      <c r="J137" s="69" t="s">
        <v>0</v>
      </c>
      <c r="K137" s="69" t="s">
        <v>0</v>
      </c>
      <c r="L137" s="69" t="s">
        <v>0</v>
      </c>
      <c r="M137" s="71" t="s">
        <v>0</v>
      </c>
      <c r="N137" s="70" t="s">
        <v>0</v>
      </c>
      <c r="O137" s="70">
        <v>1.5218</v>
      </c>
    </row>
    <row r="138" spans="1:15" x14ac:dyDescent="0.25">
      <c r="A138" s="66" t="s">
        <v>508</v>
      </c>
      <c r="B138" s="81" t="s">
        <v>509</v>
      </c>
      <c r="C138" s="82">
        <v>2.81</v>
      </c>
      <c r="D138" s="82">
        <v>2.9</v>
      </c>
      <c r="E138" s="69"/>
      <c r="F138" s="69">
        <v>1.4850000000000001</v>
      </c>
      <c r="G138" s="69">
        <v>1.48</v>
      </c>
      <c r="H138" s="69">
        <v>1.4812000000000001</v>
      </c>
      <c r="I138" s="70">
        <v>4</v>
      </c>
      <c r="J138" s="69" t="s">
        <v>0</v>
      </c>
      <c r="K138" s="69" t="s">
        <v>0</v>
      </c>
      <c r="L138" s="69" t="s">
        <v>0</v>
      </c>
      <c r="M138" s="71" t="s">
        <v>0</v>
      </c>
      <c r="N138" s="70" t="s">
        <v>0</v>
      </c>
      <c r="O138" s="70" t="e">
        <v>#N/A</v>
      </c>
    </row>
    <row r="139" spans="1:15" x14ac:dyDescent="0.25">
      <c r="A139" s="66" t="s">
        <v>510</v>
      </c>
      <c r="B139" s="81" t="s">
        <v>511</v>
      </c>
      <c r="C139" s="66" t="s">
        <v>321</v>
      </c>
      <c r="D139" s="83">
        <v>2.31</v>
      </c>
      <c r="E139" s="83">
        <v>2.36</v>
      </c>
      <c r="F139" s="69" t="s">
        <v>0</v>
      </c>
      <c r="G139" s="69" t="s">
        <v>0</v>
      </c>
      <c r="H139" s="69" t="s">
        <v>0</v>
      </c>
      <c r="I139" s="70" t="s">
        <v>0</v>
      </c>
      <c r="J139" s="69">
        <v>1.5649999999999999</v>
      </c>
      <c r="K139" s="69">
        <v>1.56</v>
      </c>
      <c r="L139" s="69">
        <v>1.5616000000000001</v>
      </c>
      <c r="M139" s="71">
        <v>3</v>
      </c>
      <c r="N139" s="70">
        <v>6</v>
      </c>
      <c r="O139" s="70" t="e">
        <v>#N/A</v>
      </c>
    </row>
    <row r="140" spans="1:15" x14ac:dyDescent="0.25">
      <c r="A140" s="66" t="s">
        <v>512</v>
      </c>
      <c r="B140" s="81" t="s">
        <v>513</v>
      </c>
      <c r="C140" s="66" t="s">
        <v>321</v>
      </c>
      <c r="D140" s="83">
        <v>4.58</v>
      </c>
      <c r="E140" s="83">
        <v>4.8099999999999996</v>
      </c>
      <c r="F140" s="69" t="s">
        <v>0</v>
      </c>
      <c r="G140" s="69" t="s">
        <v>0</v>
      </c>
      <c r="H140" s="69" t="s">
        <v>0</v>
      </c>
      <c r="I140" s="70" t="s">
        <v>0</v>
      </c>
      <c r="J140" s="69">
        <v>1.597</v>
      </c>
      <c r="K140" s="69">
        <v>1.593</v>
      </c>
      <c r="L140" s="69">
        <v>1.5955999999999999</v>
      </c>
      <c r="M140" s="71">
        <v>3</v>
      </c>
      <c r="N140" s="70">
        <v>6</v>
      </c>
      <c r="O140" s="70" t="e">
        <v>#N/A</v>
      </c>
    </row>
    <row r="141" spans="1:15" x14ac:dyDescent="0.25">
      <c r="A141" s="66" t="s">
        <v>514</v>
      </c>
      <c r="B141" s="81" t="s">
        <v>515</v>
      </c>
      <c r="C141" s="66" t="s">
        <v>321</v>
      </c>
      <c r="D141" s="83">
        <v>2.4300000000000002</v>
      </c>
      <c r="E141" s="83">
        <v>2.98</v>
      </c>
      <c r="F141" s="69" t="s">
        <v>0</v>
      </c>
      <c r="G141" s="69" t="s">
        <v>0</v>
      </c>
      <c r="H141" s="69" t="s">
        <v>0</v>
      </c>
      <c r="I141" s="70" t="s">
        <v>0</v>
      </c>
      <c r="J141" s="69">
        <v>1.56</v>
      </c>
      <c r="K141" s="69">
        <v>1.5549999999999999</v>
      </c>
      <c r="L141" s="69">
        <v>1.5575000000000001</v>
      </c>
      <c r="M141" s="71">
        <v>2</v>
      </c>
      <c r="N141" s="70">
        <v>7</v>
      </c>
      <c r="O141" s="70" t="e">
        <v>#N/A</v>
      </c>
    </row>
    <row r="142" spans="1:15" x14ac:dyDescent="0.25">
      <c r="A142" s="66" t="s">
        <v>411</v>
      </c>
      <c r="B142" s="81" t="s">
        <v>412</v>
      </c>
      <c r="C142" s="66" t="s">
        <v>321</v>
      </c>
      <c r="D142" s="83">
        <v>8.23</v>
      </c>
      <c r="E142" s="83">
        <v>9.9700000000000006</v>
      </c>
      <c r="F142" s="69" t="s">
        <v>0</v>
      </c>
      <c r="G142" s="69" t="s">
        <v>0</v>
      </c>
      <c r="H142" s="69" t="s">
        <v>0</v>
      </c>
      <c r="I142" s="70" t="s">
        <v>0</v>
      </c>
      <c r="J142" s="69">
        <v>3.5790000000000002</v>
      </c>
      <c r="K142" s="69">
        <v>3.5790000000000002</v>
      </c>
      <c r="L142" s="69">
        <v>3.5790000000000002</v>
      </c>
      <c r="M142" s="71">
        <v>3</v>
      </c>
      <c r="N142" s="70">
        <v>0.13500000000000001</v>
      </c>
      <c r="O142" s="70" t="e">
        <v>#N/A</v>
      </c>
    </row>
  </sheetData>
  <mergeCells count="6">
    <mergeCell ref="F1:I1"/>
    <mergeCell ref="J1:N1"/>
    <mergeCell ref="Q1:T1"/>
    <mergeCell ref="F2:H2"/>
    <mergeCell ref="J2:L2"/>
    <mergeCell ref="O2:O3"/>
  </mergeCells>
  <phoneticPr fontId="1" type="noConversion"/>
  <printOptions gridLines="1"/>
  <pageMargins left="0.17" right="0.16" top="0.28999999999999998" bottom="0.2" header="0.5" footer="0.5"/>
  <pageSetup paperSize="9" scale="39" orientation="portrait" r:id="rId1"/>
  <headerFooter alignWithMargins="0">
    <oddFooter>&amp;C&amp;"Times New Roman,標準"&amp;P&amp;R&amp;"Times New Roman,標準"&amp;A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62">
    <pageSetUpPr fitToPage="1"/>
  </sheetPr>
  <dimension ref="A1:T142"/>
  <sheetViews>
    <sheetView zoomScale="90" workbookViewId="0">
      <pane xSplit="1" ySplit="3" topLeftCell="B4" activePane="bottomRight" state="frozen"/>
      <selection sqref="A1:IV65536"/>
      <selection pane="topRight" sqref="A1:IV65536"/>
      <selection pane="bottomLeft" sqref="A1:IV65536"/>
      <selection pane="bottomRight" activeCell="O5" sqref="O5"/>
    </sheetView>
  </sheetViews>
  <sheetFormatPr defaultRowHeight="16.5" x14ac:dyDescent="0.25"/>
  <cols>
    <col min="1" max="1" width="9" style="7" customWidth="1"/>
    <col min="2" max="2" width="10.5" style="8" bestFit="1" customWidth="1"/>
    <col min="3" max="3" width="6.625" style="8" bestFit="1" customWidth="1"/>
    <col min="4" max="4" width="7.125" style="8" bestFit="1" customWidth="1"/>
    <col min="5" max="15" width="9" style="8"/>
    <col min="16" max="16" width="4" style="8" customWidth="1"/>
    <col min="17" max="17" width="6.625" style="28" customWidth="1"/>
    <col min="18" max="18" width="8.625" style="28" customWidth="1"/>
    <col min="19" max="19" width="11.375" style="31" bestFit="1" customWidth="1"/>
    <col min="20" max="20" width="11.25" style="31" bestFit="1" customWidth="1"/>
    <col min="21" max="256" width="9" style="8"/>
    <col min="257" max="257" width="9" style="8" customWidth="1"/>
    <col min="258" max="258" width="10.5" style="8" bestFit="1" customWidth="1"/>
    <col min="259" max="259" width="6.625" style="8" bestFit="1" customWidth="1"/>
    <col min="260" max="260" width="7.125" style="8" bestFit="1" customWidth="1"/>
    <col min="261" max="271" width="9" style="8"/>
    <col min="272" max="272" width="4" style="8" customWidth="1"/>
    <col min="273" max="273" width="6.625" style="8" customWidth="1"/>
    <col min="274" max="274" width="8.625" style="8" customWidth="1"/>
    <col min="275" max="275" width="11.375" style="8" bestFit="1" customWidth="1"/>
    <col min="276" max="276" width="11.25" style="8" bestFit="1" customWidth="1"/>
    <col min="277" max="512" width="9" style="8"/>
    <col min="513" max="513" width="9" style="8" customWidth="1"/>
    <col min="514" max="514" width="10.5" style="8" bestFit="1" customWidth="1"/>
    <col min="515" max="515" width="6.625" style="8" bestFit="1" customWidth="1"/>
    <col min="516" max="516" width="7.125" style="8" bestFit="1" customWidth="1"/>
    <col min="517" max="527" width="9" style="8"/>
    <col min="528" max="528" width="4" style="8" customWidth="1"/>
    <col min="529" max="529" width="6.625" style="8" customWidth="1"/>
    <col min="530" max="530" width="8.625" style="8" customWidth="1"/>
    <col min="531" max="531" width="11.375" style="8" bestFit="1" customWidth="1"/>
    <col min="532" max="532" width="11.25" style="8" bestFit="1" customWidth="1"/>
    <col min="533" max="768" width="9" style="8"/>
    <col min="769" max="769" width="9" style="8" customWidth="1"/>
    <col min="770" max="770" width="10.5" style="8" bestFit="1" customWidth="1"/>
    <col min="771" max="771" width="6.625" style="8" bestFit="1" customWidth="1"/>
    <col min="772" max="772" width="7.125" style="8" bestFit="1" customWidth="1"/>
    <col min="773" max="783" width="9" style="8"/>
    <col min="784" max="784" width="4" style="8" customWidth="1"/>
    <col min="785" max="785" width="6.625" style="8" customWidth="1"/>
    <col min="786" max="786" width="8.625" style="8" customWidth="1"/>
    <col min="787" max="787" width="11.375" style="8" bestFit="1" customWidth="1"/>
    <col min="788" max="788" width="11.25" style="8" bestFit="1" customWidth="1"/>
    <col min="789" max="1024" width="9" style="8"/>
    <col min="1025" max="1025" width="9" style="8" customWidth="1"/>
    <col min="1026" max="1026" width="10.5" style="8" bestFit="1" customWidth="1"/>
    <col min="1027" max="1027" width="6.625" style="8" bestFit="1" customWidth="1"/>
    <col min="1028" max="1028" width="7.125" style="8" bestFit="1" customWidth="1"/>
    <col min="1029" max="1039" width="9" style="8"/>
    <col min="1040" max="1040" width="4" style="8" customWidth="1"/>
    <col min="1041" max="1041" width="6.625" style="8" customWidth="1"/>
    <col min="1042" max="1042" width="8.625" style="8" customWidth="1"/>
    <col min="1043" max="1043" width="11.375" style="8" bestFit="1" customWidth="1"/>
    <col min="1044" max="1044" width="11.25" style="8" bestFit="1" customWidth="1"/>
    <col min="1045" max="1280" width="9" style="8"/>
    <col min="1281" max="1281" width="9" style="8" customWidth="1"/>
    <col min="1282" max="1282" width="10.5" style="8" bestFit="1" customWidth="1"/>
    <col min="1283" max="1283" width="6.625" style="8" bestFit="1" customWidth="1"/>
    <col min="1284" max="1284" width="7.125" style="8" bestFit="1" customWidth="1"/>
    <col min="1285" max="1295" width="9" style="8"/>
    <col min="1296" max="1296" width="4" style="8" customWidth="1"/>
    <col min="1297" max="1297" width="6.625" style="8" customWidth="1"/>
    <col min="1298" max="1298" width="8.625" style="8" customWidth="1"/>
    <col min="1299" max="1299" width="11.375" style="8" bestFit="1" customWidth="1"/>
    <col min="1300" max="1300" width="11.25" style="8" bestFit="1" customWidth="1"/>
    <col min="1301" max="1536" width="9" style="8"/>
    <col min="1537" max="1537" width="9" style="8" customWidth="1"/>
    <col min="1538" max="1538" width="10.5" style="8" bestFit="1" customWidth="1"/>
    <col min="1539" max="1539" width="6.625" style="8" bestFit="1" customWidth="1"/>
    <col min="1540" max="1540" width="7.125" style="8" bestFit="1" customWidth="1"/>
    <col min="1541" max="1551" width="9" style="8"/>
    <col min="1552" max="1552" width="4" style="8" customWidth="1"/>
    <col min="1553" max="1553" width="6.625" style="8" customWidth="1"/>
    <col min="1554" max="1554" width="8.625" style="8" customWidth="1"/>
    <col min="1555" max="1555" width="11.375" style="8" bestFit="1" customWidth="1"/>
    <col min="1556" max="1556" width="11.25" style="8" bestFit="1" customWidth="1"/>
    <col min="1557" max="1792" width="9" style="8"/>
    <col min="1793" max="1793" width="9" style="8" customWidth="1"/>
    <col min="1794" max="1794" width="10.5" style="8" bestFit="1" customWidth="1"/>
    <col min="1795" max="1795" width="6.625" style="8" bestFit="1" customWidth="1"/>
    <col min="1796" max="1796" width="7.125" style="8" bestFit="1" customWidth="1"/>
    <col min="1797" max="1807" width="9" style="8"/>
    <col min="1808" max="1808" width="4" style="8" customWidth="1"/>
    <col min="1809" max="1809" width="6.625" style="8" customWidth="1"/>
    <col min="1810" max="1810" width="8.625" style="8" customWidth="1"/>
    <col min="1811" max="1811" width="11.375" style="8" bestFit="1" customWidth="1"/>
    <col min="1812" max="1812" width="11.25" style="8" bestFit="1" customWidth="1"/>
    <col min="1813" max="2048" width="9" style="8"/>
    <col min="2049" max="2049" width="9" style="8" customWidth="1"/>
    <col min="2050" max="2050" width="10.5" style="8" bestFit="1" customWidth="1"/>
    <col min="2051" max="2051" width="6.625" style="8" bestFit="1" customWidth="1"/>
    <col min="2052" max="2052" width="7.125" style="8" bestFit="1" customWidth="1"/>
    <col min="2053" max="2063" width="9" style="8"/>
    <col min="2064" max="2064" width="4" style="8" customWidth="1"/>
    <col min="2065" max="2065" width="6.625" style="8" customWidth="1"/>
    <col min="2066" max="2066" width="8.625" style="8" customWidth="1"/>
    <col min="2067" max="2067" width="11.375" style="8" bestFit="1" customWidth="1"/>
    <col min="2068" max="2068" width="11.25" style="8" bestFit="1" customWidth="1"/>
    <col min="2069" max="2304" width="9" style="8"/>
    <col min="2305" max="2305" width="9" style="8" customWidth="1"/>
    <col min="2306" max="2306" width="10.5" style="8" bestFit="1" customWidth="1"/>
    <col min="2307" max="2307" width="6.625" style="8" bestFit="1" customWidth="1"/>
    <col min="2308" max="2308" width="7.125" style="8" bestFit="1" customWidth="1"/>
    <col min="2309" max="2319" width="9" style="8"/>
    <col min="2320" max="2320" width="4" style="8" customWidth="1"/>
    <col min="2321" max="2321" width="6.625" style="8" customWidth="1"/>
    <col min="2322" max="2322" width="8.625" style="8" customWidth="1"/>
    <col min="2323" max="2323" width="11.375" style="8" bestFit="1" customWidth="1"/>
    <col min="2324" max="2324" width="11.25" style="8" bestFit="1" customWidth="1"/>
    <col min="2325" max="2560" width="9" style="8"/>
    <col min="2561" max="2561" width="9" style="8" customWidth="1"/>
    <col min="2562" max="2562" width="10.5" style="8" bestFit="1" customWidth="1"/>
    <col min="2563" max="2563" width="6.625" style="8" bestFit="1" customWidth="1"/>
    <col min="2564" max="2564" width="7.125" style="8" bestFit="1" customWidth="1"/>
    <col min="2565" max="2575" width="9" style="8"/>
    <col min="2576" max="2576" width="4" style="8" customWidth="1"/>
    <col min="2577" max="2577" width="6.625" style="8" customWidth="1"/>
    <col min="2578" max="2578" width="8.625" style="8" customWidth="1"/>
    <col min="2579" max="2579" width="11.375" style="8" bestFit="1" customWidth="1"/>
    <col min="2580" max="2580" width="11.25" style="8" bestFit="1" customWidth="1"/>
    <col min="2581" max="2816" width="9" style="8"/>
    <col min="2817" max="2817" width="9" style="8" customWidth="1"/>
    <col min="2818" max="2818" width="10.5" style="8" bestFit="1" customWidth="1"/>
    <col min="2819" max="2819" width="6.625" style="8" bestFit="1" customWidth="1"/>
    <col min="2820" max="2820" width="7.125" style="8" bestFit="1" customWidth="1"/>
    <col min="2821" max="2831" width="9" style="8"/>
    <col min="2832" max="2832" width="4" style="8" customWidth="1"/>
    <col min="2833" max="2833" width="6.625" style="8" customWidth="1"/>
    <col min="2834" max="2834" width="8.625" style="8" customWidth="1"/>
    <col min="2835" max="2835" width="11.375" style="8" bestFit="1" customWidth="1"/>
    <col min="2836" max="2836" width="11.25" style="8" bestFit="1" customWidth="1"/>
    <col min="2837" max="3072" width="9" style="8"/>
    <col min="3073" max="3073" width="9" style="8" customWidth="1"/>
    <col min="3074" max="3074" width="10.5" style="8" bestFit="1" customWidth="1"/>
    <col min="3075" max="3075" width="6.625" style="8" bestFit="1" customWidth="1"/>
    <col min="3076" max="3076" width="7.125" style="8" bestFit="1" customWidth="1"/>
    <col min="3077" max="3087" width="9" style="8"/>
    <col min="3088" max="3088" width="4" style="8" customWidth="1"/>
    <col min="3089" max="3089" width="6.625" style="8" customWidth="1"/>
    <col min="3090" max="3090" width="8.625" style="8" customWidth="1"/>
    <col min="3091" max="3091" width="11.375" style="8" bestFit="1" customWidth="1"/>
    <col min="3092" max="3092" width="11.25" style="8" bestFit="1" customWidth="1"/>
    <col min="3093" max="3328" width="9" style="8"/>
    <col min="3329" max="3329" width="9" style="8" customWidth="1"/>
    <col min="3330" max="3330" width="10.5" style="8" bestFit="1" customWidth="1"/>
    <col min="3331" max="3331" width="6.625" style="8" bestFit="1" customWidth="1"/>
    <col min="3332" max="3332" width="7.125" style="8" bestFit="1" customWidth="1"/>
    <col min="3333" max="3343" width="9" style="8"/>
    <col min="3344" max="3344" width="4" style="8" customWidth="1"/>
    <col min="3345" max="3345" width="6.625" style="8" customWidth="1"/>
    <col min="3346" max="3346" width="8.625" style="8" customWidth="1"/>
    <col min="3347" max="3347" width="11.375" style="8" bestFit="1" customWidth="1"/>
    <col min="3348" max="3348" width="11.25" style="8" bestFit="1" customWidth="1"/>
    <col min="3349" max="3584" width="9" style="8"/>
    <col min="3585" max="3585" width="9" style="8" customWidth="1"/>
    <col min="3586" max="3586" width="10.5" style="8" bestFit="1" customWidth="1"/>
    <col min="3587" max="3587" width="6.625" style="8" bestFit="1" customWidth="1"/>
    <col min="3588" max="3588" width="7.125" style="8" bestFit="1" customWidth="1"/>
    <col min="3589" max="3599" width="9" style="8"/>
    <col min="3600" max="3600" width="4" style="8" customWidth="1"/>
    <col min="3601" max="3601" width="6.625" style="8" customWidth="1"/>
    <col min="3602" max="3602" width="8.625" style="8" customWidth="1"/>
    <col min="3603" max="3603" width="11.375" style="8" bestFit="1" customWidth="1"/>
    <col min="3604" max="3604" width="11.25" style="8" bestFit="1" customWidth="1"/>
    <col min="3605" max="3840" width="9" style="8"/>
    <col min="3841" max="3841" width="9" style="8" customWidth="1"/>
    <col min="3842" max="3842" width="10.5" style="8" bestFit="1" customWidth="1"/>
    <col min="3843" max="3843" width="6.625" style="8" bestFit="1" customWidth="1"/>
    <col min="3844" max="3844" width="7.125" style="8" bestFit="1" customWidth="1"/>
    <col min="3845" max="3855" width="9" style="8"/>
    <col min="3856" max="3856" width="4" style="8" customWidth="1"/>
    <col min="3857" max="3857" width="6.625" style="8" customWidth="1"/>
    <col min="3858" max="3858" width="8.625" style="8" customWidth="1"/>
    <col min="3859" max="3859" width="11.375" style="8" bestFit="1" customWidth="1"/>
    <col min="3860" max="3860" width="11.25" style="8" bestFit="1" customWidth="1"/>
    <col min="3861" max="4096" width="9" style="8"/>
    <col min="4097" max="4097" width="9" style="8" customWidth="1"/>
    <col min="4098" max="4098" width="10.5" style="8" bestFit="1" customWidth="1"/>
    <col min="4099" max="4099" width="6.625" style="8" bestFit="1" customWidth="1"/>
    <col min="4100" max="4100" width="7.125" style="8" bestFit="1" customWidth="1"/>
    <col min="4101" max="4111" width="9" style="8"/>
    <col min="4112" max="4112" width="4" style="8" customWidth="1"/>
    <col min="4113" max="4113" width="6.625" style="8" customWidth="1"/>
    <col min="4114" max="4114" width="8.625" style="8" customWidth="1"/>
    <col min="4115" max="4115" width="11.375" style="8" bestFit="1" customWidth="1"/>
    <col min="4116" max="4116" width="11.25" style="8" bestFit="1" customWidth="1"/>
    <col min="4117" max="4352" width="9" style="8"/>
    <col min="4353" max="4353" width="9" style="8" customWidth="1"/>
    <col min="4354" max="4354" width="10.5" style="8" bestFit="1" customWidth="1"/>
    <col min="4355" max="4355" width="6.625" style="8" bestFit="1" customWidth="1"/>
    <col min="4356" max="4356" width="7.125" style="8" bestFit="1" customWidth="1"/>
    <col min="4357" max="4367" width="9" style="8"/>
    <col min="4368" max="4368" width="4" style="8" customWidth="1"/>
    <col min="4369" max="4369" width="6.625" style="8" customWidth="1"/>
    <col min="4370" max="4370" width="8.625" style="8" customWidth="1"/>
    <col min="4371" max="4371" width="11.375" style="8" bestFit="1" customWidth="1"/>
    <col min="4372" max="4372" width="11.25" style="8" bestFit="1" customWidth="1"/>
    <col min="4373" max="4608" width="9" style="8"/>
    <col min="4609" max="4609" width="9" style="8" customWidth="1"/>
    <col min="4610" max="4610" width="10.5" style="8" bestFit="1" customWidth="1"/>
    <col min="4611" max="4611" width="6.625" style="8" bestFit="1" customWidth="1"/>
    <col min="4612" max="4612" width="7.125" style="8" bestFit="1" customWidth="1"/>
    <col min="4613" max="4623" width="9" style="8"/>
    <col min="4624" max="4624" width="4" style="8" customWidth="1"/>
    <col min="4625" max="4625" width="6.625" style="8" customWidth="1"/>
    <col min="4626" max="4626" width="8.625" style="8" customWidth="1"/>
    <col min="4627" max="4627" width="11.375" style="8" bestFit="1" customWidth="1"/>
    <col min="4628" max="4628" width="11.25" style="8" bestFit="1" customWidth="1"/>
    <col min="4629" max="4864" width="9" style="8"/>
    <col min="4865" max="4865" width="9" style="8" customWidth="1"/>
    <col min="4866" max="4866" width="10.5" style="8" bestFit="1" customWidth="1"/>
    <col min="4867" max="4867" width="6.625" style="8" bestFit="1" customWidth="1"/>
    <col min="4868" max="4868" width="7.125" style="8" bestFit="1" customWidth="1"/>
    <col min="4869" max="4879" width="9" style="8"/>
    <col min="4880" max="4880" width="4" style="8" customWidth="1"/>
    <col min="4881" max="4881" width="6.625" style="8" customWidth="1"/>
    <col min="4882" max="4882" width="8.625" style="8" customWidth="1"/>
    <col min="4883" max="4883" width="11.375" style="8" bestFit="1" customWidth="1"/>
    <col min="4884" max="4884" width="11.25" style="8" bestFit="1" customWidth="1"/>
    <col min="4885" max="5120" width="9" style="8"/>
    <col min="5121" max="5121" width="9" style="8" customWidth="1"/>
    <col min="5122" max="5122" width="10.5" style="8" bestFit="1" customWidth="1"/>
    <col min="5123" max="5123" width="6.625" style="8" bestFit="1" customWidth="1"/>
    <col min="5124" max="5124" width="7.125" style="8" bestFit="1" customWidth="1"/>
    <col min="5125" max="5135" width="9" style="8"/>
    <col min="5136" max="5136" width="4" style="8" customWidth="1"/>
    <col min="5137" max="5137" width="6.625" style="8" customWidth="1"/>
    <col min="5138" max="5138" width="8.625" style="8" customWidth="1"/>
    <col min="5139" max="5139" width="11.375" style="8" bestFit="1" customWidth="1"/>
    <col min="5140" max="5140" width="11.25" style="8" bestFit="1" customWidth="1"/>
    <col min="5141" max="5376" width="9" style="8"/>
    <col min="5377" max="5377" width="9" style="8" customWidth="1"/>
    <col min="5378" max="5378" width="10.5" style="8" bestFit="1" customWidth="1"/>
    <col min="5379" max="5379" width="6.625" style="8" bestFit="1" customWidth="1"/>
    <col min="5380" max="5380" width="7.125" style="8" bestFit="1" customWidth="1"/>
    <col min="5381" max="5391" width="9" style="8"/>
    <col min="5392" max="5392" width="4" style="8" customWidth="1"/>
    <col min="5393" max="5393" width="6.625" style="8" customWidth="1"/>
    <col min="5394" max="5394" width="8.625" style="8" customWidth="1"/>
    <col min="5395" max="5395" width="11.375" style="8" bestFit="1" customWidth="1"/>
    <col min="5396" max="5396" width="11.25" style="8" bestFit="1" customWidth="1"/>
    <col min="5397" max="5632" width="9" style="8"/>
    <col min="5633" max="5633" width="9" style="8" customWidth="1"/>
    <col min="5634" max="5634" width="10.5" style="8" bestFit="1" customWidth="1"/>
    <col min="5635" max="5635" width="6.625" style="8" bestFit="1" customWidth="1"/>
    <col min="5636" max="5636" width="7.125" style="8" bestFit="1" customWidth="1"/>
    <col min="5637" max="5647" width="9" style="8"/>
    <col min="5648" max="5648" width="4" style="8" customWidth="1"/>
    <col min="5649" max="5649" width="6.625" style="8" customWidth="1"/>
    <col min="5650" max="5650" width="8.625" style="8" customWidth="1"/>
    <col min="5651" max="5651" width="11.375" style="8" bestFit="1" customWidth="1"/>
    <col min="5652" max="5652" width="11.25" style="8" bestFit="1" customWidth="1"/>
    <col min="5653" max="5888" width="9" style="8"/>
    <col min="5889" max="5889" width="9" style="8" customWidth="1"/>
    <col min="5890" max="5890" width="10.5" style="8" bestFit="1" customWidth="1"/>
    <col min="5891" max="5891" width="6.625" style="8" bestFit="1" customWidth="1"/>
    <col min="5892" max="5892" width="7.125" style="8" bestFit="1" customWidth="1"/>
    <col min="5893" max="5903" width="9" style="8"/>
    <col min="5904" max="5904" width="4" style="8" customWidth="1"/>
    <col min="5905" max="5905" width="6.625" style="8" customWidth="1"/>
    <col min="5906" max="5906" width="8.625" style="8" customWidth="1"/>
    <col min="5907" max="5907" width="11.375" style="8" bestFit="1" customWidth="1"/>
    <col min="5908" max="5908" width="11.25" style="8" bestFit="1" customWidth="1"/>
    <col min="5909" max="6144" width="9" style="8"/>
    <col min="6145" max="6145" width="9" style="8" customWidth="1"/>
    <col min="6146" max="6146" width="10.5" style="8" bestFit="1" customWidth="1"/>
    <col min="6147" max="6147" width="6.625" style="8" bestFit="1" customWidth="1"/>
    <col min="6148" max="6148" width="7.125" style="8" bestFit="1" customWidth="1"/>
    <col min="6149" max="6159" width="9" style="8"/>
    <col min="6160" max="6160" width="4" style="8" customWidth="1"/>
    <col min="6161" max="6161" width="6.625" style="8" customWidth="1"/>
    <col min="6162" max="6162" width="8.625" style="8" customWidth="1"/>
    <col min="6163" max="6163" width="11.375" style="8" bestFit="1" customWidth="1"/>
    <col min="6164" max="6164" width="11.25" style="8" bestFit="1" customWidth="1"/>
    <col min="6165" max="6400" width="9" style="8"/>
    <col min="6401" max="6401" width="9" style="8" customWidth="1"/>
    <col min="6402" max="6402" width="10.5" style="8" bestFit="1" customWidth="1"/>
    <col min="6403" max="6403" width="6.625" style="8" bestFit="1" customWidth="1"/>
    <col min="6404" max="6404" width="7.125" style="8" bestFit="1" customWidth="1"/>
    <col min="6405" max="6415" width="9" style="8"/>
    <col min="6416" max="6416" width="4" style="8" customWidth="1"/>
    <col min="6417" max="6417" width="6.625" style="8" customWidth="1"/>
    <col min="6418" max="6418" width="8.625" style="8" customWidth="1"/>
    <col min="6419" max="6419" width="11.375" style="8" bestFit="1" customWidth="1"/>
    <col min="6420" max="6420" width="11.25" style="8" bestFit="1" customWidth="1"/>
    <col min="6421" max="6656" width="9" style="8"/>
    <col min="6657" max="6657" width="9" style="8" customWidth="1"/>
    <col min="6658" max="6658" width="10.5" style="8" bestFit="1" customWidth="1"/>
    <col min="6659" max="6659" width="6.625" style="8" bestFit="1" customWidth="1"/>
    <col min="6660" max="6660" width="7.125" style="8" bestFit="1" customWidth="1"/>
    <col min="6661" max="6671" width="9" style="8"/>
    <col min="6672" max="6672" width="4" style="8" customWidth="1"/>
    <col min="6673" max="6673" width="6.625" style="8" customWidth="1"/>
    <col min="6674" max="6674" width="8.625" style="8" customWidth="1"/>
    <col min="6675" max="6675" width="11.375" style="8" bestFit="1" customWidth="1"/>
    <col min="6676" max="6676" width="11.25" style="8" bestFit="1" customWidth="1"/>
    <col min="6677" max="6912" width="9" style="8"/>
    <col min="6913" max="6913" width="9" style="8" customWidth="1"/>
    <col min="6914" max="6914" width="10.5" style="8" bestFit="1" customWidth="1"/>
    <col min="6915" max="6915" width="6.625" style="8" bestFit="1" customWidth="1"/>
    <col min="6916" max="6916" width="7.125" style="8" bestFit="1" customWidth="1"/>
    <col min="6917" max="6927" width="9" style="8"/>
    <col min="6928" max="6928" width="4" style="8" customWidth="1"/>
    <col min="6929" max="6929" width="6.625" style="8" customWidth="1"/>
    <col min="6930" max="6930" width="8.625" style="8" customWidth="1"/>
    <col min="6931" max="6931" width="11.375" style="8" bestFit="1" customWidth="1"/>
    <col min="6932" max="6932" width="11.25" style="8" bestFit="1" customWidth="1"/>
    <col min="6933" max="7168" width="9" style="8"/>
    <col min="7169" max="7169" width="9" style="8" customWidth="1"/>
    <col min="7170" max="7170" width="10.5" style="8" bestFit="1" customWidth="1"/>
    <col min="7171" max="7171" width="6.625" style="8" bestFit="1" customWidth="1"/>
    <col min="7172" max="7172" width="7.125" style="8" bestFit="1" customWidth="1"/>
    <col min="7173" max="7183" width="9" style="8"/>
    <col min="7184" max="7184" width="4" style="8" customWidth="1"/>
    <col min="7185" max="7185" width="6.625" style="8" customWidth="1"/>
    <col min="7186" max="7186" width="8.625" style="8" customWidth="1"/>
    <col min="7187" max="7187" width="11.375" style="8" bestFit="1" customWidth="1"/>
    <col min="7188" max="7188" width="11.25" style="8" bestFit="1" customWidth="1"/>
    <col min="7189" max="7424" width="9" style="8"/>
    <col min="7425" max="7425" width="9" style="8" customWidth="1"/>
    <col min="7426" max="7426" width="10.5" style="8" bestFit="1" customWidth="1"/>
    <col min="7427" max="7427" width="6.625" style="8" bestFit="1" customWidth="1"/>
    <col min="7428" max="7428" width="7.125" style="8" bestFit="1" customWidth="1"/>
    <col min="7429" max="7439" width="9" style="8"/>
    <col min="7440" max="7440" width="4" style="8" customWidth="1"/>
    <col min="7441" max="7441" width="6.625" style="8" customWidth="1"/>
    <col min="7442" max="7442" width="8.625" style="8" customWidth="1"/>
    <col min="7443" max="7443" width="11.375" style="8" bestFit="1" customWidth="1"/>
    <col min="7444" max="7444" width="11.25" style="8" bestFit="1" customWidth="1"/>
    <col min="7445" max="7680" width="9" style="8"/>
    <col min="7681" max="7681" width="9" style="8" customWidth="1"/>
    <col min="7682" max="7682" width="10.5" style="8" bestFit="1" customWidth="1"/>
    <col min="7683" max="7683" width="6.625" style="8" bestFit="1" customWidth="1"/>
    <col min="7684" max="7684" width="7.125" style="8" bestFit="1" customWidth="1"/>
    <col min="7685" max="7695" width="9" style="8"/>
    <col min="7696" max="7696" width="4" style="8" customWidth="1"/>
    <col min="7697" max="7697" width="6.625" style="8" customWidth="1"/>
    <col min="7698" max="7698" width="8.625" style="8" customWidth="1"/>
    <col min="7699" max="7699" width="11.375" style="8" bestFit="1" customWidth="1"/>
    <col min="7700" max="7700" width="11.25" style="8" bestFit="1" customWidth="1"/>
    <col min="7701" max="7936" width="9" style="8"/>
    <col min="7937" max="7937" width="9" style="8" customWidth="1"/>
    <col min="7938" max="7938" width="10.5" style="8" bestFit="1" customWidth="1"/>
    <col min="7939" max="7939" width="6.625" style="8" bestFit="1" customWidth="1"/>
    <col min="7940" max="7940" width="7.125" style="8" bestFit="1" customWidth="1"/>
    <col min="7941" max="7951" width="9" style="8"/>
    <col min="7952" max="7952" width="4" style="8" customWidth="1"/>
    <col min="7953" max="7953" width="6.625" style="8" customWidth="1"/>
    <col min="7954" max="7954" width="8.625" style="8" customWidth="1"/>
    <col min="7955" max="7955" width="11.375" style="8" bestFit="1" customWidth="1"/>
    <col min="7956" max="7956" width="11.25" style="8" bestFit="1" customWidth="1"/>
    <col min="7957" max="8192" width="9" style="8"/>
    <col min="8193" max="8193" width="9" style="8" customWidth="1"/>
    <col min="8194" max="8194" width="10.5" style="8" bestFit="1" customWidth="1"/>
    <col min="8195" max="8195" width="6.625" style="8" bestFit="1" customWidth="1"/>
    <col min="8196" max="8196" width="7.125" style="8" bestFit="1" customWidth="1"/>
    <col min="8197" max="8207" width="9" style="8"/>
    <col min="8208" max="8208" width="4" style="8" customWidth="1"/>
    <col min="8209" max="8209" width="6.625" style="8" customWidth="1"/>
    <col min="8210" max="8210" width="8.625" style="8" customWidth="1"/>
    <col min="8211" max="8211" width="11.375" style="8" bestFit="1" customWidth="1"/>
    <col min="8212" max="8212" width="11.25" style="8" bestFit="1" customWidth="1"/>
    <col min="8213" max="8448" width="9" style="8"/>
    <col min="8449" max="8449" width="9" style="8" customWidth="1"/>
    <col min="8450" max="8450" width="10.5" style="8" bestFit="1" customWidth="1"/>
    <col min="8451" max="8451" width="6.625" style="8" bestFit="1" customWidth="1"/>
    <col min="8452" max="8452" width="7.125" style="8" bestFit="1" customWidth="1"/>
    <col min="8453" max="8463" width="9" style="8"/>
    <col min="8464" max="8464" width="4" style="8" customWidth="1"/>
    <col min="8465" max="8465" width="6.625" style="8" customWidth="1"/>
    <col min="8466" max="8466" width="8.625" style="8" customWidth="1"/>
    <col min="8467" max="8467" width="11.375" style="8" bestFit="1" customWidth="1"/>
    <col min="8468" max="8468" width="11.25" style="8" bestFit="1" customWidth="1"/>
    <col min="8469" max="8704" width="9" style="8"/>
    <col min="8705" max="8705" width="9" style="8" customWidth="1"/>
    <col min="8706" max="8706" width="10.5" style="8" bestFit="1" customWidth="1"/>
    <col min="8707" max="8707" width="6.625" style="8" bestFit="1" customWidth="1"/>
    <col min="8708" max="8708" width="7.125" style="8" bestFit="1" customWidth="1"/>
    <col min="8709" max="8719" width="9" style="8"/>
    <col min="8720" max="8720" width="4" style="8" customWidth="1"/>
    <col min="8721" max="8721" width="6.625" style="8" customWidth="1"/>
    <col min="8722" max="8722" width="8.625" style="8" customWidth="1"/>
    <col min="8723" max="8723" width="11.375" style="8" bestFit="1" customWidth="1"/>
    <col min="8724" max="8724" width="11.25" style="8" bestFit="1" customWidth="1"/>
    <col min="8725" max="8960" width="9" style="8"/>
    <col min="8961" max="8961" width="9" style="8" customWidth="1"/>
    <col min="8962" max="8962" width="10.5" style="8" bestFit="1" customWidth="1"/>
    <col min="8963" max="8963" width="6.625" style="8" bestFit="1" customWidth="1"/>
    <col min="8964" max="8964" width="7.125" style="8" bestFit="1" customWidth="1"/>
    <col min="8965" max="8975" width="9" style="8"/>
    <col min="8976" max="8976" width="4" style="8" customWidth="1"/>
    <col min="8977" max="8977" width="6.625" style="8" customWidth="1"/>
    <col min="8978" max="8978" width="8.625" style="8" customWidth="1"/>
    <col min="8979" max="8979" width="11.375" style="8" bestFit="1" customWidth="1"/>
    <col min="8980" max="8980" width="11.25" style="8" bestFit="1" customWidth="1"/>
    <col min="8981" max="9216" width="9" style="8"/>
    <col min="9217" max="9217" width="9" style="8" customWidth="1"/>
    <col min="9218" max="9218" width="10.5" style="8" bestFit="1" customWidth="1"/>
    <col min="9219" max="9219" width="6.625" style="8" bestFit="1" customWidth="1"/>
    <col min="9220" max="9220" width="7.125" style="8" bestFit="1" customWidth="1"/>
    <col min="9221" max="9231" width="9" style="8"/>
    <col min="9232" max="9232" width="4" style="8" customWidth="1"/>
    <col min="9233" max="9233" width="6.625" style="8" customWidth="1"/>
    <col min="9234" max="9234" width="8.625" style="8" customWidth="1"/>
    <col min="9235" max="9235" width="11.375" style="8" bestFit="1" customWidth="1"/>
    <col min="9236" max="9236" width="11.25" style="8" bestFit="1" customWidth="1"/>
    <col min="9237" max="9472" width="9" style="8"/>
    <col min="9473" max="9473" width="9" style="8" customWidth="1"/>
    <col min="9474" max="9474" width="10.5" style="8" bestFit="1" customWidth="1"/>
    <col min="9475" max="9475" width="6.625" style="8" bestFit="1" customWidth="1"/>
    <col min="9476" max="9476" width="7.125" style="8" bestFit="1" customWidth="1"/>
    <col min="9477" max="9487" width="9" style="8"/>
    <col min="9488" max="9488" width="4" style="8" customWidth="1"/>
    <col min="9489" max="9489" width="6.625" style="8" customWidth="1"/>
    <col min="9490" max="9490" width="8.625" style="8" customWidth="1"/>
    <col min="9491" max="9491" width="11.375" style="8" bestFit="1" customWidth="1"/>
    <col min="9492" max="9492" width="11.25" style="8" bestFit="1" customWidth="1"/>
    <col min="9493" max="9728" width="9" style="8"/>
    <col min="9729" max="9729" width="9" style="8" customWidth="1"/>
    <col min="9730" max="9730" width="10.5" style="8" bestFit="1" customWidth="1"/>
    <col min="9731" max="9731" width="6.625" style="8" bestFit="1" customWidth="1"/>
    <col min="9732" max="9732" width="7.125" style="8" bestFit="1" customWidth="1"/>
    <col min="9733" max="9743" width="9" style="8"/>
    <col min="9744" max="9744" width="4" style="8" customWidth="1"/>
    <col min="9745" max="9745" width="6.625" style="8" customWidth="1"/>
    <col min="9746" max="9746" width="8.625" style="8" customWidth="1"/>
    <col min="9747" max="9747" width="11.375" style="8" bestFit="1" customWidth="1"/>
    <col min="9748" max="9748" width="11.25" style="8" bestFit="1" customWidth="1"/>
    <col min="9749" max="9984" width="9" style="8"/>
    <col min="9985" max="9985" width="9" style="8" customWidth="1"/>
    <col min="9986" max="9986" width="10.5" style="8" bestFit="1" customWidth="1"/>
    <col min="9987" max="9987" width="6.625" style="8" bestFit="1" customWidth="1"/>
    <col min="9988" max="9988" width="7.125" style="8" bestFit="1" customWidth="1"/>
    <col min="9989" max="9999" width="9" style="8"/>
    <col min="10000" max="10000" width="4" style="8" customWidth="1"/>
    <col min="10001" max="10001" width="6.625" style="8" customWidth="1"/>
    <col min="10002" max="10002" width="8.625" style="8" customWidth="1"/>
    <col min="10003" max="10003" width="11.375" style="8" bestFit="1" customWidth="1"/>
    <col min="10004" max="10004" width="11.25" style="8" bestFit="1" customWidth="1"/>
    <col min="10005" max="10240" width="9" style="8"/>
    <col min="10241" max="10241" width="9" style="8" customWidth="1"/>
    <col min="10242" max="10242" width="10.5" style="8" bestFit="1" customWidth="1"/>
    <col min="10243" max="10243" width="6.625" style="8" bestFit="1" customWidth="1"/>
    <col min="10244" max="10244" width="7.125" style="8" bestFit="1" customWidth="1"/>
    <col min="10245" max="10255" width="9" style="8"/>
    <col min="10256" max="10256" width="4" style="8" customWidth="1"/>
    <col min="10257" max="10257" width="6.625" style="8" customWidth="1"/>
    <col min="10258" max="10258" width="8.625" style="8" customWidth="1"/>
    <col min="10259" max="10259" width="11.375" style="8" bestFit="1" customWidth="1"/>
    <col min="10260" max="10260" width="11.25" style="8" bestFit="1" customWidth="1"/>
    <col min="10261" max="10496" width="9" style="8"/>
    <col min="10497" max="10497" width="9" style="8" customWidth="1"/>
    <col min="10498" max="10498" width="10.5" style="8" bestFit="1" customWidth="1"/>
    <col min="10499" max="10499" width="6.625" style="8" bestFit="1" customWidth="1"/>
    <col min="10500" max="10500" width="7.125" style="8" bestFit="1" customWidth="1"/>
    <col min="10501" max="10511" width="9" style="8"/>
    <col min="10512" max="10512" width="4" style="8" customWidth="1"/>
    <col min="10513" max="10513" width="6.625" style="8" customWidth="1"/>
    <col min="10514" max="10514" width="8.625" style="8" customWidth="1"/>
    <col min="10515" max="10515" width="11.375" style="8" bestFit="1" customWidth="1"/>
    <col min="10516" max="10516" width="11.25" style="8" bestFit="1" customWidth="1"/>
    <col min="10517" max="10752" width="9" style="8"/>
    <col min="10753" max="10753" width="9" style="8" customWidth="1"/>
    <col min="10754" max="10754" width="10.5" style="8" bestFit="1" customWidth="1"/>
    <col min="10755" max="10755" width="6.625" style="8" bestFit="1" customWidth="1"/>
    <col min="10756" max="10756" width="7.125" style="8" bestFit="1" customWidth="1"/>
    <col min="10757" max="10767" width="9" style="8"/>
    <col min="10768" max="10768" width="4" style="8" customWidth="1"/>
    <col min="10769" max="10769" width="6.625" style="8" customWidth="1"/>
    <col min="10770" max="10770" width="8.625" style="8" customWidth="1"/>
    <col min="10771" max="10771" width="11.375" style="8" bestFit="1" customWidth="1"/>
    <col min="10772" max="10772" width="11.25" style="8" bestFit="1" customWidth="1"/>
    <col min="10773" max="11008" width="9" style="8"/>
    <col min="11009" max="11009" width="9" style="8" customWidth="1"/>
    <col min="11010" max="11010" width="10.5" style="8" bestFit="1" customWidth="1"/>
    <col min="11011" max="11011" width="6.625" style="8" bestFit="1" customWidth="1"/>
    <col min="11012" max="11012" width="7.125" style="8" bestFit="1" customWidth="1"/>
    <col min="11013" max="11023" width="9" style="8"/>
    <col min="11024" max="11024" width="4" style="8" customWidth="1"/>
    <col min="11025" max="11025" width="6.625" style="8" customWidth="1"/>
    <col min="11026" max="11026" width="8.625" style="8" customWidth="1"/>
    <col min="11027" max="11027" width="11.375" style="8" bestFit="1" customWidth="1"/>
    <col min="11028" max="11028" width="11.25" style="8" bestFit="1" customWidth="1"/>
    <col min="11029" max="11264" width="9" style="8"/>
    <col min="11265" max="11265" width="9" style="8" customWidth="1"/>
    <col min="11266" max="11266" width="10.5" style="8" bestFit="1" customWidth="1"/>
    <col min="11267" max="11267" width="6.625" style="8" bestFit="1" customWidth="1"/>
    <col min="11268" max="11268" width="7.125" style="8" bestFit="1" customWidth="1"/>
    <col min="11269" max="11279" width="9" style="8"/>
    <col min="11280" max="11280" width="4" style="8" customWidth="1"/>
    <col min="11281" max="11281" width="6.625" style="8" customWidth="1"/>
    <col min="11282" max="11282" width="8.625" style="8" customWidth="1"/>
    <col min="11283" max="11283" width="11.375" style="8" bestFit="1" customWidth="1"/>
    <col min="11284" max="11284" width="11.25" style="8" bestFit="1" customWidth="1"/>
    <col min="11285" max="11520" width="9" style="8"/>
    <col min="11521" max="11521" width="9" style="8" customWidth="1"/>
    <col min="11522" max="11522" width="10.5" style="8" bestFit="1" customWidth="1"/>
    <col min="11523" max="11523" width="6.625" style="8" bestFit="1" customWidth="1"/>
    <col min="11524" max="11524" width="7.125" style="8" bestFit="1" customWidth="1"/>
    <col min="11525" max="11535" width="9" style="8"/>
    <col min="11536" max="11536" width="4" style="8" customWidth="1"/>
    <col min="11537" max="11537" width="6.625" style="8" customWidth="1"/>
    <col min="11538" max="11538" width="8.625" style="8" customWidth="1"/>
    <col min="11539" max="11539" width="11.375" style="8" bestFit="1" customWidth="1"/>
    <col min="11540" max="11540" width="11.25" style="8" bestFit="1" customWidth="1"/>
    <col min="11541" max="11776" width="9" style="8"/>
    <col min="11777" max="11777" width="9" style="8" customWidth="1"/>
    <col min="11778" max="11778" width="10.5" style="8" bestFit="1" customWidth="1"/>
    <col min="11779" max="11779" width="6.625" style="8" bestFit="1" customWidth="1"/>
    <col min="11780" max="11780" width="7.125" style="8" bestFit="1" customWidth="1"/>
    <col min="11781" max="11791" width="9" style="8"/>
    <col min="11792" max="11792" width="4" style="8" customWidth="1"/>
    <col min="11793" max="11793" width="6.625" style="8" customWidth="1"/>
    <col min="11794" max="11794" width="8.625" style="8" customWidth="1"/>
    <col min="11795" max="11795" width="11.375" style="8" bestFit="1" customWidth="1"/>
    <col min="11796" max="11796" width="11.25" style="8" bestFit="1" customWidth="1"/>
    <col min="11797" max="12032" width="9" style="8"/>
    <col min="12033" max="12033" width="9" style="8" customWidth="1"/>
    <col min="12034" max="12034" width="10.5" style="8" bestFit="1" customWidth="1"/>
    <col min="12035" max="12035" width="6.625" style="8" bestFit="1" customWidth="1"/>
    <col min="12036" max="12036" width="7.125" style="8" bestFit="1" customWidth="1"/>
    <col min="12037" max="12047" width="9" style="8"/>
    <col min="12048" max="12048" width="4" style="8" customWidth="1"/>
    <col min="12049" max="12049" width="6.625" style="8" customWidth="1"/>
    <col min="12050" max="12050" width="8.625" style="8" customWidth="1"/>
    <col min="12051" max="12051" width="11.375" style="8" bestFit="1" customWidth="1"/>
    <col min="12052" max="12052" width="11.25" style="8" bestFit="1" customWidth="1"/>
    <col min="12053" max="12288" width="9" style="8"/>
    <col min="12289" max="12289" width="9" style="8" customWidth="1"/>
    <col min="12290" max="12290" width="10.5" style="8" bestFit="1" customWidth="1"/>
    <col min="12291" max="12291" width="6.625" style="8" bestFit="1" customWidth="1"/>
    <col min="12292" max="12292" width="7.125" style="8" bestFit="1" customWidth="1"/>
    <col min="12293" max="12303" width="9" style="8"/>
    <col min="12304" max="12304" width="4" style="8" customWidth="1"/>
    <col min="12305" max="12305" width="6.625" style="8" customWidth="1"/>
    <col min="12306" max="12306" width="8.625" style="8" customWidth="1"/>
    <col min="12307" max="12307" width="11.375" style="8" bestFit="1" customWidth="1"/>
    <col min="12308" max="12308" width="11.25" style="8" bestFit="1" customWidth="1"/>
    <col min="12309" max="12544" width="9" style="8"/>
    <col min="12545" max="12545" width="9" style="8" customWidth="1"/>
    <col min="12546" max="12546" width="10.5" style="8" bestFit="1" customWidth="1"/>
    <col min="12547" max="12547" width="6.625" style="8" bestFit="1" customWidth="1"/>
    <col min="12548" max="12548" width="7.125" style="8" bestFit="1" customWidth="1"/>
    <col min="12549" max="12559" width="9" style="8"/>
    <col min="12560" max="12560" width="4" style="8" customWidth="1"/>
    <col min="12561" max="12561" width="6.625" style="8" customWidth="1"/>
    <col min="12562" max="12562" width="8.625" style="8" customWidth="1"/>
    <col min="12563" max="12563" width="11.375" style="8" bestFit="1" customWidth="1"/>
    <col min="12564" max="12564" width="11.25" style="8" bestFit="1" customWidth="1"/>
    <col min="12565" max="12800" width="9" style="8"/>
    <col min="12801" max="12801" width="9" style="8" customWidth="1"/>
    <col min="12802" max="12802" width="10.5" style="8" bestFit="1" customWidth="1"/>
    <col min="12803" max="12803" width="6.625" style="8" bestFit="1" customWidth="1"/>
    <col min="12804" max="12804" width="7.125" style="8" bestFit="1" customWidth="1"/>
    <col min="12805" max="12815" width="9" style="8"/>
    <col min="12816" max="12816" width="4" style="8" customWidth="1"/>
    <col min="12817" max="12817" width="6.625" style="8" customWidth="1"/>
    <col min="12818" max="12818" width="8.625" style="8" customWidth="1"/>
    <col min="12819" max="12819" width="11.375" style="8" bestFit="1" customWidth="1"/>
    <col min="12820" max="12820" width="11.25" style="8" bestFit="1" customWidth="1"/>
    <col min="12821" max="13056" width="9" style="8"/>
    <col min="13057" max="13057" width="9" style="8" customWidth="1"/>
    <col min="13058" max="13058" width="10.5" style="8" bestFit="1" customWidth="1"/>
    <col min="13059" max="13059" width="6.625" style="8" bestFit="1" customWidth="1"/>
    <col min="13060" max="13060" width="7.125" style="8" bestFit="1" customWidth="1"/>
    <col min="13061" max="13071" width="9" style="8"/>
    <col min="13072" max="13072" width="4" style="8" customWidth="1"/>
    <col min="13073" max="13073" width="6.625" style="8" customWidth="1"/>
    <col min="13074" max="13074" width="8.625" style="8" customWidth="1"/>
    <col min="13075" max="13075" width="11.375" style="8" bestFit="1" customWidth="1"/>
    <col min="13076" max="13076" width="11.25" style="8" bestFit="1" customWidth="1"/>
    <col min="13077" max="13312" width="9" style="8"/>
    <col min="13313" max="13313" width="9" style="8" customWidth="1"/>
    <col min="13314" max="13314" width="10.5" style="8" bestFit="1" customWidth="1"/>
    <col min="13315" max="13315" width="6.625" style="8" bestFit="1" customWidth="1"/>
    <col min="13316" max="13316" width="7.125" style="8" bestFit="1" customWidth="1"/>
    <col min="13317" max="13327" width="9" style="8"/>
    <col min="13328" max="13328" width="4" style="8" customWidth="1"/>
    <col min="13329" max="13329" width="6.625" style="8" customWidth="1"/>
    <col min="13330" max="13330" width="8.625" style="8" customWidth="1"/>
    <col min="13331" max="13331" width="11.375" style="8" bestFit="1" customWidth="1"/>
    <col min="13332" max="13332" width="11.25" style="8" bestFit="1" customWidth="1"/>
    <col min="13333" max="13568" width="9" style="8"/>
    <col min="13569" max="13569" width="9" style="8" customWidth="1"/>
    <col min="13570" max="13570" width="10.5" style="8" bestFit="1" customWidth="1"/>
    <col min="13571" max="13571" width="6.625" style="8" bestFit="1" customWidth="1"/>
    <col min="13572" max="13572" width="7.125" style="8" bestFit="1" customWidth="1"/>
    <col min="13573" max="13583" width="9" style="8"/>
    <col min="13584" max="13584" width="4" style="8" customWidth="1"/>
    <col min="13585" max="13585" width="6.625" style="8" customWidth="1"/>
    <col min="13586" max="13586" width="8.625" style="8" customWidth="1"/>
    <col min="13587" max="13587" width="11.375" style="8" bestFit="1" customWidth="1"/>
    <col min="13588" max="13588" width="11.25" style="8" bestFit="1" customWidth="1"/>
    <col min="13589" max="13824" width="9" style="8"/>
    <col min="13825" max="13825" width="9" style="8" customWidth="1"/>
    <col min="13826" max="13826" width="10.5" style="8" bestFit="1" customWidth="1"/>
    <col min="13827" max="13827" width="6.625" style="8" bestFit="1" customWidth="1"/>
    <col min="13828" max="13828" width="7.125" style="8" bestFit="1" customWidth="1"/>
    <col min="13829" max="13839" width="9" style="8"/>
    <col min="13840" max="13840" width="4" style="8" customWidth="1"/>
    <col min="13841" max="13841" width="6.625" style="8" customWidth="1"/>
    <col min="13842" max="13842" width="8.625" style="8" customWidth="1"/>
    <col min="13843" max="13843" width="11.375" style="8" bestFit="1" customWidth="1"/>
    <col min="13844" max="13844" width="11.25" style="8" bestFit="1" customWidth="1"/>
    <col min="13845" max="14080" width="9" style="8"/>
    <col min="14081" max="14081" width="9" style="8" customWidth="1"/>
    <col min="14082" max="14082" width="10.5" style="8" bestFit="1" customWidth="1"/>
    <col min="14083" max="14083" width="6.625" style="8" bestFit="1" customWidth="1"/>
    <col min="14084" max="14084" width="7.125" style="8" bestFit="1" customWidth="1"/>
    <col min="14085" max="14095" width="9" style="8"/>
    <col min="14096" max="14096" width="4" style="8" customWidth="1"/>
    <col min="14097" max="14097" width="6.625" style="8" customWidth="1"/>
    <col min="14098" max="14098" width="8.625" style="8" customWidth="1"/>
    <col min="14099" max="14099" width="11.375" style="8" bestFit="1" customWidth="1"/>
    <col min="14100" max="14100" width="11.25" style="8" bestFit="1" customWidth="1"/>
    <col min="14101" max="14336" width="9" style="8"/>
    <col min="14337" max="14337" width="9" style="8" customWidth="1"/>
    <col min="14338" max="14338" width="10.5" style="8" bestFit="1" customWidth="1"/>
    <col min="14339" max="14339" width="6.625" style="8" bestFit="1" customWidth="1"/>
    <col min="14340" max="14340" width="7.125" style="8" bestFit="1" customWidth="1"/>
    <col min="14341" max="14351" width="9" style="8"/>
    <col min="14352" max="14352" width="4" style="8" customWidth="1"/>
    <col min="14353" max="14353" width="6.625" style="8" customWidth="1"/>
    <col min="14354" max="14354" width="8.625" style="8" customWidth="1"/>
    <col min="14355" max="14355" width="11.375" style="8" bestFit="1" customWidth="1"/>
    <col min="14356" max="14356" width="11.25" style="8" bestFit="1" customWidth="1"/>
    <col min="14357" max="14592" width="9" style="8"/>
    <col min="14593" max="14593" width="9" style="8" customWidth="1"/>
    <col min="14594" max="14594" width="10.5" style="8" bestFit="1" customWidth="1"/>
    <col min="14595" max="14595" width="6.625" style="8" bestFit="1" customWidth="1"/>
    <col min="14596" max="14596" width="7.125" style="8" bestFit="1" customWidth="1"/>
    <col min="14597" max="14607" width="9" style="8"/>
    <col min="14608" max="14608" width="4" style="8" customWidth="1"/>
    <col min="14609" max="14609" width="6.625" style="8" customWidth="1"/>
    <col min="14610" max="14610" width="8.625" style="8" customWidth="1"/>
    <col min="14611" max="14611" width="11.375" style="8" bestFit="1" customWidth="1"/>
    <col min="14612" max="14612" width="11.25" style="8" bestFit="1" customWidth="1"/>
    <col min="14613" max="14848" width="9" style="8"/>
    <col min="14849" max="14849" width="9" style="8" customWidth="1"/>
    <col min="14850" max="14850" width="10.5" style="8" bestFit="1" customWidth="1"/>
    <col min="14851" max="14851" width="6.625" style="8" bestFit="1" customWidth="1"/>
    <col min="14852" max="14852" width="7.125" style="8" bestFit="1" customWidth="1"/>
    <col min="14853" max="14863" width="9" style="8"/>
    <col min="14864" max="14864" width="4" style="8" customWidth="1"/>
    <col min="14865" max="14865" width="6.625" style="8" customWidth="1"/>
    <col min="14866" max="14866" width="8.625" style="8" customWidth="1"/>
    <col min="14867" max="14867" width="11.375" style="8" bestFit="1" customWidth="1"/>
    <col min="14868" max="14868" width="11.25" style="8" bestFit="1" customWidth="1"/>
    <col min="14869" max="15104" width="9" style="8"/>
    <col min="15105" max="15105" width="9" style="8" customWidth="1"/>
    <col min="15106" max="15106" width="10.5" style="8" bestFit="1" customWidth="1"/>
    <col min="15107" max="15107" width="6.625" style="8" bestFit="1" customWidth="1"/>
    <col min="15108" max="15108" width="7.125" style="8" bestFit="1" customWidth="1"/>
    <col min="15109" max="15119" width="9" style="8"/>
    <col min="15120" max="15120" width="4" style="8" customWidth="1"/>
    <col min="15121" max="15121" width="6.625" style="8" customWidth="1"/>
    <col min="15122" max="15122" width="8.625" style="8" customWidth="1"/>
    <col min="15123" max="15123" width="11.375" style="8" bestFit="1" customWidth="1"/>
    <col min="15124" max="15124" width="11.25" style="8" bestFit="1" customWidth="1"/>
    <col min="15125" max="15360" width="9" style="8"/>
    <col min="15361" max="15361" width="9" style="8" customWidth="1"/>
    <col min="15362" max="15362" width="10.5" style="8" bestFit="1" customWidth="1"/>
    <col min="15363" max="15363" width="6.625" style="8" bestFit="1" customWidth="1"/>
    <col min="15364" max="15364" width="7.125" style="8" bestFit="1" customWidth="1"/>
    <col min="15365" max="15375" width="9" style="8"/>
    <col min="15376" max="15376" width="4" style="8" customWidth="1"/>
    <col min="15377" max="15377" width="6.625" style="8" customWidth="1"/>
    <col min="15378" max="15378" width="8.625" style="8" customWidth="1"/>
    <col min="15379" max="15379" width="11.375" style="8" bestFit="1" customWidth="1"/>
    <col min="15380" max="15380" width="11.25" style="8" bestFit="1" customWidth="1"/>
    <col min="15381" max="15616" width="9" style="8"/>
    <col min="15617" max="15617" width="9" style="8" customWidth="1"/>
    <col min="15618" max="15618" width="10.5" style="8" bestFit="1" customWidth="1"/>
    <col min="15619" max="15619" width="6.625" style="8" bestFit="1" customWidth="1"/>
    <col min="15620" max="15620" width="7.125" style="8" bestFit="1" customWidth="1"/>
    <col min="15621" max="15631" width="9" style="8"/>
    <col min="15632" max="15632" width="4" style="8" customWidth="1"/>
    <col min="15633" max="15633" width="6.625" style="8" customWidth="1"/>
    <col min="15634" max="15634" width="8.625" style="8" customWidth="1"/>
    <col min="15635" max="15635" width="11.375" style="8" bestFit="1" customWidth="1"/>
    <col min="15636" max="15636" width="11.25" style="8" bestFit="1" customWidth="1"/>
    <col min="15637" max="15872" width="9" style="8"/>
    <col min="15873" max="15873" width="9" style="8" customWidth="1"/>
    <col min="15874" max="15874" width="10.5" style="8" bestFit="1" customWidth="1"/>
    <col min="15875" max="15875" width="6.625" style="8" bestFit="1" customWidth="1"/>
    <col min="15876" max="15876" width="7.125" style="8" bestFit="1" customWidth="1"/>
    <col min="15877" max="15887" width="9" style="8"/>
    <col min="15888" max="15888" width="4" style="8" customWidth="1"/>
    <col min="15889" max="15889" width="6.625" style="8" customWidth="1"/>
    <col min="15890" max="15890" width="8.625" style="8" customWidth="1"/>
    <col min="15891" max="15891" width="11.375" style="8" bestFit="1" customWidth="1"/>
    <col min="15892" max="15892" width="11.25" style="8" bestFit="1" customWidth="1"/>
    <col min="15893" max="16128" width="9" style="8"/>
    <col min="16129" max="16129" width="9" style="8" customWidth="1"/>
    <col min="16130" max="16130" width="10.5" style="8" bestFit="1" customWidth="1"/>
    <col min="16131" max="16131" width="6.625" style="8" bestFit="1" customWidth="1"/>
    <col min="16132" max="16132" width="7.125" style="8" bestFit="1" customWidth="1"/>
    <col min="16133" max="16143" width="9" style="8"/>
    <col min="16144" max="16144" width="4" style="8" customWidth="1"/>
    <col min="16145" max="16145" width="6.625" style="8" customWidth="1"/>
    <col min="16146" max="16146" width="8.625" style="8" customWidth="1"/>
    <col min="16147" max="16147" width="11.375" style="8" bestFit="1" customWidth="1"/>
    <col min="16148" max="16148" width="11.25" style="8" bestFit="1" customWidth="1"/>
    <col min="16149" max="16384" width="9" style="8"/>
  </cols>
  <sheetData>
    <row r="1" spans="1:20" ht="16.5" customHeight="1" x14ac:dyDescent="0.25">
      <c r="F1" s="93" t="s">
        <v>516</v>
      </c>
      <c r="G1" s="94"/>
      <c r="H1" s="94"/>
      <c r="I1" s="95"/>
      <c r="J1" s="93" t="s">
        <v>517</v>
      </c>
      <c r="K1" s="94"/>
      <c r="L1" s="94"/>
      <c r="M1" s="94"/>
      <c r="N1" s="95"/>
      <c r="O1" s="8" t="s">
        <v>518</v>
      </c>
      <c r="Q1" s="96" t="s">
        <v>519</v>
      </c>
      <c r="R1" s="97"/>
      <c r="S1" s="97"/>
      <c r="T1" s="97"/>
    </row>
    <row r="2" spans="1:20" ht="28.5" x14ac:dyDescent="0.25">
      <c r="D2" s="9" t="s">
        <v>520</v>
      </c>
      <c r="E2" s="9" t="s">
        <v>521</v>
      </c>
      <c r="F2" s="98" t="s">
        <v>522</v>
      </c>
      <c r="G2" s="99"/>
      <c r="H2" s="99"/>
      <c r="I2" s="10" t="s">
        <v>523</v>
      </c>
      <c r="J2" s="98" t="s">
        <v>522</v>
      </c>
      <c r="K2" s="99"/>
      <c r="L2" s="99"/>
      <c r="M2" s="10" t="s">
        <v>524</v>
      </c>
      <c r="N2" s="10" t="s">
        <v>523</v>
      </c>
      <c r="O2" s="100" t="s">
        <v>525</v>
      </c>
      <c r="Q2" s="11" t="s">
        <v>526</v>
      </c>
      <c r="R2" s="12"/>
      <c r="S2" s="13"/>
      <c r="T2" s="13"/>
    </row>
    <row r="3" spans="1:20" ht="45.75" x14ac:dyDescent="0.25">
      <c r="B3" s="8" t="s">
        <v>527</v>
      </c>
      <c r="C3" s="8" t="s">
        <v>528</v>
      </c>
      <c r="D3" s="14" t="s">
        <v>105</v>
      </c>
      <c r="E3" s="14" t="s">
        <v>106</v>
      </c>
      <c r="F3" s="15" t="s">
        <v>529</v>
      </c>
      <c r="G3" s="15" t="s">
        <v>530</v>
      </c>
      <c r="H3" s="15" t="s">
        <v>531</v>
      </c>
      <c r="I3" s="16" t="s">
        <v>532</v>
      </c>
      <c r="J3" s="15" t="s">
        <v>529</v>
      </c>
      <c r="K3" s="15" t="s">
        <v>530</v>
      </c>
      <c r="L3" s="15" t="s">
        <v>531</v>
      </c>
      <c r="M3" s="17" t="s">
        <v>107</v>
      </c>
      <c r="N3" s="16" t="s">
        <v>532</v>
      </c>
      <c r="O3" s="100"/>
      <c r="Q3" s="46" t="s">
        <v>533</v>
      </c>
      <c r="R3" s="18" t="s">
        <v>108</v>
      </c>
      <c r="S3" s="19" t="s">
        <v>534</v>
      </c>
      <c r="T3" s="19" t="s">
        <v>109</v>
      </c>
    </row>
    <row r="4" spans="1:20" x14ac:dyDescent="0.25">
      <c r="A4" s="26" t="s">
        <v>274</v>
      </c>
      <c r="B4" s="49" t="s">
        <v>221</v>
      </c>
      <c r="C4" s="50">
        <v>0.25</v>
      </c>
      <c r="D4" s="49">
        <v>0.03</v>
      </c>
      <c r="E4" s="49">
        <v>0.04</v>
      </c>
      <c r="F4" s="20" t="s">
        <v>0</v>
      </c>
      <c r="G4" s="20" t="s">
        <v>0</v>
      </c>
      <c r="H4" s="20" t="s">
        <v>0</v>
      </c>
      <c r="I4" s="22" t="s">
        <v>0</v>
      </c>
      <c r="J4" s="20" t="s">
        <v>0</v>
      </c>
      <c r="K4" s="20" t="s">
        <v>0</v>
      </c>
      <c r="L4" s="20" t="s">
        <v>0</v>
      </c>
      <c r="M4" s="23" t="s">
        <v>0</v>
      </c>
      <c r="N4" s="22" t="s">
        <v>0</v>
      </c>
      <c r="O4" s="22">
        <v>0.9768</v>
      </c>
      <c r="Q4" s="24" t="s">
        <v>41</v>
      </c>
      <c r="R4" s="24" t="s">
        <v>535</v>
      </c>
      <c r="S4" s="25">
        <v>0</v>
      </c>
      <c r="T4" s="25">
        <v>50000000</v>
      </c>
    </row>
    <row r="5" spans="1:20" x14ac:dyDescent="0.25">
      <c r="A5" s="26" t="s">
        <v>33</v>
      </c>
      <c r="B5" s="49" t="s">
        <v>110</v>
      </c>
      <c r="C5" s="50">
        <v>1.75</v>
      </c>
      <c r="D5" s="49">
        <v>0.09</v>
      </c>
      <c r="E5" s="49">
        <v>0.1</v>
      </c>
      <c r="F5" s="20" t="s">
        <v>0</v>
      </c>
      <c r="G5" s="20" t="s">
        <v>0</v>
      </c>
      <c r="H5" s="20" t="s">
        <v>0</v>
      </c>
      <c r="I5" s="22" t="s">
        <v>0</v>
      </c>
      <c r="J5" s="20" t="s">
        <v>0</v>
      </c>
      <c r="K5" s="20" t="s">
        <v>0</v>
      </c>
      <c r="L5" s="20" t="s">
        <v>0</v>
      </c>
      <c r="M5" s="23" t="s">
        <v>0</v>
      </c>
      <c r="N5" s="22" t="s">
        <v>0</v>
      </c>
      <c r="O5" s="22">
        <v>0.95950000000000002</v>
      </c>
      <c r="Q5" s="26" t="s">
        <v>0</v>
      </c>
      <c r="R5" s="26" t="s">
        <v>536</v>
      </c>
      <c r="S5" s="27">
        <v>50000000</v>
      </c>
      <c r="T5" s="27">
        <v>0</v>
      </c>
    </row>
    <row r="6" spans="1:20" x14ac:dyDescent="0.25">
      <c r="A6" s="26" t="s">
        <v>37</v>
      </c>
      <c r="B6" s="49" t="s">
        <v>111</v>
      </c>
      <c r="C6" s="50">
        <v>0.75</v>
      </c>
      <c r="D6" s="49">
        <v>0.27</v>
      </c>
      <c r="E6" s="49">
        <v>0.28000000000000003</v>
      </c>
      <c r="F6" s="20" t="s">
        <v>0</v>
      </c>
      <c r="G6" s="20" t="s">
        <v>0</v>
      </c>
      <c r="H6" s="20" t="s">
        <v>0</v>
      </c>
      <c r="I6" s="22" t="s">
        <v>0</v>
      </c>
      <c r="J6" s="20" t="s">
        <v>0</v>
      </c>
      <c r="K6" s="20" t="s">
        <v>0</v>
      </c>
      <c r="L6" s="20" t="s">
        <v>0</v>
      </c>
      <c r="M6" s="23" t="s">
        <v>0</v>
      </c>
      <c r="N6" s="22" t="s">
        <v>0</v>
      </c>
      <c r="O6" s="22">
        <v>0.9577</v>
      </c>
      <c r="Q6" s="24" t="s">
        <v>74</v>
      </c>
      <c r="R6" s="24" t="s">
        <v>537</v>
      </c>
      <c r="S6" s="25">
        <v>0</v>
      </c>
      <c r="T6" s="25">
        <v>100000000</v>
      </c>
    </row>
    <row r="7" spans="1:20" x14ac:dyDescent="0.25">
      <c r="A7" s="26" t="s">
        <v>27</v>
      </c>
      <c r="B7" s="49" t="s">
        <v>113</v>
      </c>
      <c r="C7" s="50">
        <v>0.625</v>
      </c>
      <c r="D7" s="49">
        <v>0.41</v>
      </c>
      <c r="E7" s="49">
        <v>0.42</v>
      </c>
      <c r="F7" s="20" t="s">
        <v>0</v>
      </c>
      <c r="G7" s="20" t="s">
        <v>0</v>
      </c>
      <c r="H7" s="20" t="s">
        <v>0</v>
      </c>
      <c r="I7" s="22" t="s">
        <v>0</v>
      </c>
      <c r="J7" s="20" t="s">
        <v>0</v>
      </c>
      <c r="K7" s="20" t="s">
        <v>0</v>
      </c>
      <c r="L7" s="20" t="s">
        <v>0</v>
      </c>
      <c r="M7" s="23" t="s">
        <v>0</v>
      </c>
      <c r="N7" s="22" t="s">
        <v>0</v>
      </c>
      <c r="O7" s="22">
        <v>0.95940000000000003</v>
      </c>
      <c r="Q7" s="26" t="s">
        <v>0</v>
      </c>
      <c r="R7" s="26" t="s">
        <v>536</v>
      </c>
      <c r="S7" s="27">
        <v>100000000</v>
      </c>
      <c r="T7" s="27">
        <v>0</v>
      </c>
    </row>
    <row r="8" spans="1:20" x14ac:dyDescent="0.25">
      <c r="A8" s="26" t="s">
        <v>9</v>
      </c>
      <c r="B8" s="49" t="s">
        <v>112</v>
      </c>
      <c r="C8" s="50">
        <v>3</v>
      </c>
      <c r="D8" s="49">
        <v>0.49</v>
      </c>
      <c r="E8" s="49">
        <v>0.5</v>
      </c>
      <c r="F8" s="20" t="s">
        <v>0</v>
      </c>
      <c r="G8" s="20" t="s">
        <v>0</v>
      </c>
      <c r="H8" s="20" t="s">
        <v>0</v>
      </c>
      <c r="I8" s="22" t="s">
        <v>0</v>
      </c>
      <c r="J8" s="20" t="s">
        <v>0</v>
      </c>
      <c r="K8" s="20" t="s">
        <v>0</v>
      </c>
      <c r="L8" s="20" t="s">
        <v>0</v>
      </c>
      <c r="M8" s="23" t="s">
        <v>0</v>
      </c>
      <c r="N8" s="22" t="s">
        <v>0</v>
      </c>
      <c r="O8" s="22">
        <v>0.96050000000000002</v>
      </c>
      <c r="Q8" s="24" t="s">
        <v>311</v>
      </c>
      <c r="R8" s="24" t="s">
        <v>537</v>
      </c>
      <c r="S8" s="25">
        <v>0</v>
      </c>
      <c r="T8" s="25">
        <v>100000000</v>
      </c>
    </row>
    <row r="9" spans="1:20" x14ac:dyDescent="0.25">
      <c r="A9" s="26" t="s">
        <v>52</v>
      </c>
      <c r="B9" s="49" t="s">
        <v>114</v>
      </c>
      <c r="C9" s="50">
        <v>1.5</v>
      </c>
      <c r="D9" s="49">
        <v>0.54</v>
      </c>
      <c r="E9" s="49">
        <v>0.56000000000000005</v>
      </c>
      <c r="F9" s="20" t="s">
        <v>0</v>
      </c>
      <c r="G9" s="20" t="s">
        <v>0</v>
      </c>
      <c r="H9" s="20" t="s">
        <v>0</v>
      </c>
      <c r="I9" s="22" t="s">
        <v>0</v>
      </c>
      <c r="J9" s="20" t="s">
        <v>0</v>
      </c>
      <c r="K9" s="20" t="s">
        <v>0</v>
      </c>
      <c r="L9" s="20" t="s">
        <v>0</v>
      </c>
      <c r="M9" s="23" t="s">
        <v>0</v>
      </c>
      <c r="N9" s="22" t="s">
        <v>0</v>
      </c>
      <c r="O9" s="22">
        <v>0.96130000000000004</v>
      </c>
      <c r="Q9" s="26" t="s">
        <v>0</v>
      </c>
      <c r="R9" s="26" t="s">
        <v>538</v>
      </c>
      <c r="S9" s="27">
        <v>100000000</v>
      </c>
      <c r="T9" s="27">
        <v>0</v>
      </c>
    </row>
    <row r="10" spans="1:20" x14ac:dyDescent="0.25">
      <c r="A10" s="26" t="s">
        <v>277</v>
      </c>
      <c r="B10" s="49" t="s">
        <v>246</v>
      </c>
      <c r="C10" s="50">
        <v>0.75</v>
      </c>
      <c r="D10" s="49">
        <v>0.62</v>
      </c>
      <c r="E10" s="49">
        <v>0.63</v>
      </c>
      <c r="F10" s="20" t="s">
        <v>0</v>
      </c>
      <c r="G10" s="20" t="s">
        <v>0</v>
      </c>
      <c r="H10" s="20" t="s">
        <v>0</v>
      </c>
      <c r="I10" s="22" t="s">
        <v>0</v>
      </c>
      <c r="J10" s="20" t="s">
        <v>0</v>
      </c>
      <c r="K10" s="20" t="s">
        <v>0</v>
      </c>
      <c r="L10" s="20" t="s">
        <v>0</v>
      </c>
      <c r="M10" s="23" t="s">
        <v>0</v>
      </c>
      <c r="N10" s="22" t="s">
        <v>0</v>
      </c>
      <c r="O10" s="22">
        <v>0.96230000000000004</v>
      </c>
      <c r="Q10" s="24" t="s">
        <v>320</v>
      </c>
      <c r="R10" s="24" t="s">
        <v>537</v>
      </c>
      <c r="S10" s="25">
        <v>0</v>
      </c>
      <c r="T10" s="25">
        <v>100000000</v>
      </c>
    </row>
    <row r="11" spans="1:20" x14ac:dyDescent="0.25">
      <c r="A11" s="26" t="s">
        <v>5</v>
      </c>
      <c r="B11" s="49" t="s">
        <v>115</v>
      </c>
      <c r="C11" s="50">
        <v>0.5</v>
      </c>
      <c r="D11" s="49">
        <v>0.91</v>
      </c>
      <c r="E11" s="49">
        <v>0.93</v>
      </c>
      <c r="F11" s="20" t="s">
        <v>0</v>
      </c>
      <c r="G11" s="20" t="s">
        <v>0</v>
      </c>
      <c r="H11" s="20" t="s">
        <v>0</v>
      </c>
      <c r="I11" s="22" t="s">
        <v>0</v>
      </c>
      <c r="J11" s="20" t="s">
        <v>0</v>
      </c>
      <c r="K11" s="20" t="s">
        <v>0</v>
      </c>
      <c r="L11" s="20" t="s">
        <v>0</v>
      </c>
      <c r="M11" s="23" t="s">
        <v>0</v>
      </c>
      <c r="N11" s="22" t="s">
        <v>0</v>
      </c>
      <c r="O11" s="22">
        <v>0.96530000000000005</v>
      </c>
      <c r="Q11" s="26" t="s">
        <v>0</v>
      </c>
      <c r="R11" s="26" t="s">
        <v>536</v>
      </c>
      <c r="S11" s="27">
        <v>100000000</v>
      </c>
      <c r="T11" s="27">
        <v>0</v>
      </c>
    </row>
    <row r="12" spans="1:20" x14ac:dyDescent="0.25">
      <c r="A12" s="26" t="s">
        <v>42</v>
      </c>
      <c r="B12" s="49" t="s">
        <v>116</v>
      </c>
      <c r="C12" s="50">
        <v>1.625</v>
      </c>
      <c r="D12" s="49">
        <v>1.0900000000000001</v>
      </c>
      <c r="E12" s="49">
        <v>1.1200000000000001</v>
      </c>
      <c r="F12" s="20" t="s">
        <v>0</v>
      </c>
      <c r="G12" s="20" t="s">
        <v>0</v>
      </c>
      <c r="H12" s="20" t="s">
        <v>0</v>
      </c>
      <c r="I12" s="22" t="s">
        <v>0</v>
      </c>
      <c r="J12" s="20" t="s">
        <v>0</v>
      </c>
      <c r="K12" s="20" t="s">
        <v>0</v>
      </c>
      <c r="L12" s="20" t="s">
        <v>0</v>
      </c>
      <c r="M12" s="23" t="s">
        <v>0</v>
      </c>
      <c r="N12" s="22" t="s">
        <v>0</v>
      </c>
      <c r="O12" s="22">
        <v>0.96650000000000003</v>
      </c>
      <c r="Q12" s="24" t="s">
        <v>327</v>
      </c>
      <c r="R12" s="24" t="s">
        <v>537</v>
      </c>
      <c r="S12" s="25">
        <v>100000000</v>
      </c>
      <c r="T12" s="25">
        <v>100000000</v>
      </c>
    </row>
    <row r="13" spans="1:20" x14ac:dyDescent="0.25">
      <c r="A13" s="26" t="s">
        <v>10</v>
      </c>
      <c r="B13" s="49" t="s">
        <v>117</v>
      </c>
      <c r="C13" s="50">
        <v>3</v>
      </c>
      <c r="D13" s="49">
        <v>1.22</v>
      </c>
      <c r="E13" s="49">
        <v>1.27</v>
      </c>
      <c r="F13" s="20" t="s">
        <v>0</v>
      </c>
      <c r="G13" s="20" t="s">
        <v>0</v>
      </c>
      <c r="H13" s="20" t="s">
        <v>0</v>
      </c>
      <c r="I13" s="22" t="s">
        <v>0</v>
      </c>
      <c r="J13" s="20" t="s">
        <v>0</v>
      </c>
      <c r="K13" s="20" t="s">
        <v>0</v>
      </c>
      <c r="L13" s="20" t="s">
        <v>0</v>
      </c>
      <c r="M13" s="23" t="s">
        <v>0</v>
      </c>
      <c r="N13" s="22" t="s">
        <v>0</v>
      </c>
      <c r="O13" s="22">
        <v>0.96719999999999995</v>
      </c>
      <c r="Q13" s="24" t="s">
        <v>331</v>
      </c>
      <c r="R13" s="24" t="s">
        <v>537</v>
      </c>
      <c r="S13" s="25">
        <v>0</v>
      </c>
      <c r="T13" s="25">
        <v>100000000</v>
      </c>
    </row>
    <row r="14" spans="1:20" x14ac:dyDescent="0.25">
      <c r="A14" s="26" t="s">
        <v>275</v>
      </c>
      <c r="B14" s="49" t="s">
        <v>119</v>
      </c>
      <c r="C14" s="50">
        <v>0.5</v>
      </c>
      <c r="D14" s="49">
        <v>1.39</v>
      </c>
      <c r="E14" s="49">
        <v>1.41</v>
      </c>
      <c r="F14" s="20" t="s">
        <v>0</v>
      </c>
      <c r="G14" s="20" t="s">
        <v>0</v>
      </c>
      <c r="H14" s="20" t="s">
        <v>0</v>
      </c>
      <c r="I14" s="22" t="s">
        <v>0</v>
      </c>
      <c r="J14" s="20" t="s">
        <v>0</v>
      </c>
      <c r="K14" s="20" t="s">
        <v>0</v>
      </c>
      <c r="L14" s="20" t="s">
        <v>0</v>
      </c>
      <c r="M14" s="23" t="s">
        <v>0</v>
      </c>
      <c r="N14" s="22" t="s">
        <v>0</v>
      </c>
      <c r="O14" s="22">
        <v>0.96840000000000004</v>
      </c>
      <c r="Q14" s="26" t="s">
        <v>0</v>
      </c>
      <c r="R14" s="26" t="s">
        <v>536</v>
      </c>
      <c r="S14" s="27">
        <v>100000000</v>
      </c>
      <c r="T14" s="27">
        <v>0</v>
      </c>
    </row>
    <row r="15" spans="1:20" x14ac:dyDescent="0.25">
      <c r="A15" s="26" t="s">
        <v>7</v>
      </c>
      <c r="B15" s="49" t="s">
        <v>118</v>
      </c>
      <c r="C15" s="50">
        <v>2.375</v>
      </c>
      <c r="D15" s="49">
        <v>1.49</v>
      </c>
      <c r="E15" s="49">
        <v>1.54</v>
      </c>
      <c r="F15" s="20" t="s">
        <v>0</v>
      </c>
      <c r="G15" s="20" t="s">
        <v>0</v>
      </c>
      <c r="H15" s="20" t="s">
        <v>0</v>
      </c>
      <c r="I15" s="22" t="s">
        <v>0</v>
      </c>
      <c r="J15" s="20" t="s">
        <v>0</v>
      </c>
      <c r="K15" s="20" t="s">
        <v>0</v>
      </c>
      <c r="L15" s="20" t="s">
        <v>0</v>
      </c>
      <c r="M15" s="23" t="s">
        <v>0</v>
      </c>
      <c r="N15" s="22" t="s">
        <v>0</v>
      </c>
      <c r="O15" s="22">
        <v>0.96960000000000002</v>
      </c>
      <c r="Q15" s="24" t="s">
        <v>539</v>
      </c>
      <c r="R15" s="24" t="s">
        <v>540</v>
      </c>
      <c r="S15" s="25">
        <v>200000000</v>
      </c>
      <c r="T15" s="25">
        <v>0</v>
      </c>
    </row>
    <row r="16" spans="1:20" x14ac:dyDescent="0.25">
      <c r="A16" s="26" t="s">
        <v>322</v>
      </c>
      <c r="B16" s="49" t="s">
        <v>323</v>
      </c>
      <c r="C16" s="50">
        <v>1</v>
      </c>
      <c r="D16" s="49">
        <v>1.5</v>
      </c>
      <c r="E16" s="49">
        <v>1.53</v>
      </c>
      <c r="F16" s="20" t="s">
        <v>0</v>
      </c>
      <c r="G16" s="20" t="s">
        <v>0</v>
      </c>
      <c r="H16" s="20" t="s">
        <v>0</v>
      </c>
      <c r="I16" s="22" t="s">
        <v>0</v>
      </c>
      <c r="J16" s="20" t="s">
        <v>0</v>
      </c>
      <c r="K16" s="20" t="s">
        <v>0</v>
      </c>
      <c r="L16" s="20" t="s">
        <v>0</v>
      </c>
      <c r="M16" s="23" t="s">
        <v>0</v>
      </c>
      <c r="N16" s="22" t="s">
        <v>0</v>
      </c>
      <c r="O16" s="22">
        <v>0.96960000000000002</v>
      </c>
      <c r="Q16" s="32" t="s">
        <v>0</v>
      </c>
      <c r="R16" s="32" t="s">
        <v>536</v>
      </c>
      <c r="S16" s="36">
        <v>0</v>
      </c>
      <c r="T16" s="36">
        <v>200000000</v>
      </c>
    </row>
    <row r="17" spans="1:20" x14ac:dyDescent="0.25">
      <c r="A17" s="26" t="s">
        <v>31</v>
      </c>
      <c r="B17" s="49" t="s">
        <v>120</v>
      </c>
      <c r="C17" s="50">
        <v>1.625</v>
      </c>
      <c r="D17" s="49">
        <v>1.55</v>
      </c>
      <c r="E17" s="49">
        <v>1.58</v>
      </c>
      <c r="F17" s="20" t="s">
        <v>0</v>
      </c>
      <c r="G17" s="20" t="s">
        <v>0</v>
      </c>
      <c r="H17" s="20" t="s">
        <v>0</v>
      </c>
      <c r="I17" s="22" t="s">
        <v>0</v>
      </c>
      <c r="J17" s="20" t="s">
        <v>0</v>
      </c>
      <c r="K17" s="20" t="s">
        <v>0</v>
      </c>
      <c r="L17" s="20" t="s">
        <v>0</v>
      </c>
      <c r="M17" s="23" t="s">
        <v>0</v>
      </c>
      <c r="N17" s="22" t="s">
        <v>0</v>
      </c>
      <c r="O17" s="22">
        <v>0.97019999999999995</v>
      </c>
      <c r="S17" s="29"/>
      <c r="T17" s="29"/>
    </row>
    <row r="18" spans="1:20" x14ac:dyDescent="0.25">
      <c r="A18" s="26" t="s">
        <v>278</v>
      </c>
      <c r="B18" s="49" t="s">
        <v>121</v>
      </c>
      <c r="C18" s="50">
        <v>0.25</v>
      </c>
      <c r="D18" s="49">
        <v>1.9</v>
      </c>
      <c r="E18" s="49">
        <v>1.93</v>
      </c>
      <c r="F18" s="20" t="s">
        <v>0</v>
      </c>
      <c r="G18" s="20" t="s">
        <v>0</v>
      </c>
      <c r="H18" s="20" t="s">
        <v>0</v>
      </c>
      <c r="I18" s="22" t="s">
        <v>0</v>
      </c>
      <c r="J18" s="20" t="s">
        <v>0</v>
      </c>
      <c r="K18" s="20" t="s">
        <v>0</v>
      </c>
      <c r="L18" s="20" t="s">
        <v>0</v>
      </c>
      <c r="M18" s="23" t="s">
        <v>0</v>
      </c>
      <c r="N18" s="22" t="s">
        <v>0</v>
      </c>
      <c r="O18" s="22">
        <v>0.9768</v>
      </c>
      <c r="Q18" s="30"/>
      <c r="R18" s="30"/>
      <c r="S18" s="30"/>
      <c r="T18" s="30"/>
    </row>
    <row r="19" spans="1:20" x14ac:dyDescent="0.25">
      <c r="A19" s="26" t="s">
        <v>38</v>
      </c>
      <c r="B19" s="49" t="s">
        <v>122</v>
      </c>
      <c r="C19" s="50">
        <v>1.125</v>
      </c>
      <c r="D19" s="49">
        <v>2.02</v>
      </c>
      <c r="E19" s="49">
        <v>2.08</v>
      </c>
      <c r="F19" s="20" t="s">
        <v>0</v>
      </c>
      <c r="G19" s="20" t="s">
        <v>0</v>
      </c>
      <c r="H19" s="20" t="s">
        <v>0</v>
      </c>
      <c r="I19" s="22" t="s">
        <v>0</v>
      </c>
      <c r="J19" s="20" t="s">
        <v>0</v>
      </c>
      <c r="K19" s="20" t="s">
        <v>0</v>
      </c>
      <c r="L19" s="20" t="s">
        <v>0</v>
      </c>
      <c r="M19" s="23" t="s">
        <v>0</v>
      </c>
      <c r="N19" s="22" t="s">
        <v>0</v>
      </c>
      <c r="O19" s="22">
        <v>0.98099999999999998</v>
      </c>
    </row>
    <row r="20" spans="1:20" x14ac:dyDescent="0.25">
      <c r="A20" s="26" t="s">
        <v>279</v>
      </c>
      <c r="B20" s="49" t="s">
        <v>124</v>
      </c>
      <c r="C20" s="50">
        <v>0.125</v>
      </c>
      <c r="D20" s="49">
        <v>2.29</v>
      </c>
      <c r="E20" s="49">
        <v>2.3199999999999998</v>
      </c>
      <c r="F20" s="20" t="s">
        <v>0</v>
      </c>
      <c r="G20" s="20" t="s">
        <v>0</v>
      </c>
      <c r="H20" s="20" t="s">
        <v>0</v>
      </c>
      <c r="I20" s="22" t="s">
        <v>0</v>
      </c>
      <c r="J20" s="20" t="s">
        <v>0</v>
      </c>
      <c r="K20" s="20" t="s">
        <v>0</v>
      </c>
      <c r="L20" s="20" t="s">
        <v>0</v>
      </c>
      <c r="M20" s="23" t="s">
        <v>0</v>
      </c>
      <c r="N20" s="22" t="s">
        <v>0</v>
      </c>
      <c r="O20" s="22">
        <v>0.98960000000000004</v>
      </c>
    </row>
    <row r="21" spans="1:20" x14ac:dyDescent="0.25">
      <c r="A21" s="26" t="s">
        <v>280</v>
      </c>
      <c r="B21" s="49" t="s">
        <v>125</v>
      </c>
      <c r="C21" s="50">
        <v>0.25</v>
      </c>
      <c r="D21" s="49">
        <v>2.38</v>
      </c>
      <c r="E21" s="49">
        <v>2.42</v>
      </c>
      <c r="F21" s="20" t="s">
        <v>0</v>
      </c>
      <c r="G21" s="20" t="s">
        <v>0</v>
      </c>
      <c r="H21" s="20" t="s">
        <v>0</v>
      </c>
      <c r="I21" s="22" t="s">
        <v>0</v>
      </c>
      <c r="J21" s="20" t="s">
        <v>0</v>
      </c>
      <c r="K21" s="20" t="s">
        <v>0</v>
      </c>
      <c r="L21" s="20" t="s">
        <v>0</v>
      </c>
      <c r="M21" s="23" t="s">
        <v>0</v>
      </c>
      <c r="N21" s="22" t="s">
        <v>0</v>
      </c>
      <c r="O21" s="22">
        <v>0.99370000000000003</v>
      </c>
    </row>
    <row r="22" spans="1:20" x14ac:dyDescent="0.25">
      <c r="A22" s="26" t="s">
        <v>8</v>
      </c>
      <c r="B22" s="49" t="s">
        <v>123</v>
      </c>
      <c r="C22" s="50">
        <v>1.875</v>
      </c>
      <c r="D22" s="49">
        <v>2.4500000000000002</v>
      </c>
      <c r="E22" s="49">
        <v>2.54</v>
      </c>
      <c r="F22" s="20" t="s">
        <v>0</v>
      </c>
      <c r="G22" s="20" t="s">
        <v>0</v>
      </c>
      <c r="H22" s="20" t="s">
        <v>0</v>
      </c>
      <c r="I22" s="22" t="s">
        <v>0</v>
      </c>
      <c r="J22" s="20" t="s">
        <v>0</v>
      </c>
      <c r="K22" s="20" t="s">
        <v>0</v>
      </c>
      <c r="L22" s="20" t="s">
        <v>0</v>
      </c>
      <c r="M22" s="23" t="s">
        <v>0</v>
      </c>
      <c r="N22" s="22" t="s">
        <v>0</v>
      </c>
      <c r="O22" s="22">
        <v>0.99870000000000003</v>
      </c>
    </row>
    <row r="23" spans="1:20" x14ac:dyDescent="0.25">
      <c r="A23" s="26" t="s">
        <v>59</v>
      </c>
      <c r="B23" s="49" t="s">
        <v>126</v>
      </c>
      <c r="C23" s="50">
        <v>0.75</v>
      </c>
      <c r="D23" s="49">
        <v>2.5</v>
      </c>
      <c r="E23" s="49">
        <v>2.56</v>
      </c>
      <c r="F23" s="20" t="s">
        <v>0</v>
      </c>
      <c r="G23" s="20" t="s">
        <v>0</v>
      </c>
      <c r="H23" s="20" t="s">
        <v>0</v>
      </c>
      <c r="I23" s="22" t="s">
        <v>0</v>
      </c>
      <c r="J23" s="20" t="s">
        <v>0</v>
      </c>
      <c r="K23" s="20" t="s">
        <v>0</v>
      </c>
      <c r="L23" s="20" t="s">
        <v>0</v>
      </c>
      <c r="M23" s="23" t="s">
        <v>0</v>
      </c>
      <c r="N23" s="22" t="s">
        <v>0</v>
      </c>
      <c r="O23" s="22">
        <v>1.0001</v>
      </c>
    </row>
    <row r="24" spans="1:20" x14ac:dyDescent="0.25">
      <c r="A24" s="26" t="s">
        <v>281</v>
      </c>
      <c r="B24" s="49" t="s">
        <v>222</v>
      </c>
      <c r="C24" s="50">
        <v>0.25</v>
      </c>
      <c r="D24" s="49">
        <v>2.92</v>
      </c>
      <c r="E24" s="49">
        <v>2.96</v>
      </c>
      <c r="F24" s="20" t="s">
        <v>0</v>
      </c>
      <c r="G24" s="20" t="s">
        <v>0</v>
      </c>
      <c r="H24" s="20" t="s">
        <v>0</v>
      </c>
      <c r="I24" s="22" t="s">
        <v>0</v>
      </c>
      <c r="J24" s="20" t="s">
        <v>0</v>
      </c>
      <c r="K24" s="20" t="s">
        <v>0</v>
      </c>
      <c r="L24" s="20" t="s">
        <v>0</v>
      </c>
      <c r="M24" s="23" t="s">
        <v>0</v>
      </c>
      <c r="N24" s="22" t="s">
        <v>0</v>
      </c>
      <c r="O24" s="22">
        <v>1.0216000000000001</v>
      </c>
    </row>
    <row r="25" spans="1:20" x14ac:dyDescent="0.25">
      <c r="A25" s="26" t="s">
        <v>56</v>
      </c>
      <c r="B25" s="49" t="s">
        <v>128</v>
      </c>
      <c r="C25" s="50">
        <v>0.625</v>
      </c>
      <c r="D25" s="49">
        <v>2.99</v>
      </c>
      <c r="E25" s="49">
        <v>3.07</v>
      </c>
      <c r="F25" s="20" t="s">
        <v>0</v>
      </c>
      <c r="G25" s="20" t="s">
        <v>0</v>
      </c>
      <c r="H25" s="20" t="s">
        <v>0</v>
      </c>
      <c r="I25" s="22" t="s">
        <v>0</v>
      </c>
      <c r="J25" s="20" t="s">
        <v>0</v>
      </c>
      <c r="K25" s="20" t="s">
        <v>0</v>
      </c>
      <c r="L25" s="20" t="s">
        <v>0</v>
      </c>
      <c r="M25" s="23" t="s">
        <v>0</v>
      </c>
      <c r="N25" s="22" t="s">
        <v>0</v>
      </c>
      <c r="O25" s="22">
        <v>1.0273000000000001</v>
      </c>
    </row>
    <row r="26" spans="1:20" x14ac:dyDescent="0.25">
      <c r="A26" s="26" t="s">
        <v>11</v>
      </c>
      <c r="B26" s="49" t="s">
        <v>127</v>
      </c>
      <c r="C26" s="50">
        <v>2.125</v>
      </c>
      <c r="D26" s="49">
        <v>3.09</v>
      </c>
      <c r="E26" s="49">
        <v>3.24</v>
      </c>
      <c r="F26" s="20" t="s">
        <v>0</v>
      </c>
      <c r="G26" s="20" t="s">
        <v>0</v>
      </c>
      <c r="H26" s="20" t="s">
        <v>0</v>
      </c>
      <c r="I26" s="22" t="s">
        <v>0</v>
      </c>
      <c r="J26" s="20" t="s">
        <v>0</v>
      </c>
      <c r="K26" s="20" t="s">
        <v>0</v>
      </c>
      <c r="L26" s="20" t="s">
        <v>0</v>
      </c>
      <c r="M26" s="23" t="s">
        <v>0</v>
      </c>
      <c r="N26" s="22" t="s">
        <v>0</v>
      </c>
      <c r="O26" s="22">
        <v>1.0356000000000001</v>
      </c>
    </row>
    <row r="27" spans="1:20" x14ac:dyDescent="0.25">
      <c r="A27" s="26" t="s">
        <v>12</v>
      </c>
      <c r="B27" s="49" t="s">
        <v>129</v>
      </c>
      <c r="C27" s="50">
        <v>2</v>
      </c>
      <c r="D27" s="49">
        <v>3.35</v>
      </c>
      <c r="E27" s="49">
        <v>3.51</v>
      </c>
      <c r="F27" s="20" t="s">
        <v>0</v>
      </c>
      <c r="G27" s="20" t="s">
        <v>0</v>
      </c>
      <c r="H27" s="20" t="s">
        <v>0</v>
      </c>
      <c r="I27" s="22" t="s">
        <v>0</v>
      </c>
      <c r="J27" s="20" t="s">
        <v>0</v>
      </c>
      <c r="K27" s="20" t="s">
        <v>0</v>
      </c>
      <c r="L27" s="20" t="s">
        <v>0</v>
      </c>
      <c r="M27" s="23" t="s">
        <v>0</v>
      </c>
      <c r="N27" s="22" t="s">
        <v>0</v>
      </c>
      <c r="O27" s="22">
        <v>1.0485</v>
      </c>
    </row>
    <row r="28" spans="1:20" x14ac:dyDescent="0.25">
      <c r="A28" s="26" t="s">
        <v>32</v>
      </c>
      <c r="B28" s="49" t="s">
        <v>130</v>
      </c>
      <c r="C28" s="50">
        <v>1.125</v>
      </c>
      <c r="D28" s="49">
        <v>3.44</v>
      </c>
      <c r="E28" s="49">
        <v>3.55</v>
      </c>
      <c r="F28" s="20" t="s">
        <v>0</v>
      </c>
      <c r="G28" s="20" t="s">
        <v>0</v>
      </c>
      <c r="H28" s="20" t="s">
        <v>0</v>
      </c>
      <c r="I28" s="22" t="s">
        <v>0</v>
      </c>
      <c r="J28" s="20" t="s">
        <v>0</v>
      </c>
      <c r="K28" s="20" t="s">
        <v>0</v>
      </c>
      <c r="L28" s="20" t="s">
        <v>0</v>
      </c>
      <c r="M28" s="23" t="s">
        <v>0</v>
      </c>
      <c r="N28" s="22" t="s">
        <v>0</v>
      </c>
      <c r="O28" s="22">
        <v>1.0511999999999999</v>
      </c>
    </row>
    <row r="29" spans="1:20" x14ac:dyDescent="0.25">
      <c r="A29" s="26" t="s">
        <v>282</v>
      </c>
      <c r="B29" s="49" t="s">
        <v>247</v>
      </c>
      <c r="C29" s="50">
        <v>0.5</v>
      </c>
      <c r="D29" s="49">
        <v>3.46</v>
      </c>
      <c r="E29" s="49">
        <v>3.54</v>
      </c>
      <c r="F29" s="20" t="s">
        <v>0</v>
      </c>
      <c r="G29" s="20" t="s">
        <v>0</v>
      </c>
      <c r="H29" s="20" t="s">
        <v>0</v>
      </c>
      <c r="I29" s="22" t="s">
        <v>0</v>
      </c>
      <c r="J29" s="20" t="s">
        <v>0</v>
      </c>
      <c r="K29" s="20" t="s">
        <v>0</v>
      </c>
      <c r="L29" s="20" t="s">
        <v>0</v>
      </c>
      <c r="M29" s="23" t="s">
        <v>0</v>
      </c>
      <c r="N29" s="22" t="s">
        <v>0</v>
      </c>
      <c r="O29" s="22">
        <v>1.0510999999999999</v>
      </c>
    </row>
    <row r="30" spans="1:20" x14ac:dyDescent="0.25">
      <c r="A30" s="26" t="s">
        <v>263</v>
      </c>
      <c r="B30" s="49" t="s">
        <v>265</v>
      </c>
      <c r="C30" s="50">
        <v>1</v>
      </c>
      <c r="D30" s="49">
        <v>3.76</v>
      </c>
      <c r="E30" s="49">
        <v>3.86</v>
      </c>
      <c r="F30" s="20" t="s">
        <v>0</v>
      </c>
      <c r="G30" s="20" t="s">
        <v>0</v>
      </c>
      <c r="H30" s="20" t="s">
        <v>0</v>
      </c>
      <c r="I30" s="22" t="s">
        <v>0</v>
      </c>
      <c r="J30" s="20" t="s">
        <v>0</v>
      </c>
      <c r="K30" s="20" t="s">
        <v>0</v>
      </c>
      <c r="L30" s="20" t="s">
        <v>0</v>
      </c>
      <c r="M30" s="23" t="s">
        <v>0</v>
      </c>
      <c r="N30" s="22" t="s">
        <v>0</v>
      </c>
      <c r="O30" s="22">
        <v>1.0643</v>
      </c>
    </row>
    <row r="31" spans="1:20" x14ac:dyDescent="0.25">
      <c r="A31" s="26" t="s">
        <v>304</v>
      </c>
      <c r="B31" s="49" t="s">
        <v>305</v>
      </c>
      <c r="C31" s="50">
        <v>1.25</v>
      </c>
      <c r="D31" s="49">
        <v>3.94</v>
      </c>
      <c r="E31" s="49">
        <v>4.1100000000000003</v>
      </c>
      <c r="F31" s="20" t="s">
        <v>0</v>
      </c>
      <c r="G31" s="20" t="s">
        <v>0</v>
      </c>
      <c r="H31" s="20" t="s">
        <v>0</v>
      </c>
      <c r="I31" s="22" t="s">
        <v>0</v>
      </c>
      <c r="J31" s="20" t="s">
        <v>0</v>
      </c>
      <c r="K31" s="20" t="s">
        <v>0</v>
      </c>
      <c r="L31" s="20" t="s">
        <v>0</v>
      </c>
      <c r="M31" s="23" t="s">
        <v>0</v>
      </c>
      <c r="N31" s="22" t="s">
        <v>0</v>
      </c>
      <c r="O31" s="22">
        <v>1.0724</v>
      </c>
    </row>
    <row r="32" spans="1:20" x14ac:dyDescent="0.25">
      <c r="A32" s="26" t="s">
        <v>13</v>
      </c>
      <c r="B32" s="49" t="s">
        <v>131</v>
      </c>
      <c r="C32" s="50">
        <v>3</v>
      </c>
      <c r="D32" s="49">
        <v>3.94</v>
      </c>
      <c r="E32" s="49">
        <v>4.26</v>
      </c>
      <c r="F32" s="20" t="s">
        <v>0</v>
      </c>
      <c r="G32" s="20" t="s">
        <v>0</v>
      </c>
      <c r="H32" s="20" t="s">
        <v>0</v>
      </c>
      <c r="I32" s="22" t="s">
        <v>0</v>
      </c>
      <c r="J32" s="20" t="s">
        <v>0</v>
      </c>
      <c r="K32" s="20" t="s">
        <v>0</v>
      </c>
      <c r="L32" s="20" t="s">
        <v>0</v>
      </c>
      <c r="M32" s="23" t="s">
        <v>0</v>
      </c>
      <c r="N32" s="22" t="s">
        <v>0</v>
      </c>
      <c r="O32" s="22">
        <v>1.0745</v>
      </c>
    </row>
    <row r="33" spans="1:15" x14ac:dyDescent="0.25">
      <c r="A33" s="26" t="s">
        <v>1</v>
      </c>
      <c r="B33" s="49" t="s">
        <v>132</v>
      </c>
      <c r="C33" s="50">
        <v>1</v>
      </c>
      <c r="D33" s="49">
        <v>3.96</v>
      </c>
      <c r="E33" s="49">
        <v>4.0999999999999996</v>
      </c>
      <c r="F33" s="20" t="s">
        <v>0</v>
      </c>
      <c r="G33" s="20" t="s">
        <v>0</v>
      </c>
      <c r="H33" s="20" t="s">
        <v>0</v>
      </c>
      <c r="I33" s="22" t="s">
        <v>0</v>
      </c>
      <c r="J33" s="20" t="s">
        <v>0</v>
      </c>
      <c r="K33" s="20" t="s">
        <v>0</v>
      </c>
      <c r="L33" s="20" t="s">
        <v>0</v>
      </c>
      <c r="M33" s="23" t="s">
        <v>0</v>
      </c>
      <c r="N33" s="22" t="s">
        <v>0</v>
      </c>
      <c r="O33" s="22">
        <v>1.0725</v>
      </c>
    </row>
    <row r="34" spans="1:15" x14ac:dyDescent="0.25">
      <c r="A34" s="26" t="s">
        <v>60</v>
      </c>
      <c r="B34" s="49" t="s">
        <v>134</v>
      </c>
      <c r="C34" s="50">
        <v>1.375</v>
      </c>
      <c r="D34" s="49">
        <v>4.22</v>
      </c>
      <c r="E34" s="49">
        <v>4.41</v>
      </c>
      <c r="F34" s="20" t="s">
        <v>0</v>
      </c>
      <c r="G34" s="20" t="s">
        <v>0</v>
      </c>
      <c r="H34" s="20" t="s">
        <v>0</v>
      </c>
      <c r="I34" s="22" t="s">
        <v>0</v>
      </c>
      <c r="J34" s="20" t="s">
        <v>0</v>
      </c>
      <c r="K34" s="20" t="s">
        <v>0</v>
      </c>
      <c r="L34" s="20" t="s">
        <v>0</v>
      </c>
      <c r="M34" s="23" t="s">
        <v>0</v>
      </c>
      <c r="N34" s="22" t="s">
        <v>0</v>
      </c>
      <c r="O34" s="22">
        <v>1.0798000000000001</v>
      </c>
    </row>
    <row r="35" spans="1:15" x14ac:dyDescent="0.25">
      <c r="A35" s="26" t="s">
        <v>14</v>
      </c>
      <c r="B35" s="49" t="s">
        <v>133</v>
      </c>
      <c r="C35" s="50">
        <v>2.5</v>
      </c>
      <c r="D35" s="49">
        <v>4.2300000000000004</v>
      </c>
      <c r="E35" s="49">
        <v>4.51</v>
      </c>
      <c r="F35" s="20" t="s">
        <v>0</v>
      </c>
      <c r="G35" s="20" t="s">
        <v>0</v>
      </c>
      <c r="H35" s="20" t="s">
        <v>0</v>
      </c>
      <c r="I35" s="22" t="s">
        <v>0</v>
      </c>
      <c r="J35" s="20" t="s">
        <v>0</v>
      </c>
      <c r="K35" s="20" t="s">
        <v>0</v>
      </c>
      <c r="L35" s="20" t="s">
        <v>0</v>
      </c>
      <c r="M35" s="23" t="s">
        <v>0</v>
      </c>
      <c r="N35" s="22" t="s">
        <v>0</v>
      </c>
      <c r="O35" s="22">
        <v>1.0806</v>
      </c>
    </row>
    <row r="36" spans="1:15" x14ac:dyDescent="0.25">
      <c r="A36" s="26" t="s">
        <v>326</v>
      </c>
      <c r="B36" s="49" t="s">
        <v>325</v>
      </c>
      <c r="C36" s="50">
        <v>1</v>
      </c>
      <c r="D36" s="49">
        <v>4.28</v>
      </c>
      <c r="E36" s="49">
        <v>4.43</v>
      </c>
      <c r="F36" s="20" t="s">
        <v>0</v>
      </c>
      <c r="G36" s="20" t="s">
        <v>0</v>
      </c>
      <c r="H36" s="20" t="s">
        <v>0</v>
      </c>
      <c r="I36" s="22" t="s">
        <v>0</v>
      </c>
      <c r="J36" s="20" t="s">
        <v>0</v>
      </c>
      <c r="K36" s="20" t="s">
        <v>0</v>
      </c>
      <c r="L36" s="20" t="s">
        <v>0</v>
      </c>
      <c r="M36" s="23" t="s">
        <v>0</v>
      </c>
      <c r="N36" s="22" t="s">
        <v>0</v>
      </c>
      <c r="O36" s="22">
        <v>1.0808</v>
      </c>
    </row>
    <row r="37" spans="1:15" x14ac:dyDescent="0.25">
      <c r="A37" s="26" t="s">
        <v>35</v>
      </c>
      <c r="B37" s="49" t="s">
        <v>135</v>
      </c>
      <c r="C37" s="50">
        <v>1</v>
      </c>
      <c r="D37" s="49">
        <v>4.34</v>
      </c>
      <c r="E37" s="49">
        <v>4.49</v>
      </c>
      <c r="F37" s="20" t="s">
        <v>0</v>
      </c>
      <c r="G37" s="20" t="s">
        <v>0</v>
      </c>
      <c r="H37" s="20" t="s">
        <v>0</v>
      </c>
      <c r="I37" s="22" t="s">
        <v>0</v>
      </c>
      <c r="J37" s="20" t="s">
        <v>0</v>
      </c>
      <c r="K37" s="20" t="s">
        <v>0</v>
      </c>
      <c r="L37" s="20" t="s">
        <v>0</v>
      </c>
      <c r="M37" s="23" t="s">
        <v>0</v>
      </c>
      <c r="N37" s="22" t="s">
        <v>0</v>
      </c>
      <c r="O37" s="22">
        <v>1.0821000000000001</v>
      </c>
    </row>
    <row r="38" spans="1:15" x14ac:dyDescent="0.25">
      <c r="A38" s="26" t="s">
        <v>15</v>
      </c>
      <c r="B38" s="49" t="s">
        <v>136</v>
      </c>
      <c r="C38" s="50">
        <v>2.625</v>
      </c>
      <c r="D38" s="49">
        <v>4.71</v>
      </c>
      <c r="E38" s="49">
        <v>5.01</v>
      </c>
      <c r="F38" s="20" t="s">
        <v>0</v>
      </c>
      <c r="G38" s="20" t="s">
        <v>0</v>
      </c>
      <c r="H38" s="20" t="s">
        <v>0</v>
      </c>
      <c r="I38" s="22" t="s">
        <v>0</v>
      </c>
      <c r="J38" s="20" t="s">
        <v>0</v>
      </c>
      <c r="K38" s="20" t="s">
        <v>0</v>
      </c>
      <c r="L38" s="20" t="s">
        <v>0</v>
      </c>
      <c r="M38" s="23" t="s">
        <v>0</v>
      </c>
      <c r="N38" s="22" t="s">
        <v>0</v>
      </c>
      <c r="O38" s="22">
        <v>1.0889</v>
      </c>
    </row>
    <row r="39" spans="1:15" x14ac:dyDescent="0.25">
      <c r="A39" s="26" t="s">
        <v>359</v>
      </c>
      <c r="B39" s="49" t="s">
        <v>360</v>
      </c>
      <c r="C39" s="50">
        <v>1</v>
      </c>
      <c r="D39" s="49">
        <v>4.63</v>
      </c>
      <c r="E39" s="49">
        <v>4.79</v>
      </c>
      <c r="F39" s="20" t="s">
        <v>0</v>
      </c>
      <c r="G39" s="20" t="s">
        <v>0</v>
      </c>
      <c r="H39" s="20" t="s">
        <v>0</v>
      </c>
      <c r="I39" s="22" t="s">
        <v>0</v>
      </c>
      <c r="J39" s="20" t="s">
        <v>0</v>
      </c>
      <c r="K39" s="20" t="s">
        <v>0</v>
      </c>
      <c r="L39" s="20" t="s">
        <v>0</v>
      </c>
      <c r="M39" s="23" t="s">
        <v>0</v>
      </c>
      <c r="N39" s="22" t="s">
        <v>0</v>
      </c>
      <c r="O39" s="22">
        <v>1.0874999999999999</v>
      </c>
    </row>
    <row r="40" spans="1:15" x14ac:dyDescent="0.25">
      <c r="A40" s="26" t="s">
        <v>2</v>
      </c>
      <c r="B40" s="49" t="s">
        <v>137</v>
      </c>
      <c r="C40" s="50">
        <v>0.875</v>
      </c>
      <c r="D40" s="49">
        <v>4.68</v>
      </c>
      <c r="E40" s="49">
        <v>4.82</v>
      </c>
      <c r="F40" s="20" t="s">
        <v>0</v>
      </c>
      <c r="G40" s="20" t="s">
        <v>0</v>
      </c>
      <c r="H40" s="20" t="s">
        <v>0</v>
      </c>
      <c r="I40" s="22" t="s">
        <v>0</v>
      </c>
      <c r="J40" s="20" t="s">
        <v>0</v>
      </c>
      <c r="K40" s="20" t="s">
        <v>0</v>
      </c>
      <c r="L40" s="20" t="s">
        <v>0</v>
      </c>
      <c r="M40" s="23" t="s">
        <v>0</v>
      </c>
      <c r="N40" s="22" t="s">
        <v>0</v>
      </c>
      <c r="O40" s="22">
        <v>1.0882000000000001</v>
      </c>
    </row>
    <row r="41" spans="1:15" x14ac:dyDescent="0.25">
      <c r="A41" s="26" t="s">
        <v>378</v>
      </c>
      <c r="B41" s="49" t="s">
        <v>379</v>
      </c>
      <c r="C41" s="50">
        <v>1</v>
      </c>
      <c r="D41" s="49">
        <v>4.8499999999999996</v>
      </c>
      <c r="E41" s="49">
        <v>5</v>
      </c>
      <c r="F41" s="20" t="s">
        <v>0</v>
      </c>
      <c r="G41" s="20" t="s">
        <v>0</v>
      </c>
      <c r="H41" s="20" t="s">
        <v>0</v>
      </c>
      <c r="I41" s="22" t="s">
        <v>0</v>
      </c>
      <c r="J41" s="20" t="s">
        <v>0</v>
      </c>
      <c r="K41" s="20" t="s">
        <v>0</v>
      </c>
      <c r="L41" s="20" t="s">
        <v>0</v>
      </c>
      <c r="M41" s="23" t="s">
        <v>0</v>
      </c>
      <c r="N41" s="22" t="s">
        <v>0</v>
      </c>
      <c r="O41" s="22">
        <v>1.0908</v>
      </c>
    </row>
    <row r="42" spans="1:15" x14ac:dyDescent="0.25">
      <c r="A42" s="26" t="s">
        <v>283</v>
      </c>
      <c r="B42" s="49" t="s">
        <v>223</v>
      </c>
      <c r="C42" s="50">
        <v>0.25</v>
      </c>
      <c r="D42" s="49">
        <v>4.92</v>
      </c>
      <c r="E42" s="49">
        <v>5.0199999999999996</v>
      </c>
      <c r="F42" s="20" t="s">
        <v>0</v>
      </c>
      <c r="G42" s="20" t="s">
        <v>0</v>
      </c>
      <c r="H42" s="20" t="s">
        <v>0</v>
      </c>
      <c r="I42" s="22" t="s">
        <v>0</v>
      </c>
      <c r="J42" s="20" t="s">
        <v>0</v>
      </c>
      <c r="K42" s="20" t="s">
        <v>0</v>
      </c>
      <c r="L42" s="20" t="s">
        <v>0</v>
      </c>
      <c r="M42" s="23" t="s">
        <v>0</v>
      </c>
      <c r="N42" s="22" t="s">
        <v>0</v>
      </c>
      <c r="O42" s="22">
        <v>1.0920000000000001</v>
      </c>
    </row>
    <row r="43" spans="1:15" x14ac:dyDescent="0.25">
      <c r="A43" s="26" t="s">
        <v>28</v>
      </c>
      <c r="B43" s="49" t="s">
        <v>139</v>
      </c>
      <c r="C43" s="50">
        <v>0.875</v>
      </c>
      <c r="D43" s="49">
        <v>4.99</v>
      </c>
      <c r="E43" s="49">
        <v>5.18</v>
      </c>
      <c r="F43" s="20" t="s">
        <v>0</v>
      </c>
      <c r="G43" s="20" t="s">
        <v>0</v>
      </c>
      <c r="H43" s="20" t="s">
        <v>0</v>
      </c>
      <c r="I43" s="22" t="s">
        <v>0</v>
      </c>
      <c r="J43" s="20" t="s">
        <v>0</v>
      </c>
      <c r="K43" s="20" t="s">
        <v>0</v>
      </c>
      <c r="L43" s="20" t="s">
        <v>0</v>
      </c>
      <c r="M43" s="23" t="s">
        <v>0</v>
      </c>
      <c r="N43" s="22" t="s">
        <v>0</v>
      </c>
      <c r="O43" s="22">
        <v>1.0931999999999999</v>
      </c>
    </row>
    <row r="44" spans="1:15" x14ac:dyDescent="0.25">
      <c r="A44" s="26" t="s">
        <v>16</v>
      </c>
      <c r="B44" s="49" t="s">
        <v>138</v>
      </c>
      <c r="C44" s="50">
        <v>2.125</v>
      </c>
      <c r="D44" s="49">
        <v>5.16</v>
      </c>
      <c r="E44" s="49">
        <v>5.51</v>
      </c>
      <c r="F44" s="20" t="s">
        <v>0</v>
      </c>
      <c r="G44" s="20" t="s">
        <v>0</v>
      </c>
      <c r="H44" s="20" t="s">
        <v>0</v>
      </c>
      <c r="I44" s="22" t="s">
        <v>0</v>
      </c>
      <c r="J44" s="20" t="s">
        <v>0</v>
      </c>
      <c r="K44" s="20" t="s">
        <v>0</v>
      </c>
      <c r="L44" s="20" t="s">
        <v>0</v>
      </c>
      <c r="M44" s="23" t="s">
        <v>0</v>
      </c>
      <c r="N44" s="22" t="s">
        <v>0</v>
      </c>
      <c r="O44" s="22">
        <v>1.0954999999999999</v>
      </c>
    </row>
    <row r="45" spans="1:15" x14ac:dyDescent="0.25">
      <c r="A45" s="26" t="s">
        <v>3</v>
      </c>
      <c r="B45" s="49" t="s">
        <v>140</v>
      </c>
      <c r="C45" s="50">
        <v>0.75</v>
      </c>
      <c r="D45" s="49">
        <v>5.33</v>
      </c>
      <c r="E45" s="49">
        <v>5.51</v>
      </c>
      <c r="F45" s="20" t="s">
        <v>0</v>
      </c>
      <c r="G45" s="20" t="s">
        <v>0</v>
      </c>
      <c r="H45" s="20" t="s">
        <v>0</v>
      </c>
      <c r="I45" s="22" t="s">
        <v>0</v>
      </c>
      <c r="J45" s="20" t="s">
        <v>0</v>
      </c>
      <c r="K45" s="20" t="s">
        <v>0</v>
      </c>
      <c r="L45" s="20" t="s">
        <v>0</v>
      </c>
      <c r="M45" s="23" t="s">
        <v>0</v>
      </c>
      <c r="N45" s="22" t="s">
        <v>0</v>
      </c>
      <c r="O45" s="22">
        <v>1.0972</v>
      </c>
    </row>
    <row r="46" spans="1:15" x14ac:dyDescent="0.25">
      <c r="A46" s="26" t="s">
        <v>17</v>
      </c>
      <c r="B46" s="49" t="s">
        <v>141</v>
      </c>
      <c r="C46" s="50">
        <v>2.125</v>
      </c>
      <c r="D46" s="49">
        <v>5.64</v>
      </c>
      <c r="E46" s="49">
        <v>6</v>
      </c>
      <c r="F46" s="20" t="s">
        <v>0</v>
      </c>
      <c r="G46" s="20" t="s">
        <v>0</v>
      </c>
      <c r="H46" s="20" t="s">
        <v>0</v>
      </c>
      <c r="I46" s="22" t="s">
        <v>0</v>
      </c>
      <c r="J46" s="20" t="s">
        <v>0</v>
      </c>
      <c r="K46" s="20" t="s">
        <v>0</v>
      </c>
      <c r="L46" s="20" t="s">
        <v>0</v>
      </c>
      <c r="M46" s="23" t="s">
        <v>0</v>
      </c>
      <c r="N46" s="22" t="s">
        <v>0</v>
      </c>
      <c r="O46" s="22">
        <v>1.1014999999999999</v>
      </c>
    </row>
    <row r="47" spans="1:15" x14ac:dyDescent="0.25">
      <c r="A47" s="26" t="s">
        <v>4</v>
      </c>
      <c r="B47" s="49" t="s">
        <v>142</v>
      </c>
      <c r="C47" s="50">
        <v>0.625</v>
      </c>
      <c r="D47" s="49">
        <v>5.71</v>
      </c>
      <c r="E47" s="49">
        <v>5.87</v>
      </c>
      <c r="F47" s="20" t="s">
        <v>0</v>
      </c>
      <c r="G47" s="20" t="s">
        <v>0</v>
      </c>
      <c r="H47" s="20" t="s">
        <v>0</v>
      </c>
      <c r="I47" s="22" t="s">
        <v>0</v>
      </c>
      <c r="J47" s="20" t="s">
        <v>0</v>
      </c>
      <c r="K47" s="20" t="s">
        <v>0</v>
      </c>
      <c r="L47" s="20" t="s">
        <v>0</v>
      </c>
      <c r="M47" s="23" t="s">
        <v>0</v>
      </c>
      <c r="N47" s="22" t="s">
        <v>0</v>
      </c>
      <c r="O47" s="22">
        <v>1.1015999999999999</v>
      </c>
    </row>
    <row r="48" spans="1:15" x14ac:dyDescent="0.25">
      <c r="A48" s="26" t="s">
        <v>6</v>
      </c>
      <c r="B48" s="49" t="s">
        <v>144</v>
      </c>
      <c r="C48" s="50">
        <v>0.625</v>
      </c>
      <c r="D48" s="49">
        <v>5.97</v>
      </c>
      <c r="E48" s="49">
        <v>6.17</v>
      </c>
      <c r="F48" s="20" t="s">
        <v>0</v>
      </c>
      <c r="G48" s="20" t="s">
        <v>0</v>
      </c>
      <c r="H48" s="20" t="s">
        <v>0</v>
      </c>
      <c r="I48" s="22" t="s">
        <v>0</v>
      </c>
      <c r="J48" s="20" t="s">
        <v>0</v>
      </c>
      <c r="K48" s="20" t="s">
        <v>0</v>
      </c>
      <c r="L48" s="20" t="s">
        <v>0</v>
      </c>
      <c r="M48" s="23" t="s">
        <v>0</v>
      </c>
      <c r="N48" s="22" t="s">
        <v>0</v>
      </c>
      <c r="O48" s="22">
        <v>1.1059000000000001</v>
      </c>
    </row>
    <row r="49" spans="1:15" x14ac:dyDescent="0.25">
      <c r="A49" s="26" t="s">
        <v>18</v>
      </c>
      <c r="B49" s="49" t="s">
        <v>143</v>
      </c>
      <c r="C49" s="50">
        <v>1.875</v>
      </c>
      <c r="D49" s="49">
        <v>6.09</v>
      </c>
      <c r="E49" s="49">
        <v>6.53</v>
      </c>
      <c r="F49" s="20" t="s">
        <v>0</v>
      </c>
      <c r="G49" s="20" t="s">
        <v>0</v>
      </c>
      <c r="H49" s="20" t="s">
        <v>0</v>
      </c>
      <c r="I49" s="22" t="s">
        <v>0</v>
      </c>
      <c r="J49" s="20" t="s">
        <v>0</v>
      </c>
      <c r="K49" s="20" t="s">
        <v>0</v>
      </c>
      <c r="L49" s="20" t="s">
        <v>0</v>
      </c>
      <c r="M49" s="23" t="s">
        <v>0</v>
      </c>
      <c r="N49" s="22" t="s">
        <v>0</v>
      </c>
      <c r="O49" s="22">
        <v>1.1104000000000001</v>
      </c>
    </row>
    <row r="50" spans="1:15" x14ac:dyDescent="0.25">
      <c r="A50" s="26" t="s">
        <v>284</v>
      </c>
      <c r="B50" s="49" t="s">
        <v>145</v>
      </c>
      <c r="C50" s="50">
        <v>0.5</v>
      </c>
      <c r="D50" s="49">
        <v>6.34</v>
      </c>
      <c r="E50" s="49">
        <v>6.53</v>
      </c>
      <c r="F50" s="20" t="s">
        <v>0</v>
      </c>
      <c r="G50" s="20" t="s">
        <v>0</v>
      </c>
      <c r="H50" s="20" t="s">
        <v>0</v>
      </c>
      <c r="I50" s="22" t="s">
        <v>0</v>
      </c>
      <c r="J50" s="20" t="s">
        <v>0</v>
      </c>
      <c r="K50" s="20" t="s">
        <v>0</v>
      </c>
      <c r="L50" s="20" t="s">
        <v>0</v>
      </c>
      <c r="M50" s="23" t="s">
        <v>0</v>
      </c>
      <c r="N50" s="22" t="s">
        <v>0</v>
      </c>
      <c r="O50" s="22">
        <v>1.1124000000000001</v>
      </c>
    </row>
    <row r="51" spans="1:15" x14ac:dyDescent="0.25">
      <c r="A51" s="26" t="s">
        <v>19</v>
      </c>
      <c r="B51" s="49" t="s">
        <v>146</v>
      </c>
      <c r="C51" s="50">
        <v>1.75</v>
      </c>
      <c r="D51" s="49">
        <v>6.58</v>
      </c>
      <c r="E51" s="49">
        <v>7</v>
      </c>
      <c r="F51" s="20" t="s">
        <v>0</v>
      </c>
      <c r="G51" s="20" t="s">
        <v>0</v>
      </c>
      <c r="H51" s="20" t="s">
        <v>0</v>
      </c>
      <c r="I51" s="22" t="s">
        <v>0</v>
      </c>
      <c r="J51" s="20" t="s">
        <v>0</v>
      </c>
      <c r="K51" s="20" t="s">
        <v>0</v>
      </c>
      <c r="L51" s="20" t="s">
        <v>0</v>
      </c>
      <c r="M51" s="23" t="s">
        <v>0</v>
      </c>
      <c r="N51" s="22" t="s">
        <v>0</v>
      </c>
      <c r="O51" s="22">
        <v>1.1214999999999999</v>
      </c>
    </row>
    <row r="52" spans="1:15" x14ac:dyDescent="0.25">
      <c r="A52" s="26" t="s">
        <v>285</v>
      </c>
      <c r="B52" s="49" t="s">
        <v>149</v>
      </c>
      <c r="C52" s="50">
        <v>0.375</v>
      </c>
      <c r="D52" s="49">
        <v>6.67</v>
      </c>
      <c r="E52" s="49">
        <v>6.83</v>
      </c>
      <c r="F52" s="20" t="s">
        <v>0</v>
      </c>
      <c r="G52" s="20" t="s">
        <v>0</v>
      </c>
      <c r="H52" s="20" t="s">
        <v>0</v>
      </c>
      <c r="I52" s="22" t="s">
        <v>0</v>
      </c>
      <c r="J52" s="20" t="s">
        <v>0</v>
      </c>
      <c r="K52" s="20" t="s">
        <v>0</v>
      </c>
      <c r="L52" s="20" t="s">
        <v>0</v>
      </c>
      <c r="M52" s="23" t="s">
        <v>0</v>
      </c>
      <c r="N52" s="22" t="s">
        <v>0</v>
      </c>
      <c r="O52" s="22">
        <v>1.1193</v>
      </c>
    </row>
    <row r="53" spans="1:15" x14ac:dyDescent="0.25">
      <c r="A53" s="26" t="s">
        <v>50</v>
      </c>
      <c r="B53" s="49" t="s">
        <v>147</v>
      </c>
      <c r="C53" s="50">
        <v>2.125</v>
      </c>
      <c r="D53" s="49">
        <v>6.8</v>
      </c>
      <c r="E53" s="49">
        <v>7.42</v>
      </c>
      <c r="F53" s="20" t="s">
        <v>0</v>
      </c>
      <c r="G53" s="20" t="s">
        <v>0</v>
      </c>
      <c r="H53" s="20" t="s">
        <v>0</v>
      </c>
      <c r="I53" s="22" t="s">
        <v>0</v>
      </c>
      <c r="J53" s="20" t="s">
        <v>0</v>
      </c>
      <c r="K53" s="20" t="s">
        <v>0</v>
      </c>
      <c r="L53" s="20" t="s">
        <v>0</v>
      </c>
      <c r="M53" s="23" t="s">
        <v>0</v>
      </c>
      <c r="N53" s="22" t="s">
        <v>0</v>
      </c>
      <c r="O53" s="22">
        <v>1.1338999999999999</v>
      </c>
    </row>
    <row r="54" spans="1:15" x14ac:dyDescent="0.25">
      <c r="A54" s="26" t="s">
        <v>286</v>
      </c>
      <c r="B54" s="49" t="s">
        <v>151</v>
      </c>
      <c r="C54" s="50">
        <v>0.25</v>
      </c>
      <c r="D54" s="49">
        <v>7.01</v>
      </c>
      <c r="E54" s="49">
        <v>7.17</v>
      </c>
      <c r="F54" s="20" t="s">
        <v>0</v>
      </c>
      <c r="G54" s="20" t="s">
        <v>0</v>
      </c>
      <c r="H54" s="20" t="s">
        <v>0</v>
      </c>
      <c r="I54" s="22" t="s">
        <v>0</v>
      </c>
      <c r="J54" s="20" t="s">
        <v>0</v>
      </c>
      <c r="K54" s="20" t="s">
        <v>0</v>
      </c>
      <c r="L54" s="20" t="s">
        <v>0</v>
      </c>
      <c r="M54" s="23" t="s">
        <v>0</v>
      </c>
      <c r="N54" s="22" t="s">
        <v>0</v>
      </c>
      <c r="O54" s="22">
        <v>1.1294</v>
      </c>
    </row>
    <row r="55" spans="1:15" x14ac:dyDescent="0.25">
      <c r="A55" s="26" t="s">
        <v>20</v>
      </c>
      <c r="B55" s="49" t="s">
        <v>148</v>
      </c>
      <c r="C55" s="50">
        <v>3.625</v>
      </c>
      <c r="D55" s="49">
        <v>7.01</v>
      </c>
      <c r="E55" s="49">
        <v>7.93</v>
      </c>
      <c r="F55" s="20" t="s">
        <v>0</v>
      </c>
      <c r="G55" s="20" t="s">
        <v>0</v>
      </c>
      <c r="H55" s="20" t="s">
        <v>0</v>
      </c>
      <c r="I55" s="22" t="s">
        <v>0</v>
      </c>
      <c r="J55" s="20" t="s">
        <v>0</v>
      </c>
      <c r="K55" s="20" t="s">
        <v>0</v>
      </c>
      <c r="L55" s="20" t="s">
        <v>0</v>
      </c>
      <c r="M55" s="23" t="s">
        <v>0</v>
      </c>
      <c r="N55" s="22" t="s">
        <v>0</v>
      </c>
      <c r="O55" s="22">
        <v>1.1476999999999999</v>
      </c>
    </row>
    <row r="56" spans="1:15" x14ac:dyDescent="0.25">
      <c r="A56" s="26" t="s">
        <v>58</v>
      </c>
      <c r="B56" s="49" t="s">
        <v>150</v>
      </c>
      <c r="C56" s="50">
        <v>1.75</v>
      </c>
      <c r="D56" s="49">
        <v>7.24</v>
      </c>
      <c r="E56" s="49">
        <v>7.78</v>
      </c>
      <c r="F56" s="20" t="s">
        <v>0</v>
      </c>
      <c r="G56" s="20" t="s">
        <v>0</v>
      </c>
      <c r="H56" s="20" t="s">
        <v>0</v>
      </c>
      <c r="I56" s="22" t="s">
        <v>0</v>
      </c>
      <c r="J56" s="20" t="s">
        <v>0</v>
      </c>
      <c r="K56" s="20" t="s">
        <v>0</v>
      </c>
      <c r="L56" s="20" t="s">
        <v>0</v>
      </c>
      <c r="M56" s="23" t="s">
        <v>0</v>
      </c>
      <c r="N56" s="22" t="s">
        <v>0</v>
      </c>
      <c r="O56" s="22">
        <v>1.1471</v>
      </c>
    </row>
    <row r="57" spans="1:15" x14ac:dyDescent="0.25">
      <c r="A57" s="26" t="s">
        <v>61</v>
      </c>
      <c r="B57" s="49" t="s">
        <v>153</v>
      </c>
      <c r="C57" s="50">
        <v>1.875</v>
      </c>
      <c r="D57" s="49">
        <v>7.4</v>
      </c>
      <c r="E57" s="49">
        <v>7.97</v>
      </c>
      <c r="F57" s="20" t="s">
        <v>0</v>
      </c>
      <c r="G57" s="20" t="s">
        <v>0</v>
      </c>
      <c r="H57" s="20" t="s">
        <v>0</v>
      </c>
      <c r="I57" s="22" t="s">
        <v>0</v>
      </c>
      <c r="J57" s="20" t="s">
        <v>0</v>
      </c>
      <c r="K57" s="20" t="s">
        <v>0</v>
      </c>
      <c r="L57" s="20" t="s">
        <v>0</v>
      </c>
      <c r="M57" s="23" t="s">
        <v>0</v>
      </c>
      <c r="N57" s="22" t="s">
        <v>0</v>
      </c>
      <c r="O57" s="22">
        <v>1.153</v>
      </c>
    </row>
    <row r="58" spans="1:15" x14ac:dyDescent="0.25">
      <c r="A58" s="26" t="s">
        <v>287</v>
      </c>
      <c r="B58" s="49" t="s">
        <v>152</v>
      </c>
      <c r="C58" s="50">
        <v>0.25</v>
      </c>
      <c r="D58" s="49">
        <v>7.37</v>
      </c>
      <c r="E58" s="49">
        <v>7.53</v>
      </c>
      <c r="F58" s="20" t="s">
        <v>0</v>
      </c>
      <c r="G58" s="20" t="s">
        <v>0</v>
      </c>
      <c r="H58" s="20" t="s">
        <v>0</v>
      </c>
      <c r="I58" s="22" t="s">
        <v>0</v>
      </c>
      <c r="J58" s="20" t="s">
        <v>0</v>
      </c>
      <c r="K58" s="20" t="s">
        <v>0</v>
      </c>
      <c r="L58" s="20" t="s">
        <v>0</v>
      </c>
      <c r="M58" s="23" t="s">
        <v>0</v>
      </c>
      <c r="N58" s="22" t="s">
        <v>0</v>
      </c>
      <c r="O58" s="22">
        <v>1.1416999999999999</v>
      </c>
    </row>
    <row r="59" spans="1:15" x14ac:dyDescent="0.25">
      <c r="A59" s="26" t="s">
        <v>288</v>
      </c>
      <c r="B59" s="49" t="s">
        <v>212</v>
      </c>
      <c r="C59" s="50">
        <v>0.375</v>
      </c>
      <c r="D59" s="49">
        <v>7.53</v>
      </c>
      <c r="E59" s="49">
        <v>7.73</v>
      </c>
      <c r="F59" s="20" t="s">
        <v>0</v>
      </c>
      <c r="G59" s="20" t="s">
        <v>0</v>
      </c>
      <c r="H59" s="20" t="s">
        <v>0</v>
      </c>
      <c r="I59" s="22" t="s">
        <v>0</v>
      </c>
      <c r="J59" s="20" t="s">
        <v>0</v>
      </c>
      <c r="K59" s="20" t="s">
        <v>0</v>
      </c>
      <c r="L59" s="20" t="s">
        <v>0</v>
      </c>
      <c r="M59" s="23" t="s">
        <v>0</v>
      </c>
      <c r="N59" s="22" t="s">
        <v>0</v>
      </c>
      <c r="O59" s="22">
        <v>1.1487000000000001</v>
      </c>
    </row>
    <row r="60" spans="1:15" x14ac:dyDescent="0.25">
      <c r="A60" s="26" t="s">
        <v>276</v>
      </c>
      <c r="B60" s="49" t="s">
        <v>216</v>
      </c>
      <c r="C60" s="50">
        <v>0.375</v>
      </c>
      <c r="D60" s="49">
        <v>7.66</v>
      </c>
      <c r="E60" s="49">
        <v>7.86</v>
      </c>
      <c r="F60" s="20" t="s">
        <v>0</v>
      </c>
      <c r="G60" s="20" t="s">
        <v>0</v>
      </c>
      <c r="H60" s="20" t="s">
        <v>0</v>
      </c>
      <c r="I60" s="22" t="s">
        <v>0</v>
      </c>
      <c r="J60" s="20" t="s">
        <v>0</v>
      </c>
      <c r="K60" s="20" t="s">
        <v>0</v>
      </c>
      <c r="L60" s="20" t="s">
        <v>0</v>
      </c>
      <c r="M60" s="23" t="s">
        <v>0</v>
      </c>
      <c r="N60" s="22" t="s">
        <v>0</v>
      </c>
      <c r="O60" s="22">
        <v>1.1532</v>
      </c>
    </row>
    <row r="61" spans="1:15" x14ac:dyDescent="0.25">
      <c r="A61" s="26" t="s">
        <v>43</v>
      </c>
      <c r="B61" s="49" t="s">
        <v>154</v>
      </c>
      <c r="C61" s="50">
        <v>1.625</v>
      </c>
      <c r="D61" s="49">
        <v>7.8</v>
      </c>
      <c r="E61" s="49">
        <v>8.44</v>
      </c>
      <c r="F61" s="20" t="s">
        <v>0</v>
      </c>
      <c r="G61" s="20" t="s">
        <v>0</v>
      </c>
      <c r="H61" s="20" t="s">
        <v>0</v>
      </c>
      <c r="I61" s="22" t="s">
        <v>0</v>
      </c>
      <c r="J61" s="20" t="s">
        <v>0</v>
      </c>
      <c r="K61" s="20" t="s">
        <v>0</v>
      </c>
      <c r="L61" s="20" t="s">
        <v>0</v>
      </c>
      <c r="M61" s="23" t="s">
        <v>0</v>
      </c>
      <c r="N61" s="22" t="s">
        <v>0</v>
      </c>
      <c r="O61" s="22">
        <v>1.1672</v>
      </c>
    </row>
    <row r="62" spans="1:15" x14ac:dyDescent="0.25">
      <c r="A62" s="26" t="s">
        <v>289</v>
      </c>
      <c r="B62" s="49" t="s">
        <v>232</v>
      </c>
      <c r="C62" s="50">
        <v>0.5</v>
      </c>
      <c r="D62" s="49">
        <v>7.91</v>
      </c>
      <c r="E62" s="49">
        <v>8.19</v>
      </c>
      <c r="F62" s="20" t="s">
        <v>0</v>
      </c>
      <c r="G62" s="20" t="s">
        <v>0</v>
      </c>
      <c r="H62" s="20" t="s">
        <v>0</v>
      </c>
      <c r="I62" s="22" t="s">
        <v>0</v>
      </c>
      <c r="J62" s="20" t="s">
        <v>0</v>
      </c>
      <c r="K62" s="20" t="s">
        <v>0</v>
      </c>
      <c r="L62" s="20" t="s">
        <v>0</v>
      </c>
      <c r="M62" s="23" t="s">
        <v>0</v>
      </c>
      <c r="N62" s="22" t="s">
        <v>0</v>
      </c>
      <c r="O62" s="22">
        <v>1.1637999999999999</v>
      </c>
    </row>
    <row r="63" spans="1:15" x14ac:dyDescent="0.25">
      <c r="A63" s="26" t="s">
        <v>25</v>
      </c>
      <c r="B63" s="49" t="s">
        <v>155</v>
      </c>
      <c r="C63" s="50">
        <v>1.625</v>
      </c>
      <c r="D63" s="49">
        <v>7.95</v>
      </c>
      <c r="E63" s="49">
        <v>8.59</v>
      </c>
      <c r="F63" s="20" t="s">
        <v>0</v>
      </c>
      <c r="G63" s="20" t="s">
        <v>0</v>
      </c>
      <c r="H63" s="20" t="s">
        <v>0</v>
      </c>
      <c r="I63" s="22" t="s">
        <v>0</v>
      </c>
      <c r="J63" s="20" t="s">
        <v>0</v>
      </c>
      <c r="K63" s="20" t="s">
        <v>0</v>
      </c>
      <c r="L63" s="20" t="s">
        <v>0</v>
      </c>
      <c r="M63" s="23" t="s">
        <v>0</v>
      </c>
      <c r="N63" s="22" t="s">
        <v>0</v>
      </c>
      <c r="O63" s="22">
        <v>1.1707000000000001</v>
      </c>
    </row>
    <row r="64" spans="1:15" x14ac:dyDescent="0.25">
      <c r="A64" s="26" t="s">
        <v>290</v>
      </c>
      <c r="B64" s="49" t="s">
        <v>248</v>
      </c>
      <c r="C64" s="50">
        <v>0.75</v>
      </c>
      <c r="D64" s="49">
        <v>8.0399999999999991</v>
      </c>
      <c r="E64" s="49">
        <v>8.41</v>
      </c>
      <c r="F64" s="20" t="s">
        <v>0</v>
      </c>
      <c r="G64" s="20" t="s">
        <v>0</v>
      </c>
      <c r="H64" s="20" t="s">
        <v>0</v>
      </c>
      <c r="I64" s="22" t="s">
        <v>0</v>
      </c>
      <c r="J64" s="20" t="s">
        <v>0</v>
      </c>
      <c r="K64" s="20" t="s">
        <v>0</v>
      </c>
      <c r="L64" s="20" t="s">
        <v>0</v>
      </c>
      <c r="M64" s="23" t="s">
        <v>0</v>
      </c>
      <c r="N64" s="22" t="s">
        <v>0</v>
      </c>
      <c r="O64" s="22">
        <v>1.1692</v>
      </c>
    </row>
    <row r="65" spans="1:15" x14ac:dyDescent="0.25">
      <c r="A65" s="26" t="s">
        <v>245</v>
      </c>
      <c r="B65" s="49" t="s">
        <v>249</v>
      </c>
      <c r="C65" s="50">
        <v>0.625</v>
      </c>
      <c r="D65" s="49">
        <v>8.19</v>
      </c>
      <c r="E65" s="49">
        <v>8.52</v>
      </c>
      <c r="F65" s="20" t="s">
        <v>0</v>
      </c>
      <c r="G65" s="20" t="s">
        <v>0</v>
      </c>
      <c r="H65" s="20" t="s">
        <v>0</v>
      </c>
      <c r="I65" s="22" t="s">
        <v>0</v>
      </c>
      <c r="J65" s="20" t="s">
        <v>0</v>
      </c>
      <c r="K65" s="20" t="s">
        <v>0</v>
      </c>
      <c r="L65" s="20" t="s">
        <v>0</v>
      </c>
      <c r="M65" s="23" t="s">
        <v>0</v>
      </c>
      <c r="N65" s="22" t="s">
        <v>0</v>
      </c>
      <c r="O65" s="22">
        <v>1.1721999999999999</v>
      </c>
    </row>
    <row r="66" spans="1:15" x14ac:dyDescent="0.25">
      <c r="A66" s="26" t="s">
        <v>29</v>
      </c>
      <c r="B66" s="49" t="s">
        <v>156</v>
      </c>
      <c r="C66" s="50">
        <v>1.5</v>
      </c>
      <c r="D66" s="49">
        <v>8.3800000000000008</v>
      </c>
      <c r="E66" s="49">
        <v>8.99</v>
      </c>
      <c r="F66" s="20" t="s">
        <v>0</v>
      </c>
      <c r="G66" s="20" t="s">
        <v>0</v>
      </c>
      <c r="H66" s="20" t="s">
        <v>0</v>
      </c>
      <c r="I66" s="22" t="s">
        <v>0</v>
      </c>
      <c r="J66" s="20" t="s">
        <v>0</v>
      </c>
      <c r="K66" s="20" t="s">
        <v>0</v>
      </c>
      <c r="L66" s="20" t="s">
        <v>0</v>
      </c>
      <c r="M66" s="23" t="s">
        <v>0</v>
      </c>
      <c r="N66" s="22" t="s">
        <v>0</v>
      </c>
      <c r="O66" s="22">
        <v>1.1780999999999999</v>
      </c>
    </row>
    <row r="67" spans="1:15" x14ac:dyDescent="0.25">
      <c r="A67" s="26" t="s">
        <v>264</v>
      </c>
      <c r="B67" s="49" t="s">
        <v>266</v>
      </c>
      <c r="C67" s="50">
        <v>1.25</v>
      </c>
      <c r="D67" s="49">
        <v>8.35</v>
      </c>
      <c r="E67" s="49">
        <v>8.8800000000000008</v>
      </c>
      <c r="F67" s="20" t="s">
        <v>0</v>
      </c>
      <c r="G67" s="20" t="s">
        <v>0</v>
      </c>
      <c r="H67" s="20" t="s">
        <v>0</v>
      </c>
      <c r="I67" s="22" t="s">
        <v>0</v>
      </c>
      <c r="J67" s="20" t="s">
        <v>0</v>
      </c>
      <c r="K67" s="20" t="s">
        <v>0</v>
      </c>
      <c r="L67" s="20" t="s">
        <v>0</v>
      </c>
      <c r="M67" s="23" t="s">
        <v>0</v>
      </c>
      <c r="N67" s="22" t="s">
        <v>0</v>
      </c>
      <c r="O67" s="22">
        <v>1.1772</v>
      </c>
    </row>
    <row r="68" spans="1:15" x14ac:dyDescent="0.25">
      <c r="A68" s="26" t="s">
        <v>313</v>
      </c>
      <c r="B68" s="49" t="s">
        <v>314</v>
      </c>
      <c r="C68" s="50">
        <v>1.75</v>
      </c>
      <c r="D68" s="49">
        <v>8.36</v>
      </c>
      <c r="E68" s="49">
        <v>9.18</v>
      </c>
      <c r="F68" s="20" t="s">
        <v>0</v>
      </c>
      <c r="G68" s="20" t="s">
        <v>0</v>
      </c>
      <c r="H68" s="20" t="s">
        <v>0</v>
      </c>
      <c r="I68" s="22" t="s">
        <v>0</v>
      </c>
      <c r="J68" s="20" t="s">
        <v>0</v>
      </c>
      <c r="K68" s="20" t="s">
        <v>0</v>
      </c>
      <c r="L68" s="20" t="s">
        <v>0</v>
      </c>
      <c r="M68" s="23" t="s">
        <v>0</v>
      </c>
      <c r="N68" s="22" t="s">
        <v>0</v>
      </c>
      <c r="O68" s="22">
        <v>1.1797</v>
      </c>
    </row>
    <row r="69" spans="1:15" x14ac:dyDescent="0.25">
      <c r="A69" s="26" t="s">
        <v>53</v>
      </c>
      <c r="B69" s="49" t="s">
        <v>159</v>
      </c>
      <c r="C69" s="50">
        <v>1.5</v>
      </c>
      <c r="D69" s="49">
        <v>8.7200000000000006</v>
      </c>
      <c r="E69" s="49">
        <v>9.4600000000000009</v>
      </c>
      <c r="F69" s="20" t="s">
        <v>0</v>
      </c>
      <c r="G69" s="20" t="s">
        <v>0</v>
      </c>
      <c r="H69" s="20" t="s">
        <v>0</v>
      </c>
      <c r="I69" s="22" t="s">
        <v>0</v>
      </c>
      <c r="J69" s="20" t="s">
        <v>0</v>
      </c>
      <c r="K69" s="20" t="s">
        <v>0</v>
      </c>
      <c r="L69" s="20" t="s">
        <v>0</v>
      </c>
      <c r="M69" s="23" t="s">
        <v>0</v>
      </c>
      <c r="N69" s="22" t="s">
        <v>0</v>
      </c>
      <c r="O69" s="22">
        <v>1.1837</v>
      </c>
    </row>
    <row r="70" spans="1:15" x14ac:dyDescent="0.25">
      <c r="A70" s="26" t="s">
        <v>329</v>
      </c>
      <c r="B70" s="49" t="s">
        <v>330</v>
      </c>
      <c r="C70" s="50">
        <v>1.25</v>
      </c>
      <c r="D70" s="49">
        <v>8.77</v>
      </c>
      <c r="E70" s="49">
        <v>9.41</v>
      </c>
      <c r="F70" s="20" t="s">
        <v>0</v>
      </c>
      <c r="G70" s="20" t="s">
        <v>0</v>
      </c>
      <c r="H70" s="20" t="s">
        <v>0</v>
      </c>
      <c r="I70" s="22" t="s">
        <v>0</v>
      </c>
      <c r="J70" s="20" t="s">
        <v>0</v>
      </c>
      <c r="K70" s="20" t="s">
        <v>0</v>
      </c>
      <c r="L70" s="20" t="s">
        <v>0</v>
      </c>
      <c r="M70" s="23" t="s">
        <v>0</v>
      </c>
      <c r="N70" s="22" t="s">
        <v>0</v>
      </c>
      <c r="O70" s="22">
        <v>1.1839</v>
      </c>
    </row>
    <row r="71" spans="1:15" x14ac:dyDescent="0.25">
      <c r="A71" s="26" t="s">
        <v>62</v>
      </c>
      <c r="B71" s="49" t="s">
        <v>158</v>
      </c>
      <c r="C71" s="50">
        <v>1.75</v>
      </c>
      <c r="D71" s="49">
        <v>8.7799999999999994</v>
      </c>
      <c r="E71" s="49">
        <v>9.6</v>
      </c>
      <c r="F71" s="20" t="s">
        <v>0</v>
      </c>
      <c r="G71" s="20" t="s">
        <v>0</v>
      </c>
      <c r="H71" s="20" t="s">
        <v>0</v>
      </c>
      <c r="I71" s="22" t="s">
        <v>0</v>
      </c>
      <c r="J71" s="20" t="s">
        <v>0</v>
      </c>
      <c r="K71" s="20" t="s">
        <v>0</v>
      </c>
      <c r="L71" s="20" t="s">
        <v>0</v>
      </c>
      <c r="M71" s="23" t="s">
        <v>0</v>
      </c>
      <c r="N71" s="22" t="s">
        <v>0</v>
      </c>
      <c r="O71" s="22">
        <v>1.1842999999999999</v>
      </c>
    </row>
    <row r="72" spans="1:15" x14ac:dyDescent="0.25">
      <c r="A72" s="26" t="s">
        <v>30</v>
      </c>
      <c r="B72" s="49" t="s">
        <v>160</v>
      </c>
      <c r="C72" s="50">
        <v>2</v>
      </c>
      <c r="D72" s="49">
        <v>9.0399999999999991</v>
      </c>
      <c r="E72" s="49">
        <v>9.9499999999999993</v>
      </c>
      <c r="F72" s="20" t="s">
        <v>0</v>
      </c>
      <c r="G72" s="20" t="s">
        <v>0</v>
      </c>
      <c r="H72" s="20" t="s">
        <v>0</v>
      </c>
      <c r="I72" s="22" t="s">
        <v>0</v>
      </c>
      <c r="J72" s="20" t="s">
        <v>0</v>
      </c>
      <c r="K72" s="20" t="s">
        <v>0</v>
      </c>
      <c r="L72" s="20" t="s">
        <v>0</v>
      </c>
      <c r="M72" s="23" t="s">
        <v>0</v>
      </c>
      <c r="N72" s="22" t="s">
        <v>0</v>
      </c>
      <c r="O72" s="22">
        <v>1.1874</v>
      </c>
    </row>
    <row r="73" spans="1:15" x14ac:dyDescent="0.25">
      <c r="A73" s="26" t="s">
        <v>327</v>
      </c>
      <c r="B73" s="49" t="s">
        <v>328</v>
      </c>
      <c r="C73" s="50">
        <v>1.125</v>
      </c>
      <c r="D73" s="49">
        <v>8.92</v>
      </c>
      <c r="E73" s="49">
        <v>9.52</v>
      </c>
      <c r="F73" s="20">
        <v>1.1850000000000001</v>
      </c>
      <c r="G73" s="20">
        <v>1.1839999999999999</v>
      </c>
      <c r="H73" s="20">
        <v>1.1845000000000001</v>
      </c>
      <c r="I73" s="22">
        <v>2</v>
      </c>
      <c r="J73" s="20" t="s">
        <v>0</v>
      </c>
      <c r="K73" s="20" t="s">
        <v>0</v>
      </c>
      <c r="L73" s="20" t="s">
        <v>0</v>
      </c>
      <c r="M73" s="23" t="s">
        <v>0</v>
      </c>
      <c r="N73" s="22" t="s">
        <v>0</v>
      </c>
      <c r="O73" s="22">
        <v>1.1855</v>
      </c>
    </row>
    <row r="74" spans="1:15" x14ac:dyDescent="0.25">
      <c r="A74" s="26" t="s">
        <v>21</v>
      </c>
      <c r="B74" s="49" t="s">
        <v>157</v>
      </c>
      <c r="C74" s="50">
        <v>3.875</v>
      </c>
      <c r="D74" s="49">
        <v>9.08</v>
      </c>
      <c r="E74" s="49">
        <v>10.79</v>
      </c>
      <c r="F74" s="20" t="s">
        <v>0</v>
      </c>
      <c r="G74" s="20" t="s">
        <v>0</v>
      </c>
      <c r="H74" s="20" t="s">
        <v>0</v>
      </c>
      <c r="I74" s="22" t="s">
        <v>0</v>
      </c>
      <c r="J74" s="20" t="s">
        <v>0</v>
      </c>
      <c r="K74" s="20" t="s">
        <v>0</v>
      </c>
      <c r="L74" s="20" t="s">
        <v>0</v>
      </c>
      <c r="M74" s="23" t="s">
        <v>0</v>
      </c>
      <c r="N74" s="22" t="s">
        <v>0</v>
      </c>
      <c r="O74" s="22">
        <v>1.1920999999999999</v>
      </c>
    </row>
    <row r="75" spans="1:15" x14ac:dyDescent="0.25">
      <c r="A75" s="26" t="s">
        <v>377</v>
      </c>
      <c r="B75" s="49" t="s">
        <v>362</v>
      </c>
      <c r="C75" s="50">
        <v>1.125</v>
      </c>
      <c r="D75" s="49">
        <v>9.19</v>
      </c>
      <c r="E75" s="49">
        <v>9.82</v>
      </c>
      <c r="F75" s="20" t="s">
        <v>0</v>
      </c>
      <c r="G75" s="20" t="s">
        <v>0</v>
      </c>
      <c r="H75" s="20" t="s">
        <v>0</v>
      </c>
      <c r="I75" s="22" t="s">
        <v>0</v>
      </c>
      <c r="J75" s="20" t="s">
        <v>0</v>
      </c>
      <c r="K75" s="20" t="s">
        <v>0</v>
      </c>
      <c r="L75" s="20" t="s">
        <v>0</v>
      </c>
      <c r="M75" s="23" t="s">
        <v>0</v>
      </c>
      <c r="N75" s="22" t="s">
        <v>0</v>
      </c>
      <c r="O75" s="22">
        <v>1.1884999999999999</v>
      </c>
    </row>
    <row r="76" spans="1:15" x14ac:dyDescent="0.25">
      <c r="A76" s="26" t="s">
        <v>361</v>
      </c>
      <c r="B76" s="49" t="s">
        <v>362</v>
      </c>
      <c r="C76" s="50">
        <v>1.125</v>
      </c>
      <c r="D76" s="49">
        <v>9.2200000000000006</v>
      </c>
      <c r="E76" s="49">
        <v>9.82</v>
      </c>
      <c r="F76" s="20" t="s">
        <v>0</v>
      </c>
      <c r="G76" s="20" t="s">
        <v>0</v>
      </c>
      <c r="H76" s="20" t="s">
        <v>0</v>
      </c>
      <c r="I76" s="22" t="s">
        <v>0</v>
      </c>
      <c r="J76" s="20" t="s">
        <v>0</v>
      </c>
      <c r="K76" s="20" t="s">
        <v>0</v>
      </c>
      <c r="L76" s="20" t="s">
        <v>0</v>
      </c>
      <c r="M76" s="23" t="s">
        <v>0</v>
      </c>
      <c r="N76" s="22" t="s">
        <v>0</v>
      </c>
      <c r="O76" s="22">
        <v>1.1888000000000001</v>
      </c>
    </row>
    <row r="77" spans="1:15" x14ac:dyDescent="0.25">
      <c r="A77" s="26" t="s">
        <v>63</v>
      </c>
      <c r="B77" s="49" t="s">
        <v>161</v>
      </c>
      <c r="C77" s="50">
        <v>2</v>
      </c>
      <c r="D77" s="49">
        <v>9.3800000000000008</v>
      </c>
      <c r="E77" s="49">
        <v>10.46</v>
      </c>
      <c r="F77" s="20" t="s">
        <v>0</v>
      </c>
      <c r="G77" s="20" t="s">
        <v>0</v>
      </c>
      <c r="H77" s="20" t="s">
        <v>0</v>
      </c>
      <c r="I77" s="22" t="s">
        <v>0</v>
      </c>
      <c r="J77" s="20" t="s">
        <v>0</v>
      </c>
      <c r="K77" s="20" t="s">
        <v>0</v>
      </c>
      <c r="L77" s="20" t="s">
        <v>0</v>
      </c>
      <c r="M77" s="23" t="s">
        <v>0</v>
      </c>
      <c r="N77" s="22" t="s">
        <v>0</v>
      </c>
      <c r="O77" s="22">
        <v>1.1935</v>
      </c>
    </row>
    <row r="78" spans="1:15" x14ac:dyDescent="0.25">
      <c r="A78" s="26" t="s">
        <v>65</v>
      </c>
      <c r="B78" s="49" t="s">
        <v>163</v>
      </c>
      <c r="C78" s="50">
        <v>2.125</v>
      </c>
      <c r="D78" s="49">
        <v>9.82</v>
      </c>
      <c r="E78" s="49">
        <v>10.97</v>
      </c>
      <c r="F78" s="20" t="s">
        <v>0</v>
      </c>
      <c r="G78" s="20" t="s">
        <v>0</v>
      </c>
      <c r="H78" s="20" t="s">
        <v>0</v>
      </c>
      <c r="I78" s="22" t="s">
        <v>0</v>
      </c>
      <c r="J78" s="20" t="s">
        <v>0</v>
      </c>
      <c r="K78" s="20" t="s">
        <v>0</v>
      </c>
      <c r="L78" s="20" t="s">
        <v>0</v>
      </c>
      <c r="M78" s="23" t="s">
        <v>0</v>
      </c>
      <c r="N78" s="22" t="s">
        <v>0</v>
      </c>
      <c r="O78" s="22">
        <v>1.1998</v>
      </c>
    </row>
    <row r="79" spans="1:15" x14ac:dyDescent="0.25">
      <c r="A79" s="26" t="s">
        <v>44</v>
      </c>
      <c r="B79" s="49" t="s">
        <v>162</v>
      </c>
      <c r="C79" s="50">
        <v>1.875</v>
      </c>
      <c r="D79" s="49">
        <v>9.66</v>
      </c>
      <c r="E79" s="49">
        <v>10.7</v>
      </c>
      <c r="F79" s="20" t="s">
        <v>0</v>
      </c>
      <c r="G79" s="20" t="s">
        <v>0</v>
      </c>
      <c r="H79" s="20" t="s">
        <v>0</v>
      </c>
      <c r="I79" s="22" t="s">
        <v>0</v>
      </c>
      <c r="J79" s="20" t="s">
        <v>0</v>
      </c>
      <c r="K79" s="20" t="s">
        <v>0</v>
      </c>
      <c r="L79" s="20" t="s">
        <v>0</v>
      </c>
      <c r="M79" s="23" t="s">
        <v>0</v>
      </c>
      <c r="N79" s="22" t="s">
        <v>0</v>
      </c>
      <c r="O79" s="22">
        <v>1.1969000000000001</v>
      </c>
    </row>
    <row r="80" spans="1:15" x14ac:dyDescent="0.25">
      <c r="A80" s="26" t="s">
        <v>64</v>
      </c>
      <c r="B80" s="49" t="s">
        <v>164</v>
      </c>
      <c r="C80" s="50">
        <v>2.25</v>
      </c>
      <c r="D80" s="49">
        <v>9.75</v>
      </c>
      <c r="E80" s="49">
        <v>11.14</v>
      </c>
      <c r="F80" s="20" t="s">
        <v>0</v>
      </c>
      <c r="G80" s="20" t="s">
        <v>0</v>
      </c>
      <c r="H80" s="20" t="s">
        <v>0</v>
      </c>
      <c r="I80" s="22" t="s">
        <v>0</v>
      </c>
      <c r="J80" s="20" t="s">
        <v>0</v>
      </c>
      <c r="K80" s="20" t="s">
        <v>0</v>
      </c>
      <c r="L80" s="20" t="s">
        <v>0</v>
      </c>
      <c r="M80" s="23" t="s">
        <v>0</v>
      </c>
      <c r="N80" s="22" t="s">
        <v>0</v>
      </c>
      <c r="O80" s="22">
        <v>1.2018</v>
      </c>
    </row>
    <row r="81" spans="1:15" x14ac:dyDescent="0.25">
      <c r="A81" s="26" t="s">
        <v>26</v>
      </c>
      <c r="B81" s="49" t="s">
        <v>165</v>
      </c>
      <c r="C81" s="50">
        <v>2</v>
      </c>
      <c r="D81" s="49">
        <v>10.17</v>
      </c>
      <c r="E81" s="49">
        <v>11.45</v>
      </c>
      <c r="F81" s="20" t="s">
        <v>0</v>
      </c>
      <c r="G81" s="20" t="s">
        <v>0</v>
      </c>
      <c r="H81" s="20" t="s">
        <v>0</v>
      </c>
      <c r="I81" s="22" t="s">
        <v>0</v>
      </c>
      <c r="J81" s="20" t="s">
        <v>0</v>
      </c>
      <c r="K81" s="20" t="s">
        <v>0</v>
      </c>
      <c r="L81" s="20" t="s">
        <v>0</v>
      </c>
      <c r="M81" s="23" t="s">
        <v>0</v>
      </c>
      <c r="N81" s="22" t="s">
        <v>0</v>
      </c>
      <c r="O81" s="22">
        <v>1.2071000000000001</v>
      </c>
    </row>
    <row r="82" spans="1:15" x14ac:dyDescent="0.25">
      <c r="A82" s="26" t="s">
        <v>49</v>
      </c>
      <c r="B82" s="49" t="s">
        <v>166</v>
      </c>
      <c r="C82" s="50">
        <v>2.125</v>
      </c>
      <c r="D82" s="49">
        <v>10.33</v>
      </c>
      <c r="E82" s="49">
        <v>11.67</v>
      </c>
      <c r="F82" s="20" t="s">
        <v>0</v>
      </c>
      <c r="G82" s="20" t="s">
        <v>0</v>
      </c>
      <c r="H82" s="20" t="s">
        <v>0</v>
      </c>
      <c r="I82" s="22" t="s">
        <v>0</v>
      </c>
      <c r="J82" s="20" t="s">
        <v>0</v>
      </c>
      <c r="K82" s="20" t="s">
        <v>0</v>
      </c>
      <c r="L82" s="20" t="s">
        <v>0</v>
      </c>
      <c r="M82" s="23" t="s">
        <v>0</v>
      </c>
      <c r="N82" s="22" t="s">
        <v>0</v>
      </c>
      <c r="O82" s="22">
        <v>1.2101</v>
      </c>
    </row>
    <row r="83" spans="1:15" x14ac:dyDescent="0.25">
      <c r="A83" s="26" t="s">
        <v>54</v>
      </c>
      <c r="B83" s="49" t="s">
        <v>167</v>
      </c>
      <c r="C83" s="50">
        <v>1.75</v>
      </c>
      <c r="D83" s="49">
        <v>10.85</v>
      </c>
      <c r="E83" s="49">
        <v>12.2</v>
      </c>
      <c r="F83" s="20" t="s">
        <v>0</v>
      </c>
      <c r="G83" s="20" t="s">
        <v>0</v>
      </c>
      <c r="H83" s="20" t="s">
        <v>0</v>
      </c>
      <c r="I83" s="22" t="s">
        <v>0</v>
      </c>
      <c r="J83" s="20" t="s">
        <v>0</v>
      </c>
      <c r="K83" s="20" t="s">
        <v>0</v>
      </c>
      <c r="L83" s="20" t="s">
        <v>0</v>
      </c>
      <c r="M83" s="23" t="s">
        <v>0</v>
      </c>
      <c r="N83" s="22" t="s">
        <v>0</v>
      </c>
      <c r="O83" s="22">
        <v>1.2199</v>
      </c>
    </row>
    <row r="84" spans="1:15" x14ac:dyDescent="0.25">
      <c r="A84" s="26" t="s">
        <v>39</v>
      </c>
      <c r="B84" s="49" t="s">
        <v>168</v>
      </c>
      <c r="C84" s="50">
        <v>1.375</v>
      </c>
      <c r="D84" s="49">
        <v>11.3</v>
      </c>
      <c r="E84" s="49">
        <v>12.44</v>
      </c>
      <c r="F84" s="20" t="s">
        <v>0</v>
      </c>
      <c r="G84" s="20" t="s">
        <v>0</v>
      </c>
      <c r="H84" s="20" t="s">
        <v>0</v>
      </c>
      <c r="I84" s="22" t="s">
        <v>0</v>
      </c>
      <c r="J84" s="20" t="s">
        <v>0</v>
      </c>
      <c r="K84" s="20" t="s">
        <v>0</v>
      </c>
      <c r="L84" s="20" t="s">
        <v>0</v>
      </c>
      <c r="M84" s="23" t="s">
        <v>0</v>
      </c>
      <c r="N84" s="22" t="s">
        <v>0</v>
      </c>
      <c r="O84" s="22">
        <v>1.2255</v>
      </c>
    </row>
    <row r="85" spans="1:15" x14ac:dyDescent="0.25">
      <c r="A85" s="26" t="s">
        <v>34</v>
      </c>
      <c r="B85" s="49" t="s">
        <v>169</v>
      </c>
      <c r="C85" s="50">
        <v>1.25</v>
      </c>
      <c r="D85" s="49">
        <v>11.59</v>
      </c>
      <c r="E85" s="49">
        <v>12.65</v>
      </c>
      <c r="F85" s="20" t="s">
        <v>0</v>
      </c>
      <c r="G85" s="20" t="s">
        <v>0</v>
      </c>
      <c r="H85" s="20" t="s">
        <v>0</v>
      </c>
      <c r="I85" s="22" t="s">
        <v>0</v>
      </c>
      <c r="J85" s="20" t="s">
        <v>0</v>
      </c>
      <c r="K85" s="20" t="s">
        <v>0</v>
      </c>
      <c r="L85" s="20" t="s">
        <v>0</v>
      </c>
      <c r="M85" s="23" t="s">
        <v>0</v>
      </c>
      <c r="N85" s="22" t="s">
        <v>0</v>
      </c>
      <c r="O85" s="22">
        <v>1.2297</v>
      </c>
    </row>
    <row r="86" spans="1:15" x14ac:dyDescent="0.25">
      <c r="A86" s="26" t="s">
        <v>45</v>
      </c>
      <c r="B86" s="49" t="s">
        <v>171</v>
      </c>
      <c r="C86" s="50">
        <v>1.125</v>
      </c>
      <c r="D86" s="49">
        <v>11.94</v>
      </c>
      <c r="E86" s="49">
        <v>12.93</v>
      </c>
      <c r="F86" s="20" t="s">
        <v>0</v>
      </c>
      <c r="G86" s="20" t="s">
        <v>0</v>
      </c>
      <c r="H86" s="20" t="s">
        <v>0</v>
      </c>
      <c r="I86" s="22" t="s">
        <v>0</v>
      </c>
      <c r="J86" s="20" t="s">
        <v>0</v>
      </c>
      <c r="K86" s="20" t="s">
        <v>0</v>
      </c>
      <c r="L86" s="20" t="s">
        <v>0</v>
      </c>
      <c r="M86" s="23" t="s">
        <v>0</v>
      </c>
      <c r="N86" s="22" t="s">
        <v>0</v>
      </c>
      <c r="O86" s="22">
        <v>1.2351000000000001</v>
      </c>
    </row>
    <row r="87" spans="1:15" x14ac:dyDescent="0.25">
      <c r="A87" s="26" t="s">
        <v>36</v>
      </c>
      <c r="B87" s="49" t="s">
        <v>170</v>
      </c>
      <c r="C87" s="50">
        <v>1.75</v>
      </c>
      <c r="D87" s="49">
        <v>11.96</v>
      </c>
      <c r="E87" s="49">
        <v>13.53</v>
      </c>
      <c r="F87" s="20" t="s">
        <v>0</v>
      </c>
      <c r="G87" s="20" t="s">
        <v>0</v>
      </c>
      <c r="H87" s="20" t="s">
        <v>0</v>
      </c>
      <c r="I87" s="22" t="s">
        <v>0</v>
      </c>
      <c r="J87" s="20" t="s">
        <v>0</v>
      </c>
      <c r="K87" s="20" t="s">
        <v>0</v>
      </c>
      <c r="L87" s="20" t="s">
        <v>0</v>
      </c>
      <c r="M87" s="23" t="s">
        <v>0</v>
      </c>
      <c r="N87" s="22" t="s">
        <v>0</v>
      </c>
      <c r="O87" s="22">
        <v>1.2425999999999999</v>
      </c>
    </row>
    <row r="88" spans="1:15" x14ac:dyDescent="0.25">
      <c r="A88" s="26" t="s">
        <v>66</v>
      </c>
      <c r="B88" s="49" t="s">
        <v>172</v>
      </c>
      <c r="C88" s="50">
        <v>1.5</v>
      </c>
      <c r="D88" s="49">
        <v>12.43</v>
      </c>
      <c r="E88" s="49">
        <v>14.02</v>
      </c>
      <c r="F88" s="20" t="s">
        <v>0</v>
      </c>
      <c r="G88" s="20" t="s">
        <v>0</v>
      </c>
      <c r="H88" s="20" t="s">
        <v>0</v>
      </c>
      <c r="I88" s="22" t="s">
        <v>0</v>
      </c>
      <c r="J88" s="20" t="s">
        <v>0</v>
      </c>
      <c r="K88" s="20" t="s">
        <v>0</v>
      </c>
      <c r="L88" s="20" t="s">
        <v>0</v>
      </c>
      <c r="M88" s="23" t="s">
        <v>0</v>
      </c>
      <c r="N88" s="22" t="s">
        <v>0</v>
      </c>
      <c r="O88" s="22">
        <v>1.2528999999999999</v>
      </c>
    </row>
    <row r="89" spans="1:15" x14ac:dyDescent="0.25">
      <c r="A89" s="26" t="s">
        <v>67</v>
      </c>
      <c r="B89" s="49" t="s">
        <v>173</v>
      </c>
      <c r="C89" s="50">
        <v>1.375</v>
      </c>
      <c r="D89" s="49">
        <v>13.08</v>
      </c>
      <c r="E89" s="49">
        <v>14.58</v>
      </c>
      <c r="F89" s="20" t="s">
        <v>0</v>
      </c>
      <c r="G89" s="20" t="s">
        <v>0</v>
      </c>
      <c r="H89" s="20" t="s">
        <v>0</v>
      </c>
      <c r="I89" s="22" t="s">
        <v>0</v>
      </c>
      <c r="J89" s="20" t="s">
        <v>0</v>
      </c>
      <c r="K89" s="20" t="s">
        <v>0</v>
      </c>
      <c r="L89" s="20" t="s">
        <v>0</v>
      </c>
      <c r="M89" s="23" t="s">
        <v>0</v>
      </c>
      <c r="N89" s="22" t="s">
        <v>0</v>
      </c>
      <c r="O89" s="22">
        <v>1.2641</v>
      </c>
    </row>
    <row r="90" spans="1:15" x14ac:dyDescent="0.25">
      <c r="A90" s="26" t="s">
        <v>68</v>
      </c>
      <c r="B90" s="49" t="s">
        <v>175</v>
      </c>
      <c r="C90" s="50">
        <v>1.125</v>
      </c>
      <c r="D90" s="49">
        <v>13.64</v>
      </c>
      <c r="E90" s="49">
        <v>15.11</v>
      </c>
      <c r="F90" s="20" t="s">
        <v>0</v>
      </c>
      <c r="G90" s="20" t="s">
        <v>0</v>
      </c>
      <c r="H90" s="20" t="s">
        <v>0</v>
      </c>
      <c r="I90" s="22" t="s">
        <v>0</v>
      </c>
      <c r="J90" s="20" t="s">
        <v>0</v>
      </c>
      <c r="K90" s="20" t="s">
        <v>0</v>
      </c>
      <c r="L90" s="20" t="s">
        <v>0</v>
      </c>
      <c r="M90" s="23" t="s">
        <v>0</v>
      </c>
      <c r="N90" s="22" t="s">
        <v>0</v>
      </c>
      <c r="O90" s="22">
        <v>1.2758</v>
      </c>
    </row>
    <row r="91" spans="1:15" x14ac:dyDescent="0.25">
      <c r="A91" s="26" t="s">
        <v>22</v>
      </c>
      <c r="B91" s="49" t="s">
        <v>174</v>
      </c>
      <c r="C91" s="50">
        <v>2.25</v>
      </c>
      <c r="D91" s="49">
        <v>13.8</v>
      </c>
      <c r="E91" s="49">
        <v>16.46</v>
      </c>
      <c r="F91" s="20" t="s">
        <v>0</v>
      </c>
      <c r="G91" s="20" t="s">
        <v>0</v>
      </c>
      <c r="H91" s="20" t="s">
        <v>0</v>
      </c>
      <c r="I91" s="22" t="s">
        <v>0</v>
      </c>
      <c r="J91" s="20" t="s">
        <v>0</v>
      </c>
      <c r="K91" s="20" t="s">
        <v>0</v>
      </c>
      <c r="L91" s="20" t="s">
        <v>0</v>
      </c>
      <c r="M91" s="23" t="s">
        <v>0</v>
      </c>
      <c r="N91" s="22" t="s">
        <v>0</v>
      </c>
      <c r="O91" s="22">
        <v>1.2941</v>
      </c>
    </row>
    <row r="92" spans="1:15" x14ac:dyDescent="0.25">
      <c r="A92" s="26" t="s">
        <v>291</v>
      </c>
      <c r="B92" s="49" t="s">
        <v>176</v>
      </c>
      <c r="C92" s="50">
        <v>1.125</v>
      </c>
      <c r="D92" s="49">
        <v>13.99</v>
      </c>
      <c r="E92" s="49">
        <v>15.46</v>
      </c>
      <c r="F92" s="20" t="s">
        <v>0</v>
      </c>
      <c r="G92" s="20" t="s">
        <v>0</v>
      </c>
      <c r="H92" s="20" t="s">
        <v>0</v>
      </c>
      <c r="I92" s="22" t="s">
        <v>0</v>
      </c>
      <c r="J92" s="20" t="s">
        <v>0</v>
      </c>
      <c r="K92" s="20" t="s">
        <v>0</v>
      </c>
      <c r="L92" s="20" t="s">
        <v>0</v>
      </c>
      <c r="M92" s="23" t="s">
        <v>0</v>
      </c>
      <c r="N92" s="22" t="s">
        <v>0</v>
      </c>
      <c r="O92" s="22">
        <v>1.2827</v>
      </c>
    </row>
    <row r="93" spans="1:15" x14ac:dyDescent="0.25">
      <c r="A93" s="26" t="s">
        <v>292</v>
      </c>
      <c r="B93" s="49" t="s">
        <v>177</v>
      </c>
      <c r="C93" s="50">
        <v>1.125</v>
      </c>
      <c r="D93" s="49">
        <v>14.08</v>
      </c>
      <c r="E93" s="49">
        <v>15.56</v>
      </c>
      <c r="F93" s="20" t="s">
        <v>0</v>
      </c>
      <c r="G93" s="20" t="s">
        <v>0</v>
      </c>
      <c r="H93" s="20" t="s">
        <v>0</v>
      </c>
      <c r="I93" s="22" t="s">
        <v>0</v>
      </c>
      <c r="J93" s="20" t="s">
        <v>0</v>
      </c>
      <c r="K93" s="20" t="s">
        <v>0</v>
      </c>
      <c r="L93" s="20" t="s">
        <v>0</v>
      </c>
      <c r="M93" s="23" t="s">
        <v>0</v>
      </c>
      <c r="N93" s="22" t="s">
        <v>0</v>
      </c>
      <c r="O93" s="22">
        <v>1.2846</v>
      </c>
    </row>
    <row r="94" spans="1:15" x14ac:dyDescent="0.25">
      <c r="A94" s="26" t="s">
        <v>46</v>
      </c>
      <c r="B94" s="49" t="s">
        <v>178</v>
      </c>
      <c r="C94" s="50">
        <v>2.125</v>
      </c>
      <c r="D94" s="49">
        <v>14.53</v>
      </c>
      <c r="E94" s="49">
        <v>17.38</v>
      </c>
      <c r="F94" s="20" t="s">
        <v>0</v>
      </c>
      <c r="G94" s="20" t="s">
        <v>0</v>
      </c>
      <c r="H94" s="20" t="s">
        <v>0</v>
      </c>
      <c r="I94" s="22" t="s">
        <v>0</v>
      </c>
      <c r="J94" s="20" t="s">
        <v>0</v>
      </c>
      <c r="K94" s="20" t="s">
        <v>0</v>
      </c>
      <c r="L94" s="20" t="s">
        <v>0</v>
      </c>
      <c r="M94" s="23" t="s">
        <v>0</v>
      </c>
      <c r="N94" s="22" t="s">
        <v>0</v>
      </c>
      <c r="O94" s="22">
        <v>1.3123</v>
      </c>
    </row>
    <row r="95" spans="1:15" x14ac:dyDescent="0.25">
      <c r="A95" s="26" t="s">
        <v>23</v>
      </c>
      <c r="B95" s="49" t="s">
        <v>179</v>
      </c>
      <c r="C95" s="50">
        <v>2</v>
      </c>
      <c r="D95" s="49">
        <v>14.79</v>
      </c>
      <c r="E95" s="49">
        <v>17.53</v>
      </c>
      <c r="F95" s="20" t="s">
        <v>0</v>
      </c>
      <c r="G95" s="20" t="s">
        <v>0</v>
      </c>
      <c r="H95" s="20" t="s">
        <v>0</v>
      </c>
      <c r="I95" s="22" t="s">
        <v>0</v>
      </c>
      <c r="J95" s="20" t="s">
        <v>0</v>
      </c>
      <c r="K95" s="20" t="s">
        <v>0</v>
      </c>
      <c r="L95" s="20" t="s">
        <v>0</v>
      </c>
      <c r="M95" s="23" t="s">
        <v>0</v>
      </c>
      <c r="N95" s="22" t="s">
        <v>0</v>
      </c>
      <c r="O95" s="22">
        <v>1.3162</v>
      </c>
    </row>
    <row r="96" spans="1:15" x14ac:dyDescent="0.25">
      <c r="A96" s="26" t="s">
        <v>40</v>
      </c>
      <c r="B96" s="49" t="s">
        <v>180</v>
      </c>
      <c r="C96" s="50">
        <v>0.75</v>
      </c>
      <c r="D96" s="49">
        <v>14.84</v>
      </c>
      <c r="E96" s="49">
        <v>16.07</v>
      </c>
      <c r="F96" s="20" t="s">
        <v>0</v>
      </c>
      <c r="G96" s="20" t="s">
        <v>0</v>
      </c>
      <c r="H96" s="20" t="s">
        <v>0</v>
      </c>
      <c r="I96" s="22" t="s">
        <v>0</v>
      </c>
      <c r="J96" s="20" t="s">
        <v>0</v>
      </c>
      <c r="K96" s="20" t="s">
        <v>0</v>
      </c>
      <c r="L96" s="20" t="s">
        <v>0</v>
      </c>
      <c r="M96" s="23" t="s">
        <v>0</v>
      </c>
      <c r="N96" s="22" t="s">
        <v>0</v>
      </c>
      <c r="O96" s="22">
        <v>1.2976000000000001</v>
      </c>
    </row>
    <row r="97" spans="1:15" x14ac:dyDescent="0.25">
      <c r="A97" s="26" t="s">
        <v>47</v>
      </c>
      <c r="B97" s="49" t="s">
        <v>181</v>
      </c>
      <c r="C97" s="50">
        <v>1.875</v>
      </c>
      <c r="D97" s="49">
        <v>15.12</v>
      </c>
      <c r="E97" s="49">
        <v>18.03</v>
      </c>
      <c r="F97" s="20" t="s">
        <v>0</v>
      </c>
      <c r="G97" s="20" t="s">
        <v>0</v>
      </c>
      <c r="H97" s="20" t="s">
        <v>0</v>
      </c>
      <c r="I97" s="22" t="s">
        <v>0</v>
      </c>
      <c r="J97" s="20" t="s">
        <v>0</v>
      </c>
      <c r="K97" s="20" t="s">
        <v>0</v>
      </c>
      <c r="L97" s="20" t="s">
        <v>0</v>
      </c>
      <c r="M97" s="23" t="s">
        <v>0</v>
      </c>
      <c r="N97" s="22" t="s">
        <v>0</v>
      </c>
      <c r="O97" s="22">
        <v>1.3268</v>
      </c>
    </row>
    <row r="98" spans="1:15" x14ac:dyDescent="0.25">
      <c r="A98" s="26" t="s">
        <v>293</v>
      </c>
      <c r="B98" s="49" t="s">
        <v>182</v>
      </c>
      <c r="C98" s="50">
        <v>0.75</v>
      </c>
      <c r="D98" s="49">
        <v>15.19</v>
      </c>
      <c r="E98" s="49">
        <v>16.43</v>
      </c>
      <c r="F98" s="20" t="s">
        <v>0</v>
      </c>
      <c r="G98" s="20" t="s">
        <v>0</v>
      </c>
      <c r="H98" s="20" t="s">
        <v>0</v>
      </c>
      <c r="I98" s="22" t="s">
        <v>0</v>
      </c>
      <c r="J98" s="20" t="s">
        <v>0</v>
      </c>
      <c r="K98" s="20" t="s">
        <v>0</v>
      </c>
      <c r="L98" s="20" t="s">
        <v>0</v>
      </c>
      <c r="M98" s="23" t="s">
        <v>0</v>
      </c>
      <c r="N98" s="22" t="s">
        <v>0</v>
      </c>
      <c r="O98" s="22">
        <v>1.3049999999999999</v>
      </c>
    </row>
    <row r="99" spans="1:15" x14ac:dyDescent="0.25">
      <c r="A99" s="26" t="s">
        <v>294</v>
      </c>
      <c r="B99" s="49" t="s">
        <v>184</v>
      </c>
      <c r="C99" s="50">
        <v>0.5</v>
      </c>
      <c r="D99" s="49">
        <v>15.64</v>
      </c>
      <c r="E99" s="49">
        <v>16.57</v>
      </c>
      <c r="F99" s="20" t="s">
        <v>0</v>
      </c>
      <c r="G99" s="20" t="s">
        <v>0</v>
      </c>
      <c r="H99" s="20" t="s">
        <v>0</v>
      </c>
      <c r="I99" s="22" t="s">
        <v>0</v>
      </c>
      <c r="J99" s="20" t="s">
        <v>0</v>
      </c>
      <c r="K99" s="20" t="s">
        <v>0</v>
      </c>
      <c r="L99" s="20" t="s">
        <v>0</v>
      </c>
      <c r="M99" s="23" t="s">
        <v>0</v>
      </c>
      <c r="N99" s="22" t="s">
        <v>0</v>
      </c>
      <c r="O99" s="22">
        <v>1.3101</v>
      </c>
    </row>
    <row r="100" spans="1:15" x14ac:dyDescent="0.25">
      <c r="A100" s="26" t="s">
        <v>24</v>
      </c>
      <c r="B100" s="49" t="s">
        <v>183</v>
      </c>
      <c r="C100" s="50">
        <v>1.75</v>
      </c>
      <c r="D100" s="49">
        <v>15.72</v>
      </c>
      <c r="E100" s="49">
        <v>18.510000000000002</v>
      </c>
      <c r="F100" s="20" t="s">
        <v>0</v>
      </c>
      <c r="G100" s="20" t="s">
        <v>0</v>
      </c>
      <c r="H100" s="20" t="s">
        <v>0</v>
      </c>
      <c r="I100" s="22" t="s">
        <v>0</v>
      </c>
      <c r="J100" s="20" t="s">
        <v>0</v>
      </c>
      <c r="K100" s="20" t="s">
        <v>0</v>
      </c>
      <c r="L100" s="20" t="s">
        <v>0</v>
      </c>
      <c r="M100" s="23" t="s">
        <v>0</v>
      </c>
      <c r="N100" s="22" t="s">
        <v>0</v>
      </c>
      <c r="O100" s="22">
        <v>1.3371</v>
      </c>
    </row>
    <row r="101" spans="1:15" x14ac:dyDescent="0.25">
      <c r="A101" s="26" t="s">
        <v>69</v>
      </c>
      <c r="B101" s="49" t="s">
        <v>185</v>
      </c>
      <c r="C101" s="50">
        <v>2.5</v>
      </c>
      <c r="D101" s="49">
        <v>16.13</v>
      </c>
      <c r="E101" s="49">
        <v>19.97</v>
      </c>
      <c r="F101" s="20" t="s">
        <v>0</v>
      </c>
      <c r="G101" s="20" t="s">
        <v>0</v>
      </c>
      <c r="H101" s="20" t="s">
        <v>0</v>
      </c>
      <c r="I101" s="22" t="s">
        <v>0</v>
      </c>
      <c r="J101" s="20" t="s">
        <v>0</v>
      </c>
      <c r="K101" s="20" t="s">
        <v>0</v>
      </c>
      <c r="L101" s="20" t="s">
        <v>0</v>
      </c>
      <c r="M101" s="23" t="s">
        <v>0</v>
      </c>
      <c r="N101" s="22" t="s">
        <v>0</v>
      </c>
      <c r="O101" s="22">
        <v>1.3573999999999999</v>
      </c>
    </row>
    <row r="102" spans="1:15" x14ac:dyDescent="0.25">
      <c r="A102" s="26" t="s">
        <v>311</v>
      </c>
      <c r="B102" s="49" t="s">
        <v>306</v>
      </c>
      <c r="C102" s="50">
        <v>1.875</v>
      </c>
      <c r="D102" s="49">
        <v>15.93</v>
      </c>
      <c r="E102" s="49">
        <v>19.13</v>
      </c>
      <c r="F102" s="20">
        <v>1.3560000000000001</v>
      </c>
      <c r="G102" s="20">
        <v>1.3560000000000001</v>
      </c>
      <c r="H102" s="20">
        <v>1.3560000000000001</v>
      </c>
      <c r="I102" s="22">
        <v>1</v>
      </c>
      <c r="J102" s="20">
        <v>1.355</v>
      </c>
      <c r="K102" s="20">
        <v>1.355</v>
      </c>
      <c r="L102" s="20">
        <v>1.355</v>
      </c>
      <c r="M102" s="23">
        <v>1</v>
      </c>
      <c r="N102" s="22">
        <v>1</v>
      </c>
      <c r="O102" s="22">
        <v>1.3479000000000001</v>
      </c>
    </row>
    <row r="103" spans="1:15" x14ac:dyDescent="0.25">
      <c r="A103" s="26" t="s">
        <v>295</v>
      </c>
      <c r="B103" s="49" t="s">
        <v>187</v>
      </c>
      <c r="C103" s="50">
        <v>0.5</v>
      </c>
      <c r="D103" s="49">
        <v>16.07</v>
      </c>
      <c r="E103" s="49">
        <v>17.100000000000001</v>
      </c>
      <c r="F103" s="20" t="s">
        <v>0</v>
      </c>
      <c r="G103" s="20" t="s">
        <v>0</v>
      </c>
      <c r="H103" s="20" t="s">
        <v>0</v>
      </c>
      <c r="I103" s="22" t="s">
        <v>0</v>
      </c>
      <c r="J103" s="20" t="s">
        <v>0</v>
      </c>
      <c r="K103" s="20" t="s">
        <v>0</v>
      </c>
      <c r="L103" s="20" t="s">
        <v>0</v>
      </c>
      <c r="M103" s="23" t="s">
        <v>0</v>
      </c>
      <c r="N103" s="22" t="s">
        <v>0</v>
      </c>
      <c r="O103" s="22">
        <v>1.321</v>
      </c>
    </row>
    <row r="104" spans="1:15" x14ac:dyDescent="0.25">
      <c r="A104" s="26" t="s">
        <v>70</v>
      </c>
      <c r="B104" s="49" t="s">
        <v>186</v>
      </c>
      <c r="C104" s="50">
        <v>1.625</v>
      </c>
      <c r="D104" s="49">
        <v>16.12</v>
      </c>
      <c r="E104" s="49">
        <v>19.03</v>
      </c>
      <c r="F104" s="20" t="s">
        <v>0</v>
      </c>
      <c r="G104" s="20" t="s">
        <v>0</v>
      </c>
      <c r="H104" s="20" t="s">
        <v>0</v>
      </c>
      <c r="I104" s="22" t="s">
        <v>0</v>
      </c>
      <c r="J104" s="20" t="s">
        <v>0</v>
      </c>
      <c r="K104" s="20" t="s">
        <v>0</v>
      </c>
      <c r="L104" s="20" t="s">
        <v>0</v>
      </c>
      <c r="M104" s="23" t="s">
        <v>0</v>
      </c>
      <c r="N104" s="22" t="s">
        <v>0</v>
      </c>
      <c r="O104" s="22">
        <v>1.3484</v>
      </c>
    </row>
    <row r="105" spans="1:15" x14ac:dyDescent="0.25">
      <c r="A105" s="26" t="s">
        <v>297</v>
      </c>
      <c r="B105" s="49" t="s">
        <v>193</v>
      </c>
      <c r="C105" s="50">
        <v>0.5</v>
      </c>
      <c r="D105" s="49">
        <v>16.43</v>
      </c>
      <c r="E105" s="49">
        <v>17.47</v>
      </c>
      <c r="F105" s="20" t="s">
        <v>0</v>
      </c>
      <c r="G105" s="20" t="s">
        <v>0</v>
      </c>
      <c r="H105" s="20" t="s">
        <v>0</v>
      </c>
      <c r="I105" s="22" t="s">
        <v>0</v>
      </c>
      <c r="J105" s="20" t="s">
        <v>0</v>
      </c>
      <c r="K105" s="20" t="s">
        <v>0</v>
      </c>
      <c r="L105" s="20" t="s">
        <v>0</v>
      </c>
      <c r="M105" s="23" t="s">
        <v>0</v>
      </c>
      <c r="N105" s="22" t="s">
        <v>0</v>
      </c>
      <c r="O105" s="22">
        <v>1.3286</v>
      </c>
    </row>
    <row r="106" spans="1:15" x14ac:dyDescent="0.25">
      <c r="A106" s="26" t="s">
        <v>41</v>
      </c>
      <c r="B106" s="49" t="s">
        <v>188</v>
      </c>
      <c r="C106" s="50">
        <v>1.75</v>
      </c>
      <c r="D106" s="49">
        <v>16.47</v>
      </c>
      <c r="E106" s="49">
        <v>19.54</v>
      </c>
      <c r="F106" s="20">
        <v>1.3660000000000001</v>
      </c>
      <c r="G106" s="20">
        <v>1.3651</v>
      </c>
      <c r="H106" s="20">
        <v>1.3654999999999999</v>
      </c>
      <c r="I106" s="22">
        <v>1</v>
      </c>
      <c r="J106" s="20">
        <v>1.365</v>
      </c>
      <c r="K106" s="20">
        <v>1.365</v>
      </c>
      <c r="L106" s="20">
        <v>1.365</v>
      </c>
      <c r="M106" s="23">
        <v>1</v>
      </c>
      <c r="N106" s="22">
        <v>0.5</v>
      </c>
      <c r="O106" s="22">
        <v>1.3568</v>
      </c>
    </row>
    <row r="107" spans="1:15" x14ac:dyDescent="0.25">
      <c r="A107" s="26" t="s">
        <v>260</v>
      </c>
      <c r="B107" s="49" t="s">
        <v>192</v>
      </c>
      <c r="C107" s="50">
        <v>0.375</v>
      </c>
      <c r="D107" s="49">
        <v>16.53</v>
      </c>
      <c r="E107" s="49">
        <v>17.38</v>
      </c>
      <c r="F107" s="20" t="s">
        <v>0</v>
      </c>
      <c r="G107" s="20" t="s">
        <v>0</v>
      </c>
      <c r="H107" s="20" t="s">
        <v>0</v>
      </c>
      <c r="I107" s="22" t="s">
        <v>0</v>
      </c>
      <c r="J107" s="20" t="s">
        <v>0</v>
      </c>
      <c r="K107" s="20" t="s">
        <v>0</v>
      </c>
      <c r="L107" s="20" t="s">
        <v>0</v>
      </c>
      <c r="M107" s="23" t="s">
        <v>0</v>
      </c>
      <c r="N107" s="22" t="s">
        <v>0</v>
      </c>
      <c r="O107" s="22">
        <v>1.3281000000000001</v>
      </c>
    </row>
    <row r="108" spans="1:15" x14ac:dyDescent="0.25">
      <c r="A108" s="26" t="s">
        <v>256</v>
      </c>
      <c r="B108" s="49" t="s">
        <v>250</v>
      </c>
      <c r="C108" s="50">
        <v>1</v>
      </c>
      <c r="D108" s="49">
        <v>16.54</v>
      </c>
      <c r="E108" s="49">
        <v>18.43</v>
      </c>
      <c r="F108" s="20" t="s">
        <v>0</v>
      </c>
      <c r="G108" s="20" t="s">
        <v>0</v>
      </c>
      <c r="H108" s="20" t="s">
        <v>0</v>
      </c>
      <c r="I108" s="22" t="s">
        <v>0</v>
      </c>
      <c r="J108" s="20" t="s">
        <v>0</v>
      </c>
      <c r="K108" s="20" t="s">
        <v>0</v>
      </c>
      <c r="L108" s="20" t="s">
        <v>0</v>
      </c>
      <c r="M108" s="23" t="s">
        <v>0</v>
      </c>
      <c r="N108" s="22" t="s">
        <v>0</v>
      </c>
      <c r="O108" s="22">
        <v>1.3431</v>
      </c>
    </row>
    <row r="109" spans="1:15" x14ac:dyDescent="0.25">
      <c r="A109" s="26" t="s">
        <v>296</v>
      </c>
      <c r="B109" s="49" t="s">
        <v>213</v>
      </c>
      <c r="C109" s="50">
        <v>0.625</v>
      </c>
      <c r="D109" s="49">
        <v>16.55</v>
      </c>
      <c r="E109" s="49">
        <v>17.77</v>
      </c>
      <c r="F109" s="20" t="s">
        <v>0</v>
      </c>
      <c r="G109" s="20" t="s">
        <v>0</v>
      </c>
      <c r="H109" s="20" t="s">
        <v>0</v>
      </c>
      <c r="I109" s="22" t="s">
        <v>0</v>
      </c>
      <c r="J109" s="20" t="s">
        <v>0</v>
      </c>
      <c r="K109" s="20" t="s">
        <v>0</v>
      </c>
      <c r="L109" s="20" t="s">
        <v>0</v>
      </c>
      <c r="M109" s="23" t="s">
        <v>0</v>
      </c>
      <c r="N109" s="22" t="s">
        <v>0</v>
      </c>
      <c r="O109" s="22">
        <v>1.3335999999999999</v>
      </c>
    </row>
    <row r="110" spans="1:15" x14ac:dyDescent="0.25">
      <c r="A110" s="26" t="s">
        <v>72</v>
      </c>
      <c r="B110" s="49" t="s">
        <v>190</v>
      </c>
      <c r="C110" s="50">
        <v>2.25</v>
      </c>
      <c r="D110" s="49">
        <v>17.04</v>
      </c>
      <c r="E110" s="49">
        <v>20.98</v>
      </c>
      <c r="F110" s="20" t="s">
        <v>0</v>
      </c>
      <c r="G110" s="20" t="s">
        <v>0</v>
      </c>
      <c r="H110" s="20" t="s">
        <v>0</v>
      </c>
      <c r="I110" s="22" t="s">
        <v>0</v>
      </c>
      <c r="J110" s="20" t="s">
        <v>0</v>
      </c>
      <c r="K110" s="20" t="s">
        <v>0</v>
      </c>
      <c r="L110" s="20" t="s">
        <v>0</v>
      </c>
      <c r="M110" s="23" t="s">
        <v>0</v>
      </c>
      <c r="N110" s="22" t="s">
        <v>0</v>
      </c>
      <c r="O110" s="22">
        <v>1.3781000000000001</v>
      </c>
    </row>
    <row r="111" spans="1:15" x14ac:dyDescent="0.25">
      <c r="A111" s="26" t="s">
        <v>48</v>
      </c>
      <c r="B111" s="49" t="s">
        <v>189</v>
      </c>
      <c r="C111" s="50">
        <v>2.125</v>
      </c>
      <c r="D111" s="49">
        <v>16.739999999999998</v>
      </c>
      <c r="E111" s="49">
        <v>20.54</v>
      </c>
      <c r="F111" s="20" t="s">
        <v>0</v>
      </c>
      <c r="G111" s="20" t="s">
        <v>0</v>
      </c>
      <c r="H111" s="20" t="s">
        <v>0</v>
      </c>
      <c r="I111" s="22" t="s">
        <v>0</v>
      </c>
      <c r="J111" s="20" t="s">
        <v>0</v>
      </c>
      <c r="K111" s="20" t="s">
        <v>0</v>
      </c>
      <c r="L111" s="20" t="s">
        <v>0</v>
      </c>
      <c r="M111" s="23" t="s">
        <v>0</v>
      </c>
      <c r="N111" s="22" t="s">
        <v>0</v>
      </c>
      <c r="O111" s="22">
        <v>1.3714999999999999</v>
      </c>
    </row>
    <row r="112" spans="1:15" x14ac:dyDescent="0.25">
      <c r="A112" s="26" t="s">
        <v>259</v>
      </c>
      <c r="B112" s="49" t="s">
        <v>251</v>
      </c>
      <c r="C112" s="50">
        <v>0.875</v>
      </c>
      <c r="D112" s="49">
        <v>16.84</v>
      </c>
      <c r="E112" s="49">
        <v>18.559999999999999</v>
      </c>
      <c r="F112" s="20" t="s">
        <v>0</v>
      </c>
      <c r="G112" s="20" t="s">
        <v>0</v>
      </c>
      <c r="H112" s="20" t="s">
        <v>0</v>
      </c>
      <c r="I112" s="22" t="s">
        <v>0</v>
      </c>
      <c r="J112" s="20" t="s">
        <v>0</v>
      </c>
      <c r="K112" s="20" t="s">
        <v>0</v>
      </c>
      <c r="L112" s="20" t="s">
        <v>0</v>
      </c>
      <c r="M112" s="23" t="s">
        <v>0</v>
      </c>
      <c r="N112" s="22" t="s">
        <v>0</v>
      </c>
      <c r="O112" s="22">
        <v>1.3469</v>
      </c>
    </row>
    <row r="113" spans="1:15" x14ac:dyDescent="0.25">
      <c r="A113" s="26" t="s">
        <v>298</v>
      </c>
      <c r="B113" s="49" t="s">
        <v>233</v>
      </c>
      <c r="C113" s="50">
        <v>0.625</v>
      </c>
      <c r="D113" s="49">
        <v>16.899999999999999</v>
      </c>
      <c r="E113" s="49">
        <v>18.25</v>
      </c>
      <c r="F113" s="20" t="s">
        <v>0</v>
      </c>
      <c r="G113" s="20" t="s">
        <v>0</v>
      </c>
      <c r="H113" s="20" t="s">
        <v>0</v>
      </c>
      <c r="I113" s="22" t="s">
        <v>0</v>
      </c>
      <c r="J113" s="20" t="s">
        <v>0</v>
      </c>
      <c r="K113" s="20" t="s">
        <v>0</v>
      </c>
      <c r="L113" s="20" t="s">
        <v>0</v>
      </c>
      <c r="M113" s="23" t="s">
        <v>0</v>
      </c>
      <c r="N113" s="22" t="s">
        <v>0</v>
      </c>
      <c r="O113" s="22">
        <v>1.3434999999999999</v>
      </c>
    </row>
    <row r="114" spans="1:15" x14ac:dyDescent="0.25">
      <c r="A114" s="26" t="s">
        <v>331</v>
      </c>
      <c r="B114" s="49" t="s">
        <v>332</v>
      </c>
      <c r="C114" s="50">
        <v>1.375</v>
      </c>
      <c r="D114" s="49">
        <v>16.940000000000001</v>
      </c>
      <c r="E114" s="49">
        <v>19.55</v>
      </c>
      <c r="F114" s="20">
        <v>1.3660000000000001</v>
      </c>
      <c r="G114" s="20">
        <v>1.3660000000000001</v>
      </c>
      <c r="H114" s="20">
        <v>1.3660000000000001</v>
      </c>
      <c r="I114" s="22">
        <v>1</v>
      </c>
      <c r="J114" s="20">
        <v>1.365</v>
      </c>
      <c r="K114" s="20">
        <v>1.365</v>
      </c>
      <c r="L114" s="20">
        <v>1.365</v>
      </c>
      <c r="M114" s="23">
        <v>1</v>
      </c>
      <c r="N114" s="22">
        <v>1</v>
      </c>
      <c r="O114" s="22">
        <v>1.3611</v>
      </c>
    </row>
    <row r="115" spans="1:15" x14ac:dyDescent="0.25">
      <c r="A115" s="26" t="s">
        <v>299</v>
      </c>
      <c r="B115" s="49" t="s">
        <v>224</v>
      </c>
      <c r="C115" s="50">
        <v>0.5</v>
      </c>
      <c r="D115" s="49">
        <v>16.98</v>
      </c>
      <c r="E115" s="49">
        <v>18.13</v>
      </c>
      <c r="F115" s="20" t="s">
        <v>0</v>
      </c>
      <c r="G115" s="20" t="s">
        <v>0</v>
      </c>
      <c r="H115" s="20" t="s">
        <v>0</v>
      </c>
      <c r="I115" s="22" t="s">
        <v>0</v>
      </c>
      <c r="J115" s="20" t="s">
        <v>0</v>
      </c>
      <c r="K115" s="20" t="s">
        <v>0</v>
      </c>
      <c r="L115" s="20" t="s">
        <v>0</v>
      </c>
      <c r="M115" s="23" t="s">
        <v>0</v>
      </c>
      <c r="N115" s="22" t="s">
        <v>0</v>
      </c>
      <c r="O115" s="22">
        <v>1.3424</v>
      </c>
    </row>
    <row r="116" spans="1:15" x14ac:dyDescent="0.25">
      <c r="A116" s="26" t="s">
        <v>71</v>
      </c>
      <c r="B116" s="49" t="s">
        <v>195</v>
      </c>
      <c r="C116" s="50">
        <v>2.25</v>
      </c>
      <c r="D116" s="49">
        <v>17.02</v>
      </c>
      <c r="E116" s="49">
        <v>21.29</v>
      </c>
      <c r="F116" s="20" t="s">
        <v>0</v>
      </c>
      <c r="G116" s="20" t="s">
        <v>0</v>
      </c>
      <c r="H116" s="20" t="s">
        <v>0</v>
      </c>
      <c r="I116" s="22" t="s">
        <v>0</v>
      </c>
      <c r="J116" s="20" t="s">
        <v>0</v>
      </c>
      <c r="K116" s="20" t="s">
        <v>0</v>
      </c>
      <c r="L116" s="20" t="s">
        <v>0</v>
      </c>
      <c r="M116" s="23" t="s">
        <v>0</v>
      </c>
      <c r="N116" s="22" t="s">
        <v>0</v>
      </c>
      <c r="O116" s="22">
        <v>1.3835999999999999</v>
      </c>
    </row>
    <row r="117" spans="1:15" x14ac:dyDescent="0.25">
      <c r="A117" s="26" t="s">
        <v>55</v>
      </c>
      <c r="B117" s="49" t="s">
        <v>191</v>
      </c>
      <c r="C117" s="50">
        <v>2.375</v>
      </c>
      <c r="D117" s="49">
        <v>17.09</v>
      </c>
      <c r="E117" s="49">
        <v>21.51</v>
      </c>
      <c r="F117" s="20" t="s">
        <v>0</v>
      </c>
      <c r="G117" s="20" t="s">
        <v>0</v>
      </c>
      <c r="H117" s="20" t="s">
        <v>0</v>
      </c>
      <c r="I117" s="22" t="s">
        <v>0</v>
      </c>
      <c r="J117" s="20" t="s">
        <v>0</v>
      </c>
      <c r="K117" s="20" t="s">
        <v>0</v>
      </c>
      <c r="L117" s="20" t="s">
        <v>0</v>
      </c>
      <c r="M117" s="23" t="s">
        <v>0</v>
      </c>
      <c r="N117" s="22" t="s">
        <v>0</v>
      </c>
      <c r="O117" s="22">
        <v>1.3861000000000001</v>
      </c>
    </row>
    <row r="118" spans="1:15" x14ac:dyDescent="0.25">
      <c r="A118" s="26" t="s">
        <v>73</v>
      </c>
      <c r="B118" s="49" t="s">
        <v>194</v>
      </c>
      <c r="C118" s="50">
        <v>2</v>
      </c>
      <c r="D118" s="49">
        <v>17.13</v>
      </c>
      <c r="E118" s="49">
        <v>20.79</v>
      </c>
      <c r="F118" s="20" t="s">
        <v>0</v>
      </c>
      <c r="G118" s="20" t="s">
        <v>0</v>
      </c>
      <c r="H118" s="20" t="s">
        <v>0</v>
      </c>
      <c r="I118" s="22" t="s">
        <v>0</v>
      </c>
      <c r="J118" s="20" t="s">
        <v>0</v>
      </c>
      <c r="K118" s="20" t="s">
        <v>0</v>
      </c>
      <c r="L118" s="20" t="s">
        <v>0</v>
      </c>
      <c r="M118" s="23" t="s">
        <v>0</v>
      </c>
      <c r="N118" s="22" t="s">
        <v>0</v>
      </c>
      <c r="O118" s="22">
        <v>1.3774</v>
      </c>
    </row>
    <row r="119" spans="1:15" x14ac:dyDescent="0.25">
      <c r="A119" s="26" t="s">
        <v>380</v>
      </c>
      <c r="B119" s="49" t="s">
        <v>381</v>
      </c>
      <c r="C119" s="50">
        <v>1.375</v>
      </c>
      <c r="D119" s="49">
        <v>17.38</v>
      </c>
      <c r="E119" s="49">
        <v>20</v>
      </c>
      <c r="F119" s="20" t="s">
        <v>0</v>
      </c>
      <c r="G119" s="20" t="s">
        <v>0</v>
      </c>
      <c r="H119" s="20" t="s">
        <v>0</v>
      </c>
      <c r="I119" s="22" t="s">
        <v>0</v>
      </c>
      <c r="J119" s="20" t="s">
        <v>0</v>
      </c>
      <c r="K119" s="20" t="s">
        <v>0</v>
      </c>
      <c r="L119" s="20" t="s">
        <v>0</v>
      </c>
      <c r="M119" s="23" t="s">
        <v>0</v>
      </c>
      <c r="N119" s="22" t="s">
        <v>0</v>
      </c>
      <c r="O119" s="22">
        <v>1.3698999999999999</v>
      </c>
    </row>
    <row r="120" spans="1:15" x14ac:dyDescent="0.25">
      <c r="A120" s="26" t="s">
        <v>74</v>
      </c>
      <c r="B120" s="49" t="s">
        <v>196</v>
      </c>
      <c r="C120" s="50">
        <v>2.375</v>
      </c>
      <c r="D120" s="49">
        <v>17.329999999999998</v>
      </c>
      <c r="E120" s="49">
        <v>21.76</v>
      </c>
      <c r="F120" s="20">
        <v>1.3959999999999999</v>
      </c>
      <c r="G120" s="20">
        <v>1.3959999999999999</v>
      </c>
      <c r="H120" s="20">
        <v>1.3959999999999999</v>
      </c>
      <c r="I120" s="22">
        <v>1</v>
      </c>
      <c r="J120" s="20">
        <v>1.395</v>
      </c>
      <c r="K120" s="20">
        <v>1.395</v>
      </c>
      <c r="L120" s="20">
        <v>1.395</v>
      </c>
      <c r="M120" s="23">
        <v>1</v>
      </c>
      <c r="N120" s="22">
        <v>1</v>
      </c>
      <c r="O120" s="22">
        <v>1.3905000000000001</v>
      </c>
    </row>
    <row r="121" spans="1:15" x14ac:dyDescent="0.25">
      <c r="A121" s="26" t="s">
        <v>75</v>
      </c>
      <c r="B121" s="49" t="s">
        <v>197</v>
      </c>
      <c r="C121" s="50">
        <v>2.25</v>
      </c>
      <c r="D121" s="49">
        <v>17.7</v>
      </c>
      <c r="E121" s="49">
        <v>21.99</v>
      </c>
      <c r="F121" s="20" t="s">
        <v>0</v>
      </c>
      <c r="G121" s="20" t="s">
        <v>0</v>
      </c>
      <c r="H121" s="20" t="s">
        <v>0</v>
      </c>
      <c r="I121" s="22" t="s">
        <v>0</v>
      </c>
      <c r="J121" s="20" t="s">
        <v>0</v>
      </c>
      <c r="K121" s="20" t="s">
        <v>0</v>
      </c>
      <c r="L121" s="20" t="s">
        <v>0</v>
      </c>
      <c r="M121" s="23" t="s">
        <v>0</v>
      </c>
      <c r="N121" s="22" t="s">
        <v>0</v>
      </c>
      <c r="O121" s="22">
        <v>1.3960999999999999</v>
      </c>
    </row>
    <row r="122" spans="1:15" x14ac:dyDescent="0.25">
      <c r="A122" s="26" t="s">
        <v>76</v>
      </c>
      <c r="B122" s="49" t="s">
        <v>198</v>
      </c>
      <c r="C122" s="50">
        <v>2</v>
      </c>
      <c r="D122" s="49">
        <v>18.61</v>
      </c>
      <c r="E122" s="49">
        <v>23.29</v>
      </c>
      <c r="F122" s="20" t="s">
        <v>0</v>
      </c>
      <c r="G122" s="20" t="s">
        <v>0</v>
      </c>
      <c r="H122" s="20" t="s">
        <v>0</v>
      </c>
      <c r="I122" s="22" t="s">
        <v>0</v>
      </c>
      <c r="J122" s="20" t="s">
        <v>0</v>
      </c>
      <c r="K122" s="20" t="s">
        <v>0</v>
      </c>
      <c r="L122" s="20" t="s">
        <v>0</v>
      </c>
      <c r="M122" s="23" t="s">
        <v>0</v>
      </c>
      <c r="N122" s="22" t="s">
        <v>0</v>
      </c>
      <c r="O122" s="22">
        <v>1.4215</v>
      </c>
    </row>
    <row r="123" spans="1:15" x14ac:dyDescent="0.25">
      <c r="A123" s="26" t="s">
        <v>77</v>
      </c>
      <c r="B123" s="49" t="s">
        <v>199</v>
      </c>
      <c r="C123" s="50">
        <v>1.625</v>
      </c>
      <c r="D123" s="49">
        <v>18.95</v>
      </c>
      <c r="E123" s="49">
        <v>22.77</v>
      </c>
      <c r="F123" s="20" t="s">
        <v>0</v>
      </c>
      <c r="G123" s="20" t="s">
        <v>0</v>
      </c>
      <c r="H123" s="20" t="s">
        <v>0</v>
      </c>
      <c r="I123" s="22" t="s">
        <v>0</v>
      </c>
      <c r="J123" s="20" t="s">
        <v>0</v>
      </c>
      <c r="K123" s="20" t="s">
        <v>0</v>
      </c>
      <c r="L123" s="20" t="s">
        <v>0</v>
      </c>
      <c r="M123" s="23" t="s">
        <v>0</v>
      </c>
      <c r="N123" s="22" t="s">
        <v>0</v>
      </c>
      <c r="O123" s="22">
        <v>1.4177</v>
      </c>
    </row>
    <row r="124" spans="1:15" x14ac:dyDescent="0.25">
      <c r="A124" s="26" t="s">
        <v>78</v>
      </c>
      <c r="B124" s="49" t="s">
        <v>200</v>
      </c>
      <c r="C124" s="50">
        <v>1.875</v>
      </c>
      <c r="D124" s="49">
        <v>19.27</v>
      </c>
      <c r="E124" s="49">
        <v>23.78</v>
      </c>
      <c r="F124" s="20" t="s">
        <v>0</v>
      </c>
      <c r="G124" s="20" t="s">
        <v>0</v>
      </c>
      <c r="H124" s="20" t="s">
        <v>0</v>
      </c>
      <c r="I124" s="22" t="s">
        <v>0</v>
      </c>
      <c r="J124" s="20" t="s">
        <v>0</v>
      </c>
      <c r="K124" s="20" t="s">
        <v>0</v>
      </c>
      <c r="L124" s="20" t="s">
        <v>0</v>
      </c>
      <c r="M124" s="23" t="s">
        <v>0</v>
      </c>
      <c r="N124" s="22" t="s">
        <v>0</v>
      </c>
      <c r="O124" s="22">
        <v>1.4318</v>
      </c>
    </row>
    <row r="125" spans="1:15" x14ac:dyDescent="0.25">
      <c r="A125" s="26" t="s">
        <v>79</v>
      </c>
      <c r="B125" s="49" t="s">
        <v>201</v>
      </c>
      <c r="C125" s="50">
        <v>1.375</v>
      </c>
      <c r="D125" s="49">
        <v>19.55</v>
      </c>
      <c r="E125" s="49">
        <v>22.98</v>
      </c>
      <c r="F125" s="20" t="s">
        <v>0</v>
      </c>
      <c r="G125" s="20" t="s">
        <v>0</v>
      </c>
      <c r="H125" s="20" t="s">
        <v>0</v>
      </c>
      <c r="I125" s="22" t="s">
        <v>0</v>
      </c>
      <c r="J125" s="20" t="s">
        <v>0</v>
      </c>
      <c r="K125" s="20" t="s">
        <v>0</v>
      </c>
      <c r="L125" s="20" t="s">
        <v>0</v>
      </c>
      <c r="M125" s="23" t="s">
        <v>0</v>
      </c>
      <c r="N125" s="22" t="s">
        <v>0</v>
      </c>
      <c r="O125" s="22">
        <v>1.4253</v>
      </c>
    </row>
    <row r="126" spans="1:15" x14ac:dyDescent="0.25">
      <c r="A126" s="26" t="s">
        <v>80</v>
      </c>
      <c r="B126" s="49" t="s">
        <v>202</v>
      </c>
      <c r="C126" s="50">
        <v>1.625</v>
      </c>
      <c r="D126" s="49">
        <v>19.829999999999998</v>
      </c>
      <c r="E126" s="49">
        <v>24.28</v>
      </c>
      <c r="F126" s="20" t="s">
        <v>0</v>
      </c>
      <c r="G126" s="20" t="s">
        <v>0</v>
      </c>
      <c r="H126" s="20" t="s">
        <v>0</v>
      </c>
      <c r="I126" s="22" t="s">
        <v>0</v>
      </c>
      <c r="J126" s="20" t="s">
        <v>0</v>
      </c>
      <c r="K126" s="20" t="s">
        <v>0</v>
      </c>
      <c r="L126" s="20" t="s">
        <v>0</v>
      </c>
      <c r="M126" s="23" t="s">
        <v>0</v>
      </c>
      <c r="N126" s="22" t="s">
        <v>0</v>
      </c>
      <c r="O126" s="22">
        <v>1.4439</v>
      </c>
    </row>
    <row r="127" spans="1:15" x14ac:dyDescent="0.25">
      <c r="A127" s="26" t="s">
        <v>81</v>
      </c>
      <c r="B127" s="49" t="s">
        <v>203</v>
      </c>
      <c r="C127" s="50">
        <v>1.5</v>
      </c>
      <c r="D127" s="49">
        <v>20.51</v>
      </c>
      <c r="E127" s="49">
        <v>24.76</v>
      </c>
      <c r="F127" s="20" t="s">
        <v>0</v>
      </c>
      <c r="G127" s="20" t="s">
        <v>0</v>
      </c>
      <c r="H127" s="20" t="s">
        <v>0</v>
      </c>
      <c r="I127" s="22" t="s">
        <v>0</v>
      </c>
      <c r="J127" s="20" t="s">
        <v>0</v>
      </c>
      <c r="K127" s="20" t="s">
        <v>0</v>
      </c>
      <c r="L127" s="20" t="s">
        <v>0</v>
      </c>
      <c r="M127" s="23" t="s">
        <v>0</v>
      </c>
      <c r="N127" s="22" t="s">
        <v>0</v>
      </c>
      <c r="O127" s="22">
        <v>1.4539</v>
      </c>
    </row>
    <row r="128" spans="1:15" x14ac:dyDescent="0.25">
      <c r="A128" s="26" t="s">
        <v>57</v>
      </c>
      <c r="B128" s="49" t="s">
        <v>204</v>
      </c>
      <c r="C128" s="50">
        <v>1.375</v>
      </c>
      <c r="D128" s="49">
        <v>20.92</v>
      </c>
      <c r="E128" s="49">
        <v>25.24</v>
      </c>
      <c r="F128" s="20" t="s">
        <v>0</v>
      </c>
      <c r="G128" s="20" t="s">
        <v>0</v>
      </c>
      <c r="H128" s="20" t="s">
        <v>0</v>
      </c>
      <c r="I128" s="22" t="s">
        <v>0</v>
      </c>
      <c r="J128" s="20" t="s">
        <v>0</v>
      </c>
      <c r="K128" s="20" t="s">
        <v>0</v>
      </c>
      <c r="L128" s="20" t="s">
        <v>0</v>
      </c>
      <c r="M128" s="23" t="s">
        <v>0</v>
      </c>
      <c r="N128" s="22" t="s">
        <v>0</v>
      </c>
      <c r="O128" s="22">
        <v>1.464</v>
      </c>
    </row>
    <row r="129" spans="1:15" x14ac:dyDescent="0.25">
      <c r="A129" s="26" t="s">
        <v>320</v>
      </c>
      <c r="B129" s="49" t="s">
        <v>315</v>
      </c>
      <c r="C129" s="50">
        <v>2.375</v>
      </c>
      <c r="D129" s="49">
        <v>21.56</v>
      </c>
      <c r="E129" s="49">
        <v>29.25</v>
      </c>
      <c r="F129" s="20">
        <v>1.5409999999999999</v>
      </c>
      <c r="G129" s="20">
        <v>1.5409999999999999</v>
      </c>
      <c r="H129" s="20">
        <v>1.5409999999999999</v>
      </c>
      <c r="I129" s="22">
        <v>1</v>
      </c>
      <c r="J129" s="20">
        <v>1.54</v>
      </c>
      <c r="K129" s="20">
        <v>1.54</v>
      </c>
      <c r="L129" s="20">
        <v>1.54</v>
      </c>
      <c r="M129" s="23">
        <v>1</v>
      </c>
      <c r="N129" s="22">
        <v>1</v>
      </c>
      <c r="O129" s="22">
        <v>1.5028999999999999</v>
      </c>
    </row>
    <row r="130" spans="1:15" x14ac:dyDescent="0.25">
      <c r="A130" s="26" t="s">
        <v>84</v>
      </c>
      <c r="B130" s="49" t="s">
        <v>205</v>
      </c>
      <c r="C130" s="50">
        <v>1.125</v>
      </c>
      <c r="D130" s="49">
        <v>21.95</v>
      </c>
      <c r="E130" s="49">
        <v>25.76</v>
      </c>
      <c r="F130" s="20" t="s">
        <v>0</v>
      </c>
      <c r="G130" s="20" t="s">
        <v>0</v>
      </c>
      <c r="H130" s="20" t="s">
        <v>0</v>
      </c>
      <c r="I130" s="22" t="s">
        <v>0</v>
      </c>
      <c r="J130" s="20" t="s">
        <v>0</v>
      </c>
      <c r="K130" s="20" t="s">
        <v>0</v>
      </c>
      <c r="L130" s="20" t="s">
        <v>0</v>
      </c>
      <c r="M130" s="23" t="s">
        <v>0</v>
      </c>
      <c r="N130" s="22" t="s">
        <v>0</v>
      </c>
      <c r="O130" s="22">
        <v>1.4771000000000001</v>
      </c>
    </row>
    <row r="131" spans="1:15" x14ac:dyDescent="0.25">
      <c r="A131" s="26" t="s">
        <v>268</v>
      </c>
      <c r="B131" s="49" t="s">
        <v>267</v>
      </c>
      <c r="C131" s="50">
        <v>2</v>
      </c>
      <c r="D131" s="49">
        <v>22.13</v>
      </c>
      <c r="E131" s="49">
        <v>28.77</v>
      </c>
      <c r="F131" s="20" t="s">
        <v>0</v>
      </c>
      <c r="G131" s="20" t="s">
        <v>0</v>
      </c>
      <c r="H131" s="20" t="s">
        <v>0</v>
      </c>
      <c r="I131" s="22" t="s">
        <v>0</v>
      </c>
      <c r="J131" s="20" t="s">
        <v>0</v>
      </c>
      <c r="K131" s="20" t="s">
        <v>0</v>
      </c>
      <c r="L131" s="20" t="s">
        <v>0</v>
      </c>
      <c r="M131" s="23" t="s">
        <v>0</v>
      </c>
      <c r="N131" s="22" t="s">
        <v>0</v>
      </c>
      <c r="O131" s="22">
        <v>1.5037</v>
      </c>
    </row>
    <row r="132" spans="1:15" x14ac:dyDescent="0.25">
      <c r="A132" s="26" t="s">
        <v>51</v>
      </c>
      <c r="B132" s="49" t="s">
        <v>206</v>
      </c>
      <c r="C132" s="50">
        <v>1</v>
      </c>
      <c r="D132" s="49">
        <v>22.46</v>
      </c>
      <c r="E132" s="49">
        <v>26.24</v>
      </c>
      <c r="F132" s="20" t="s">
        <v>0</v>
      </c>
      <c r="G132" s="20" t="s">
        <v>0</v>
      </c>
      <c r="H132" s="20" t="s">
        <v>0</v>
      </c>
      <c r="I132" s="22" t="s">
        <v>0</v>
      </c>
      <c r="J132" s="20" t="s">
        <v>0</v>
      </c>
      <c r="K132" s="20" t="s">
        <v>0</v>
      </c>
      <c r="L132" s="20" t="s">
        <v>0</v>
      </c>
      <c r="M132" s="23" t="s">
        <v>0</v>
      </c>
      <c r="N132" s="22" t="s">
        <v>0</v>
      </c>
      <c r="O132" s="22">
        <v>1.4874000000000001</v>
      </c>
    </row>
    <row r="133" spans="1:15" x14ac:dyDescent="0.25">
      <c r="A133" s="26" t="s">
        <v>300</v>
      </c>
      <c r="B133" s="49" t="s">
        <v>207</v>
      </c>
      <c r="C133" s="50">
        <v>0.75</v>
      </c>
      <c r="D133" s="49">
        <v>23.63</v>
      </c>
      <c r="E133" s="49">
        <v>26.75</v>
      </c>
      <c r="F133" s="20" t="s">
        <v>0</v>
      </c>
      <c r="G133" s="20" t="s">
        <v>0</v>
      </c>
      <c r="H133" s="20" t="s">
        <v>0</v>
      </c>
      <c r="I133" s="22" t="s">
        <v>0</v>
      </c>
      <c r="J133" s="20" t="s">
        <v>0</v>
      </c>
      <c r="K133" s="20" t="s">
        <v>0</v>
      </c>
      <c r="L133" s="20" t="s">
        <v>0</v>
      </c>
      <c r="M133" s="23" t="s">
        <v>0</v>
      </c>
      <c r="N133" s="22" t="s">
        <v>0</v>
      </c>
      <c r="O133" s="22">
        <v>1.5011000000000001</v>
      </c>
    </row>
    <row r="134" spans="1:15" x14ac:dyDescent="0.25">
      <c r="A134" s="26" t="s">
        <v>301</v>
      </c>
      <c r="B134" s="49" t="s">
        <v>238</v>
      </c>
      <c r="C134" s="50">
        <v>1.125</v>
      </c>
      <c r="D134" s="49">
        <v>23.65</v>
      </c>
      <c r="E134" s="49">
        <v>28.36</v>
      </c>
      <c r="F134" s="20" t="s">
        <v>0</v>
      </c>
      <c r="G134" s="20" t="s">
        <v>0</v>
      </c>
      <c r="H134" s="20" t="s">
        <v>0</v>
      </c>
      <c r="I134" s="22" t="s">
        <v>0</v>
      </c>
      <c r="J134" s="20" t="s">
        <v>0</v>
      </c>
      <c r="K134" s="20" t="s">
        <v>0</v>
      </c>
      <c r="L134" s="20" t="s">
        <v>0</v>
      </c>
      <c r="M134" s="23" t="s">
        <v>0</v>
      </c>
      <c r="N134" s="22" t="s">
        <v>0</v>
      </c>
      <c r="O134" s="22">
        <v>1.5163</v>
      </c>
    </row>
    <row r="135" spans="1:15" x14ac:dyDescent="0.25">
      <c r="A135" s="26" t="s">
        <v>363</v>
      </c>
      <c r="B135" s="49" t="s">
        <v>364</v>
      </c>
      <c r="C135" s="50">
        <v>1.5</v>
      </c>
      <c r="D135" s="49">
        <v>23.73</v>
      </c>
      <c r="E135" s="49">
        <v>29.75</v>
      </c>
      <c r="F135" s="20" t="s">
        <v>0</v>
      </c>
      <c r="G135" s="20" t="s">
        <v>0</v>
      </c>
      <c r="H135" s="20" t="s">
        <v>0</v>
      </c>
      <c r="I135" s="22" t="s">
        <v>0</v>
      </c>
      <c r="J135" s="20" t="s">
        <v>0</v>
      </c>
      <c r="K135" s="20" t="s">
        <v>0</v>
      </c>
      <c r="L135" s="20" t="s">
        <v>0</v>
      </c>
      <c r="M135" s="23" t="s">
        <v>0</v>
      </c>
      <c r="N135" s="22" t="s">
        <v>0</v>
      </c>
      <c r="O135" s="22">
        <v>1.5258</v>
      </c>
    </row>
    <row r="136" spans="1:15" x14ac:dyDescent="0.25">
      <c r="A136" s="26" t="s">
        <v>302</v>
      </c>
      <c r="B136" s="49" t="s">
        <v>209</v>
      </c>
      <c r="C136" s="50">
        <v>0.625</v>
      </c>
      <c r="D136" s="49">
        <v>24.59</v>
      </c>
      <c r="E136" s="49">
        <v>27.54</v>
      </c>
      <c r="F136" s="20" t="s">
        <v>0</v>
      </c>
      <c r="G136" s="20" t="s">
        <v>0</v>
      </c>
      <c r="H136" s="20" t="s">
        <v>0</v>
      </c>
      <c r="I136" s="22" t="s">
        <v>0</v>
      </c>
      <c r="J136" s="20" t="s">
        <v>0</v>
      </c>
      <c r="K136" s="20" t="s">
        <v>0</v>
      </c>
      <c r="L136" s="20" t="s">
        <v>0</v>
      </c>
      <c r="M136" s="23" t="s">
        <v>0</v>
      </c>
      <c r="N136" s="22" t="s">
        <v>0</v>
      </c>
      <c r="O136" s="22">
        <v>1.5165</v>
      </c>
    </row>
    <row r="137" spans="1:15" x14ac:dyDescent="0.25">
      <c r="A137" s="32" t="s">
        <v>303</v>
      </c>
      <c r="B137" s="49" t="s">
        <v>208</v>
      </c>
      <c r="C137" s="50">
        <v>0.375</v>
      </c>
      <c r="D137" s="49">
        <v>25.24</v>
      </c>
      <c r="E137" s="49">
        <v>27.29</v>
      </c>
      <c r="F137" s="20" t="s">
        <v>0</v>
      </c>
      <c r="G137" s="20" t="s">
        <v>0</v>
      </c>
      <c r="H137" s="20" t="s">
        <v>0</v>
      </c>
      <c r="I137" s="22" t="s">
        <v>0</v>
      </c>
      <c r="J137" s="20" t="s">
        <v>0</v>
      </c>
      <c r="K137" s="20" t="s">
        <v>0</v>
      </c>
      <c r="L137" s="20" t="s">
        <v>0</v>
      </c>
      <c r="M137" s="23" t="s">
        <v>0</v>
      </c>
      <c r="N137" s="22" t="s">
        <v>0</v>
      </c>
      <c r="O137" s="22">
        <v>1.5192000000000001</v>
      </c>
    </row>
    <row r="138" spans="1:15" x14ac:dyDescent="0.25">
      <c r="A138" s="26" t="s">
        <v>541</v>
      </c>
      <c r="B138" s="34" t="s">
        <v>542</v>
      </c>
      <c r="C138" s="26" t="s">
        <v>321</v>
      </c>
      <c r="D138" s="35">
        <v>1.0900000000000001</v>
      </c>
      <c r="E138" s="35">
        <v>1.1200000000000001</v>
      </c>
      <c r="F138" s="20" t="s">
        <v>0</v>
      </c>
      <c r="G138" s="20" t="s">
        <v>0</v>
      </c>
      <c r="H138" s="20" t="s">
        <v>0</v>
      </c>
      <c r="I138" s="22" t="s">
        <v>0</v>
      </c>
      <c r="J138" s="20">
        <v>1.575</v>
      </c>
      <c r="K138" s="20">
        <v>1.57</v>
      </c>
      <c r="L138" s="20">
        <v>1.5732999999999999</v>
      </c>
      <c r="M138" s="23">
        <v>3</v>
      </c>
      <c r="N138" s="22">
        <v>6</v>
      </c>
      <c r="O138" s="22" t="e">
        <v>#N/A</v>
      </c>
    </row>
    <row r="139" spans="1:15" x14ac:dyDescent="0.25">
      <c r="A139" s="26" t="s">
        <v>539</v>
      </c>
      <c r="B139" s="34" t="s">
        <v>543</v>
      </c>
      <c r="C139" s="26" t="s">
        <v>321</v>
      </c>
      <c r="D139" s="35">
        <v>6.29</v>
      </c>
      <c r="E139" s="35">
        <v>6.56</v>
      </c>
      <c r="F139" s="20">
        <v>1.6950000000000001</v>
      </c>
      <c r="G139" s="20">
        <v>1.6950000000000001</v>
      </c>
      <c r="H139" s="20">
        <v>1.6950000000000001</v>
      </c>
      <c r="I139" s="22">
        <v>2</v>
      </c>
      <c r="J139" s="20">
        <v>1.7</v>
      </c>
      <c r="K139" s="20">
        <v>1.7</v>
      </c>
      <c r="L139" s="20">
        <v>1.7</v>
      </c>
      <c r="M139" s="23">
        <v>1</v>
      </c>
      <c r="N139" s="22">
        <v>2</v>
      </c>
      <c r="O139" s="22" t="e">
        <v>#N/A</v>
      </c>
    </row>
    <row r="140" spans="1:15" x14ac:dyDescent="0.25">
      <c r="A140" s="26" t="s">
        <v>512</v>
      </c>
      <c r="B140" s="34" t="s">
        <v>513</v>
      </c>
      <c r="C140" s="26" t="s">
        <v>321</v>
      </c>
      <c r="D140" s="35">
        <v>4.58</v>
      </c>
      <c r="E140" s="35">
        <v>4.8</v>
      </c>
      <c r="F140" s="20" t="s">
        <v>0</v>
      </c>
      <c r="G140" s="20" t="s">
        <v>0</v>
      </c>
      <c r="H140" s="20" t="s">
        <v>0</v>
      </c>
      <c r="I140" s="22" t="s">
        <v>0</v>
      </c>
      <c r="J140" s="20">
        <v>1.597</v>
      </c>
      <c r="K140" s="20">
        <v>1.593</v>
      </c>
      <c r="L140" s="20">
        <v>1.5955999999999999</v>
      </c>
      <c r="M140" s="23">
        <v>3</v>
      </c>
      <c r="N140" s="22">
        <v>6</v>
      </c>
      <c r="O140" s="22" t="e">
        <v>#N/A</v>
      </c>
    </row>
    <row r="141" spans="1:15" x14ac:dyDescent="0.25">
      <c r="A141" s="26" t="s">
        <v>508</v>
      </c>
      <c r="B141" s="34" t="s">
        <v>509</v>
      </c>
      <c r="C141" s="26" t="s">
        <v>321</v>
      </c>
      <c r="D141" s="35">
        <v>2.81</v>
      </c>
      <c r="E141" s="35">
        <v>2.89</v>
      </c>
      <c r="F141" s="20" t="s">
        <v>0</v>
      </c>
      <c r="G141" s="20" t="s">
        <v>0</v>
      </c>
      <c r="H141" s="20" t="s">
        <v>0</v>
      </c>
      <c r="I141" s="22" t="s">
        <v>0</v>
      </c>
      <c r="J141" s="20">
        <v>1.48</v>
      </c>
      <c r="K141" s="20">
        <v>1.48</v>
      </c>
      <c r="L141" s="20">
        <v>1.48</v>
      </c>
      <c r="M141" s="23">
        <v>1</v>
      </c>
      <c r="N141" s="22">
        <v>1</v>
      </c>
      <c r="O141" s="22" t="e">
        <v>#N/A</v>
      </c>
    </row>
    <row r="142" spans="1:15" x14ac:dyDescent="0.25">
      <c r="A142" s="26" t="s">
        <v>411</v>
      </c>
      <c r="B142" s="34" t="s">
        <v>412</v>
      </c>
      <c r="C142" s="26" t="s">
        <v>321</v>
      </c>
      <c r="D142" s="35">
        <v>8.2200000000000006</v>
      </c>
      <c r="E142" s="35">
        <v>9.9700000000000006</v>
      </c>
      <c r="F142" s="20" t="s">
        <v>0</v>
      </c>
      <c r="G142" s="20" t="s">
        <v>0</v>
      </c>
      <c r="H142" s="20" t="s">
        <v>0</v>
      </c>
      <c r="I142" s="22" t="s">
        <v>0</v>
      </c>
      <c r="J142" s="20">
        <v>3.5790000000000002</v>
      </c>
      <c r="K142" s="20">
        <v>3.5790000000000002</v>
      </c>
      <c r="L142" s="20">
        <v>3.5790000000000002</v>
      </c>
      <c r="M142" s="23">
        <v>1</v>
      </c>
      <c r="N142" s="22">
        <v>1.4999999999999999E-2</v>
      </c>
      <c r="O142" s="22" t="e">
        <v>#N/A</v>
      </c>
    </row>
  </sheetData>
  <mergeCells count="6">
    <mergeCell ref="F1:I1"/>
    <mergeCell ref="J1:N1"/>
    <mergeCell ref="Q1:T1"/>
    <mergeCell ref="F2:H2"/>
    <mergeCell ref="J2:L2"/>
    <mergeCell ref="O2:O3"/>
  </mergeCells>
  <phoneticPr fontId="1" type="noConversion"/>
  <printOptions gridLines="1"/>
  <pageMargins left="0.17" right="0.16" top="0.28999999999999998" bottom="0.2" header="0.5" footer="0.5"/>
  <pageSetup paperSize="9" scale="39" orientation="portrait" r:id="rId1"/>
  <headerFooter alignWithMargins="0">
    <oddFooter>&amp;C&amp;"Times New Roman,標準"&amp;P&amp;R&amp;"Times New Roman,標準"&amp;A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64">
    <pageSetUpPr fitToPage="1"/>
  </sheetPr>
  <dimension ref="A1:T147"/>
  <sheetViews>
    <sheetView zoomScale="90" workbookViewId="0">
      <pane xSplit="1" ySplit="3" topLeftCell="B7" activePane="bottomRight" state="frozen"/>
      <selection sqref="A1:IV65536"/>
      <selection pane="topRight" sqref="A1:IV65536"/>
      <selection pane="bottomLeft" sqref="A1:IV65536"/>
      <selection pane="bottomRight" activeCell="A109" sqref="A109:A137"/>
    </sheetView>
  </sheetViews>
  <sheetFormatPr defaultRowHeight="16.5" x14ac:dyDescent="0.25"/>
  <cols>
    <col min="1" max="1" width="9" style="7" customWidth="1"/>
    <col min="2" max="2" width="10.5" style="8" bestFit="1" customWidth="1"/>
    <col min="3" max="3" width="6.625" style="8" bestFit="1" customWidth="1"/>
    <col min="4" max="4" width="7.125" style="8" bestFit="1" customWidth="1"/>
    <col min="5" max="15" width="9" style="8"/>
    <col min="16" max="16" width="4" style="8" customWidth="1"/>
    <col min="17" max="17" width="6.625" style="28" customWidth="1"/>
    <col min="18" max="18" width="8.625" style="28" customWidth="1"/>
    <col min="19" max="19" width="11.375" style="31" bestFit="1" customWidth="1"/>
    <col min="20" max="20" width="11.25" style="31" bestFit="1" customWidth="1"/>
    <col min="21" max="256" width="9" style="8"/>
    <col min="257" max="257" width="9" style="8" customWidth="1"/>
    <col min="258" max="258" width="10.5" style="8" bestFit="1" customWidth="1"/>
    <col min="259" max="259" width="6.625" style="8" bestFit="1" customWidth="1"/>
    <col min="260" max="260" width="7.125" style="8" bestFit="1" customWidth="1"/>
    <col min="261" max="271" width="9" style="8"/>
    <col min="272" max="272" width="4" style="8" customWidth="1"/>
    <col min="273" max="273" width="6.625" style="8" customWidth="1"/>
    <col min="274" max="274" width="8.625" style="8" customWidth="1"/>
    <col min="275" max="275" width="11.375" style="8" bestFit="1" customWidth="1"/>
    <col min="276" max="276" width="11.25" style="8" bestFit="1" customWidth="1"/>
    <col min="277" max="512" width="9" style="8"/>
    <col min="513" max="513" width="9" style="8" customWidth="1"/>
    <col min="514" max="514" width="10.5" style="8" bestFit="1" customWidth="1"/>
    <col min="515" max="515" width="6.625" style="8" bestFit="1" customWidth="1"/>
    <col min="516" max="516" width="7.125" style="8" bestFit="1" customWidth="1"/>
    <col min="517" max="527" width="9" style="8"/>
    <col min="528" max="528" width="4" style="8" customWidth="1"/>
    <col min="529" max="529" width="6.625" style="8" customWidth="1"/>
    <col min="530" max="530" width="8.625" style="8" customWidth="1"/>
    <col min="531" max="531" width="11.375" style="8" bestFit="1" customWidth="1"/>
    <col min="532" max="532" width="11.25" style="8" bestFit="1" customWidth="1"/>
    <col min="533" max="768" width="9" style="8"/>
    <col min="769" max="769" width="9" style="8" customWidth="1"/>
    <col min="770" max="770" width="10.5" style="8" bestFit="1" customWidth="1"/>
    <col min="771" max="771" width="6.625" style="8" bestFit="1" customWidth="1"/>
    <col min="772" max="772" width="7.125" style="8" bestFit="1" customWidth="1"/>
    <col min="773" max="783" width="9" style="8"/>
    <col min="784" max="784" width="4" style="8" customWidth="1"/>
    <col min="785" max="785" width="6.625" style="8" customWidth="1"/>
    <col min="786" max="786" width="8.625" style="8" customWidth="1"/>
    <col min="787" max="787" width="11.375" style="8" bestFit="1" customWidth="1"/>
    <col min="788" max="788" width="11.25" style="8" bestFit="1" customWidth="1"/>
    <col min="789" max="1024" width="9" style="8"/>
    <col min="1025" max="1025" width="9" style="8" customWidth="1"/>
    <col min="1026" max="1026" width="10.5" style="8" bestFit="1" customWidth="1"/>
    <col min="1027" max="1027" width="6.625" style="8" bestFit="1" customWidth="1"/>
    <col min="1028" max="1028" width="7.125" style="8" bestFit="1" customWidth="1"/>
    <col min="1029" max="1039" width="9" style="8"/>
    <col min="1040" max="1040" width="4" style="8" customWidth="1"/>
    <col min="1041" max="1041" width="6.625" style="8" customWidth="1"/>
    <col min="1042" max="1042" width="8.625" style="8" customWidth="1"/>
    <col min="1043" max="1043" width="11.375" style="8" bestFit="1" customWidth="1"/>
    <col min="1044" max="1044" width="11.25" style="8" bestFit="1" customWidth="1"/>
    <col min="1045" max="1280" width="9" style="8"/>
    <col min="1281" max="1281" width="9" style="8" customWidth="1"/>
    <col min="1282" max="1282" width="10.5" style="8" bestFit="1" customWidth="1"/>
    <col min="1283" max="1283" width="6.625" style="8" bestFit="1" customWidth="1"/>
    <col min="1284" max="1284" width="7.125" style="8" bestFit="1" customWidth="1"/>
    <col min="1285" max="1295" width="9" style="8"/>
    <col min="1296" max="1296" width="4" style="8" customWidth="1"/>
    <col min="1297" max="1297" width="6.625" style="8" customWidth="1"/>
    <col min="1298" max="1298" width="8.625" style="8" customWidth="1"/>
    <col min="1299" max="1299" width="11.375" style="8" bestFit="1" customWidth="1"/>
    <col min="1300" max="1300" width="11.25" style="8" bestFit="1" customWidth="1"/>
    <col min="1301" max="1536" width="9" style="8"/>
    <col min="1537" max="1537" width="9" style="8" customWidth="1"/>
    <col min="1538" max="1538" width="10.5" style="8" bestFit="1" customWidth="1"/>
    <col min="1539" max="1539" width="6.625" style="8" bestFit="1" customWidth="1"/>
    <col min="1540" max="1540" width="7.125" style="8" bestFit="1" customWidth="1"/>
    <col min="1541" max="1551" width="9" style="8"/>
    <col min="1552" max="1552" width="4" style="8" customWidth="1"/>
    <col min="1553" max="1553" width="6.625" style="8" customWidth="1"/>
    <col min="1554" max="1554" width="8.625" style="8" customWidth="1"/>
    <col min="1555" max="1555" width="11.375" style="8" bestFit="1" customWidth="1"/>
    <col min="1556" max="1556" width="11.25" style="8" bestFit="1" customWidth="1"/>
    <col min="1557" max="1792" width="9" style="8"/>
    <col min="1793" max="1793" width="9" style="8" customWidth="1"/>
    <col min="1794" max="1794" width="10.5" style="8" bestFit="1" customWidth="1"/>
    <col min="1795" max="1795" width="6.625" style="8" bestFit="1" customWidth="1"/>
    <col min="1796" max="1796" width="7.125" style="8" bestFit="1" customWidth="1"/>
    <col min="1797" max="1807" width="9" style="8"/>
    <col min="1808" max="1808" width="4" style="8" customWidth="1"/>
    <col min="1809" max="1809" width="6.625" style="8" customWidth="1"/>
    <col min="1810" max="1810" width="8.625" style="8" customWidth="1"/>
    <col min="1811" max="1811" width="11.375" style="8" bestFit="1" customWidth="1"/>
    <col min="1812" max="1812" width="11.25" style="8" bestFit="1" customWidth="1"/>
    <col min="1813" max="2048" width="9" style="8"/>
    <col min="2049" max="2049" width="9" style="8" customWidth="1"/>
    <col min="2050" max="2050" width="10.5" style="8" bestFit="1" customWidth="1"/>
    <col min="2051" max="2051" width="6.625" style="8" bestFit="1" customWidth="1"/>
    <col min="2052" max="2052" width="7.125" style="8" bestFit="1" customWidth="1"/>
    <col min="2053" max="2063" width="9" style="8"/>
    <col min="2064" max="2064" width="4" style="8" customWidth="1"/>
    <col min="2065" max="2065" width="6.625" style="8" customWidth="1"/>
    <col min="2066" max="2066" width="8.625" style="8" customWidth="1"/>
    <col min="2067" max="2067" width="11.375" style="8" bestFit="1" customWidth="1"/>
    <col min="2068" max="2068" width="11.25" style="8" bestFit="1" customWidth="1"/>
    <col min="2069" max="2304" width="9" style="8"/>
    <col min="2305" max="2305" width="9" style="8" customWidth="1"/>
    <col min="2306" max="2306" width="10.5" style="8" bestFit="1" customWidth="1"/>
    <col min="2307" max="2307" width="6.625" style="8" bestFit="1" customWidth="1"/>
    <col min="2308" max="2308" width="7.125" style="8" bestFit="1" customWidth="1"/>
    <col min="2309" max="2319" width="9" style="8"/>
    <col min="2320" max="2320" width="4" style="8" customWidth="1"/>
    <col min="2321" max="2321" width="6.625" style="8" customWidth="1"/>
    <col min="2322" max="2322" width="8.625" style="8" customWidth="1"/>
    <col min="2323" max="2323" width="11.375" style="8" bestFit="1" customWidth="1"/>
    <col min="2324" max="2324" width="11.25" style="8" bestFit="1" customWidth="1"/>
    <col min="2325" max="2560" width="9" style="8"/>
    <col min="2561" max="2561" width="9" style="8" customWidth="1"/>
    <col min="2562" max="2562" width="10.5" style="8" bestFit="1" customWidth="1"/>
    <col min="2563" max="2563" width="6.625" style="8" bestFit="1" customWidth="1"/>
    <col min="2564" max="2564" width="7.125" style="8" bestFit="1" customWidth="1"/>
    <col min="2565" max="2575" width="9" style="8"/>
    <col min="2576" max="2576" width="4" style="8" customWidth="1"/>
    <col min="2577" max="2577" width="6.625" style="8" customWidth="1"/>
    <col min="2578" max="2578" width="8.625" style="8" customWidth="1"/>
    <col min="2579" max="2579" width="11.375" style="8" bestFit="1" customWidth="1"/>
    <col min="2580" max="2580" width="11.25" style="8" bestFit="1" customWidth="1"/>
    <col min="2581" max="2816" width="9" style="8"/>
    <col min="2817" max="2817" width="9" style="8" customWidth="1"/>
    <col min="2818" max="2818" width="10.5" style="8" bestFit="1" customWidth="1"/>
    <col min="2819" max="2819" width="6.625" style="8" bestFit="1" customWidth="1"/>
    <col min="2820" max="2820" width="7.125" style="8" bestFit="1" customWidth="1"/>
    <col min="2821" max="2831" width="9" style="8"/>
    <col min="2832" max="2832" width="4" style="8" customWidth="1"/>
    <col min="2833" max="2833" width="6.625" style="8" customWidth="1"/>
    <col min="2834" max="2834" width="8.625" style="8" customWidth="1"/>
    <col min="2835" max="2835" width="11.375" style="8" bestFit="1" customWidth="1"/>
    <col min="2836" max="2836" width="11.25" style="8" bestFit="1" customWidth="1"/>
    <col min="2837" max="3072" width="9" style="8"/>
    <col min="3073" max="3073" width="9" style="8" customWidth="1"/>
    <col min="3074" max="3074" width="10.5" style="8" bestFit="1" customWidth="1"/>
    <col min="3075" max="3075" width="6.625" style="8" bestFit="1" customWidth="1"/>
    <col min="3076" max="3076" width="7.125" style="8" bestFit="1" customWidth="1"/>
    <col min="3077" max="3087" width="9" style="8"/>
    <col min="3088" max="3088" width="4" style="8" customWidth="1"/>
    <col min="3089" max="3089" width="6.625" style="8" customWidth="1"/>
    <col min="3090" max="3090" width="8.625" style="8" customWidth="1"/>
    <col min="3091" max="3091" width="11.375" style="8" bestFit="1" customWidth="1"/>
    <col min="3092" max="3092" width="11.25" style="8" bestFit="1" customWidth="1"/>
    <col min="3093" max="3328" width="9" style="8"/>
    <col min="3329" max="3329" width="9" style="8" customWidth="1"/>
    <col min="3330" max="3330" width="10.5" style="8" bestFit="1" customWidth="1"/>
    <col min="3331" max="3331" width="6.625" style="8" bestFit="1" customWidth="1"/>
    <col min="3332" max="3332" width="7.125" style="8" bestFit="1" customWidth="1"/>
    <col min="3333" max="3343" width="9" style="8"/>
    <col min="3344" max="3344" width="4" style="8" customWidth="1"/>
    <col min="3345" max="3345" width="6.625" style="8" customWidth="1"/>
    <col min="3346" max="3346" width="8.625" style="8" customWidth="1"/>
    <col min="3347" max="3347" width="11.375" style="8" bestFit="1" customWidth="1"/>
    <col min="3348" max="3348" width="11.25" style="8" bestFit="1" customWidth="1"/>
    <col min="3349" max="3584" width="9" style="8"/>
    <col min="3585" max="3585" width="9" style="8" customWidth="1"/>
    <col min="3586" max="3586" width="10.5" style="8" bestFit="1" customWidth="1"/>
    <col min="3587" max="3587" width="6.625" style="8" bestFit="1" customWidth="1"/>
    <col min="3588" max="3588" width="7.125" style="8" bestFit="1" customWidth="1"/>
    <col min="3589" max="3599" width="9" style="8"/>
    <col min="3600" max="3600" width="4" style="8" customWidth="1"/>
    <col min="3601" max="3601" width="6.625" style="8" customWidth="1"/>
    <col min="3602" max="3602" width="8.625" style="8" customWidth="1"/>
    <col min="3603" max="3603" width="11.375" style="8" bestFit="1" customWidth="1"/>
    <col min="3604" max="3604" width="11.25" style="8" bestFit="1" customWidth="1"/>
    <col min="3605" max="3840" width="9" style="8"/>
    <col min="3841" max="3841" width="9" style="8" customWidth="1"/>
    <col min="3842" max="3842" width="10.5" style="8" bestFit="1" customWidth="1"/>
    <col min="3843" max="3843" width="6.625" style="8" bestFit="1" customWidth="1"/>
    <col min="3844" max="3844" width="7.125" style="8" bestFit="1" customWidth="1"/>
    <col min="3845" max="3855" width="9" style="8"/>
    <col min="3856" max="3856" width="4" style="8" customWidth="1"/>
    <col min="3857" max="3857" width="6.625" style="8" customWidth="1"/>
    <col min="3858" max="3858" width="8.625" style="8" customWidth="1"/>
    <col min="3859" max="3859" width="11.375" style="8" bestFit="1" customWidth="1"/>
    <col min="3860" max="3860" width="11.25" style="8" bestFit="1" customWidth="1"/>
    <col min="3861" max="4096" width="9" style="8"/>
    <col min="4097" max="4097" width="9" style="8" customWidth="1"/>
    <col min="4098" max="4098" width="10.5" style="8" bestFit="1" customWidth="1"/>
    <col min="4099" max="4099" width="6.625" style="8" bestFit="1" customWidth="1"/>
    <col min="4100" max="4100" width="7.125" style="8" bestFit="1" customWidth="1"/>
    <col min="4101" max="4111" width="9" style="8"/>
    <col min="4112" max="4112" width="4" style="8" customWidth="1"/>
    <col min="4113" max="4113" width="6.625" style="8" customWidth="1"/>
    <col min="4114" max="4114" width="8.625" style="8" customWidth="1"/>
    <col min="4115" max="4115" width="11.375" style="8" bestFit="1" customWidth="1"/>
    <col min="4116" max="4116" width="11.25" style="8" bestFit="1" customWidth="1"/>
    <col min="4117" max="4352" width="9" style="8"/>
    <col min="4353" max="4353" width="9" style="8" customWidth="1"/>
    <col min="4354" max="4354" width="10.5" style="8" bestFit="1" customWidth="1"/>
    <col min="4355" max="4355" width="6.625" style="8" bestFit="1" customWidth="1"/>
    <col min="4356" max="4356" width="7.125" style="8" bestFit="1" customWidth="1"/>
    <col min="4357" max="4367" width="9" style="8"/>
    <col min="4368" max="4368" width="4" style="8" customWidth="1"/>
    <col min="4369" max="4369" width="6.625" style="8" customWidth="1"/>
    <col min="4370" max="4370" width="8.625" style="8" customWidth="1"/>
    <col min="4371" max="4371" width="11.375" style="8" bestFit="1" customWidth="1"/>
    <col min="4372" max="4372" width="11.25" style="8" bestFit="1" customWidth="1"/>
    <col min="4373" max="4608" width="9" style="8"/>
    <col min="4609" max="4609" width="9" style="8" customWidth="1"/>
    <col min="4610" max="4610" width="10.5" style="8" bestFit="1" customWidth="1"/>
    <col min="4611" max="4611" width="6.625" style="8" bestFit="1" customWidth="1"/>
    <col min="4612" max="4612" width="7.125" style="8" bestFit="1" customWidth="1"/>
    <col min="4613" max="4623" width="9" style="8"/>
    <col min="4624" max="4624" width="4" style="8" customWidth="1"/>
    <col min="4625" max="4625" width="6.625" style="8" customWidth="1"/>
    <col min="4626" max="4626" width="8.625" style="8" customWidth="1"/>
    <col min="4627" max="4627" width="11.375" style="8" bestFit="1" customWidth="1"/>
    <col min="4628" max="4628" width="11.25" style="8" bestFit="1" customWidth="1"/>
    <col min="4629" max="4864" width="9" style="8"/>
    <col min="4865" max="4865" width="9" style="8" customWidth="1"/>
    <col min="4866" max="4866" width="10.5" style="8" bestFit="1" customWidth="1"/>
    <col min="4867" max="4867" width="6.625" style="8" bestFit="1" customWidth="1"/>
    <col min="4868" max="4868" width="7.125" style="8" bestFit="1" customWidth="1"/>
    <col min="4869" max="4879" width="9" style="8"/>
    <col min="4880" max="4880" width="4" style="8" customWidth="1"/>
    <col min="4881" max="4881" width="6.625" style="8" customWidth="1"/>
    <col min="4882" max="4882" width="8.625" style="8" customWidth="1"/>
    <col min="4883" max="4883" width="11.375" style="8" bestFit="1" customWidth="1"/>
    <col min="4884" max="4884" width="11.25" style="8" bestFit="1" customWidth="1"/>
    <col min="4885" max="5120" width="9" style="8"/>
    <col min="5121" max="5121" width="9" style="8" customWidth="1"/>
    <col min="5122" max="5122" width="10.5" style="8" bestFit="1" customWidth="1"/>
    <col min="5123" max="5123" width="6.625" style="8" bestFit="1" customWidth="1"/>
    <col min="5124" max="5124" width="7.125" style="8" bestFit="1" customWidth="1"/>
    <col min="5125" max="5135" width="9" style="8"/>
    <col min="5136" max="5136" width="4" style="8" customWidth="1"/>
    <col min="5137" max="5137" width="6.625" style="8" customWidth="1"/>
    <col min="5138" max="5138" width="8.625" style="8" customWidth="1"/>
    <col min="5139" max="5139" width="11.375" style="8" bestFit="1" customWidth="1"/>
    <col min="5140" max="5140" width="11.25" style="8" bestFit="1" customWidth="1"/>
    <col min="5141" max="5376" width="9" style="8"/>
    <col min="5377" max="5377" width="9" style="8" customWidth="1"/>
    <col min="5378" max="5378" width="10.5" style="8" bestFit="1" customWidth="1"/>
    <col min="5379" max="5379" width="6.625" style="8" bestFit="1" customWidth="1"/>
    <col min="5380" max="5380" width="7.125" style="8" bestFit="1" customWidth="1"/>
    <col min="5381" max="5391" width="9" style="8"/>
    <col min="5392" max="5392" width="4" style="8" customWidth="1"/>
    <col min="5393" max="5393" width="6.625" style="8" customWidth="1"/>
    <col min="5394" max="5394" width="8.625" style="8" customWidth="1"/>
    <col min="5395" max="5395" width="11.375" style="8" bestFit="1" customWidth="1"/>
    <col min="5396" max="5396" width="11.25" style="8" bestFit="1" customWidth="1"/>
    <col min="5397" max="5632" width="9" style="8"/>
    <col min="5633" max="5633" width="9" style="8" customWidth="1"/>
    <col min="5634" max="5634" width="10.5" style="8" bestFit="1" customWidth="1"/>
    <col min="5635" max="5635" width="6.625" style="8" bestFit="1" customWidth="1"/>
    <col min="5636" max="5636" width="7.125" style="8" bestFit="1" customWidth="1"/>
    <col min="5637" max="5647" width="9" style="8"/>
    <col min="5648" max="5648" width="4" style="8" customWidth="1"/>
    <col min="5649" max="5649" width="6.625" style="8" customWidth="1"/>
    <col min="5650" max="5650" width="8.625" style="8" customWidth="1"/>
    <col min="5651" max="5651" width="11.375" style="8" bestFit="1" customWidth="1"/>
    <col min="5652" max="5652" width="11.25" style="8" bestFit="1" customWidth="1"/>
    <col min="5653" max="5888" width="9" style="8"/>
    <col min="5889" max="5889" width="9" style="8" customWidth="1"/>
    <col min="5890" max="5890" width="10.5" style="8" bestFit="1" customWidth="1"/>
    <col min="5891" max="5891" width="6.625" style="8" bestFit="1" customWidth="1"/>
    <col min="5892" max="5892" width="7.125" style="8" bestFit="1" customWidth="1"/>
    <col min="5893" max="5903" width="9" style="8"/>
    <col min="5904" max="5904" width="4" style="8" customWidth="1"/>
    <col min="5905" max="5905" width="6.625" style="8" customWidth="1"/>
    <col min="5906" max="5906" width="8.625" style="8" customWidth="1"/>
    <col min="5907" max="5907" width="11.375" style="8" bestFit="1" customWidth="1"/>
    <col min="5908" max="5908" width="11.25" style="8" bestFit="1" customWidth="1"/>
    <col min="5909" max="6144" width="9" style="8"/>
    <col min="6145" max="6145" width="9" style="8" customWidth="1"/>
    <col min="6146" max="6146" width="10.5" style="8" bestFit="1" customWidth="1"/>
    <col min="6147" max="6147" width="6.625" style="8" bestFit="1" customWidth="1"/>
    <col min="6148" max="6148" width="7.125" style="8" bestFit="1" customWidth="1"/>
    <col min="6149" max="6159" width="9" style="8"/>
    <col min="6160" max="6160" width="4" style="8" customWidth="1"/>
    <col min="6161" max="6161" width="6.625" style="8" customWidth="1"/>
    <col min="6162" max="6162" width="8.625" style="8" customWidth="1"/>
    <col min="6163" max="6163" width="11.375" style="8" bestFit="1" customWidth="1"/>
    <col min="6164" max="6164" width="11.25" style="8" bestFit="1" customWidth="1"/>
    <col min="6165" max="6400" width="9" style="8"/>
    <col min="6401" max="6401" width="9" style="8" customWidth="1"/>
    <col min="6402" max="6402" width="10.5" style="8" bestFit="1" customWidth="1"/>
    <col min="6403" max="6403" width="6.625" style="8" bestFit="1" customWidth="1"/>
    <col min="6404" max="6404" width="7.125" style="8" bestFit="1" customWidth="1"/>
    <col min="6405" max="6415" width="9" style="8"/>
    <col min="6416" max="6416" width="4" style="8" customWidth="1"/>
    <col min="6417" max="6417" width="6.625" style="8" customWidth="1"/>
    <col min="6418" max="6418" width="8.625" style="8" customWidth="1"/>
    <col min="6419" max="6419" width="11.375" style="8" bestFit="1" customWidth="1"/>
    <col min="6420" max="6420" width="11.25" style="8" bestFit="1" customWidth="1"/>
    <col min="6421" max="6656" width="9" style="8"/>
    <col min="6657" max="6657" width="9" style="8" customWidth="1"/>
    <col min="6658" max="6658" width="10.5" style="8" bestFit="1" customWidth="1"/>
    <col min="6659" max="6659" width="6.625" style="8" bestFit="1" customWidth="1"/>
    <col min="6660" max="6660" width="7.125" style="8" bestFit="1" customWidth="1"/>
    <col min="6661" max="6671" width="9" style="8"/>
    <col min="6672" max="6672" width="4" style="8" customWidth="1"/>
    <col min="6673" max="6673" width="6.625" style="8" customWidth="1"/>
    <col min="6674" max="6674" width="8.625" style="8" customWidth="1"/>
    <col min="6675" max="6675" width="11.375" style="8" bestFit="1" customWidth="1"/>
    <col min="6676" max="6676" width="11.25" style="8" bestFit="1" customWidth="1"/>
    <col min="6677" max="6912" width="9" style="8"/>
    <col min="6913" max="6913" width="9" style="8" customWidth="1"/>
    <col min="6914" max="6914" width="10.5" style="8" bestFit="1" customWidth="1"/>
    <col min="6915" max="6915" width="6.625" style="8" bestFit="1" customWidth="1"/>
    <col min="6916" max="6916" width="7.125" style="8" bestFit="1" customWidth="1"/>
    <col min="6917" max="6927" width="9" style="8"/>
    <col min="6928" max="6928" width="4" style="8" customWidth="1"/>
    <col min="6929" max="6929" width="6.625" style="8" customWidth="1"/>
    <col min="6930" max="6930" width="8.625" style="8" customWidth="1"/>
    <col min="6931" max="6931" width="11.375" style="8" bestFit="1" customWidth="1"/>
    <col min="6932" max="6932" width="11.25" style="8" bestFit="1" customWidth="1"/>
    <col min="6933" max="7168" width="9" style="8"/>
    <col min="7169" max="7169" width="9" style="8" customWidth="1"/>
    <col min="7170" max="7170" width="10.5" style="8" bestFit="1" customWidth="1"/>
    <col min="7171" max="7171" width="6.625" style="8" bestFit="1" customWidth="1"/>
    <col min="7172" max="7172" width="7.125" style="8" bestFit="1" customWidth="1"/>
    <col min="7173" max="7183" width="9" style="8"/>
    <col min="7184" max="7184" width="4" style="8" customWidth="1"/>
    <col min="7185" max="7185" width="6.625" style="8" customWidth="1"/>
    <col min="7186" max="7186" width="8.625" style="8" customWidth="1"/>
    <col min="7187" max="7187" width="11.375" style="8" bestFit="1" customWidth="1"/>
    <col min="7188" max="7188" width="11.25" style="8" bestFit="1" customWidth="1"/>
    <col min="7189" max="7424" width="9" style="8"/>
    <col min="7425" max="7425" width="9" style="8" customWidth="1"/>
    <col min="7426" max="7426" width="10.5" style="8" bestFit="1" customWidth="1"/>
    <col min="7427" max="7427" width="6.625" style="8" bestFit="1" customWidth="1"/>
    <col min="7428" max="7428" width="7.125" style="8" bestFit="1" customWidth="1"/>
    <col min="7429" max="7439" width="9" style="8"/>
    <col min="7440" max="7440" width="4" style="8" customWidth="1"/>
    <col min="7441" max="7441" width="6.625" style="8" customWidth="1"/>
    <col min="7442" max="7442" width="8.625" style="8" customWidth="1"/>
    <col min="7443" max="7443" width="11.375" style="8" bestFit="1" customWidth="1"/>
    <col min="7444" max="7444" width="11.25" style="8" bestFit="1" customWidth="1"/>
    <col min="7445" max="7680" width="9" style="8"/>
    <col min="7681" max="7681" width="9" style="8" customWidth="1"/>
    <col min="7682" max="7682" width="10.5" style="8" bestFit="1" customWidth="1"/>
    <col min="7683" max="7683" width="6.625" style="8" bestFit="1" customWidth="1"/>
    <col min="7684" max="7684" width="7.125" style="8" bestFit="1" customWidth="1"/>
    <col min="7685" max="7695" width="9" style="8"/>
    <col min="7696" max="7696" width="4" style="8" customWidth="1"/>
    <col min="7697" max="7697" width="6.625" style="8" customWidth="1"/>
    <col min="7698" max="7698" width="8.625" style="8" customWidth="1"/>
    <col min="7699" max="7699" width="11.375" style="8" bestFit="1" customWidth="1"/>
    <col min="7700" max="7700" width="11.25" style="8" bestFit="1" customWidth="1"/>
    <col min="7701" max="7936" width="9" style="8"/>
    <col min="7937" max="7937" width="9" style="8" customWidth="1"/>
    <col min="7938" max="7938" width="10.5" style="8" bestFit="1" customWidth="1"/>
    <col min="7939" max="7939" width="6.625" style="8" bestFit="1" customWidth="1"/>
    <col min="7940" max="7940" width="7.125" style="8" bestFit="1" customWidth="1"/>
    <col min="7941" max="7951" width="9" style="8"/>
    <col min="7952" max="7952" width="4" style="8" customWidth="1"/>
    <col min="7953" max="7953" width="6.625" style="8" customWidth="1"/>
    <col min="7954" max="7954" width="8.625" style="8" customWidth="1"/>
    <col min="7955" max="7955" width="11.375" style="8" bestFit="1" customWidth="1"/>
    <col min="7956" max="7956" width="11.25" style="8" bestFit="1" customWidth="1"/>
    <col min="7957" max="8192" width="9" style="8"/>
    <col min="8193" max="8193" width="9" style="8" customWidth="1"/>
    <col min="8194" max="8194" width="10.5" style="8" bestFit="1" customWidth="1"/>
    <col min="8195" max="8195" width="6.625" style="8" bestFit="1" customWidth="1"/>
    <col min="8196" max="8196" width="7.125" style="8" bestFit="1" customWidth="1"/>
    <col min="8197" max="8207" width="9" style="8"/>
    <col min="8208" max="8208" width="4" style="8" customWidth="1"/>
    <col min="8209" max="8209" width="6.625" style="8" customWidth="1"/>
    <col min="8210" max="8210" width="8.625" style="8" customWidth="1"/>
    <col min="8211" max="8211" width="11.375" style="8" bestFit="1" customWidth="1"/>
    <col min="8212" max="8212" width="11.25" style="8" bestFit="1" customWidth="1"/>
    <col min="8213" max="8448" width="9" style="8"/>
    <col min="8449" max="8449" width="9" style="8" customWidth="1"/>
    <col min="8450" max="8450" width="10.5" style="8" bestFit="1" customWidth="1"/>
    <col min="8451" max="8451" width="6.625" style="8" bestFit="1" customWidth="1"/>
    <col min="8452" max="8452" width="7.125" style="8" bestFit="1" customWidth="1"/>
    <col min="8453" max="8463" width="9" style="8"/>
    <col min="8464" max="8464" width="4" style="8" customWidth="1"/>
    <col min="8465" max="8465" width="6.625" style="8" customWidth="1"/>
    <col min="8466" max="8466" width="8.625" style="8" customWidth="1"/>
    <col min="8467" max="8467" width="11.375" style="8" bestFit="1" customWidth="1"/>
    <col min="8468" max="8468" width="11.25" style="8" bestFit="1" customWidth="1"/>
    <col min="8469" max="8704" width="9" style="8"/>
    <col min="8705" max="8705" width="9" style="8" customWidth="1"/>
    <col min="8706" max="8706" width="10.5" style="8" bestFit="1" customWidth="1"/>
    <col min="8707" max="8707" width="6.625" style="8" bestFit="1" customWidth="1"/>
    <col min="8708" max="8708" width="7.125" style="8" bestFit="1" customWidth="1"/>
    <col min="8709" max="8719" width="9" style="8"/>
    <col min="8720" max="8720" width="4" style="8" customWidth="1"/>
    <col min="8721" max="8721" width="6.625" style="8" customWidth="1"/>
    <col min="8722" max="8722" width="8.625" style="8" customWidth="1"/>
    <col min="8723" max="8723" width="11.375" style="8" bestFit="1" customWidth="1"/>
    <col min="8724" max="8724" width="11.25" style="8" bestFit="1" customWidth="1"/>
    <col min="8725" max="8960" width="9" style="8"/>
    <col min="8961" max="8961" width="9" style="8" customWidth="1"/>
    <col min="8962" max="8962" width="10.5" style="8" bestFit="1" customWidth="1"/>
    <col min="8963" max="8963" width="6.625" style="8" bestFit="1" customWidth="1"/>
    <col min="8964" max="8964" width="7.125" style="8" bestFit="1" customWidth="1"/>
    <col min="8965" max="8975" width="9" style="8"/>
    <col min="8976" max="8976" width="4" style="8" customWidth="1"/>
    <col min="8977" max="8977" width="6.625" style="8" customWidth="1"/>
    <col min="8978" max="8978" width="8.625" style="8" customWidth="1"/>
    <col min="8979" max="8979" width="11.375" style="8" bestFit="1" customWidth="1"/>
    <col min="8980" max="8980" width="11.25" style="8" bestFit="1" customWidth="1"/>
    <col min="8981" max="9216" width="9" style="8"/>
    <col min="9217" max="9217" width="9" style="8" customWidth="1"/>
    <col min="9218" max="9218" width="10.5" style="8" bestFit="1" customWidth="1"/>
    <col min="9219" max="9219" width="6.625" style="8" bestFit="1" customWidth="1"/>
    <col min="9220" max="9220" width="7.125" style="8" bestFit="1" customWidth="1"/>
    <col min="9221" max="9231" width="9" style="8"/>
    <col min="9232" max="9232" width="4" style="8" customWidth="1"/>
    <col min="9233" max="9233" width="6.625" style="8" customWidth="1"/>
    <col min="9234" max="9234" width="8.625" style="8" customWidth="1"/>
    <col min="9235" max="9235" width="11.375" style="8" bestFit="1" customWidth="1"/>
    <col min="9236" max="9236" width="11.25" style="8" bestFit="1" customWidth="1"/>
    <col min="9237" max="9472" width="9" style="8"/>
    <col min="9473" max="9473" width="9" style="8" customWidth="1"/>
    <col min="9474" max="9474" width="10.5" style="8" bestFit="1" customWidth="1"/>
    <col min="9475" max="9475" width="6.625" style="8" bestFit="1" customWidth="1"/>
    <col min="9476" max="9476" width="7.125" style="8" bestFit="1" customWidth="1"/>
    <col min="9477" max="9487" width="9" style="8"/>
    <col min="9488" max="9488" width="4" style="8" customWidth="1"/>
    <col min="9489" max="9489" width="6.625" style="8" customWidth="1"/>
    <col min="9490" max="9490" width="8.625" style="8" customWidth="1"/>
    <col min="9491" max="9491" width="11.375" style="8" bestFit="1" customWidth="1"/>
    <col min="9492" max="9492" width="11.25" style="8" bestFit="1" customWidth="1"/>
    <col min="9493" max="9728" width="9" style="8"/>
    <col min="9729" max="9729" width="9" style="8" customWidth="1"/>
    <col min="9730" max="9730" width="10.5" style="8" bestFit="1" customWidth="1"/>
    <col min="9731" max="9731" width="6.625" style="8" bestFit="1" customWidth="1"/>
    <col min="9732" max="9732" width="7.125" style="8" bestFit="1" customWidth="1"/>
    <col min="9733" max="9743" width="9" style="8"/>
    <col min="9744" max="9744" width="4" style="8" customWidth="1"/>
    <col min="9745" max="9745" width="6.625" style="8" customWidth="1"/>
    <col min="9746" max="9746" width="8.625" style="8" customWidth="1"/>
    <col min="9747" max="9747" width="11.375" style="8" bestFit="1" customWidth="1"/>
    <col min="9748" max="9748" width="11.25" style="8" bestFit="1" customWidth="1"/>
    <col min="9749" max="9984" width="9" style="8"/>
    <col min="9985" max="9985" width="9" style="8" customWidth="1"/>
    <col min="9986" max="9986" width="10.5" style="8" bestFit="1" customWidth="1"/>
    <col min="9987" max="9987" width="6.625" style="8" bestFit="1" customWidth="1"/>
    <col min="9988" max="9988" width="7.125" style="8" bestFit="1" customWidth="1"/>
    <col min="9989" max="9999" width="9" style="8"/>
    <col min="10000" max="10000" width="4" style="8" customWidth="1"/>
    <col min="10001" max="10001" width="6.625" style="8" customWidth="1"/>
    <col min="10002" max="10002" width="8.625" style="8" customWidth="1"/>
    <col min="10003" max="10003" width="11.375" style="8" bestFit="1" customWidth="1"/>
    <col min="10004" max="10004" width="11.25" style="8" bestFit="1" customWidth="1"/>
    <col min="10005" max="10240" width="9" style="8"/>
    <col min="10241" max="10241" width="9" style="8" customWidth="1"/>
    <col min="10242" max="10242" width="10.5" style="8" bestFit="1" customWidth="1"/>
    <col min="10243" max="10243" width="6.625" style="8" bestFit="1" customWidth="1"/>
    <col min="10244" max="10244" width="7.125" style="8" bestFit="1" customWidth="1"/>
    <col min="10245" max="10255" width="9" style="8"/>
    <col min="10256" max="10256" width="4" style="8" customWidth="1"/>
    <col min="10257" max="10257" width="6.625" style="8" customWidth="1"/>
    <col min="10258" max="10258" width="8.625" style="8" customWidth="1"/>
    <col min="10259" max="10259" width="11.375" style="8" bestFit="1" customWidth="1"/>
    <col min="10260" max="10260" width="11.25" style="8" bestFit="1" customWidth="1"/>
    <col min="10261" max="10496" width="9" style="8"/>
    <col min="10497" max="10497" width="9" style="8" customWidth="1"/>
    <col min="10498" max="10498" width="10.5" style="8" bestFit="1" customWidth="1"/>
    <col min="10499" max="10499" width="6.625" style="8" bestFit="1" customWidth="1"/>
    <col min="10500" max="10500" width="7.125" style="8" bestFit="1" customWidth="1"/>
    <col min="10501" max="10511" width="9" style="8"/>
    <col min="10512" max="10512" width="4" style="8" customWidth="1"/>
    <col min="10513" max="10513" width="6.625" style="8" customWidth="1"/>
    <col min="10514" max="10514" width="8.625" style="8" customWidth="1"/>
    <col min="10515" max="10515" width="11.375" style="8" bestFit="1" customWidth="1"/>
    <col min="10516" max="10516" width="11.25" style="8" bestFit="1" customWidth="1"/>
    <col min="10517" max="10752" width="9" style="8"/>
    <col min="10753" max="10753" width="9" style="8" customWidth="1"/>
    <col min="10754" max="10754" width="10.5" style="8" bestFit="1" customWidth="1"/>
    <col min="10755" max="10755" width="6.625" style="8" bestFit="1" customWidth="1"/>
    <col min="10756" max="10756" width="7.125" style="8" bestFit="1" customWidth="1"/>
    <col min="10757" max="10767" width="9" style="8"/>
    <col min="10768" max="10768" width="4" style="8" customWidth="1"/>
    <col min="10769" max="10769" width="6.625" style="8" customWidth="1"/>
    <col min="10770" max="10770" width="8.625" style="8" customWidth="1"/>
    <col min="10771" max="10771" width="11.375" style="8" bestFit="1" customWidth="1"/>
    <col min="10772" max="10772" width="11.25" style="8" bestFit="1" customWidth="1"/>
    <col min="10773" max="11008" width="9" style="8"/>
    <col min="11009" max="11009" width="9" style="8" customWidth="1"/>
    <col min="11010" max="11010" width="10.5" style="8" bestFit="1" customWidth="1"/>
    <col min="11011" max="11011" width="6.625" style="8" bestFit="1" customWidth="1"/>
    <col min="11012" max="11012" width="7.125" style="8" bestFit="1" customWidth="1"/>
    <col min="11013" max="11023" width="9" style="8"/>
    <col min="11024" max="11024" width="4" style="8" customWidth="1"/>
    <col min="11025" max="11025" width="6.625" style="8" customWidth="1"/>
    <col min="11026" max="11026" width="8.625" style="8" customWidth="1"/>
    <col min="11027" max="11027" width="11.375" style="8" bestFit="1" customWidth="1"/>
    <col min="11028" max="11028" width="11.25" style="8" bestFit="1" customWidth="1"/>
    <col min="11029" max="11264" width="9" style="8"/>
    <col min="11265" max="11265" width="9" style="8" customWidth="1"/>
    <col min="11266" max="11266" width="10.5" style="8" bestFit="1" customWidth="1"/>
    <col min="11267" max="11267" width="6.625" style="8" bestFit="1" customWidth="1"/>
    <col min="11268" max="11268" width="7.125" style="8" bestFit="1" customWidth="1"/>
    <col min="11269" max="11279" width="9" style="8"/>
    <col min="11280" max="11280" width="4" style="8" customWidth="1"/>
    <col min="11281" max="11281" width="6.625" style="8" customWidth="1"/>
    <col min="11282" max="11282" width="8.625" style="8" customWidth="1"/>
    <col min="11283" max="11283" width="11.375" style="8" bestFit="1" customWidth="1"/>
    <col min="11284" max="11284" width="11.25" style="8" bestFit="1" customWidth="1"/>
    <col min="11285" max="11520" width="9" style="8"/>
    <col min="11521" max="11521" width="9" style="8" customWidth="1"/>
    <col min="11522" max="11522" width="10.5" style="8" bestFit="1" customWidth="1"/>
    <col min="11523" max="11523" width="6.625" style="8" bestFit="1" customWidth="1"/>
    <col min="11524" max="11524" width="7.125" style="8" bestFit="1" customWidth="1"/>
    <col min="11525" max="11535" width="9" style="8"/>
    <col min="11536" max="11536" width="4" style="8" customWidth="1"/>
    <col min="11537" max="11537" width="6.625" style="8" customWidth="1"/>
    <col min="11538" max="11538" width="8.625" style="8" customWidth="1"/>
    <col min="11539" max="11539" width="11.375" style="8" bestFit="1" customWidth="1"/>
    <col min="11540" max="11540" width="11.25" style="8" bestFit="1" customWidth="1"/>
    <col min="11541" max="11776" width="9" style="8"/>
    <col min="11777" max="11777" width="9" style="8" customWidth="1"/>
    <col min="11778" max="11778" width="10.5" style="8" bestFit="1" customWidth="1"/>
    <col min="11779" max="11779" width="6.625" style="8" bestFit="1" customWidth="1"/>
    <col min="11780" max="11780" width="7.125" style="8" bestFit="1" customWidth="1"/>
    <col min="11781" max="11791" width="9" style="8"/>
    <col min="11792" max="11792" width="4" style="8" customWidth="1"/>
    <col min="11793" max="11793" width="6.625" style="8" customWidth="1"/>
    <col min="11794" max="11794" width="8.625" style="8" customWidth="1"/>
    <col min="11795" max="11795" width="11.375" style="8" bestFit="1" customWidth="1"/>
    <col min="11796" max="11796" width="11.25" style="8" bestFit="1" customWidth="1"/>
    <col min="11797" max="12032" width="9" style="8"/>
    <col min="12033" max="12033" width="9" style="8" customWidth="1"/>
    <col min="12034" max="12034" width="10.5" style="8" bestFit="1" customWidth="1"/>
    <col min="12035" max="12035" width="6.625" style="8" bestFit="1" customWidth="1"/>
    <col min="12036" max="12036" width="7.125" style="8" bestFit="1" customWidth="1"/>
    <col min="12037" max="12047" width="9" style="8"/>
    <col min="12048" max="12048" width="4" style="8" customWidth="1"/>
    <col min="12049" max="12049" width="6.625" style="8" customWidth="1"/>
    <col min="12050" max="12050" width="8.625" style="8" customWidth="1"/>
    <col min="12051" max="12051" width="11.375" style="8" bestFit="1" customWidth="1"/>
    <col min="12052" max="12052" width="11.25" style="8" bestFit="1" customWidth="1"/>
    <col min="12053" max="12288" width="9" style="8"/>
    <col min="12289" max="12289" width="9" style="8" customWidth="1"/>
    <col min="12290" max="12290" width="10.5" style="8" bestFit="1" customWidth="1"/>
    <col min="12291" max="12291" width="6.625" style="8" bestFit="1" customWidth="1"/>
    <col min="12292" max="12292" width="7.125" style="8" bestFit="1" customWidth="1"/>
    <col min="12293" max="12303" width="9" style="8"/>
    <col min="12304" max="12304" width="4" style="8" customWidth="1"/>
    <col min="12305" max="12305" width="6.625" style="8" customWidth="1"/>
    <col min="12306" max="12306" width="8.625" style="8" customWidth="1"/>
    <col min="12307" max="12307" width="11.375" style="8" bestFit="1" customWidth="1"/>
    <col min="12308" max="12308" width="11.25" style="8" bestFit="1" customWidth="1"/>
    <col min="12309" max="12544" width="9" style="8"/>
    <col min="12545" max="12545" width="9" style="8" customWidth="1"/>
    <col min="12546" max="12546" width="10.5" style="8" bestFit="1" customWidth="1"/>
    <col min="12547" max="12547" width="6.625" style="8" bestFit="1" customWidth="1"/>
    <col min="12548" max="12548" width="7.125" style="8" bestFit="1" customWidth="1"/>
    <col min="12549" max="12559" width="9" style="8"/>
    <col min="12560" max="12560" width="4" style="8" customWidth="1"/>
    <col min="12561" max="12561" width="6.625" style="8" customWidth="1"/>
    <col min="12562" max="12562" width="8.625" style="8" customWidth="1"/>
    <col min="12563" max="12563" width="11.375" style="8" bestFit="1" customWidth="1"/>
    <col min="12564" max="12564" width="11.25" style="8" bestFit="1" customWidth="1"/>
    <col min="12565" max="12800" width="9" style="8"/>
    <col min="12801" max="12801" width="9" style="8" customWidth="1"/>
    <col min="12802" max="12802" width="10.5" style="8" bestFit="1" customWidth="1"/>
    <col min="12803" max="12803" width="6.625" style="8" bestFit="1" customWidth="1"/>
    <col min="12804" max="12804" width="7.125" style="8" bestFit="1" customWidth="1"/>
    <col min="12805" max="12815" width="9" style="8"/>
    <col min="12816" max="12816" width="4" style="8" customWidth="1"/>
    <col min="12817" max="12817" width="6.625" style="8" customWidth="1"/>
    <col min="12818" max="12818" width="8.625" style="8" customWidth="1"/>
    <col min="12819" max="12819" width="11.375" style="8" bestFit="1" customWidth="1"/>
    <col min="12820" max="12820" width="11.25" style="8" bestFit="1" customWidth="1"/>
    <col min="12821" max="13056" width="9" style="8"/>
    <col min="13057" max="13057" width="9" style="8" customWidth="1"/>
    <col min="13058" max="13058" width="10.5" style="8" bestFit="1" customWidth="1"/>
    <col min="13059" max="13059" width="6.625" style="8" bestFit="1" customWidth="1"/>
    <col min="13060" max="13060" width="7.125" style="8" bestFit="1" customWidth="1"/>
    <col min="13061" max="13071" width="9" style="8"/>
    <col min="13072" max="13072" width="4" style="8" customWidth="1"/>
    <col min="13073" max="13073" width="6.625" style="8" customWidth="1"/>
    <col min="13074" max="13074" width="8.625" style="8" customWidth="1"/>
    <col min="13075" max="13075" width="11.375" style="8" bestFit="1" customWidth="1"/>
    <col min="13076" max="13076" width="11.25" style="8" bestFit="1" customWidth="1"/>
    <col min="13077" max="13312" width="9" style="8"/>
    <col min="13313" max="13313" width="9" style="8" customWidth="1"/>
    <col min="13314" max="13314" width="10.5" style="8" bestFit="1" customWidth="1"/>
    <col min="13315" max="13315" width="6.625" style="8" bestFit="1" customWidth="1"/>
    <col min="13316" max="13316" width="7.125" style="8" bestFit="1" customWidth="1"/>
    <col min="13317" max="13327" width="9" style="8"/>
    <col min="13328" max="13328" width="4" style="8" customWidth="1"/>
    <col min="13329" max="13329" width="6.625" style="8" customWidth="1"/>
    <col min="13330" max="13330" width="8.625" style="8" customWidth="1"/>
    <col min="13331" max="13331" width="11.375" style="8" bestFit="1" customWidth="1"/>
    <col min="13332" max="13332" width="11.25" style="8" bestFit="1" customWidth="1"/>
    <col min="13333" max="13568" width="9" style="8"/>
    <col min="13569" max="13569" width="9" style="8" customWidth="1"/>
    <col min="13570" max="13570" width="10.5" style="8" bestFit="1" customWidth="1"/>
    <col min="13571" max="13571" width="6.625" style="8" bestFit="1" customWidth="1"/>
    <col min="13572" max="13572" width="7.125" style="8" bestFit="1" customWidth="1"/>
    <col min="13573" max="13583" width="9" style="8"/>
    <col min="13584" max="13584" width="4" style="8" customWidth="1"/>
    <col min="13585" max="13585" width="6.625" style="8" customWidth="1"/>
    <col min="13586" max="13586" width="8.625" style="8" customWidth="1"/>
    <col min="13587" max="13587" width="11.375" style="8" bestFit="1" customWidth="1"/>
    <col min="13588" max="13588" width="11.25" style="8" bestFit="1" customWidth="1"/>
    <col min="13589" max="13824" width="9" style="8"/>
    <col min="13825" max="13825" width="9" style="8" customWidth="1"/>
    <col min="13826" max="13826" width="10.5" style="8" bestFit="1" customWidth="1"/>
    <col min="13827" max="13827" width="6.625" style="8" bestFit="1" customWidth="1"/>
    <col min="13828" max="13828" width="7.125" style="8" bestFit="1" customWidth="1"/>
    <col min="13829" max="13839" width="9" style="8"/>
    <col min="13840" max="13840" width="4" style="8" customWidth="1"/>
    <col min="13841" max="13841" width="6.625" style="8" customWidth="1"/>
    <col min="13842" max="13842" width="8.625" style="8" customWidth="1"/>
    <col min="13843" max="13843" width="11.375" style="8" bestFit="1" customWidth="1"/>
    <col min="13844" max="13844" width="11.25" style="8" bestFit="1" customWidth="1"/>
    <col min="13845" max="14080" width="9" style="8"/>
    <col min="14081" max="14081" width="9" style="8" customWidth="1"/>
    <col min="14082" max="14082" width="10.5" style="8" bestFit="1" customWidth="1"/>
    <col min="14083" max="14083" width="6.625" style="8" bestFit="1" customWidth="1"/>
    <col min="14084" max="14084" width="7.125" style="8" bestFit="1" customWidth="1"/>
    <col min="14085" max="14095" width="9" style="8"/>
    <col min="14096" max="14096" width="4" style="8" customWidth="1"/>
    <col min="14097" max="14097" width="6.625" style="8" customWidth="1"/>
    <col min="14098" max="14098" width="8.625" style="8" customWidth="1"/>
    <col min="14099" max="14099" width="11.375" style="8" bestFit="1" customWidth="1"/>
    <col min="14100" max="14100" width="11.25" style="8" bestFit="1" customWidth="1"/>
    <col min="14101" max="14336" width="9" style="8"/>
    <col min="14337" max="14337" width="9" style="8" customWidth="1"/>
    <col min="14338" max="14338" width="10.5" style="8" bestFit="1" customWidth="1"/>
    <col min="14339" max="14339" width="6.625" style="8" bestFit="1" customWidth="1"/>
    <col min="14340" max="14340" width="7.125" style="8" bestFit="1" customWidth="1"/>
    <col min="14341" max="14351" width="9" style="8"/>
    <col min="14352" max="14352" width="4" style="8" customWidth="1"/>
    <col min="14353" max="14353" width="6.625" style="8" customWidth="1"/>
    <col min="14354" max="14354" width="8.625" style="8" customWidth="1"/>
    <col min="14355" max="14355" width="11.375" style="8" bestFit="1" customWidth="1"/>
    <col min="14356" max="14356" width="11.25" style="8" bestFit="1" customWidth="1"/>
    <col min="14357" max="14592" width="9" style="8"/>
    <col min="14593" max="14593" width="9" style="8" customWidth="1"/>
    <col min="14594" max="14594" width="10.5" style="8" bestFit="1" customWidth="1"/>
    <col min="14595" max="14595" width="6.625" style="8" bestFit="1" customWidth="1"/>
    <col min="14596" max="14596" width="7.125" style="8" bestFit="1" customWidth="1"/>
    <col min="14597" max="14607" width="9" style="8"/>
    <col min="14608" max="14608" width="4" style="8" customWidth="1"/>
    <col min="14609" max="14609" width="6.625" style="8" customWidth="1"/>
    <col min="14610" max="14610" width="8.625" style="8" customWidth="1"/>
    <col min="14611" max="14611" width="11.375" style="8" bestFit="1" customWidth="1"/>
    <col min="14612" max="14612" width="11.25" style="8" bestFit="1" customWidth="1"/>
    <col min="14613" max="14848" width="9" style="8"/>
    <col min="14849" max="14849" width="9" style="8" customWidth="1"/>
    <col min="14850" max="14850" width="10.5" style="8" bestFit="1" customWidth="1"/>
    <col min="14851" max="14851" width="6.625" style="8" bestFit="1" customWidth="1"/>
    <col min="14852" max="14852" width="7.125" style="8" bestFit="1" customWidth="1"/>
    <col min="14853" max="14863" width="9" style="8"/>
    <col min="14864" max="14864" width="4" style="8" customWidth="1"/>
    <col min="14865" max="14865" width="6.625" style="8" customWidth="1"/>
    <col min="14866" max="14866" width="8.625" style="8" customWidth="1"/>
    <col min="14867" max="14867" width="11.375" style="8" bestFit="1" customWidth="1"/>
    <col min="14868" max="14868" width="11.25" style="8" bestFit="1" customWidth="1"/>
    <col min="14869" max="15104" width="9" style="8"/>
    <col min="15105" max="15105" width="9" style="8" customWidth="1"/>
    <col min="15106" max="15106" width="10.5" style="8" bestFit="1" customWidth="1"/>
    <col min="15107" max="15107" width="6.625" style="8" bestFit="1" customWidth="1"/>
    <col min="15108" max="15108" width="7.125" style="8" bestFit="1" customWidth="1"/>
    <col min="15109" max="15119" width="9" style="8"/>
    <col min="15120" max="15120" width="4" style="8" customWidth="1"/>
    <col min="15121" max="15121" width="6.625" style="8" customWidth="1"/>
    <col min="15122" max="15122" width="8.625" style="8" customWidth="1"/>
    <col min="15123" max="15123" width="11.375" style="8" bestFit="1" customWidth="1"/>
    <col min="15124" max="15124" width="11.25" style="8" bestFit="1" customWidth="1"/>
    <col min="15125" max="15360" width="9" style="8"/>
    <col min="15361" max="15361" width="9" style="8" customWidth="1"/>
    <col min="15362" max="15362" width="10.5" style="8" bestFit="1" customWidth="1"/>
    <col min="15363" max="15363" width="6.625" style="8" bestFit="1" customWidth="1"/>
    <col min="15364" max="15364" width="7.125" style="8" bestFit="1" customWidth="1"/>
    <col min="15365" max="15375" width="9" style="8"/>
    <col min="15376" max="15376" width="4" style="8" customWidth="1"/>
    <col min="15377" max="15377" width="6.625" style="8" customWidth="1"/>
    <col min="15378" max="15378" width="8.625" style="8" customWidth="1"/>
    <col min="15379" max="15379" width="11.375" style="8" bestFit="1" customWidth="1"/>
    <col min="15380" max="15380" width="11.25" style="8" bestFit="1" customWidth="1"/>
    <col min="15381" max="15616" width="9" style="8"/>
    <col min="15617" max="15617" width="9" style="8" customWidth="1"/>
    <col min="15618" max="15618" width="10.5" style="8" bestFit="1" customWidth="1"/>
    <col min="15619" max="15619" width="6.625" style="8" bestFit="1" customWidth="1"/>
    <col min="15620" max="15620" width="7.125" style="8" bestFit="1" customWidth="1"/>
    <col min="15621" max="15631" width="9" style="8"/>
    <col min="15632" max="15632" width="4" style="8" customWidth="1"/>
    <col min="15633" max="15633" width="6.625" style="8" customWidth="1"/>
    <col min="15634" max="15634" width="8.625" style="8" customWidth="1"/>
    <col min="15635" max="15635" width="11.375" style="8" bestFit="1" customWidth="1"/>
    <col min="15636" max="15636" width="11.25" style="8" bestFit="1" customWidth="1"/>
    <col min="15637" max="15872" width="9" style="8"/>
    <col min="15873" max="15873" width="9" style="8" customWidth="1"/>
    <col min="15874" max="15874" width="10.5" style="8" bestFit="1" customWidth="1"/>
    <col min="15875" max="15875" width="6.625" style="8" bestFit="1" customWidth="1"/>
    <col min="15876" max="15876" width="7.125" style="8" bestFit="1" customWidth="1"/>
    <col min="15877" max="15887" width="9" style="8"/>
    <col min="15888" max="15888" width="4" style="8" customWidth="1"/>
    <col min="15889" max="15889" width="6.625" style="8" customWidth="1"/>
    <col min="15890" max="15890" width="8.625" style="8" customWidth="1"/>
    <col min="15891" max="15891" width="11.375" style="8" bestFit="1" customWidth="1"/>
    <col min="15892" max="15892" width="11.25" style="8" bestFit="1" customWidth="1"/>
    <col min="15893" max="16128" width="9" style="8"/>
    <col min="16129" max="16129" width="9" style="8" customWidth="1"/>
    <col min="16130" max="16130" width="10.5" style="8" bestFit="1" customWidth="1"/>
    <col min="16131" max="16131" width="6.625" style="8" bestFit="1" customWidth="1"/>
    <col min="16132" max="16132" width="7.125" style="8" bestFit="1" customWidth="1"/>
    <col min="16133" max="16143" width="9" style="8"/>
    <col min="16144" max="16144" width="4" style="8" customWidth="1"/>
    <col min="16145" max="16145" width="6.625" style="8" customWidth="1"/>
    <col min="16146" max="16146" width="8.625" style="8" customWidth="1"/>
    <col min="16147" max="16147" width="11.375" style="8" bestFit="1" customWidth="1"/>
    <col min="16148" max="16148" width="11.25" style="8" bestFit="1" customWidth="1"/>
    <col min="16149" max="16384" width="9" style="8"/>
  </cols>
  <sheetData>
    <row r="1" spans="1:20" ht="16.5" customHeight="1" x14ac:dyDescent="0.25">
      <c r="F1" s="93" t="s">
        <v>544</v>
      </c>
      <c r="G1" s="94"/>
      <c r="H1" s="94"/>
      <c r="I1" s="95"/>
      <c r="J1" s="93" t="s">
        <v>545</v>
      </c>
      <c r="K1" s="94"/>
      <c r="L1" s="94"/>
      <c r="M1" s="94"/>
      <c r="N1" s="95"/>
      <c r="O1" s="8" t="s">
        <v>546</v>
      </c>
      <c r="Q1" s="96" t="s">
        <v>547</v>
      </c>
      <c r="R1" s="97"/>
      <c r="S1" s="97"/>
      <c r="T1" s="97"/>
    </row>
    <row r="2" spans="1:20" ht="28.5" x14ac:dyDescent="0.25">
      <c r="D2" s="9" t="s">
        <v>548</v>
      </c>
      <c r="E2" s="9" t="s">
        <v>549</v>
      </c>
      <c r="F2" s="98" t="s">
        <v>550</v>
      </c>
      <c r="G2" s="99"/>
      <c r="H2" s="99"/>
      <c r="I2" s="10" t="s">
        <v>551</v>
      </c>
      <c r="J2" s="98" t="s">
        <v>550</v>
      </c>
      <c r="K2" s="99"/>
      <c r="L2" s="99"/>
      <c r="M2" s="10" t="s">
        <v>552</v>
      </c>
      <c r="N2" s="10" t="s">
        <v>551</v>
      </c>
      <c r="O2" s="100" t="s">
        <v>553</v>
      </c>
      <c r="Q2" s="11" t="s">
        <v>554</v>
      </c>
      <c r="R2" s="12"/>
      <c r="S2" s="13"/>
      <c r="T2" s="13"/>
    </row>
    <row r="3" spans="1:20" ht="45.75" x14ac:dyDescent="0.25">
      <c r="B3" s="8" t="s">
        <v>555</v>
      </c>
      <c r="C3" s="8" t="s">
        <v>556</v>
      </c>
      <c r="D3" s="14" t="s">
        <v>105</v>
      </c>
      <c r="E3" s="14" t="s">
        <v>106</v>
      </c>
      <c r="F3" s="15" t="s">
        <v>557</v>
      </c>
      <c r="G3" s="15" t="s">
        <v>558</v>
      </c>
      <c r="H3" s="15" t="s">
        <v>559</v>
      </c>
      <c r="I3" s="16" t="s">
        <v>560</v>
      </c>
      <c r="J3" s="15" t="s">
        <v>557</v>
      </c>
      <c r="K3" s="15" t="s">
        <v>561</v>
      </c>
      <c r="L3" s="15" t="s">
        <v>559</v>
      </c>
      <c r="M3" s="17" t="s">
        <v>107</v>
      </c>
      <c r="N3" s="16" t="s">
        <v>560</v>
      </c>
      <c r="O3" s="100"/>
      <c r="Q3" s="46" t="s">
        <v>562</v>
      </c>
      <c r="R3" s="18" t="s">
        <v>108</v>
      </c>
      <c r="S3" s="19" t="s">
        <v>563</v>
      </c>
      <c r="T3" s="19" t="s">
        <v>109</v>
      </c>
    </row>
    <row r="4" spans="1:20" x14ac:dyDescent="0.25">
      <c r="A4" s="26" t="s">
        <v>274</v>
      </c>
      <c r="B4" s="49" t="s">
        <v>221</v>
      </c>
      <c r="C4" s="50">
        <v>0.25</v>
      </c>
      <c r="D4" s="49">
        <v>0.02</v>
      </c>
      <c r="E4" s="49">
        <v>0.02</v>
      </c>
      <c r="F4" s="20">
        <v>0.72</v>
      </c>
      <c r="G4" s="20">
        <v>0.7</v>
      </c>
      <c r="H4" s="20">
        <v>0.71</v>
      </c>
      <c r="I4" s="22">
        <v>10</v>
      </c>
      <c r="J4" s="20">
        <v>0.8</v>
      </c>
      <c r="K4" s="20">
        <v>0.8</v>
      </c>
      <c r="L4" s="20">
        <v>0.8</v>
      </c>
      <c r="M4" s="23">
        <v>1</v>
      </c>
      <c r="N4" s="22">
        <v>7.5</v>
      </c>
      <c r="O4" s="22">
        <v>1.0606</v>
      </c>
      <c r="Q4" s="24" t="s">
        <v>274</v>
      </c>
      <c r="R4" s="24" t="s">
        <v>564</v>
      </c>
      <c r="S4" s="25">
        <v>500000000</v>
      </c>
      <c r="T4" s="25">
        <v>500000000</v>
      </c>
    </row>
    <row r="5" spans="1:20" x14ac:dyDescent="0.25">
      <c r="A5" s="26" t="s">
        <v>33</v>
      </c>
      <c r="B5" s="49" t="s">
        <v>110</v>
      </c>
      <c r="C5" s="50">
        <v>1.75</v>
      </c>
      <c r="D5" s="49">
        <v>0.08</v>
      </c>
      <c r="E5" s="49">
        <v>0.09</v>
      </c>
      <c r="F5" s="20" t="s">
        <v>0</v>
      </c>
      <c r="G5" s="20" t="s">
        <v>0</v>
      </c>
      <c r="H5" s="20" t="s">
        <v>0</v>
      </c>
      <c r="I5" s="22" t="s">
        <v>0</v>
      </c>
      <c r="J5" s="20" t="s">
        <v>0</v>
      </c>
      <c r="K5" s="20" t="s">
        <v>0</v>
      </c>
      <c r="L5" s="20" t="s">
        <v>0</v>
      </c>
      <c r="M5" s="23" t="s">
        <v>0</v>
      </c>
      <c r="N5" s="22" t="s">
        <v>0</v>
      </c>
      <c r="O5" s="22">
        <v>0.99670000000000003</v>
      </c>
      <c r="Q5" s="24" t="s">
        <v>320</v>
      </c>
      <c r="R5" s="24" t="s">
        <v>564</v>
      </c>
      <c r="S5" s="25">
        <v>300000000</v>
      </c>
      <c r="T5" s="25">
        <v>300000000</v>
      </c>
    </row>
    <row r="6" spans="1:20" x14ac:dyDescent="0.25">
      <c r="A6" s="26" t="s">
        <v>37</v>
      </c>
      <c r="B6" s="49" t="s">
        <v>111</v>
      </c>
      <c r="C6" s="50">
        <v>0.75</v>
      </c>
      <c r="D6" s="49">
        <v>0.26</v>
      </c>
      <c r="E6" s="49">
        <v>0.27</v>
      </c>
      <c r="F6" s="20" t="s">
        <v>0</v>
      </c>
      <c r="G6" s="20" t="s">
        <v>0</v>
      </c>
      <c r="H6" s="20" t="s">
        <v>0</v>
      </c>
      <c r="I6" s="22" t="s">
        <v>0</v>
      </c>
      <c r="J6" s="20" t="s">
        <v>0</v>
      </c>
      <c r="K6" s="20" t="s">
        <v>0</v>
      </c>
      <c r="L6" s="20" t="s">
        <v>0</v>
      </c>
      <c r="M6" s="23" t="s">
        <v>0</v>
      </c>
      <c r="N6" s="22" t="s">
        <v>0</v>
      </c>
      <c r="O6" s="22">
        <v>0.9829</v>
      </c>
      <c r="Q6" s="24" t="s">
        <v>377</v>
      </c>
      <c r="R6" s="24" t="s">
        <v>564</v>
      </c>
      <c r="S6" s="25">
        <v>150000000</v>
      </c>
      <c r="T6" s="25">
        <v>0</v>
      </c>
    </row>
    <row r="7" spans="1:20" x14ac:dyDescent="0.25">
      <c r="A7" s="26" t="s">
        <v>27</v>
      </c>
      <c r="B7" s="49" t="s">
        <v>113</v>
      </c>
      <c r="C7" s="50">
        <v>0.625</v>
      </c>
      <c r="D7" s="49">
        <v>0.4</v>
      </c>
      <c r="E7" s="49">
        <v>0.41</v>
      </c>
      <c r="F7" s="20" t="s">
        <v>0</v>
      </c>
      <c r="G7" s="20" t="s">
        <v>0</v>
      </c>
      <c r="H7" s="20" t="s">
        <v>0</v>
      </c>
      <c r="I7" s="22" t="s">
        <v>0</v>
      </c>
      <c r="J7" s="20" t="s">
        <v>0</v>
      </c>
      <c r="K7" s="20" t="s">
        <v>0</v>
      </c>
      <c r="L7" s="20" t="s">
        <v>0</v>
      </c>
      <c r="M7" s="23" t="s">
        <v>0</v>
      </c>
      <c r="N7" s="22" t="s">
        <v>0</v>
      </c>
      <c r="O7" s="22">
        <v>0.98150000000000004</v>
      </c>
      <c r="Q7" s="26" t="s">
        <v>0</v>
      </c>
      <c r="R7" s="26" t="s">
        <v>565</v>
      </c>
      <c r="S7" s="27">
        <v>150000000</v>
      </c>
      <c r="T7" s="27">
        <v>0</v>
      </c>
    </row>
    <row r="8" spans="1:20" x14ac:dyDescent="0.25">
      <c r="A8" s="26" t="s">
        <v>9</v>
      </c>
      <c r="B8" s="49" t="s">
        <v>112</v>
      </c>
      <c r="C8" s="50">
        <v>3</v>
      </c>
      <c r="D8" s="49">
        <v>0.48</v>
      </c>
      <c r="E8" s="49">
        <v>0.48</v>
      </c>
      <c r="F8" s="20" t="s">
        <v>0</v>
      </c>
      <c r="G8" s="20" t="s">
        <v>0</v>
      </c>
      <c r="H8" s="20" t="s">
        <v>0</v>
      </c>
      <c r="I8" s="22" t="s">
        <v>0</v>
      </c>
      <c r="J8" s="20" t="s">
        <v>0</v>
      </c>
      <c r="K8" s="20" t="s">
        <v>0</v>
      </c>
      <c r="L8" s="20" t="s">
        <v>0</v>
      </c>
      <c r="M8" s="23" t="s">
        <v>0</v>
      </c>
      <c r="N8" s="22" t="s">
        <v>0</v>
      </c>
      <c r="O8" s="22">
        <v>0.98129999999999995</v>
      </c>
      <c r="Q8" s="26" t="s">
        <v>0</v>
      </c>
      <c r="R8" s="26" t="s">
        <v>566</v>
      </c>
      <c r="S8" s="27">
        <v>250000000</v>
      </c>
      <c r="T8" s="27">
        <v>550000000</v>
      </c>
    </row>
    <row r="9" spans="1:20" x14ac:dyDescent="0.25">
      <c r="A9" s="26" t="s">
        <v>52</v>
      </c>
      <c r="B9" s="49" t="s">
        <v>114</v>
      </c>
      <c r="C9" s="50">
        <v>1.5</v>
      </c>
      <c r="D9" s="49">
        <v>0.54</v>
      </c>
      <c r="E9" s="49">
        <v>0.54</v>
      </c>
      <c r="F9" s="20" t="s">
        <v>0</v>
      </c>
      <c r="G9" s="20" t="s">
        <v>0</v>
      </c>
      <c r="H9" s="20" t="s">
        <v>0</v>
      </c>
      <c r="I9" s="22" t="s">
        <v>0</v>
      </c>
      <c r="J9" s="20" t="s">
        <v>0</v>
      </c>
      <c r="K9" s="20" t="s">
        <v>0</v>
      </c>
      <c r="L9" s="20" t="s">
        <v>0</v>
      </c>
      <c r="M9" s="23" t="s">
        <v>0</v>
      </c>
      <c r="N9" s="22" t="s">
        <v>0</v>
      </c>
      <c r="O9" s="22">
        <v>0.98109999999999997</v>
      </c>
      <c r="Q9" s="24" t="s">
        <v>378</v>
      </c>
      <c r="R9" s="24" t="s">
        <v>564</v>
      </c>
      <c r="S9" s="25">
        <v>50000000</v>
      </c>
      <c r="T9" s="25">
        <v>0</v>
      </c>
    </row>
    <row r="10" spans="1:20" x14ac:dyDescent="0.25">
      <c r="A10" s="26" t="s">
        <v>277</v>
      </c>
      <c r="B10" s="49" t="s">
        <v>246</v>
      </c>
      <c r="C10" s="50">
        <v>0.75</v>
      </c>
      <c r="D10" s="49">
        <v>0.61</v>
      </c>
      <c r="E10" s="49">
        <v>0.62</v>
      </c>
      <c r="F10" s="20" t="s">
        <v>0</v>
      </c>
      <c r="G10" s="20" t="s">
        <v>0</v>
      </c>
      <c r="H10" s="20" t="s">
        <v>0</v>
      </c>
      <c r="I10" s="22" t="s">
        <v>0</v>
      </c>
      <c r="J10" s="20" t="s">
        <v>0</v>
      </c>
      <c r="K10" s="20" t="s">
        <v>0</v>
      </c>
      <c r="L10" s="20" t="s">
        <v>0</v>
      </c>
      <c r="M10" s="23" t="s">
        <v>0</v>
      </c>
      <c r="N10" s="22" t="s">
        <v>0</v>
      </c>
      <c r="O10" s="22">
        <v>0.98089999999999999</v>
      </c>
      <c r="Q10" s="26" t="s">
        <v>0</v>
      </c>
      <c r="R10" s="26" t="s">
        <v>566</v>
      </c>
      <c r="S10" s="27">
        <v>50000000</v>
      </c>
      <c r="T10" s="27">
        <v>100000000</v>
      </c>
    </row>
    <row r="11" spans="1:20" x14ac:dyDescent="0.25">
      <c r="A11" s="26" t="s">
        <v>5</v>
      </c>
      <c r="B11" s="49" t="s">
        <v>115</v>
      </c>
      <c r="C11" s="50">
        <v>0.5</v>
      </c>
      <c r="D11" s="49">
        <v>0.9</v>
      </c>
      <c r="E11" s="49">
        <v>0.91</v>
      </c>
      <c r="F11" s="20" t="s">
        <v>0</v>
      </c>
      <c r="G11" s="20" t="s">
        <v>0</v>
      </c>
      <c r="H11" s="20" t="s">
        <v>0</v>
      </c>
      <c r="I11" s="22" t="s">
        <v>0</v>
      </c>
      <c r="J11" s="20" t="s">
        <v>0</v>
      </c>
      <c r="K11" s="20" t="s">
        <v>0</v>
      </c>
      <c r="L11" s="20" t="s">
        <v>0</v>
      </c>
      <c r="M11" s="23" t="s">
        <v>0</v>
      </c>
      <c r="N11" s="22" t="s">
        <v>0</v>
      </c>
      <c r="O11" s="22">
        <v>0.97960000000000003</v>
      </c>
      <c r="Q11" s="24" t="s">
        <v>433</v>
      </c>
      <c r="R11" s="24" t="s">
        <v>566</v>
      </c>
      <c r="S11" s="25">
        <v>400000000</v>
      </c>
      <c r="T11" s="25">
        <v>400000000</v>
      </c>
    </row>
    <row r="12" spans="1:20" x14ac:dyDescent="0.25">
      <c r="A12" s="26" t="s">
        <v>42</v>
      </c>
      <c r="B12" s="49" t="s">
        <v>116</v>
      </c>
      <c r="C12" s="50">
        <v>1.625</v>
      </c>
      <c r="D12" s="49">
        <v>1.08</v>
      </c>
      <c r="E12" s="49">
        <v>1.1100000000000001</v>
      </c>
      <c r="F12" s="20" t="s">
        <v>0</v>
      </c>
      <c r="G12" s="20" t="s">
        <v>0</v>
      </c>
      <c r="H12" s="20" t="s">
        <v>0</v>
      </c>
      <c r="I12" s="22" t="s">
        <v>0</v>
      </c>
      <c r="J12" s="20" t="s">
        <v>0</v>
      </c>
      <c r="K12" s="20" t="s">
        <v>0</v>
      </c>
      <c r="L12" s="20" t="s">
        <v>0</v>
      </c>
      <c r="M12" s="23" t="s">
        <v>0</v>
      </c>
      <c r="N12" s="22" t="s">
        <v>0</v>
      </c>
      <c r="O12" s="22">
        <v>0.97799999999999998</v>
      </c>
      <c r="Q12" s="24" t="s">
        <v>567</v>
      </c>
      <c r="R12" s="24" t="s">
        <v>564</v>
      </c>
      <c r="S12" s="25">
        <v>1500000000</v>
      </c>
      <c r="T12" s="25">
        <v>200000000</v>
      </c>
    </row>
    <row r="13" spans="1:20" x14ac:dyDescent="0.25">
      <c r="A13" s="26" t="s">
        <v>10</v>
      </c>
      <c r="B13" s="49" t="s">
        <v>117</v>
      </c>
      <c r="C13" s="50">
        <v>3</v>
      </c>
      <c r="D13" s="49">
        <v>1.21</v>
      </c>
      <c r="E13" s="49">
        <v>1.25</v>
      </c>
      <c r="F13" s="20" t="s">
        <v>0</v>
      </c>
      <c r="G13" s="20" t="s">
        <v>0</v>
      </c>
      <c r="H13" s="20" t="s">
        <v>0</v>
      </c>
      <c r="I13" s="22" t="s">
        <v>0</v>
      </c>
      <c r="J13" s="20" t="s">
        <v>0</v>
      </c>
      <c r="K13" s="20" t="s">
        <v>0</v>
      </c>
      <c r="L13" s="20" t="s">
        <v>0</v>
      </c>
      <c r="M13" s="23" t="s">
        <v>0</v>
      </c>
      <c r="N13" s="22" t="s">
        <v>0</v>
      </c>
      <c r="O13" s="22">
        <v>0.97670000000000001</v>
      </c>
      <c r="Q13" s="26" t="s">
        <v>0</v>
      </c>
      <c r="R13" s="26" t="s">
        <v>566</v>
      </c>
      <c r="S13" s="27">
        <v>100000000</v>
      </c>
      <c r="T13" s="27">
        <v>1400000000</v>
      </c>
    </row>
    <row r="14" spans="1:20" x14ac:dyDescent="0.25">
      <c r="A14" s="26" t="s">
        <v>275</v>
      </c>
      <c r="B14" s="49" t="s">
        <v>119</v>
      </c>
      <c r="C14" s="50">
        <v>0.5</v>
      </c>
      <c r="D14" s="49">
        <v>1.38</v>
      </c>
      <c r="E14" s="49">
        <v>1.4</v>
      </c>
      <c r="F14" s="20" t="s">
        <v>0</v>
      </c>
      <c r="G14" s="20" t="s">
        <v>0</v>
      </c>
      <c r="H14" s="20" t="s">
        <v>0</v>
      </c>
      <c r="I14" s="22" t="s">
        <v>0</v>
      </c>
      <c r="J14" s="20">
        <v>0.96</v>
      </c>
      <c r="K14" s="20">
        <v>0.94</v>
      </c>
      <c r="L14" s="20">
        <v>0.9506</v>
      </c>
      <c r="M14" s="23">
        <v>2</v>
      </c>
      <c r="N14" s="22">
        <v>7.5</v>
      </c>
      <c r="O14" s="22">
        <v>0.97589999999999999</v>
      </c>
      <c r="Q14" s="24" t="s">
        <v>568</v>
      </c>
      <c r="R14" s="24" t="s">
        <v>566</v>
      </c>
      <c r="S14" s="25">
        <v>100000000</v>
      </c>
      <c r="T14" s="25">
        <v>100000000</v>
      </c>
    </row>
    <row r="15" spans="1:20" x14ac:dyDescent="0.25">
      <c r="A15" s="26" t="s">
        <v>7</v>
      </c>
      <c r="B15" s="49" t="s">
        <v>118</v>
      </c>
      <c r="C15" s="50">
        <v>2.375</v>
      </c>
      <c r="D15" s="49">
        <v>1.49</v>
      </c>
      <c r="E15" s="49">
        <v>1.53</v>
      </c>
      <c r="F15" s="20" t="s">
        <v>0</v>
      </c>
      <c r="G15" s="20" t="s">
        <v>0</v>
      </c>
      <c r="H15" s="20" t="s">
        <v>0</v>
      </c>
      <c r="I15" s="22" t="s">
        <v>0</v>
      </c>
      <c r="J15" s="20" t="s">
        <v>0</v>
      </c>
      <c r="K15" s="20" t="s">
        <v>0</v>
      </c>
      <c r="L15" s="20" t="s">
        <v>0</v>
      </c>
      <c r="M15" s="23" t="s">
        <v>0</v>
      </c>
      <c r="N15" s="22" t="s">
        <v>0</v>
      </c>
      <c r="O15" s="22">
        <v>0.97570000000000001</v>
      </c>
      <c r="Q15" s="24" t="s">
        <v>569</v>
      </c>
      <c r="R15" s="24" t="s">
        <v>564</v>
      </c>
      <c r="S15" s="25">
        <v>0</v>
      </c>
      <c r="T15" s="25">
        <v>100000000</v>
      </c>
    </row>
    <row r="16" spans="1:20" x14ac:dyDescent="0.25">
      <c r="A16" s="26" t="s">
        <v>322</v>
      </c>
      <c r="B16" s="49" t="s">
        <v>323</v>
      </c>
      <c r="C16" s="50">
        <v>1</v>
      </c>
      <c r="D16" s="49">
        <v>1.49</v>
      </c>
      <c r="E16" s="49">
        <v>1.52</v>
      </c>
      <c r="F16" s="20" t="s">
        <v>0</v>
      </c>
      <c r="G16" s="20" t="s">
        <v>0</v>
      </c>
      <c r="H16" s="20" t="s">
        <v>0</v>
      </c>
      <c r="I16" s="22" t="s">
        <v>0</v>
      </c>
      <c r="J16" s="20" t="s">
        <v>0</v>
      </c>
      <c r="K16" s="20" t="s">
        <v>0</v>
      </c>
      <c r="L16" s="20" t="s">
        <v>0</v>
      </c>
      <c r="M16" s="23" t="s">
        <v>0</v>
      </c>
      <c r="N16" s="22" t="s">
        <v>0</v>
      </c>
      <c r="O16" s="22">
        <v>0.97570000000000001</v>
      </c>
      <c r="Q16" s="26" t="s">
        <v>0</v>
      </c>
      <c r="R16" s="26" t="s">
        <v>570</v>
      </c>
      <c r="S16" s="27">
        <v>100000000</v>
      </c>
      <c r="T16" s="27">
        <v>0</v>
      </c>
    </row>
    <row r="17" spans="1:20" x14ac:dyDescent="0.25">
      <c r="A17" s="26" t="s">
        <v>31</v>
      </c>
      <c r="B17" s="49" t="s">
        <v>120</v>
      </c>
      <c r="C17" s="50">
        <v>1.625</v>
      </c>
      <c r="D17" s="49">
        <v>1.54</v>
      </c>
      <c r="E17" s="49">
        <v>1.57</v>
      </c>
      <c r="F17" s="20" t="s">
        <v>0</v>
      </c>
      <c r="G17" s="20" t="s">
        <v>0</v>
      </c>
      <c r="H17" s="20" t="s">
        <v>0</v>
      </c>
      <c r="I17" s="22" t="s">
        <v>0</v>
      </c>
      <c r="J17" s="20" t="s">
        <v>0</v>
      </c>
      <c r="K17" s="20" t="s">
        <v>0</v>
      </c>
      <c r="L17" s="20" t="s">
        <v>0</v>
      </c>
      <c r="M17" s="23" t="s">
        <v>0</v>
      </c>
      <c r="N17" s="22" t="s">
        <v>0</v>
      </c>
      <c r="O17" s="22">
        <v>0.9758</v>
      </c>
      <c r="Q17" s="24" t="s">
        <v>571</v>
      </c>
      <c r="R17" s="24" t="s">
        <v>564</v>
      </c>
      <c r="S17" s="25">
        <v>0</v>
      </c>
      <c r="T17" s="25">
        <v>150000000</v>
      </c>
    </row>
    <row r="18" spans="1:20" x14ac:dyDescent="0.25">
      <c r="A18" s="26" t="s">
        <v>278</v>
      </c>
      <c r="B18" s="49" t="s">
        <v>121</v>
      </c>
      <c r="C18" s="50">
        <v>0.25</v>
      </c>
      <c r="D18" s="49">
        <v>1.89</v>
      </c>
      <c r="E18" s="49">
        <v>1.91</v>
      </c>
      <c r="F18" s="20" t="s">
        <v>0</v>
      </c>
      <c r="G18" s="20" t="s">
        <v>0</v>
      </c>
      <c r="H18" s="20" t="s">
        <v>0</v>
      </c>
      <c r="I18" s="22" t="s">
        <v>0</v>
      </c>
      <c r="J18" s="20" t="s">
        <v>0</v>
      </c>
      <c r="K18" s="20" t="s">
        <v>0</v>
      </c>
      <c r="L18" s="20" t="s">
        <v>0</v>
      </c>
      <c r="M18" s="23" t="s">
        <v>0</v>
      </c>
      <c r="N18" s="22" t="s">
        <v>0</v>
      </c>
      <c r="O18" s="22">
        <v>0.97929999999999995</v>
      </c>
      <c r="Q18" s="26" t="s">
        <v>0</v>
      </c>
      <c r="R18" s="26" t="s">
        <v>566</v>
      </c>
      <c r="S18" s="27">
        <v>150000000</v>
      </c>
      <c r="T18" s="27">
        <v>0</v>
      </c>
    </row>
    <row r="19" spans="1:20" x14ac:dyDescent="0.25">
      <c r="A19" s="26" t="s">
        <v>38</v>
      </c>
      <c r="B19" s="49" t="s">
        <v>122</v>
      </c>
      <c r="C19" s="50">
        <v>1.125</v>
      </c>
      <c r="D19" s="49">
        <v>2.0099999999999998</v>
      </c>
      <c r="E19" s="49">
        <v>2.0699999999999998</v>
      </c>
      <c r="F19" s="20" t="s">
        <v>0</v>
      </c>
      <c r="G19" s="20" t="s">
        <v>0</v>
      </c>
      <c r="H19" s="20" t="s">
        <v>0</v>
      </c>
      <c r="I19" s="22" t="s">
        <v>0</v>
      </c>
      <c r="J19" s="20" t="s">
        <v>0</v>
      </c>
      <c r="K19" s="20" t="s">
        <v>0</v>
      </c>
      <c r="L19" s="20" t="s">
        <v>0</v>
      </c>
      <c r="M19" s="23" t="s">
        <v>0</v>
      </c>
      <c r="N19" s="22" t="s">
        <v>0</v>
      </c>
      <c r="O19" s="22">
        <v>0.98280000000000001</v>
      </c>
      <c r="Q19" s="24" t="s">
        <v>572</v>
      </c>
      <c r="R19" s="24" t="s">
        <v>564</v>
      </c>
      <c r="S19" s="25">
        <v>100000000</v>
      </c>
      <c r="T19" s="25">
        <v>0</v>
      </c>
    </row>
    <row r="20" spans="1:20" x14ac:dyDescent="0.25">
      <c r="A20" s="26" t="s">
        <v>279</v>
      </c>
      <c r="B20" s="49" t="s">
        <v>124</v>
      </c>
      <c r="C20" s="50">
        <v>0.125</v>
      </c>
      <c r="D20" s="49">
        <v>2.2799999999999998</v>
      </c>
      <c r="E20" s="49">
        <v>2.31</v>
      </c>
      <c r="F20" s="20" t="s">
        <v>0</v>
      </c>
      <c r="G20" s="20" t="s">
        <v>0</v>
      </c>
      <c r="H20" s="20" t="s">
        <v>0</v>
      </c>
      <c r="I20" s="22" t="s">
        <v>0</v>
      </c>
      <c r="J20" s="20" t="s">
        <v>0</v>
      </c>
      <c r="K20" s="20" t="s">
        <v>0</v>
      </c>
      <c r="L20" s="20" t="s">
        <v>0</v>
      </c>
      <c r="M20" s="23" t="s">
        <v>0</v>
      </c>
      <c r="N20" s="22" t="s">
        <v>0</v>
      </c>
      <c r="O20" s="22">
        <v>0.99070000000000003</v>
      </c>
      <c r="Q20" s="32" t="s">
        <v>0</v>
      </c>
      <c r="R20" s="32" t="s">
        <v>566</v>
      </c>
      <c r="S20" s="36">
        <v>0</v>
      </c>
      <c r="T20" s="36">
        <v>100000000</v>
      </c>
    </row>
    <row r="21" spans="1:20" x14ac:dyDescent="0.25">
      <c r="A21" s="26" t="s">
        <v>280</v>
      </c>
      <c r="B21" s="49" t="s">
        <v>125</v>
      </c>
      <c r="C21" s="50">
        <v>0.25</v>
      </c>
      <c r="D21" s="49">
        <v>2.37</v>
      </c>
      <c r="E21" s="49">
        <v>2.41</v>
      </c>
      <c r="F21" s="20" t="s">
        <v>0</v>
      </c>
      <c r="G21" s="20" t="s">
        <v>0</v>
      </c>
      <c r="H21" s="20" t="s">
        <v>0</v>
      </c>
      <c r="I21" s="22" t="s">
        <v>0</v>
      </c>
      <c r="J21" s="20" t="s">
        <v>0</v>
      </c>
      <c r="K21" s="20" t="s">
        <v>0</v>
      </c>
      <c r="L21" s="20" t="s">
        <v>0</v>
      </c>
      <c r="M21" s="23" t="s">
        <v>0</v>
      </c>
      <c r="N21" s="22" t="s">
        <v>0</v>
      </c>
      <c r="O21" s="22">
        <v>0.99490000000000001</v>
      </c>
      <c r="S21" s="29"/>
      <c r="T21" s="29"/>
    </row>
    <row r="22" spans="1:20" x14ac:dyDescent="0.25">
      <c r="A22" s="26" t="s">
        <v>8</v>
      </c>
      <c r="B22" s="49" t="s">
        <v>123</v>
      </c>
      <c r="C22" s="50">
        <v>1.875</v>
      </c>
      <c r="D22" s="49">
        <v>2.44</v>
      </c>
      <c r="E22" s="49">
        <v>2.52</v>
      </c>
      <c r="F22" s="20" t="s">
        <v>0</v>
      </c>
      <c r="G22" s="20" t="s">
        <v>0</v>
      </c>
      <c r="H22" s="20" t="s">
        <v>0</v>
      </c>
      <c r="I22" s="22" t="s">
        <v>0</v>
      </c>
      <c r="J22" s="20" t="s">
        <v>0</v>
      </c>
      <c r="K22" s="20" t="s">
        <v>0</v>
      </c>
      <c r="L22" s="20" t="s">
        <v>0</v>
      </c>
      <c r="M22" s="23" t="s">
        <v>0</v>
      </c>
      <c r="N22" s="22" t="s">
        <v>0</v>
      </c>
      <c r="O22" s="22">
        <v>1.0002</v>
      </c>
      <c r="Q22" s="30"/>
      <c r="R22" s="30"/>
      <c r="S22" s="30"/>
      <c r="T22" s="30"/>
    </row>
    <row r="23" spans="1:20" x14ac:dyDescent="0.25">
      <c r="A23" s="26" t="s">
        <v>59</v>
      </c>
      <c r="B23" s="49" t="s">
        <v>126</v>
      </c>
      <c r="C23" s="50">
        <v>0.75</v>
      </c>
      <c r="D23" s="49">
        <v>2.5</v>
      </c>
      <c r="E23" s="49">
        <v>2.54</v>
      </c>
      <c r="F23" s="20" t="s">
        <v>0</v>
      </c>
      <c r="G23" s="20" t="s">
        <v>0</v>
      </c>
      <c r="H23" s="20" t="s">
        <v>0</v>
      </c>
      <c r="I23" s="22" t="s">
        <v>0</v>
      </c>
      <c r="J23" s="20" t="s">
        <v>0</v>
      </c>
      <c r="K23" s="20" t="s">
        <v>0</v>
      </c>
      <c r="L23" s="20" t="s">
        <v>0</v>
      </c>
      <c r="M23" s="23" t="s">
        <v>0</v>
      </c>
      <c r="N23" s="22" t="s">
        <v>0</v>
      </c>
      <c r="O23" s="22">
        <v>1.0014000000000001</v>
      </c>
    </row>
    <row r="24" spans="1:20" x14ac:dyDescent="0.25">
      <c r="A24" s="26" t="s">
        <v>281</v>
      </c>
      <c r="B24" s="49" t="s">
        <v>222</v>
      </c>
      <c r="C24" s="50">
        <v>0.25</v>
      </c>
      <c r="D24" s="49">
        <v>2.91</v>
      </c>
      <c r="E24" s="49">
        <v>2.95</v>
      </c>
      <c r="F24" s="20" t="s">
        <v>0</v>
      </c>
      <c r="G24" s="20" t="s">
        <v>0</v>
      </c>
      <c r="H24" s="20" t="s">
        <v>0</v>
      </c>
      <c r="I24" s="22" t="s">
        <v>0</v>
      </c>
      <c r="J24" s="20" t="s">
        <v>0</v>
      </c>
      <c r="K24" s="20" t="s">
        <v>0</v>
      </c>
      <c r="L24" s="20" t="s">
        <v>0</v>
      </c>
      <c r="M24" s="23" t="s">
        <v>0</v>
      </c>
      <c r="N24" s="22" t="s">
        <v>0</v>
      </c>
      <c r="O24" s="22">
        <v>1.0244</v>
      </c>
    </row>
    <row r="25" spans="1:20" x14ac:dyDescent="0.25">
      <c r="A25" s="26" t="s">
        <v>56</v>
      </c>
      <c r="B25" s="49" t="s">
        <v>128</v>
      </c>
      <c r="C25" s="50">
        <v>0.625</v>
      </c>
      <c r="D25" s="49">
        <v>2.99</v>
      </c>
      <c r="E25" s="49">
        <v>3.06</v>
      </c>
      <c r="F25" s="20" t="s">
        <v>0</v>
      </c>
      <c r="G25" s="20" t="s">
        <v>0</v>
      </c>
      <c r="H25" s="20" t="s">
        <v>0</v>
      </c>
      <c r="I25" s="22" t="s">
        <v>0</v>
      </c>
      <c r="J25" s="20" t="s">
        <v>0</v>
      </c>
      <c r="K25" s="20" t="s">
        <v>0</v>
      </c>
      <c r="L25" s="20" t="s">
        <v>0</v>
      </c>
      <c r="M25" s="23" t="s">
        <v>0</v>
      </c>
      <c r="N25" s="22" t="s">
        <v>0</v>
      </c>
      <c r="O25" s="22">
        <v>1.0306</v>
      </c>
    </row>
    <row r="26" spans="1:20" x14ac:dyDescent="0.25">
      <c r="A26" s="26" t="s">
        <v>11</v>
      </c>
      <c r="B26" s="49" t="s">
        <v>127</v>
      </c>
      <c r="C26" s="50">
        <v>2.125</v>
      </c>
      <c r="D26" s="49">
        <v>3.08</v>
      </c>
      <c r="E26" s="49">
        <v>3.23</v>
      </c>
      <c r="F26" s="20" t="s">
        <v>0</v>
      </c>
      <c r="G26" s="20" t="s">
        <v>0</v>
      </c>
      <c r="H26" s="20" t="s">
        <v>0</v>
      </c>
      <c r="I26" s="22" t="s">
        <v>0</v>
      </c>
      <c r="J26" s="20" t="s">
        <v>0</v>
      </c>
      <c r="K26" s="20" t="s">
        <v>0</v>
      </c>
      <c r="L26" s="20" t="s">
        <v>0</v>
      </c>
      <c r="M26" s="23" t="s">
        <v>0</v>
      </c>
      <c r="N26" s="22" t="s">
        <v>0</v>
      </c>
      <c r="O26" s="22">
        <v>1.0397000000000001</v>
      </c>
    </row>
    <row r="27" spans="1:20" x14ac:dyDescent="0.25">
      <c r="A27" s="26" t="s">
        <v>12</v>
      </c>
      <c r="B27" s="49" t="s">
        <v>129</v>
      </c>
      <c r="C27" s="50">
        <v>2</v>
      </c>
      <c r="D27" s="49">
        <v>3.34</v>
      </c>
      <c r="E27" s="49">
        <v>3.49</v>
      </c>
      <c r="F27" s="20" t="s">
        <v>0</v>
      </c>
      <c r="G27" s="20" t="s">
        <v>0</v>
      </c>
      <c r="H27" s="20" t="s">
        <v>0</v>
      </c>
      <c r="I27" s="22" t="s">
        <v>0</v>
      </c>
      <c r="J27" s="20" t="s">
        <v>0</v>
      </c>
      <c r="K27" s="20" t="s">
        <v>0</v>
      </c>
      <c r="L27" s="20" t="s">
        <v>0</v>
      </c>
      <c r="M27" s="23" t="s">
        <v>0</v>
      </c>
      <c r="N27" s="22" t="s">
        <v>0</v>
      </c>
      <c r="O27" s="22">
        <v>1.0531999999999999</v>
      </c>
    </row>
    <row r="28" spans="1:20" x14ac:dyDescent="0.25">
      <c r="A28" s="26" t="s">
        <v>32</v>
      </c>
      <c r="B28" s="49" t="s">
        <v>130</v>
      </c>
      <c r="C28" s="50">
        <v>1.125</v>
      </c>
      <c r="D28" s="49">
        <v>3.43</v>
      </c>
      <c r="E28" s="49">
        <v>3.54</v>
      </c>
      <c r="F28" s="20" t="s">
        <v>0</v>
      </c>
      <c r="G28" s="20" t="s">
        <v>0</v>
      </c>
      <c r="H28" s="20" t="s">
        <v>0</v>
      </c>
      <c r="I28" s="22" t="s">
        <v>0</v>
      </c>
      <c r="J28" s="20" t="s">
        <v>0</v>
      </c>
      <c r="K28" s="20" t="s">
        <v>0</v>
      </c>
      <c r="L28" s="20" t="s">
        <v>0</v>
      </c>
      <c r="M28" s="23" t="s">
        <v>0</v>
      </c>
      <c r="N28" s="22" t="s">
        <v>0</v>
      </c>
      <c r="O28" s="22">
        <v>1.0559000000000001</v>
      </c>
    </row>
    <row r="29" spans="1:20" x14ac:dyDescent="0.25">
      <c r="A29" s="26" t="s">
        <v>282</v>
      </c>
      <c r="B29" s="49" t="s">
        <v>247</v>
      </c>
      <c r="C29" s="50">
        <v>0.5</v>
      </c>
      <c r="D29" s="49">
        <v>3.45</v>
      </c>
      <c r="E29" s="49">
        <v>3.52</v>
      </c>
      <c r="F29" s="20" t="s">
        <v>0</v>
      </c>
      <c r="G29" s="20" t="s">
        <v>0</v>
      </c>
      <c r="H29" s="20" t="s">
        <v>0</v>
      </c>
      <c r="I29" s="22" t="s">
        <v>0</v>
      </c>
      <c r="J29" s="20" t="s">
        <v>0</v>
      </c>
      <c r="K29" s="20" t="s">
        <v>0</v>
      </c>
      <c r="L29" s="20" t="s">
        <v>0</v>
      </c>
      <c r="M29" s="23" t="s">
        <v>0</v>
      </c>
      <c r="N29" s="22" t="s">
        <v>0</v>
      </c>
      <c r="O29" s="22">
        <v>1.0558000000000001</v>
      </c>
    </row>
    <row r="30" spans="1:20" x14ac:dyDescent="0.25">
      <c r="A30" s="26" t="s">
        <v>263</v>
      </c>
      <c r="B30" s="49" t="s">
        <v>265</v>
      </c>
      <c r="C30" s="50">
        <v>1</v>
      </c>
      <c r="D30" s="49">
        <v>3.75</v>
      </c>
      <c r="E30" s="49">
        <v>3.85</v>
      </c>
      <c r="F30" s="20" t="s">
        <v>0</v>
      </c>
      <c r="G30" s="20" t="s">
        <v>0</v>
      </c>
      <c r="H30" s="20" t="s">
        <v>0</v>
      </c>
      <c r="I30" s="22" t="s">
        <v>0</v>
      </c>
      <c r="J30" s="20" t="s">
        <v>0</v>
      </c>
      <c r="K30" s="20" t="s">
        <v>0</v>
      </c>
      <c r="L30" s="20" t="s">
        <v>0</v>
      </c>
      <c r="M30" s="23" t="s">
        <v>0</v>
      </c>
      <c r="N30" s="22" t="s">
        <v>0</v>
      </c>
      <c r="O30" s="22">
        <v>1.069</v>
      </c>
    </row>
    <row r="31" spans="1:20" x14ac:dyDescent="0.25">
      <c r="A31" s="26" t="s">
        <v>304</v>
      </c>
      <c r="B31" s="49" t="s">
        <v>305</v>
      </c>
      <c r="C31" s="50">
        <v>1.25</v>
      </c>
      <c r="D31" s="49">
        <v>3.93</v>
      </c>
      <c r="E31" s="49">
        <v>4.0999999999999996</v>
      </c>
      <c r="F31" s="20" t="s">
        <v>0</v>
      </c>
      <c r="G31" s="20" t="s">
        <v>0</v>
      </c>
      <c r="H31" s="20" t="s">
        <v>0</v>
      </c>
      <c r="I31" s="22" t="s">
        <v>0</v>
      </c>
      <c r="J31" s="20" t="s">
        <v>0</v>
      </c>
      <c r="K31" s="20" t="s">
        <v>0</v>
      </c>
      <c r="L31" s="20" t="s">
        <v>0</v>
      </c>
      <c r="M31" s="23" t="s">
        <v>0</v>
      </c>
      <c r="N31" s="22" t="s">
        <v>0</v>
      </c>
      <c r="O31" s="22">
        <v>1.0762</v>
      </c>
    </row>
    <row r="32" spans="1:20" x14ac:dyDescent="0.25">
      <c r="A32" s="26" t="s">
        <v>13</v>
      </c>
      <c r="B32" s="49" t="s">
        <v>131</v>
      </c>
      <c r="C32" s="50">
        <v>3</v>
      </c>
      <c r="D32" s="49">
        <v>3.94</v>
      </c>
      <c r="E32" s="49">
        <v>4.25</v>
      </c>
      <c r="F32" s="20" t="s">
        <v>0</v>
      </c>
      <c r="G32" s="20" t="s">
        <v>0</v>
      </c>
      <c r="H32" s="20" t="s">
        <v>0</v>
      </c>
      <c r="I32" s="22" t="s">
        <v>0</v>
      </c>
      <c r="J32" s="20" t="s">
        <v>0</v>
      </c>
      <c r="K32" s="20" t="s">
        <v>0</v>
      </c>
      <c r="L32" s="20" t="s">
        <v>0</v>
      </c>
      <c r="M32" s="23" t="s">
        <v>0</v>
      </c>
      <c r="N32" s="22" t="s">
        <v>0</v>
      </c>
      <c r="O32" s="22">
        <v>1.0775999999999999</v>
      </c>
    </row>
    <row r="33" spans="1:15" x14ac:dyDescent="0.25">
      <c r="A33" s="26" t="s">
        <v>1</v>
      </c>
      <c r="B33" s="49" t="s">
        <v>132</v>
      </c>
      <c r="C33" s="50">
        <v>1</v>
      </c>
      <c r="D33" s="49">
        <v>3.95</v>
      </c>
      <c r="E33" s="49">
        <v>4.09</v>
      </c>
      <c r="F33" s="20" t="s">
        <v>0</v>
      </c>
      <c r="G33" s="20" t="s">
        <v>0</v>
      </c>
      <c r="H33" s="20" t="s">
        <v>0</v>
      </c>
      <c r="I33" s="22" t="s">
        <v>0</v>
      </c>
      <c r="J33" s="20" t="s">
        <v>0</v>
      </c>
      <c r="K33" s="20" t="s">
        <v>0</v>
      </c>
      <c r="L33" s="20" t="s">
        <v>0</v>
      </c>
      <c r="M33" s="23" t="s">
        <v>0</v>
      </c>
      <c r="N33" s="22" t="s">
        <v>0</v>
      </c>
      <c r="O33" s="22">
        <v>1.0762</v>
      </c>
    </row>
    <row r="34" spans="1:15" x14ac:dyDescent="0.25">
      <c r="A34" s="26" t="s">
        <v>60</v>
      </c>
      <c r="B34" s="49" t="s">
        <v>134</v>
      </c>
      <c r="C34" s="50">
        <v>1.375</v>
      </c>
      <c r="D34" s="49">
        <v>4.22</v>
      </c>
      <c r="E34" s="49">
        <v>4.3899999999999997</v>
      </c>
      <c r="F34" s="20" t="s">
        <v>0</v>
      </c>
      <c r="G34" s="20" t="s">
        <v>0</v>
      </c>
      <c r="H34" s="20" t="s">
        <v>0</v>
      </c>
      <c r="I34" s="22" t="s">
        <v>0</v>
      </c>
      <c r="J34" s="20" t="s">
        <v>0</v>
      </c>
      <c r="K34" s="20" t="s">
        <v>0</v>
      </c>
      <c r="L34" s="20" t="s">
        <v>0</v>
      </c>
      <c r="M34" s="23" t="s">
        <v>0</v>
      </c>
      <c r="N34" s="22" t="s">
        <v>0</v>
      </c>
      <c r="O34" s="22">
        <v>1.0821000000000001</v>
      </c>
    </row>
    <row r="35" spans="1:15" x14ac:dyDescent="0.25">
      <c r="A35" s="26" t="s">
        <v>14</v>
      </c>
      <c r="B35" s="49" t="s">
        <v>133</v>
      </c>
      <c r="C35" s="50">
        <v>2.5</v>
      </c>
      <c r="D35" s="49">
        <v>4.22</v>
      </c>
      <c r="E35" s="49">
        <v>4.49</v>
      </c>
      <c r="F35" s="20" t="s">
        <v>0</v>
      </c>
      <c r="G35" s="20" t="s">
        <v>0</v>
      </c>
      <c r="H35" s="20" t="s">
        <v>0</v>
      </c>
      <c r="I35" s="22" t="s">
        <v>0</v>
      </c>
      <c r="J35" s="20" t="s">
        <v>0</v>
      </c>
      <c r="K35" s="20" t="s">
        <v>0</v>
      </c>
      <c r="L35" s="20" t="s">
        <v>0</v>
      </c>
      <c r="M35" s="23" t="s">
        <v>0</v>
      </c>
      <c r="N35" s="22" t="s">
        <v>0</v>
      </c>
      <c r="O35" s="22">
        <v>1.0824</v>
      </c>
    </row>
    <row r="36" spans="1:15" x14ac:dyDescent="0.25">
      <c r="A36" s="26" t="s">
        <v>326</v>
      </c>
      <c r="B36" s="49" t="s">
        <v>325</v>
      </c>
      <c r="C36" s="50">
        <v>1</v>
      </c>
      <c r="D36" s="49">
        <v>4.2699999999999996</v>
      </c>
      <c r="E36" s="49">
        <v>4.42</v>
      </c>
      <c r="F36" s="20" t="s">
        <v>0</v>
      </c>
      <c r="G36" s="20" t="s">
        <v>0</v>
      </c>
      <c r="H36" s="20" t="s">
        <v>0</v>
      </c>
      <c r="I36" s="22" t="s">
        <v>0</v>
      </c>
      <c r="J36" s="20" t="s">
        <v>0</v>
      </c>
      <c r="K36" s="20" t="s">
        <v>0</v>
      </c>
      <c r="L36" s="20" t="s">
        <v>0</v>
      </c>
      <c r="M36" s="23" t="s">
        <v>0</v>
      </c>
      <c r="N36" s="22" t="s">
        <v>0</v>
      </c>
      <c r="O36" s="22">
        <v>1.0829</v>
      </c>
    </row>
    <row r="37" spans="1:15" x14ac:dyDescent="0.25">
      <c r="A37" s="26" t="s">
        <v>35</v>
      </c>
      <c r="B37" s="49" t="s">
        <v>135</v>
      </c>
      <c r="C37" s="50">
        <v>1</v>
      </c>
      <c r="D37" s="49">
        <v>4.33</v>
      </c>
      <c r="E37" s="49">
        <v>4.4800000000000004</v>
      </c>
      <c r="F37" s="20" t="s">
        <v>0</v>
      </c>
      <c r="G37" s="20" t="s">
        <v>0</v>
      </c>
      <c r="H37" s="20" t="s">
        <v>0</v>
      </c>
      <c r="I37" s="22" t="s">
        <v>0</v>
      </c>
      <c r="J37" s="20" t="s">
        <v>0</v>
      </c>
      <c r="K37" s="20" t="s">
        <v>0</v>
      </c>
      <c r="L37" s="20" t="s">
        <v>0</v>
      </c>
      <c r="M37" s="23" t="s">
        <v>0</v>
      </c>
      <c r="N37" s="22" t="s">
        <v>0</v>
      </c>
      <c r="O37" s="22">
        <v>1.0839000000000001</v>
      </c>
    </row>
    <row r="38" spans="1:15" x14ac:dyDescent="0.25">
      <c r="A38" s="26" t="s">
        <v>15</v>
      </c>
      <c r="B38" s="49" t="s">
        <v>136</v>
      </c>
      <c r="C38" s="50">
        <v>2.625</v>
      </c>
      <c r="D38" s="49">
        <v>4.7</v>
      </c>
      <c r="E38" s="49">
        <v>4.99</v>
      </c>
      <c r="F38" s="20" t="s">
        <v>0</v>
      </c>
      <c r="G38" s="20" t="s">
        <v>0</v>
      </c>
      <c r="H38" s="20" t="s">
        <v>0</v>
      </c>
      <c r="I38" s="22" t="s">
        <v>0</v>
      </c>
      <c r="J38" s="20" t="s">
        <v>0</v>
      </c>
      <c r="K38" s="20" t="s">
        <v>0</v>
      </c>
      <c r="L38" s="20" t="s">
        <v>0</v>
      </c>
      <c r="M38" s="23" t="s">
        <v>0</v>
      </c>
      <c r="N38" s="22" t="s">
        <v>0</v>
      </c>
      <c r="O38" s="22">
        <v>1.0891999999999999</v>
      </c>
    </row>
    <row r="39" spans="1:15" x14ac:dyDescent="0.25">
      <c r="A39" s="26" t="s">
        <v>359</v>
      </c>
      <c r="B39" s="49" t="s">
        <v>360</v>
      </c>
      <c r="C39" s="50">
        <v>1</v>
      </c>
      <c r="D39" s="49">
        <v>4.62</v>
      </c>
      <c r="E39" s="49">
        <v>4.7699999999999996</v>
      </c>
      <c r="F39" s="20" t="s">
        <v>0</v>
      </c>
      <c r="G39" s="20" t="s">
        <v>0</v>
      </c>
      <c r="H39" s="20" t="s">
        <v>0</v>
      </c>
      <c r="I39" s="22" t="s">
        <v>0</v>
      </c>
      <c r="J39" s="20" t="s">
        <v>0</v>
      </c>
      <c r="K39" s="20" t="s">
        <v>0</v>
      </c>
      <c r="L39" s="20" t="s">
        <v>0</v>
      </c>
      <c r="M39" s="23" t="s">
        <v>0</v>
      </c>
      <c r="N39" s="22" t="s">
        <v>0</v>
      </c>
      <c r="O39" s="22">
        <v>1.0881000000000001</v>
      </c>
    </row>
    <row r="40" spans="1:15" x14ac:dyDescent="0.25">
      <c r="A40" s="26" t="s">
        <v>2</v>
      </c>
      <c r="B40" s="49" t="s">
        <v>137</v>
      </c>
      <c r="C40" s="50">
        <v>0.875</v>
      </c>
      <c r="D40" s="49">
        <v>4.67</v>
      </c>
      <c r="E40" s="49">
        <v>4.8099999999999996</v>
      </c>
      <c r="F40" s="20" t="s">
        <v>0</v>
      </c>
      <c r="G40" s="20" t="s">
        <v>0</v>
      </c>
      <c r="H40" s="20" t="s">
        <v>0</v>
      </c>
      <c r="I40" s="22" t="s">
        <v>0</v>
      </c>
      <c r="J40" s="20" t="s">
        <v>0</v>
      </c>
      <c r="K40" s="20" t="s">
        <v>0</v>
      </c>
      <c r="L40" s="20" t="s">
        <v>0</v>
      </c>
      <c r="M40" s="23" t="s">
        <v>0</v>
      </c>
      <c r="N40" s="22" t="s">
        <v>0</v>
      </c>
      <c r="O40" s="22">
        <v>1.0887</v>
      </c>
    </row>
    <row r="41" spans="1:15" x14ac:dyDescent="0.25">
      <c r="A41" s="26" t="s">
        <v>378</v>
      </c>
      <c r="B41" s="49" t="s">
        <v>379</v>
      </c>
      <c r="C41" s="50">
        <v>1</v>
      </c>
      <c r="D41" s="49">
        <v>4.8499999999999996</v>
      </c>
      <c r="E41" s="49">
        <v>5</v>
      </c>
      <c r="F41" s="20">
        <v>1.095</v>
      </c>
      <c r="G41" s="20">
        <v>1.0920000000000001</v>
      </c>
      <c r="H41" s="20">
        <v>1.0934999999999999</v>
      </c>
      <c r="I41" s="22">
        <v>1</v>
      </c>
      <c r="J41" s="20" t="s">
        <v>0</v>
      </c>
      <c r="K41" s="20" t="s">
        <v>0</v>
      </c>
      <c r="L41" s="20" t="s">
        <v>0</v>
      </c>
      <c r="M41" s="23" t="s">
        <v>0</v>
      </c>
      <c r="N41" s="22" t="s">
        <v>0</v>
      </c>
      <c r="O41" s="22">
        <v>1.0911</v>
      </c>
    </row>
    <row r="42" spans="1:15" x14ac:dyDescent="0.25">
      <c r="A42" s="26" t="s">
        <v>283</v>
      </c>
      <c r="B42" s="49" t="s">
        <v>223</v>
      </c>
      <c r="C42" s="50">
        <v>0.25</v>
      </c>
      <c r="D42" s="49">
        <v>4.91</v>
      </c>
      <c r="E42" s="49">
        <v>5.01</v>
      </c>
      <c r="F42" s="20" t="s">
        <v>0</v>
      </c>
      <c r="G42" s="20" t="s">
        <v>0</v>
      </c>
      <c r="H42" s="20" t="s">
        <v>0</v>
      </c>
      <c r="I42" s="22" t="s">
        <v>0</v>
      </c>
      <c r="J42" s="20" t="s">
        <v>0</v>
      </c>
      <c r="K42" s="20" t="s">
        <v>0</v>
      </c>
      <c r="L42" s="20" t="s">
        <v>0</v>
      </c>
      <c r="M42" s="23" t="s">
        <v>0</v>
      </c>
      <c r="N42" s="22" t="s">
        <v>0</v>
      </c>
      <c r="O42" s="22">
        <v>1.0921000000000001</v>
      </c>
    </row>
    <row r="43" spans="1:15" x14ac:dyDescent="0.25">
      <c r="A43" s="26" t="s">
        <v>28</v>
      </c>
      <c r="B43" s="49" t="s">
        <v>139</v>
      </c>
      <c r="C43" s="50">
        <v>0.875</v>
      </c>
      <c r="D43" s="49">
        <v>4.9800000000000004</v>
      </c>
      <c r="E43" s="49">
        <v>5.17</v>
      </c>
      <c r="F43" s="20" t="s">
        <v>0</v>
      </c>
      <c r="G43" s="20" t="s">
        <v>0</v>
      </c>
      <c r="H43" s="20" t="s">
        <v>0</v>
      </c>
      <c r="I43" s="22" t="s">
        <v>0</v>
      </c>
      <c r="J43" s="20" t="s">
        <v>0</v>
      </c>
      <c r="K43" s="20" t="s">
        <v>0</v>
      </c>
      <c r="L43" s="20" t="s">
        <v>0</v>
      </c>
      <c r="M43" s="23" t="s">
        <v>0</v>
      </c>
      <c r="N43" s="22" t="s">
        <v>0</v>
      </c>
      <c r="O43" s="22">
        <v>1.0934999999999999</v>
      </c>
    </row>
    <row r="44" spans="1:15" x14ac:dyDescent="0.25">
      <c r="A44" s="26" t="s">
        <v>16</v>
      </c>
      <c r="B44" s="49" t="s">
        <v>138</v>
      </c>
      <c r="C44" s="50">
        <v>2.125</v>
      </c>
      <c r="D44" s="49">
        <v>5.15</v>
      </c>
      <c r="E44" s="49">
        <v>5.5</v>
      </c>
      <c r="F44" s="20" t="s">
        <v>0</v>
      </c>
      <c r="G44" s="20" t="s">
        <v>0</v>
      </c>
      <c r="H44" s="20" t="s">
        <v>0</v>
      </c>
      <c r="I44" s="22" t="s">
        <v>0</v>
      </c>
      <c r="J44" s="20" t="s">
        <v>0</v>
      </c>
      <c r="K44" s="20" t="s">
        <v>0</v>
      </c>
      <c r="L44" s="20" t="s">
        <v>0</v>
      </c>
      <c r="M44" s="23" t="s">
        <v>0</v>
      </c>
      <c r="N44" s="22" t="s">
        <v>0</v>
      </c>
      <c r="O44" s="22">
        <v>1.0969</v>
      </c>
    </row>
    <row r="45" spans="1:15" x14ac:dyDescent="0.25">
      <c r="A45" s="26" t="s">
        <v>3</v>
      </c>
      <c r="B45" s="49" t="s">
        <v>140</v>
      </c>
      <c r="C45" s="50">
        <v>0.75</v>
      </c>
      <c r="D45" s="49">
        <v>5.32</v>
      </c>
      <c r="E45" s="49">
        <v>5.49</v>
      </c>
      <c r="F45" s="20" t="s">
        <v>0</v>
      </c>
      <c r="G45" s="20" t="s">
        <v>0</v>
      </c>
      <c r="H45" s="20" t="s">
        <v>0</v>
      </c>
      <c r="I45" s="22" t="s">
        <v>0</v>
      </c>
      <c r="J45" s="20" t="s">
        <v>0</v>
      </c>
      <c r="K45" s="20" t="s">
        <v>0</v>
      </c>
      <c r="L45" s="20" t="s">
        <v>0</v>
      </c>
      <c r="M45" s="23" t="s">
        <v>0</v>
      </c>
      <c r="N45" s="22" t="s">
        <v>0</v>
      </c>
      <c r="O45" s="22">
        <v>1.0985</v>
      </c>
    </row>
    <row r="46" spans="1:15" x14ac:dyDescent="0.25">
      <c r="A46" s="26" t="s">
        <v>17</v>
      </c>
      <c r="B46" s="49" t="s">
        <v>141</v>
      </c>
      <c r="C46" s="50">
        <v>2.125</v>
      </c>
      <c r="D46" s="49">
        <v>5.63</v>
      </c>
      <c r="E46" s="49">
        <v>5.99</v>
      </c>
      <c r="F46" s="20" t="s">
        <v>0</v>
      </c>
      <c r="G46" s="20" t="s">
        <v>0</v>
      </c>
      <c r="H46" s="20" t="s">
        <v>0</v>
      </c>
      <c r="I46" s="22" t="s">
        <v>0</v>
      </c>
      <c r="J46" s="20" t="s">
        <v>0</v>
      </c>
      <c r="K46" s="20" t="s">
        <v>0</v>
      </c>
      <c r="L46" s="20" t="s">
        <v>0</v>
      </c>
      <c r="M46" s="23" t="s">
        <v>0</v>
      </c>
      <c r="N46" s="22" t="s">
        <v>0</v>
      </c>
      <c r="O46" s="22">
        <v>1.1053999999999999</v>
      </c>
    </row>
    <row r="47" spans="1:15" x14ac:dyDescent="0.25">
      <c r="A47" s="26" t="s">
        <v>4</v>
      </c>
      <c r="B47" s="49" t="s">
        <v>142</v>
      </c>
      <c r="C47" s="50">
        <v>0.625</v>
      </c>
      <c r="D47" s="49">
        <v>5.7</v>
      </c>
      <c r="E47" s="49">
        <v>5.86</v>
      </c>
      <c r="F47" s="20" t="s">
        <v>0</v>
      </c>
      <c r="G47" s="20" t="s">
        <v>0</v>
      </c>
      <c r="H47" s="20" t="s">
        <v>0</v>
      </c>
      <c r="I47" s="22" t="s">
        <v>0</v>
      </c>
      <c r="J47" s="20" t="s">
        <v>0</v>
      </c>
      <c r="K47" s="20" t="s">
        <v>0</v>
      </c>
      <c r="L47" s="20" t="s">
        <v>0</v>
      </c>
      <c r="M47" s="23" t="s">
        <v>0</v>
      </c>
      <c r="N47" s="22" t="s">
        <v>0</v>
      </c>
      <c r="O47" s="22">
        <v>1.1049</v>
      </c>
    </row>
    <row r="48" spans="1:15" x14ac:dyDescent="0.25">
      <c r="A48" s="26" t="s">
        <v>6</v>
      </c>
      <c r="B48" s="49" t="s">
        <v>144</v>
      </c>
      <c r="C48" s="50">
        <v>0.625</v>
      </c>
      <c r="D48" s="49">
        <v>5.96</v>
      </c>
      <c r="E48" s="49">
        <v>6.16</v>
      </c>
      <c r="F48" s="20" t="s">
        <v>0</v>
      </c>
      <c r="G48" s="20" t="s">
        <v>0</v>
      </c>
      <c r="H48" s="20" t="s">
        <v>0</v>
      </c>
      <c r="I48" s="22" t="s">
        <v>0</v>
      </c>
      <c r="J48" s="20" t="s">
        <v>0</v>
      </c>
      <c r="K48" s="20" t="s">
        <v>0</v>
      </c>
      <c r="L48" s="20" t="s">
        <v>0</v>
      </c>
      <c r="M48" s="23" t="s">
        <v>0</v>
      </c>
      <c r="N48" s="22" t="s">
        <v>0</v>
      </c>
      <c r="O48" s="22">
        <v>1.1107</v>
      </c>
    </row>
    <row r="49" spans="1:15" x14ac:dyDescent="0.25">
      <c r="A49" s="26" t="s">
        <v>18</v>
      </c>
      <c r="B49" s="49" t="s">
        <v>143</v>
      </c>
      <c r="C49" s="50">
        <v>1.875</v>
      </c>
      <c r="D49" s="49">
        <v>6.08</v>
      </c>
      <c r="E49" s="49">
        <v>6.52</v>
      </c>
      <c r="F49" s="20" t="s">
        <v>0</v>
      </c>
      <c r="G49" s="20" t="s">
        <v>0</v>
      </c>
      <c r="H49" s="20" t="s">
        <v>0</v>
      </c>
      <c r="I49" s="22" t="s">
        <v>0</v>
      </c>
      <c r="J49" s="20" t="s">
        <v>0</v>
      </c>
      <c r="K49" s="20" t="s">
        <v>0</v>
      </c>
      <c r="L49" s="20" t="s">
        <v>0</v>
      </c>
      <c r="M49" s="23" t="s">
        <v>0</v>
      </c>
      <c r="N49" s="22" t="s">
        <v>0</v>
      </c>
      <c r="O49" s="22">
        <v>1.1163000000000001</v>
      </c>
    </row>
    <row r="50" spans="1:15" x14ac:dyDescent="0.25">
      <c r="A50" s="26" t="s">
        <v>284</v>
      </c>
      <c r="B50" s="49" t="s">
        <v>145</v>
      </c>
      <c r="C50" s="50">
        <v>0.5</v>
      </c>
      <c r="D50" s="49">
        <v>6.34</v>
      </c>
      <c r="E50" s="49">
        <v>6.51</v>
      </c>
      <c r="F50" s="20" t="s">
        <v>0</v>
      </c>
      <c r="G50" s="20" t="s">
        <v>0</v>
      </c>
      <c r="H50" s="20" t="s">
        <v>0</v>
      </c>
      <c r="I50" s="22" t="s">
        <v>0</v>
      </c>
      <c r="J50" s="20" t="s">
        <v>0</v>
      </c>
      <c r="K50" s="20" t="s">
        <v>0</v>
      </c>
      <c r="L50" s="20" t="s">
        <v>0</v>
      </c>
      <c r="M50" s="23" t="s">
        <v>0</v>
      </c>
      <c r="N50" s="22" t="s">
        <v>0</v>
      </c>
      <c r="O50" s="22">
        <v>1.1184000000000001</v>
      </c>
    </row>
    <row r="51" spans="1:15" x14ac:dyDescent="0.25">
      <c r="A51" s="26" t="s">
        <v>19</v>
      </c>
      <c r="B51" s="49" t="s">
        <v>146</v>
      </c>
      <c r="C51" s="50">
        <v>1.75</v>
      </c>
      <c r="D51" s="49">
        <v>6.57</v>
      </c>
      <c r="E51" s="49">
        <v>6.98</v>
      </c>
      <c r="F51" s="20" t="s">
        <v>0</v>
      </c>
      <c r="G51" s="20" t="s">
        <v>0</v>
      </c>
      <c r="H51" s="20" t="s">
        <v>0</v>
      </c>
      <c r="I51" s="22" t="s">
        <v>0</v>
      </c>
      <c r="J51" s="20" t="s">
        <v>0</v>
      </c>
      <c r="K51" s="20" t="s">
        <v>0</v>
      </c>
      <c r="L51" s="20" t="s">
        <v>0</v>
      </c>
      <c r="M51" s="23" t="s">
        <v>0</v>
      </c>
      <c r="N51" s="22" t="s">
        <v>0</v>
      </c>
      <c r="O51" s="22">
        <v>1.1273</v>
      </c>
    </row>
    <row r="52" spans="1:15" x14ac:dyDescent="0.25">
      <c r="A52" s="26" t="s">
        <v>285</v>
      </c>
      <c r="B52" s="49" t="s">
        <v>149</v>
      </c>
      <c r="C52" s="50">
        <v>0.375</v>
      </c>
      <c r="D52" s="49">
        <v>6.66</v>
      </c>
      <c r="E52" s="49">
        <v>6.81</v>
      </c>
      <c r="F52" s="20" t="s">
        <v>0</v>
      </c>
      <c r="G52" s="20" t="s">
        <v>0</v>
      </c>
      <c r="H52" s="20" t="s">
        <v>0</v>
      </c>
      <c r="I52" s="22" t="s">
        <v>0</v>
      </c>
      <c r="J52" s="20" t="s">
        <v>0</v>
      </c>
      <c r="K52" s="20" t="s">
        <v>0</v>
      </c>
      <c r="L52" s="20" t="s">
        <v>0</v>
      </c>
      <c r="M52" s="23" t="s">
        <v>0</v>
      </c>
      <c r="N52" s="22" t="s">
        <v>0</v>
      </c>
      <c r="O52" s="22">
        <v>1.1255999999999999</v>
      </c>
    </row>
    <row r="53" spans="1:15" x14ac:dyDescent="0.25">
      <c r="A53" s="26" t="s">
        <v>50</v>
      </c>
      <c r="B53" s="49" t="s">
        <v>147</v>
      </c>
      <c r="C53" s="50">
        <v>2.125</v>
      </c>
      <c r="D53" s="49">
        <v>6.79</v>
      </c>
      <c r="E53" s="49">
        <v>7.41</v>
      </c>
      <c r="F53" s="20" t="s">
        <v>0</v>
      </c>
      <c r="G53" s="20" t="s">
        <v>0</v>
      </c>
      <c r="H53" s="20" t="s">
        <v>0</v>
      </c>
      <c r="I53" s="22" t="s">
        <v>0</v>
      </c>
      <c r="J53" s="20" t="s">
        <v>0</v>
      </c>
      <c r="K53" s="20" t="s">
        <v>0</v>
      </c>
      <c r="L53" s="20" t="s">
        <v>0</v>
      </c>
      <c r="M53" s="23" t="s">
        <v>0</v>
      </c>
      <c r="N53" s="22" t="s">
        <v>0</v>
      </c>
      <c r="O53" s="22">
        <v>1.1373</v>
      </c>
    </row>
    <row r="54" spans="1:15" x14ac:dyDescent="0.25">
      <c r="A54" s="26" t="s">
        <v>286</v>
      </c>
      <c r="B54" s="49" t="s">
        <v>151</v>
      </c>
      <c r="C54" s="50">
        <v>0.25</v>
      </c>
      <c r="D54" s="49">
        <v>7</v>
      </c>
      <c r="E54" s="49">
        <v>7.16</v>
      </c>
      <c r="F54" s="20" t="s">
        <v>0</v>
      </c>
      <c r="G54" s="20" t="s">
        <v>0</v>
      </c>
      <c r="H54" s="20" t="s">
        <v>0</v>
      </c>
      <c r="I54" s="22" t="s">
        <v>0</v>
      </c>
      <c r="J54" s="20" t="s">
        <v>0</v>
      </c>
      <c r="K54" s="20" t="s">
        <v>0</v>
      </c>
      <c r="L54" s="20" t="s">
        <v>0</v>
      </c>
      <c r="M54" s="23" t="s">
        <v>0</v>
      </c>
      <c r="N54" s="22" t="s">
        <v>0</v>
      </c>
      <c r="O54" s="22">
        <v>1.1345000000000001</v>
      </c>
    </row>
    <row r="55" spans="1:15" x14ac:dyDescent="0.25">
      <c r="A55" s="26" t="s">
        <v>20</v>
      </c>
      <c r="B55" s="49" t="s">
        <v>148</v>
      </c>
      <c r="C55" s="50">
        <v>3.625</v>
      </c>
      <c r="D55" s="49">
        <v>7.01</v>
      </c>
      <c r="E55" s="49">
        <v>7.91</v>
      </c>
      <c r="F55" s="20" t="s">
        <v>0</v>
      </c>
      <c r="G55" s="20" t="s">
        <v>0</v>
      </c>
      <c r="H55" s="20" t="s">
        <v>0</v>
      </c>
      <c r="I55" s="22" t="s">
        <v>0</v>
      </c>
      <c r="J55" s="20" t="s">
        <v>0</v>
      </c>
      <c r="K55" s="20" t="s">
        <v>0</v>
      </c>
      <c r="L55" s="20" t="s">
        <v>0</v>
      </c>
      <c r="M55" s="23" t="s">
        <v>0</v>
      </c>
      <c r="N55" s="22" t="s">
        <v>0</v>
      </c>
      <c r="O55" s="22">
        <v>1.1474</v>
      </c>
    </row>
    <row r="56" spans="1:15" x14ac:dyDescent="0.25">
      <c r="A56" s="26" t="s">
        <v>58</v>
      </c>
      <c r="B56" s="49" t="s">
        <v>150</v>
      </c>
      <c r="C56" s="50">
        <v>1.75</v>
      </c>
      <c r="D56" s="49">
        <v>7.23</v>
      </c>
      <c r="E56" s="49">
        <v>7.77</v>
      </c>
      <c r="F56" s="20" t="s">
        <v>0</v>
      </c>
      <c r="G56" s="20" t="s">
        <v>0</v>
      </c>
      <c r="H56" s="20" t="s">
        <v>0</v>
      </c>
      <c r="I56" s="22" t="s">
        <v>0</v>
      </c>
      <c r="J56" s="20" t="s">
        <v>0</v>
      </c>
      <c r="K56" s="20" t="s">
        <v>0</v>
      </c>
      <c r="L56" s="20" t="s">
        <v>0</v>
      </c>
      <c r="M56" s="23" t="s">
        <v>0</v>
      </c>
      <c r="N56" s="22" t="s">
        <v>0</v>
      </c>
      <c r="O56" s="22">
        <v>1.1476999999999999</v>
      </c>
    </row>
    <row r="57" spans="1:15" x14ac:dyDescent="0.25">
      <c r="A57" s="26" t="s">
        <v>61</v>
      </c>
      <c r="B57" s="49" t="s">
        <v>153</v>
      </c>
      <c r="C57" s="50">
        <v>1.875</v>
      </c>
      <c r="D57" s="49">
        <v>7.39</v>
      </c>
      <c r="E57" s="49">
        <v>7.96</v>
      </c>
      <c r="F57" s="20" t="s">
        <v>0</v>
      </c>
      <c r="G57" s="20" t="s">
        <v>0</v>
      </c>
      <c r="H57" s="20" t="s">
        <v>0</v>
      </c>
      <c r="I57" s="22" t="s">
        <v>0</v>
      </c>
      <c r="J57" s="20" t="s">
        <v>0</v>
      </c>
      <c r="K57" s="20" t="s">
        <v>0</v>
      </c>
      <c r="L57" s="20" t="s">
        <v>0</v>
      </c>
      <c r="M57" s="23" t="s">
        <v>0</v>
      </c>
      <c r="N57" s="22" t="s">
        <v>0</v>
      </c>
      <c r="O57" s="22">
        <v>1.1521999999999999</v>
      </c>
    </row>
    <row r="58" spans="1:15" x14ac:dyDescent="0.25">
      <c r="A58" s="26" t="s">
        <v>287</v>
      </c>
      <c r="B58" s="49" t="s">
        <v>152</v>
      </c>
      <c r="C58" s="50">
        <v>0.25</v>
      </c>
      <c r="D58" s="49">
        <v>7.36</v>
      </c>
      <c r="E58" s="49">
        <v>7.52</v>
      </c>
      <c r="F58" s="20" t="s">
        <v>0</v>
      </c>
      <c r="G58" s="20" t="s">
        <v>0</v>
      </c>
      <c r="H58" s="20" t="s">
        <v>0</v>
      </c>
      <c r="I58" s="22" t="s">
        <v>0</v>
      </c>
      <c r="J58" s="20" t="s">
        <v>0</v>
      </c>
      <c r="K58" s="20" t="s">
        <v>0</v>
      </c>
      <c r="L58" s="20" t="s">
        <v>0</v>
      </c>
      <c r="M58" s="23" t="s">
        <v>0</v>
      </c>
      <c r="N58" s="22" t="s">
        <v>0</v>
      </c>
      <c r="O58" s="22">
        <v>1.1440999999999999</v>
      </c>
    </row>
    <row r="59" spans="1:15" x14ac:dyDescent="0.25">
      <c r="A59" s="26" t="s">
        <v>288</v>
      </c>
      <c r="B59" s="49" t="s">
        <v>212</v>
      </c>
      <c r="C59" s="50">
        <v>0.375</v>
      </c>
      <c r="D59" s="49">
        <v>7.52</v>
      </c>
      <c r="E59" s="49">
        <v>7.72</v>
      </c>
      <c r="F59" s="20" t="s">
        <v>0</v>
      </c>
      <c r="G59" s="20" t="s">
        <v>0</v>
      </c>
      <c r="H59" s="20" t="s">
        <v>0</v>
      </c>
      <c r="I59" s="22" t="s">
        <v>0</v>
      </c>
      <c r="J59" s="20" t="s">
        <v>0</v>
      </c>
      <c r="K59" s="20" t="s">
        <v>0</v>
      </c>
      <c r="L59" s="20" t="s">
        <v>0</v>
      </c>
      <c r="M59" s="23" t="s">
        <v>0</v>
      </c>
      <c r="N59" s="22" t="s">
        <v>0</v>
      </c>
      <c r="O59" s="22">
        <v>1.1495</v>
      </c>
    </row>
    <row r="60" spans="1:15" x14ac:dyDescent="0.25">
      <c r="A60" s="26" t="s">
        <v>276</v>
      </c>
      <c r="B60" s="49" t="s">
        <v>216</v>
      </c>
      <c r="C60" s="50">
        <v>0.375</v>
      </c>
      <c r="D60" s="49">
        <v>7.65</v>
      </c>
      <c r="E60" s="49">
        <v>7.85</v>
      </c>
      <c r="F60" s="20" t="s">
        <v>0</v>
      </c>
      <c r="G60" s="20" t="s">
        <v>0</v>
      </c>
      <c r="H60" s="20" t="s">
        <v>0</v>
      </c>
      <c r="I60" s="22" t="s">
        <v>0</v>
      </c>
      <c r="J60" s="20" t="s">
        <v>0</v>
      </c>
      <c r="K60" s="20" t="s">
        <v>0</v>
      </c>
      <c r="L60" s="20" t="s">
        <v>0</v>
      </c>
      <c r="M60" s="23" t="s">
        <v>0</v>
      </c>
      <c r="N60" s="22" t="s">
        <v>0</v>
      </c>
      <c r="O60" s="22">
        <v>1.1529</v>
      </c>
    </row>
    <row r="61" spans="1:15" x14ac:dyDescent="0.25">
      <c r="A61" s="26" t="s">
        <v>43</v>
      </c>
      <c r="B61" s="49" t="s">
        <v>154</v>
      </c>
      <c r="C61" s="50">
        <v>1.625</v>
      </c>
      <c r="D61" s="49">
        <v>7.79</v>
      </c>
      <c r="E61" s="49">
        <v>8.42</v>
      </c>
      <c r="F61" s="20" t="s">
        <v>0</v>
      </c>
      <c r="G61" s="20" t="s">
        <v>0</v>
      </c>
      <c r="H61" s="20" t="s">
        <v>0</v>
      </c>
      <c r="I61" s="22" t="s">
        <v>0</v>
      </c>
      <c r="J61" s="20" t="s">
        <v>0</v>
      </c>
      <c r="K61" s="20" t="s">
        <v>0</v>
      </c>
      <c r="L61" s="20" t="s">
        <v>0</v>
      </c>
      <c r="M61" s="23" t="s">
        <v>0</v>
      </c>
      <c r="N61" s="22" t="s">
        <v>0</v>
      </c>
      <c r="O61" s="22">
        <v>1.1641999999999999</v>
      </c>
    </row>
    <row r="62" spans="1:15" x14ac:dyDescent="0.25">
      <c r="A62" s="26" t="s">
        <v>289</v>
      </c>
      <c r="B62" s="49" t="s">
        <v>232</v>
      </c>
      <c r="C62" s="50">
        <v>0.5</v>
      </c>
      <c r="D62" s="49">
        <v>7.9</v>
      </c>
      <c r="E62" s="49">
        <v>8.18</v>
      </c>
      <c r="F62" s="20" t="s">
        <v>0</v>
      </c>
      <c r="G62" s="20" t="s">
        <v>0</v>
      </c>
      <c r="H62" s="20" t="s">
        <v>0</v>
      </c>
      <c r="I62" s="22" t="s">
        <v>0</v>
      </c>
      <c r="J62" s="20" t="s">
        <v>0</v>
      </c>
      <c r="K62" s="20" t="s">
        <v>0</v>
      </c>
      <c r="L62" s="20" t="s">
        <v>0</v>
      </c>
      <c r="M62" s="23" t="s">
        <v>0</v>
      </c>
      <c r="N62" s="22" t="s">
        <v>0</v>
      </c>
      <c r="O62" s="22">
        <v>1.1613</v>
      </c>
    </row>
    <row r="63" spans="1:15" x14ac:dyDescent="0.25">
      <c r="A63" s="26" t="s">
        <v>25</v>
      </c>
      <c r="B63" s="49" t="s">
        <v>155</v>
      </c>
      <c r="C63" s="50">
        <v>1.625</v>
      </c>
      <c r="D63" s="49">
        <v>7.94</v>
      </c>
      <c r="E63" s="49">
        <v>8.58</v>
      </c>
      <c r="F63" s="20" t="s">
        <v>0</v>
      </c>
      <c r="G63" s="20" t="s">
        <v>0</v>
      </c>
      <c r="H63" s="20" t="s">
        <v>0</v>
      </c>
      <c r="I63" s="22" t="s">
        <v>0</v>
      </c>
      <c r="J63" s="20" t="s">
        <v>0</v>
      </c>
      <c r="K63" s="20" t="s">
        <v>0</v>
      </c>
      <c r="L63" s="20" t="s">
        <v>0</v>
      </c>
      <c r="M63" s="23" t="s">
        <v>0</v>
      </c>
      <c r="N63" s="22" t="s">
        <v>0</v>
      </c>
      <c r="O63" s="22">
        <v>1.1675</v>
      </c>
    </row>
    <row r="64" spans="1:15" x14ac:dyDescent="0.25">
      <c r="A64" s="26" t="s">
        <v>290</v>
      </c>
      <c r="B64" s="49" t="s">
        <v>248</v>
      </c>
      <c r="C64" s="50">
        <v>0.75</v>
      </c>
      <c r="D64" s="49">
        <v>8.0299999999999994</v>
      </c>
      <c r="E64" s="49">
        <v>8.4</v>
      </c>
      <c r="F64" s="20" t="s">
        <v>0</v>
      </c>
      <c r="G64" s="20" t="s">
        <v>0</v>
      </c>
      <c r="H64" s="20" t="s">
        <v>0</v>
      </c>
      <c r="I64" s="22" t="s">
        <v>0</v>
      </c>
      <c r="J64" s="20" t="s">
        <v>0</v>
      </c>
      <c r="K64" s="20" t="s">
        <v>0</v>
      </c>
      <c r="L64" s="20" t="s">
        <v>0</v>
      </c>
      <c r="M64" s="23" t="s">
        <v>0</v>
      </c>
      <c r="N64" s="22" t="s">
        <v>0</v>
      </c>
      <c r="O64" s="22">
        <v>1.1658999999999999</v>
      </c>
    </row>
    <row r="65" spans="1:15" x14ac:dyDescent="0.25">
      <c r="A65" s="26" t="s">
        <v>245</v>
      </c>
      <c r="B65" s="49" t="s">
        <v>249</v>
      </c>
      <c r="C65" s="50">
        <v>0.625</v>
      </c>
      <c r="D65" s="49">
        <v>8.18</v>
      </c>
      <c r="E65" s="49">
        <v>8.5</v>
      </c>
      <c r="F65" s="20" t="s">
        <v>0</v>
      </c>
      <c r="G65" s="20" t="s">
        <v>0</v>
      </c>
      <c r="H65" s="20" t="s">
        <v>0</v>
      </c>
      <c r="I65" s="22" t="s">
        <v>0</v>
      </c>
      <c r="J65" s="20" t="s">
        <v>0</v>
      </c>
      <c r="K65" s="20" t="s">
        <v>0</v>
      </c>
      <c r="L65" s="20" t="s">
        <v>0</v>
      </c>
      <c r="M65" s="23" t="s">
        <v>0</v>
      </c>
      <c r="N65" s="22" t="s">
        <v>0</v>
      </c>
      <c r="O65" s="22">
        <v>1.1688000000000001</v>
      </c>
    </row>
    <row r="66" spans="1:15" x14ac:dyDescent="0.25">
      <c r="A66" s="26" t="s">
        <v>29</v>
      </c>
      <c r="B66" s="49" t="s">
        <v>156</v>
      </c>
      <c r="C66" s="50">
        <v>1.5</v>
      </c>
      <c r="D66" s="49">
        <v>8.3699999999999992</v>
      </c>
      <c r="E66" s="49">
        <v>8.98</v>
      </c>
      <c r="F66" s="20" t="s">
        <v>0</v>
      </c>
      <c r="G66" s="20" t="s">
        <v>0</v>
      </c>
      <c r="H66" s="20" t="s">
        <v>0</v>
      </c>
      <c r="I66" s="22" t="s">
        <v>0</v>
      </c>
      <c r="J66" s="20" t="s">
        <v>0</v>
      </c>
      <c r="K66" s="20" t="s">
        <v>0</v>
      </c>
      <c r="L66" s="20" t="s">
        <v>0</v>
      </c>
      <c r="M66" s="23" t="s">
        <v>0</v>
      </c>
      <c r="N66" s="22" t="s">
        <v>0</v>
      </c>
      <c r="O66" s="22">
        <v>1.1760999999999999</v>
      </c>
    </row>
    <row r="67" spans="1:15" x14ac:dyDescent="0.25">
      <c r="A67" s="26" t="s">
        <v>264</v>
      </c>
      <c r="B67" s="49" t="s">
        <v>266</v>
      </c>
      <c r="C67" s="50">
        <v>1.25</v>
      </c>
      <c r="D67" s="49">
        <v>8.34</v>
      </c>
      <c r="E67" s="49">
        <v>8.8699999999999992</v>
      </c>
      <c r="F67" s="20" t="s">
        <v>0</v>
      </c>
      <c r="G67" s="20" t="s">
        <v>0</v>
      </c>
      <c r="H67" s="20" t="s">
        <v>0</v>
      </c>
      <c r="I67" s="22" t="s">
        <v>0</v>
      </c>
      <c r="J67" s="20" t="s">
        <v>0</v>
      </c>
      <c r="K67" s="20" t="s">
        <v>0</v>
      </c>
      <c r="L67" s="20" t="s">
        <v>0</v>
      </c>
      <c r="M67" s="23" t="s">
        <v>0</v>
      </c>
      <c r="N67" s="22" t="s">
        <v>0</v>
      </c>
      <c r="O67" s="22">
        <v>1.1746000000000001</v>
      </c>
    </row>
    <row r="68" spans="1:15" x14ac:dyDescent="0.25">
      <c r="A68" s="26" t="s">
        <v>313</v>
      </c>
      <c r="B68" s="49" t="s">
        <v>314</v>
      </c>
      <c r="C68" s="50">
        <v>1.75</v>
      </c>
      <c r="D68" s="49">
        <v>8.35</v>
      </c>
      <c r="E68" s="49">
        <v>9.17</v>
      </c>
      <c r="F68" s="20" t="s">
        <v>0</v>
      </c>
      <c r="G68" s="20" t="s">
        <v>0</v>
      </c>
      <c r="H68" s="20" t="s">
        <v>0</v>
      </c>
      <c r="I68" s="22" t="s">
        <v>0</v>
      </c>
      <c r="J68" s="20" t="s">
        <v>0</v>
      </c>
      <c r="K68" s="20" t="s">
        <v>0</v>
      </c>
      <c r="L68" s="20" t="s">
        <v>0</v>
      </c>
      <c r="M68" s="23" t="s">
        <v>0</v>
      </c>
      <c r="N68" s="22" t="s">
        <v>0</v>
      </c>
      <c r="O68" s="22">
        <v>1.1788000000000001</v>
      </c>
    </row>
    <row r="69" spans="1:15" x14ac:dyDescent="0.25">
      <c r="A69" s="26" t="s">
        <v>53</v>
      </c>
      <c r="B69" s="49" t="s">
        <v>159</v>
      </c>
      <c r="C69" s="50">
        <v>1.5</v>
      </c>
      <c r="D69" s="49">
        <v>8.7200000000000006</v>
      </c>
      <c r="E69" s="49">
        <v>9.4499999999999993</v>
      </c>
      <c r="F69" s="20" t="s">
        <v>0</v>
      </c>
      <c r="G69" s="20" t="s">
        <v>0</v>
      </c>
      <c r="H69" s="20" t="s">
        <v>0</v>
      </c>
      <c r="I69" s="22" t="s">
        <v>0</v>
      </c>
      <c r="J69" s="20" t="s">
        <v>0</v>
      </c>
      <c r="K69" s="20" t="s">
        <v>0</v>
      </c>
      <c r="L69" s="20" t="s">
        <v>0</v>
      </c>
      <c r="M69" s="23" t="s">
        <v>0</v>
      </c>
      <c r="N69" s="22" t="s">
        <v>0</v>
      </c>
      <c r="O69" s="22">
        <v>1.1847000000000001</v>
      </c>
    </row>
    <row r="70" spans="1:15" x14ac:dyDescent="0.25">
      <c r="A70" s="26" t="s">
        <v>329</v>
      </c>
      <c r="B70" s="49" t="s">
        <v>330</v>
      </c>
      <c r="C70" s="50">
        <v>1.25</v>
      </c>
      <c r="D70" s="49">
        <v>8.76</v>
      </c>
      <c r="E70" s="49">
        <v>9.4</v>
      </c>
      <c r="F70" s="20" t="s">
        <v>0</v>
      </c>
      <c r="G70" s="20" t="s">
        <v>0</v>
      </c>
      <c r="H70" s="20" t="s">
        <v>0</v>
      </c>
      <c r="I70" s="22" t="s">
        <v>0</v>
      </c>
      <c r="J70" s="20" t="s">
        <v>0</v>
      </c>
      <c r="K70" s="20" t="s">
        <v>0</v>
      </c>
      <c r="L70" s="20" t="s">
        <v>0</v>
      </c>
      <c r="M70" s="23" t="s">
        <v>0</v>
      </c>
      <c r="N70" s="22" t="s">
        <v>0</v>
      </c>
      <c r="O70" s="22">
        <v>1.1846000000000001</v>
      </c>
    </row>
    <row r="71" spans="1:15" x14ac:dyDescent="0.25">
      <c r="A71" s="26" t="s">
        <v>62</v>
      </c>
      <c r="B71" s="49" t="s">
        <v>158</v>
      </c>
      <c r="C71" s="50">
        <v>1.75</v>
      </c>
      <c r="D71" s="49">
        <v>8.77</v>
      </c>
      <c r="E71" s="49">
        <v>9.59</v>
      </c>
      <c r="F71" s="20" t="s">
        <v>0</v>
      </c>
      <c r="G71" s="20" t="s">
        <v>0</v>
      </c>
      <c r="H71" s="20" t="s">
        <v>0</v>
      </c>
      <c r="I71" s="22" t="s">
        <v>0</v>
      </c>
      <c r="J71" s="20" t="s">
        <v>0</v>
      </c>
      <c r="K71" s="20" t="s">
        <v>0</v>
      </c>
      <c r="L71" s="20" t="s">
        <v>0</v>
      </c>
      <c r="M71" s="23" t="s">
        <v>0</v>
      </c>
      <c r="N71" s="22" t="s">
        <v>0</v>
      </c>
      <c r="O71" s="22">
        <v>1.1863999999999999</v>
      </c>
    </row>
    <row r="72" spans="1:15" x14ac:dyDescent="0.25">
      <c r="A72" s="26" t="s">
        <v>30</v>
      </c>
      <c r="B72" s="49" t="s">
        <v>160</v>
      </c>
      <c r="C72" s="50">
        <v>2</v>
      </c>
      <c r="D72" s="49">
        <v>9.0299999999999994</v>
      </c>
      <c r="E72" s="49">
        <v>9.94</v>
      </c>
      <c r="F72" s="20" t="s">
        <v>0</v>
      </c>
      <c r="G72" s="20" t="s">
        <v>0</v>
      </c>
      <c r="H72" s="20" t="s">
        <v>0</v>
      </c>
      <c r="I72" s="22" t="s">
        <v>0</v>
      </c>
      <c r="J72" s="20" t="s">
        <v>0</v>
      </c>
      <c r="K72" s="20" t="s">
        <v>0</v>
      </c>
      <c r="L72" s="20" t="s">
        <v>0</v>
      </c>
      <c r="M72" s="23" t="s">
        <v>0</v>
      </c>
      <c r="N72" s="22" t="s">
        <v>0</v>
      </c>
      <c r="O72" s="22">
        <v>1.1918</v>
      </c>
    </row>
    <row r="73" spans="1:15" x14ac:dyDescent="0.25">
      <c r="A73" s="26" t="s">
        <v>327</v>
      </c>
      <c r="B73" s="49" t="s">
        <v>328</v>
      </c>
      <c r="C73" s="50">
        <v>1.125</v>
      </c>
      <c r="D73" s="49">
        <v>8.91</v>
      </c>
      <c r="E73" s="49">
        <v>9.5</v>
      </c>
      <c r="F73" s="20" t="s">
        <v>0</v>
      </c>
      <c r="G73" s="20" t="s">
        <v>0</v>
      </c>
      <c r="H73" s="20" t="s">
        <v>0</v>
      </c>
      <c r="I73" s="22" t="s">
        <v>0</v>
      </c>
      <c r="J73" s="20" t="s">
        <v>0</v>
      </c>
      <c r="K73" s="20" t="s">
        <v>0</v>
      </c>
      <c r="L73" s="20" t="s">
        <v>0</v>
      </c>
      <c r="M73" s="23" t="s">
        <v>0</v>
      </c>
      <c r="N73" s="22" t="s">
        <v>0</v>
      </c>
      <c r="O73" s="22">
        <v>1.1868000000000001</v>
      </c>
    </row>
    <row r="74" spans="1:15" x14ac:dyDescent="0.25">
      <c r="A74" s="26" t="s">
        <v>21</v>
      </c>
      <c r="B74" s="49" t="s">
        <v>157</v>
      </c>
      <c r="C74" s="50">
        <v>3.875</v>
      </c>
      <c r="D74" s="49">
        <v>9.07</v>
      </c>
      <c r="E74" s="49">
        <v>10.77</v>
      </c>
      <c r="F74" s="20" t="s">
        <v>0</v>
      </c>
      <c r="G74" s="20" t="s">
        <v>0</v>
      </c>
      <c r="H74" s="20" t="s">
        <v>0</v>
      </c>
      <c r="I74" s="22" t="s">
        <v>0</v>
      </c>
      <c r="J74" s="20" t="s">
        <v>0</v>
      </c>
      <c r="K74" s="20" t="s">
        <v>0</v>
      </c>
      <c r="L74" s="20" t="s">
        <v>0</v>
      </c>
      <c r="M74" s="23" t="s">
        <v>0</v>
      </c>
      <c r="N74" s="22" t="s">
        <v>0</v>
      </c>
      <c r="O74" s="22">
        <v>1.2002999999999999</v>
      </c>
    </row>
    <row r="75" spans="1:15" x14ac:dyDescent="0.25">
      <c r="A75" s="26" t="s">
        <v>377</v>
      </c>
      <c r="B75" s="49" t="s">
        <v>362</v>
      </c>
      <c r="C75" s="50">
        <v>1.125</v>
      </c>
      <c r="D75" s="49">
        <v>9.19</v>
      </c>
      <c r="E75" s="49">
        <v>9.81</v>
      </c>
      <c r="F75" s="20">
        <v>1.19</v>
      </c>
      <c r="G75" s="20">
        <v>1.1859999999999999</v>
      </c>
      <c r="H75" s="20">
        <v>1.1880999999999999</v>
      </c>
      <c r="I75" s="22">
        <v>6.5</v>
      </c>
      <c r="J75" s="20">
        <v>1.1881999999999999</v>
      </c>
      <c r="K75" s="20">
        <v>1.1881999999999999</v>
      </c>
      <c r="L75" s="20">
        <v>1.1881999999999999</v>
      </c>
      <c r="M75" s="23">
        <v>1</v>
      </c>
      <c r="N75" s="22">
        <v>1</v>
      </c>
      <c r="O75" s="22">
        <v>1.1919999999999999</v>
      </c>
    </row>
    <row r="76" spans="1:15" x14ac:dyDescent="0.25">
      <c r="A76" s="26" t="s">
        <v>361</v>
      </c>
      <c r="B76" s="49" t="s">
        <v>362</v>
      </c>
      <c r="C76" s="50">
        <v>1.125</v>
      </c>
      <c r="D76" s="49">
        <v>9.2100000000000009</v>
      </c>
      <c r="E76" s="49">
        <v>9.81</v>
      </c>
      <c r="F76" s="20" t="s">
        <v>0</v>
      </c>
      <c r="G76" s="20" t="s">
        <v>0</v>
      </c>
      <c r="H76" s="20" t="s">
        <v>0</v>
      </c>
      <c r="I76" s="22" t="s">
        <v>0</v>
      </c>
      <c r="J76" s="20" t="s">
        <v>0</v>
      </c>
      <c r="K76" s="20" t="s">
        <v>0</v>
      </c>
      <c r="L76" s="20" t="s">
        <v>0</v>
      </c>
      <c r="M76" s="23" t="s">
        <v>0</v>
      </c>
      <c r="N76" s="22" t="s">
        <v>0</v>
      </c>
      <c r="O76" s="22">
        <v>1.1923999999999999</v>
      </c>
    </row>
    <row r="77" spans="1:15" x14ac:dyDescent="0.25">
      <c r="A77" s="26" t="s">
        <v>63</v>
      </c>
      <c r="B77" s="49" t="s">
        <v>161</v>
      </c>
      <c r="C77" s="50">
        <v>2</v>
      </c>
      <c r="D77" s="49">
        <v>9.3699999999999992</v>
      </c>
      <c r="E77" s="49">
        <v>10.45</v>
      </c>
      <c r="F77" s="20" t="s">
        <v>0</v>
      </c>
      <c r="G77" s="20" t="s">
        <v>0</v>
      </c>
      <c r="H77" s="20" t="s">
        <v>0</v>
      </c>
      <c r="I77" s="22" t="s">
        <v>0</v>
      </c>
      <c r="J77" s="20" t="s">
        <v>0</v>
      </c>
      <c r="K77" s="20" t="s">
        <v>0</v>
      </c>
      <c r="L77" s="20" t="s">
        <v>0</v>
      </c>
      <c r="M77" s="23" t="s">
        <v>0</v>
      </c>
      <c r="N77" s="22" t="s">
        <v>0</v>
      </c>
      <c r="O77" s="22">
        <v>1.2007000000000001</v>
      </c>
    </row>
    <row r="78" spans="1:15" x14ac:dyDescent="0.25">
      <c r="A78" s="26" t="s">
        <v>65</v>
      </c>
      <c r="B78" s="49" t="s">
        <v>163</v>
      </c>
      <c r="C78" s="50">
        <v>2.125</v>
      </c>
      <c r="D78" s="49">
        <v>9.81</v>
      </c>
      <c r="E78" s="49">
        <v>10.95</v>
      </c>
      <c r="F78" s="20" t="s">
        <v>0</v>
      </c>
      <c r="G78" s="20" t="s">
        <v>0</v>
      </c>
      <c r="H78" s="20" t="s">
        <v>0</v>
      </c>
      <c r="I78" s="22" t="s">
        <v>0</v>
      </c>
      <c r="J78" s="20" t="s">
        <v>0</v>
      </c>
      <c r="K78" s="20" t="s">
        <v>0</v>
      </c>
      <c r="L78" s="20" t="s">
        <v>0</v>
      </c>
      <c r="M78" s="23" t="s">
        <v>0</v>
      </c>
      <c r="N78" s="22" t="s">
        <v>0</v>
      </c>
      <c r="O78" s="22">
        <v>1.2092000000000001</v>
      </c>
    </row>
    <row r="79" spans="1:15" x14ac:dyDescent="0.25">
      <c r="A79" s="26" t="s">
        <v>44</v>
      </c>
      <c r="B79" s="49" t="s">
        <v>162</v>
      </c>
      <c r="C79" s="50">
        <v>1.875</v>
      </c>
      <c r="D79" s="49">
        <v>9.65</v>
      </c>
      <c r="E79" s="49">
        <v>10.69</v>
      </c>
      <c r="F79" s="20" t="s">
        <v>0</v>
      </c>
      <c r="G79" s="20" t="s">
        <v>0</v>
      </c>
      <c r="H79" s="20" t="s">
        <v>0</v>
      </c>
      <c r="I79" s="22" t="s">
        <v>0</v>
      </c>
      <c r="J79" s="20" t="s">
        <v>0</v>
      </c>
      <c r="K79" s="20" t="s">
        <v>0</v>
      </c>
      <c r="L79" s="20" t="s">
        <v>0</v>
      </c>
      <c r="M79" s="23" t="s">
        <v>0</v>
      </c>
      <c r="N79" s="22" t="s">
        <v>0</v>
      </c>
      <c r="O79" s="22">
        <v>1.2054</v>
      </c>
    </row>
    <row r="80" spans="1:15" x14ac:dyDescent="0.25">
      <c r="A80" s="26" t="s">
        <v>64</v>
      </c>
      <c r="B80" s="49" t="s">
        <v>164</v>
      </c>
      <c r="C80" s="50">
        <v>2.25</v>
      </c>
      <c r="D80" s="49">
        <v>9.74</v>
      </c>
      <c r="E80" s="49">
        <v>11.12</v>
      </c>
      <c r="F80" s="20" t="s">
        <v>0</v>
      </c>
      <c r="G80" s="20" t="s">
        <v>0</v>
      </c>
      <c r="H80" s="20" t="s">
        <v>0</v>
      </c>
      <c r="I80" s="22" t="s">
        <v>0</v>
      </c>
      <c r="J80" s="20" t="s">
        <v>0</v>
      </c>
      <c r="K80" s="20" t="s">
        <v>0</v>
      </c>
      <c r="L80" s="20" t="s">
        <v>0</v>
      </c>
      <c r="M80" s="23" t="s">
        <v>0</v>
      </c>
      <c r="N80" s="22" t="s">
        <v>0</v>
      </c>
      <c r="O80" s="22">
        <v>1.2118</v>
      </c>
    </row>
    <row r="81" spans="1:15" x14ac:dyDescent="0.25">
      <c r="A81" s="26" t="s">
        <v>26</v>
      </c>
      <c r="B81" s="49" t="s">
        <v>165</v>
      </c>
      <c r="C81" s="50">
        <v>2</v>
      </c>
      <c r="D81" s="49">
        <v>10.16</v>
      </c>
      <c r="E81" s="49">
        <v>11.43</v>
      </c>
      <c r="F81" s="20" t="s">
        <v>0</v>
      </c>
      <c r="G81" s="20" t="s">
        <v>0</v>
      </c>
      <c r="H81" s="20" t="s">
        <v>0</v>
      </c>
      <c r="I81" s="22" t="s">
        <v>0</v>
      </c>
      <c r="J81" s="20" t="s">
        <v>0</v>
      </c>
      <c r="K81" s="20" t="s">
        <v>0</v>
      </c>
      <c r="L81" s="20" t="s">
        <v>0</v>
      </c>
      <c r="M81" s="23" t="s">
        <v>0</v>
      </c>
      <c r="N81" s="22" t="s">
        <v>0</v>
      </c>
      <c r="O81" s="22">
        <v>1.2182999999999999</v>
      </c>
    </row>
    <row r="82" spans="1:15" x14ac:dyDescent="0.25">
      <c r="A82" s="26" t="s">
        <v>49</v>
      </c>
      <c r="B82" s="49" t="s">
        <v>166</v>
      </c>
      <c r="C82" s="50">
        <v>2.125</v>
      </c>
      <c r="D82" s="49">
        <v>10.32</v>
      </c>
      <c r="E82" s="49">
        <v>11.66</v>
      </c>
      <c r="F82" s="20" t="s">
        <v>0</v>
      </c>
      <c r="G82" s="20" t="s">
        <v>0</v>
      </c>
      <c r="H82" s="20" t="s">
        <v>0</v>
      </c>
      <c r="I82" s="22" t="s">
        <v>0</v>
      </c>
      <c r="J82" s="20" t="s">
        <v>0</v>
      </c>
      <c r="K82" s="20" t="s">
        <v>0</v>
      </c>
      <c r="L82" s="20" t="s">
        <v>0</v>
      </c>
      <c r="M82" s="23" t="s">
        <v>0</v>
      </c>
      <c r="N82" s="22" t="s">
        <v>0</v>
      </c>
      <c r="O82" s="22">
        <v>1.2219</v>
      </c>
    </row>
    <row r="83" spans="1:15" x14ac:dyDescent="0.25">
      <c r="A83" s="26" t="s">
        <v>54</v>
      </c>
      <c r="B83" s="49" t="s">
        <v>167</v>
      </c>
      <c r="C83" s="50">
        <v>1.75</v>
      </c>
      <c r="D83" s="49">
        <v>10.84</v>
      </c>
      <c r="E83" s="49">
        <v>12.19</v>
      </c>
      <c r="F83" s="20" t="s">
        <v>0</v>
      </c>
      <c r="G83" s="20" t="s">
        <v>0</v>
      </c>
      <c r="H83" s="20" t="s">
        <v>0</v>
      </c>
      <c r="I83" s="22" t="s">
        <v>0</v>
      </c>
      <c r="J83" s="20" t="s">
        <v>0</v>
      </c>
      <c r="K83" s="20" t="s">
        <v>0</v>
      </c>
      <c r="L83" s="20" t="s">
        <v>0</v>
      </c>
      <c r="M83" s="23" t="s">
        <v>0</v>
      </c>
      <c r="N83" s="22" t="s">
        <v>0</v>
      </c>
      <c r="O83" s="22">
        <v>1.2331000000000001</v>
      </c>
    </row>
    <row r="84" spans="1:15" x14ac:dyDescent="0.25">
      <c r="A84" s="26" t="s">
        <v>39</v>
      </c>
      <c r="B84" s="49" t="s">
        <v>168</v>
      </c>
      <c r="C84" s="50">
        <v>1.375</v>
      </c>
      <c r="D84" s="49">
        <v>11.29</v>
      </c>
      <c r="E84" s="49">
        <v>12.43</v>
      </c>
      <c r="F84" s="20" t="s">
        <v>0</v>
      </c>
      <c r="G84" s="20" t="s">
        <v>0</v>
      </c>
      <c r="H84" s="20" t="s">
        <v>0</v>
      </c>
      <c r="I84" s="22" t="s">
        <v>0</v>
      </c>
      <c r="J84" s="20" t="s">
        <v>0</v>
      </c>
      <c r="K84" s="20" t="s">
        <v>0</v>
      </c>
      <c r="L84" s="20" t="s">
        <v>0</v>
      </c>
      <c r="M84" s="23" t="s">
        <v>0</v>
      </c>
      <c r="N84" s="22" t="s">
        <v>0</v>
      </c>
      <c r="O84" s="22">
        <v>1.2393000000000001</v>
      </c>
    </row>
    <row r="85" spans="1:15" x14ac:dyDescent="0.25">
      <c r="A85" s="26" t="s">
        <v>34</v>
      </c>
      <c r="B85" s="49" t="s">
        <v>169</v>
      </c>
      <c r="C85" s="50">
        <v>1.25</v>
      </c>
      <c r="D85" s="49">
        <v>11.58</v>
      </c>
      <c r="E85" s="49">
        <v>12.64</v>
      </c>
      <c r="F85" s="20" t="s">
        <v>0</v>
      </c>
      <c r="G85" s="20" t="s">
        <v>0</v>
      </c>
      <c r="H85" s="20" t="s">
        <v>0</v>
      </c>
      <c r="I85" s="22" t="s">
        <v>0</v>
      </c>
      <c r="J85" s="20" t="s">
        <v>0</v>
      </c>
      <c r="K85" s="20" t="s">
        <v>0</v>
      </c>
      <c r="L85" s="20" t="s">
        <v>0</v>
      </c>
      <c r="M85" s="23" t="s">
        <v>0</v>
      </c>
      <c r="N85" s="22" t="s">
        <v>0</v>
      </c>
      <c r="O85" s="22">
        <v>1.2438</v>
      </c>
    </row>
    <row r="86" spans="1:15" x14ac:dyDescent="0.25">
      <c r="A86" s="26" t="s">
        <v>45</v>
      </c>
      <c r="B86" s="49" t="s">
        <v>171</v>
      </c>
      <c r="C86" s="50">
        <v>1.125</v>
      </c>
      <c r="D86" s="49">
        <v>11.93</v>
      </c>
      <c r="E86" s="49">
        <v>12.92</v>
      </c>
      <c r="F86" s="20" t="s">
        <v>0</v>
      </c>
      <c r="G86" s="20" t="s">
        <v>0</v>
      </c>
      <c r="H86" s="20" t="s">
        <v>0</v>
      </c>
      <c r="I86" s="22" t="s">
        <v>0</v>
      </c>
      <c r="J86" s="20" t="s">
        <v>0</v>
      </c>
      <c r="K86" s="20" t="s">
        <v>0</v>
      </c>
      <c r="L86" s="20" t="s">
        <v>0</v>
      </c>
      <c r="M86" s="23" t="s">
        <v>0</v>
      </c>
      <c r="N86" s="22" t="s">
        <v>0</v>
      </c>
      <c r="O86" s="22">
        <v>1.2498</v>
      </c>
    </row>
    <row r="87" spans="1:15" x14ac:dyDescent="0.25">
      <c r="A87" s="26" t="s">
        <v>36</v>
      </c>
      <c r="B87" s="49" t="s">
        <v>170</v>
      </c>
      <c r="C87" s="50">
        <v>1.75</v>
      </c>
      <c r="D87" s="49">
        <v>11.95</v>
      </c>
      <c r="E87" s="49">
        <v>13.51</v>
      </c>
      <c r="F87" s="20" t="s">
        <v>0</v>
      </c>
      <c r="G87" s="20" t="s">
        <v>0</v>
      </c>
      <c r="H87" s="20" t="s">
        <v>0</v>
      </c>
      <c r="I87" s="22" t="s">
        <v>0</v>
      </c>
      <c r="J87" s="20" t="s">
        <v>0</v>
      </c>
      <c r="K87" s="20" t="s">
        <v>0</v>
      </c>
      <c r="L87" s="20" t="s">
        <v>0</v>
      </c>
      <c r="M87" s="23" t="s">
        <v>0</v>
      </c>
      <c r="N87" s="22" t="s">
        <v>0</v>
      </c>
      <c r="O87" s="22">
        <v>1.2575000000000001</v>
      </c>
    </row>
    <row r="88" spans="1:15" x14ac:dyDescent="0.25">
      <c r="A88" s="26" t="s">
        <v>66</v>
      </c>
      <c r="B88" s="49" t="s">
        <v>172</v>
      </c>
      <c r="C88" s="50">
        <v>1.5</v>
      </c>
      <c r="D88" s="49">
        <v>12.59</v>
      </c>
      <c r="E88" s="49">
        <v>14</v>
      </c>
      <c r="F88" s="20" t="s">
        <v>0</v>
      </c>
      <c r="G88" s="20" t="s">
        <v>0</v>
      </c>
      <c r="H88" s="20" t="s">
        <v>0</v>
      </c>
      <c r="I88" s="22" t="s">
        <v>0</v>
      </c>
      <c r="J88" s="20" t="s">
        <v>0</v>
      </c>
      <c r="K88" s="20" t="s">
        <v>0</v>
      </c>
      <c r="L88" s="20" t="s">
        <v>0</v>
      </c>
      <c r="M88" s="23" t="s">
        <v>0</v>
      </c>
      <c r="N88" s="22" t="s">
        <v>0</v>
      </c>
      <c r="O88" s="22">
        <v>1.2682</v>
      </c>
    </row>
    <row r="89" spans="1:15" x14ac:dyDescent="0.25">
      <c r="A89" s="26" t="s">
        <v>67</v>
      </c>
      <c r="B89" s="49" t="s">
        <v>173</v>
      </c>
      <c r="C89" s="50">
        <v>1.375</v>
      </c>
      <c r="D89" s="49">
        <v>13.07</v>
      </c>
      <c r="E89" s="49">
        <v>14.57</v>
      </c>
      <c r="F89" s="20" t="s">
        <v>0</v>
      </c>
      <c r="G89" s="20" t="s">
        <v>0</v>
      </c>
      <c r="H89" s="20" t="s">
        <v>0</v>
      </c>
      <c r="I89" s="22" t="s">
        <v>0</v>
      </c>
      <c r="J89" s="20" t="s">
        <v>0</v>
      </c>
      <c r="K89" s="20" t="s">
        <v>0</v>
      </c>
      <c r="L89" s="20" t="s">
        <v>0</v>
      </c>
      <c r="M89" s="23" t="s">
        <v>0</v>
      </c>
      <c r="N89" s="22" t="s">
        <v>0</v>
      </c>
      <c r="O89" s="22">
        <v>1.2796000000000001</v>
      </c>
    </row>
    <row r="90" spans="1:15" x14ac:dyDescent="0.25">
      <c r="A90" s="26" t="s">
        <v>68</v>
      </c>
      <c r="B90" s="49" t="s">
        <v>175</v>
      </c>
      <c r="C90" s="50">
        <v>1.125</v>
      </c>
      <c r="D90" s="49">
        <v>13.63</v>
      </c>
      <c r="E90" s="49">
        <v>15.09</v>
      </c>
      <c r="F90" s="20" t="s">
        <v>0</v>
      </c>
      <c r="G90" s="20" t="s">
        <v>0</v>
      </c>
      <c r="H90" s="20" t="s">
        <v>0</v>
      </c>
      <c r="I90" s="22" t="s">
        <v>0</v>
      </c>
      <c r="J90" s="20" t="s">
        <v>0</v>
      </c>
      <c r="K90" s="20" t="s">
        <v>0</v>
      </c>
      <c r="L90" s="20" t="s">
        <v>0</v>
      </c>
      <c r="M90" s="23" t="s">
        <v>0</v>
      </c>
      <c r="N90" s="22" t="s">
        <v>0</v>
      </c>
      <c r="O90" s="22">
        <v>1.2915000000000001</v>
      </c>
    </row>
    <row r="91" spans="1:15" x14ac:dyDescent="0.25">
      <c r="A91" s="26" t="s">
        <v>22</v>
      </c>
      <c r="B91" s="49" t="s">
        <v>174</v>
      </c>
      <c r="C91" s="50">
        <v>2.25</v>
      </c>
      <c r="D91" s="49">
        <v>13.79</v>
      </c>
      <c r="E91" s="49">
        <v>16.45</v>
      </c>
      <c r="F91" s="20" t="s">
        <v>0</v>
      </c>
      <c r="G91" s="20" t="s">
        <v>0</v>
      </c>
      <c r="H91" s="20" t="s">
        <v>0</v>
      </c>
      <c r="I91" s="22" t="s">
        <v>0</v>
      </c>
      <c r="J91" s="20" t="s">
        <v>0</v>
      </c>
      <c r="K91" s="20" t="s">
        <v>0</v>
      </c>
      <c r="L91" s="20" t="s">
        <v>0</v>
      </c>
      <c r="M91" s="23" t="s">
        <v>0</v>
      </c>
      <c r="N91" s="22" t="s">
        <v>0</v>
      </c>
      <c r="O91" s="22">
        <v>1.3089999999999999</v>
      </c>
    </row>
    <row r="92" spans="1:15" x14ac:dyDescent="0.25">
      <c r="A92" s="26" t="s">
        <v>291</v>
      </c>
      <c r="B92" s="49" t="s">
        <v>176</v>
      </c>
      <c r="C92" s="50">
        <v>1.125</v>
      </c>
      <c r="D92" s="49">
        <v>13.98</v>
      </c>
      <c r="E92" s="49">
        <v>15.45</v>
      </c>
      <c r="F92" s="20" t="s">
        <v>0</v>
      </c>
      <c r="G92" s="20" t="s">
        <v>0</v>
      </c>
      <c r="H92" s="20" t="s">
        <v>0</v>
      </c>
      <c r="I92" s="22" t="s">
        <v>0</v>
      </c>
      <c r="J92" s="20" t="s">
        <v>0</v>
      </c>
      <c r="K92" s="20" t="s">
        <v>0</v>
      </c>
      <c r="L92" s="20" t="s">
        <v>0</v>
      </c>
      <c r="M92" s="23" t="s">
        <v>0</v>
      </c>
      <c r="N92" s="22" t="s">
        <v>0</v>
      </c>
      <c r="O92" s="22">
        <v>1.2982</v>
      </c>
    </row>
    <row r="93" spans="1:15" x14ac:dyDescent="0.25">
      <c r="A93" s="26" t="s">
        <v>292</v>
      </c>
      <c r="B93" s="49" t="s">
        <v>177</v>
      </c>
      <c r="C93" s="50">
        <v>1.125</v>
      </c>
      <c r="D93" s="49">
        <v>14.07</v>
      </c>
      <c r="E93" s="49">
        <v>15.54</v>
      </c>
      <c r="F93" s="20" t="s">
        <v>0</v>
      </c>
      <c r="G93" s="20" t="s">
        <v>0</v>
      </c>
      <c r="H93" s="20" t="s">
        <v>0</v>
      </c>
      <c r="I93" s="22" t="s">
        <v>0</v>
      </c>
      <c r="J93" s="20" t="s">
        <v>0</v>
      </c>
      <c r="K93" s="20" t="s">
        <v>0</v>
      </c>
      <c r="L93" s="20" t="s">
        <v>0</v>
      </c>
      <c r="M93" s="23" t="s">
        <v>0</v>
      </c>
      <c r="N93" s="22" t="s">
        <v>0</v>
      </c>
      <c r="O93" s="22">
        <v>1.3001</v>
      </c>
    </row>
    <row r="94" spans="1:15" x14ac:dyDescent="0.25">
      <c r="A94" s="26" t="s">
        <v>46</v>
      </c>
      <c r="B94" s="49" t="s">
        <v>178</v>
      </c>
      <c r="C94" s="50">
        <v>2.125</v>
      </c>
      <c r="D94" s="49">
        <v>14.51</v>
      </c>
      <c r="E94" s="49">
        <v>17.36</v>
      </c>
      <c r="F94" s="20" t="s">
        <v>0</v>
      </c>
      <c r="G94" s="20" t="s">
        <v>0</v>
      </c>
      <c r="H94" s="20" t="s">
        <v>0</v>
      </c>
      <c r="I94" s="22" t="s">
        <v>0</v>
      </c>
      <c r="J94" s="20" t="s">
        <v>0</v>
      </c>
      <c r="K94" s="20" t="s">
        <v>0</v>
      </c>
      <c r="L94" s="20" t="s">
        <v>0</v>
      </c>
      <c r="M94" s="23" t="s">
        <v>0</v>
      </c>
      <c r="N94" s="22" t="s">
        <v>0</v>
      </c>
      <c r="O94" s="22">
        <v>1.3268</v>
      </c>
    </row>
    <row r="95" spans="1:15" x14ac:dyDescent="0.25">
      <c r="A95" s="26" t="s">
        <v>23</v>
      </c>
      <c r="B95" s="49" t="s">
        <v>179</v>
      </c>
      <c r="C95" s="50">
        <v>2</v>
      </c>
      <c r="D95" s="49">
        <v>14.77</v>
      </c>
      <c r="E95" s="49">
        <v>17.52</v>
      </c>
      <c r="F95" s="20" t="s">
        <v>0</v>
      </c>
      <c r="G95" s="20" t="s">
        <v>0</v>
      </c>
      <c r="H95" s="20" t="s">
        <v>0</v>
      </c>
      <c r="I95" s="22" t="s">
        <v>0</v>
      </c>
      <c r="J95" s="20" t="s">
        <v>0</v>
      </c>
      <c r="K95" s="20" t="s">
        <v>0</v>
      </c>
      <c r="L95" s="20" t="s">
        <v>0</v>
      </c>
      <c r="M95" s="23" t="s">
        <v>0</v>
      </c>
      <c r="N95" s="22" t="s">
        <v>0</v>
      </c>
      <c r="O95" s="22">
        <v>1.3307</v>
      </c>
    </row>
    <row r="96" spans="1:15" x14ac:dyDescent="0.25">
      <c r="A96" s="26" t="s">
        <v>40</v>
      </c>
      <c r="B96" s="49" t="s">
        <v>180</v>
      </c>
      <c r="C96" s="50">
        <v>0.75</v>
      </c>
      <c r="D96" s="49">
        <v>14.82</v>
      </c>
      <c r="E96" s="49">
        <v>16.05</v>
      </c>
      <c r="F96" s="20" t="s">
        <v>0</v>
      </c>
      <c r="G96" s="20" t="s">
        <v>0</v>
      </c>
      <c r="H96" s="20" t="s">
        <v>0</v>
      </c>
      <c r="I96" s="22" t="s">
        <v>0</v>
      </c>
      <c r="J96" s="20" t="s">
        <v>0</v>
      </c>
      <c r="K96" s="20" t="s">
        <v>0</v>
      </c>
      <c r="L96" s="20" t="s">
        <v>0</v>
      </c>
      <c r="M96" s="23" t="s">
        <v>0</v>
      </c>
      <c r="N96" s="22" t="s">
        <v>0</v>
      </c>
      <c r="O96" s="22">
        <v>1.3131999999999999</v>
      </c>
    </row>
    <row r="97" spans="1:20" x14ac:dyDescent="0.25">
      <c r="A97" s="26" t="s">
        <v>47</v>
      </c>
      <c r="B97" s="49" t="s">
        <v>181</v>
      </c>
      <c r="C97" s="50">
        <v>1.875</v>
      </c>
      <c r="D97" s="49">
        <v>15.11</v>
      </c>
      <c r="E97" s="49">
        <v>18.010000000000002</v>
      </c>
      <c r="F97" s="20" t="s">
        <v>0</v>
      </c>
      <c r="G97" s="20" t="s">
        <v>0</v>
      </c>
      <c r="H97" s="20" t="s">
        <v>0</v>
      </c>
      <c r="I97" s="22" t="s">
        <v>0</v>
      </c>
      <c r="J97" s="20" t="s">
        <v>0</v>
      </c>
      <c r="K97" s="20" t="s">
        <v>0</v>
      </c>
      <c r="L97" s="20" t="s">
        <v>0</v>
      </c>
      <c r="M97" s="23" t="s">
        <v>0</v>
      </c>
      <c r="N97" s="22" t="s">
        <v>0</v>
      </c>
      <c r="O97" s="22">
        <v>1.3411999999999999</v>
      </c>
    </row>
    <row r="98" spans="1:20" x14ac:dyDescent="0.25">
      <c r="A98" s="26" t="s">
        <v>293</v>
      </c>
      <c r="B98" s="49" t="s">
        <v>182</v>
      </c>
      <c r="C98" s="50">
        <v>0.75</v>
      </c>
      <c r="D98" s="49">
        <v>15.18</v>
      </c>
      <c r="E98" s="49">
        <v>16.420000000000002</v>
      </c>
      <c r="F98" s="20" t="s">
        <v>0</v>
      </c>
      <c r="G98" s="20" t="s">
        <v>0</v>
      </c>
      <c r="H98" s="20" t="s">
        <v>0</v>
      </c>
      <c r="I98" s="22" t="s">
        <v>0</v>
      </c>
      <c r="J98" s="20" t="s">
        <v>0</v>
      </c>
      <c r="K98" s="20" t="s">
        <v>0</v>
      </c>
      <c r="L98" s="20" t="s">
        <v>0</v>
      </c>
      <c r="M98" s="23" t="s">
        <v>0</v>
      </c>
      <c r="N98" s="22" t="s">
        <v>0</v>
      </c>
      <c r="O98" s="22">
        <v>1.3204</v>
      </c>
    </row>
    <row r="99" spans="1:20" x14ac:dyDescent="0.25">
      <c r="A99" s="26" t="s">
        <v>294</v>
      </c>
      <c r="B99" s="49" t="s">
        <v>184</v>
      </c>
      <c r="C99" s="50">
        <v>0.5</v>
      </c>
      <c r="D99" s="49">
        <v>15.63</v>
      </c>
      <c r="E99" s="49">
        <v>16.559999999999999</v>
      </c>
      <c r="F99" s="20" t="s">
        <v>0</v>
      </c>
      <c r="G99" s="20" t="s">
        <v>0</v>
      </c>
      <c r="H99" s="20" t="s">
        <v>0</v>
      </c>
      <c r="I99" s="22" t="s">
        <v>0</v>
      </c>
      <c r="J99" s="20" t="s">
        <v>0</v>
      </c>
      <c r="K99" s="20" t="s">
        <v>0</v>
      </c>
      <c r="L99" s="20" t="s">
        <v>0</v>
      </c>
      <c r="M99" s="23" t="s">
        <v>0</v>
      </c>
      <c r="N99" s="22" t="s">
        <v>0</v>
      </c>
      <c r="O99" s="22">
        <v>1.3255999999999999</v>
      </c>
    </row>
    <row r="100" spans="1:20" x14ac:dyDescent="0.25">
      <c r="A100" s="26" t="s">
        <v>24</v>
      </c>
      <c r="B100" s="49" t="s">
        <v>183</v>
      </c>
      <c r="C100" s="50">
        <v>1.75</v>
      </c>
      <c r="D100" s="49">
        <v>15.71</v>
      </c>
      <c r="E100" s="49">
        <v>18.489999999999998</v>
      </c>
      <c r="F100" s="20" t="s">
        <v>0</v>
      </c>
      <c r="G100" s="20" t="s">
        <v>0</v>
      </c>
      <c r="H100" s="20" t="s">
        <v>0</v>
      </c>
      <c r="I100" s="22" t="s">
        <v>0</v>
      </c>
      <c r="J100" s="20" t="s">
        <v>0</v>
      </c>
      <c r="K100" s="20" t="s">
        <v>0</v>
      </c>
      <c r="L100" s="20" t="s">
        <v>0</v>
      </c>
      <c r="M100" s="23" t="s">
        <v>0</v>
      </c>
      <c r="N100" s="22" t="s">
        <v>0</v>
      </c>
      <c r="O100" s="22">
        <v>1.3512999999999999</v>
      </c>
    </row>
    <row r="101" spans="1:20" s="90" customFormat="1" x14ac:dyDescent="0.25">
      <c r="A101" s="84" t="s">
        <v>69</v>
      </c>
      <c r="B101" s="85" t="s">
        <v>185</v>
      </c>
      <c r="C101" s="86">
        <v>2.5</v>
      </c>
      <c r="D101" s="85">
        <v>16.12</v>
      </c>
      <c r="E101" s="85">
        <v>19.96</v>
      </c>
      <c r="F101" s="87" t="s">
        <v>0</v>
      </c>
      <c r="G101" s="87" t="s">
        <v>0</v>
      </c>
      <c r="H101" s="87" t="s">
        <v>0</v>
      </c>
      <c r="I101" s="88" t="s">
        <v>0</v>
      </c>
      <c r="J101" s="87" t="s">
        <v>0</v>
      </c>
      <c r="K101" s="87" t="s">
        <v>0</v>
      </c>
      <c r="L101" s="87" t="s">
        <v>0</v>
      </c>
      <c r="M101" s="89" t="s">
        <v>0</v>
      </c>
      <c r="N101" s="88" t="s">
        <v>0</v>
      </c>
      <c r="O101" s="88">
        <v>1.3714</v>
      </c>
      <c r="Q101" s="91"/>
      <c r="R101" s="91"/>
      <c r="S101" s="92"/>
      <c r="T101" s="92"/>
    </row>
    <row r="102" spans="1:20" s="90" customFormat="1" x14ac:dyDescent="0.25">
      <c r="A102" s="84" t="s">
        <v>311</v>
      </c>
      <c r="B102" s="85" t="s">
        <v>306</v>
      </c>
      <c r="C102" s="86">
        <v>1.875</v>
      </c>
      <c r="D102" s="85">
        <v>15.92</v>
      </c>
      <c r="E102" s="85">
        <v>19.12</v>
      </c>
      <c r="F102" s="87" t="s">
        <v>0</v>
      </c>
      <c r="G102" s="87" t="s">
        <v>0</v>
      </c>
      <c r="H102" s="87" t="s">
        <v>0</v>
      </c>
      <c r="I102" s="88" t="s">
        <v>0</v>
      </c>
      <c r="J102" s="87" t="s">
        <v>0</v>
      </c>
      <c r="K102" s="87" t="s">
        <v>0</v>
      </c>
      <c r="L102" s="87" t="s">
        <v>0</v>
      </c>
      <c r="M102" s="89" t="s">
        <v>0</v>
      </c>
      <c r="N102" s="88" t="s">
        <v>0</v>
      </c>
      <c r="O102" s="88">
        <v>1.3620000000000001</v>
      </c>
      <c r="Q102" s="91"/>
      <c r="R102" s="91"/>
      <c r="S102" s="92"/>
      <c r="T102" s="92"/>
    </row>
    <row r="103" spans="1:20" x14ac:dyDescent="0.25">
      <c r="A103" s="26" t="s">
        <v>295</v>
      </c>
      <c r="B103" s="49" t="s">
        <v>187</v>
      </c>
      <c r="C103" s="50">
        <v>0.5</v>
      </c>
      <c r="D103" s="49">
        <v>16.059999999999999</v>
      </c>
      <c r="E103" s="49">
        <v>17.09</v>
      </c>
      <c r="F103" s="20" t="s">
        <v>0</v>
      </c>
      <c r="G103" s="20" t="s">
        <v>0</v>
      </c>
      <c r="H103" s="20" t="s">
        <v>0</v>
      </c>
      <c r="I103" s="22" t="s">
        <v>0</v>
      </c>
      <c r="J103" s="20" t="s">
        <v>0</v>
      </c>
      <c r="K103" s="20" t="s">
        <v>0</v>
      </c>
      <c r="L103" s="20" t="s">
        <v>0</v>
      </c>
      <c r="M103" s="23" t="s">
        <v>0</v>
      </c>
      <c r="N103" s="22" t="s">
        <v>0</v>
      </c>
      <c r="O103" s="22">
        <v>1.3363</v>
      </c>
    </row>
    <row r="104" spans="1:20" x14ac:dyDescent="0.25">
      <c r="A104" s="26" t="s">
        <v>70</v>
      </c>
      <c r="B104" s="49" t="s">
        <v>186</v>
      </c>
      <c r="C104" s="50">
        <v>1.625</v>
      </c>
      <c r="D104" s="49">
        <v>16.11</v>
      </c>
      <c r="E104" s="49">
        <v>19.02</v>
      </c>
      <c r="F104" s="20" t="s">
        <v>0</v>
      </c>
      <c r="G104" s="20" t="s">
        <v>0</v>
      </c>
      <c r="H104" s="20" t="s">
        <v>0</v>
      </c>
      <c r="I104" s="22" t="s">
        <v>0</v>
      </c>
      <c r="J104" s="20" t="s">
        <v>0</v>
      </c>
      <c r="K104" s="20" t="s">
        <v>0</v>
      </c>
      <c r="L104" s="20" t="s">
        <v>0</v>
      </c>
      <c r="M104" s="23" t="s">
        <v>0</v>
      </c>
      <c r="N104" s="22" t="s">
        <v>0</v>
      </c>
      <c r="O104" s="22">
        <v>1.3626</v>
      </c>
    </row>
    <row r="105" spans="1:20" x14ac:dyDescent="0.25">
      <c r="A105" s="26" t="s">
        <v>297</v>
      </c>
      <c r="B105" s="49" t="s">
        <v>193</v>
      </c>
      <c r="C105" s="50">
        <v>0.5</v>
      </c>
      <c r="D105" s="49">
        <v>16.420000000000002</v>
      </c>
      <c r="E105" s="49">
        <v>17.45</v>
      </c>
      <c r="F105" s="20" t="s">
        <v>0</v>
      </c>
      <c r="G105" s="20" t="s">
        <v>0</v>
      </c>
      <c r="H105" s="20" t="s">
        <v>0</v>
      </c>
      <c r="I105" s="22" t="s">
        <v>0</v>
      </c>
      <c r="J105" s="20" t="s">
        <v>0</v>
      </c>
      <c r="K105" s="20" t="s">
        <v>0</v>
      </c>
      <c r="L105" s="20" t="s">
        <v>0</v>
      </c>
      <c r="M105" s="23" t="s">
        <v>0</v>
      </c>
      <c r="N105" s="22" t="s">
        <v>0</v>
      </c>
      <c r="O105" s="22">
        <v>1.3435999999999999</v>
      </c>
    </row>
    <row r="106" spans="1:20" x14ac:dyDescent="0.25">
      <c r="A106" s="26" t="s">
        <v>41</v>
      </c>
      <c r="B106" s="49" t="s">
        <v>188</v>
      </c>
      <c r="C106" s="50">
        <v>1.75</v>
      </c>
      <c r="D106" s="49">
        <v>16.46</v>
      </c>
      <c r="E106" s="49">
        <v>19.53</v>
      </c>
      <c r="F106" s="20" t="s">
        <v>0</v>
      </c>
      <c r="G106" s="20" t="s">
        <v>0</v>
      </c>
      <c r="H106" s="20" t="s">
        <v>0</v>
      </c>
      <c r="I106" s="22" t="s">
        <v>0</v>
      </c>
      <c r="J106" s="20" t="s">
        <v>0</v>
      </c>
      <c r="K106" s="20" t="s">
        <v>0</v>
      </c>
      <c r="L106" s="20" t="s">
        <v>0</v>
      </c>
      <c r="M106" s="23" t="s">
        <v>0</v>
      </c>
      <c r="N106" s="22" t="s">
        <v>0</v>
      </c>
      <c r="O106" s="22">
        <v>1.371</v>
      </c>
    </row>
    <row r="107" spans="1:20" x14ac:dyDescent="0.25">
      <c r="A107" s="26" t="s">
        <v>260</v>
      </c>
      <c r="B107" s="49" t="s">
        <v>192</v>
      </c>
      <c r="C107" s="50">
        <v>0.375</v>
      </c>
      <c r="D107" s="49">
        <v>16.52</v>
      </c>
      <c r="E107" s="49">
        <v>17.37</v>
      </c>
      <c r="F107" s="20" t="s">
        <v>0</v>
      </c>
      <c r="G107" s="20" t="s">
        <v>0</v>
      </c>
      <c r="H107" s="20" t="s">
        <v>0</v>
      </c>
      <c r="I107" s="22" t="s">
        <v>0</v>
      </c>
      <c r="J107" s="20" t="s">
        <v>0</v>
      </c>
      <c r="K107" s="20" t="s">
        <v>0</v>
      </c>
      <c r="L107" s="20" t="s">
        <v>0</v>
      </c>
      <c r="M107" s="23" t="s">
        <v>0</v>
      </c>
      <c r="N107" s="22" t="s">
        <v>0</v>
      </c>
      <c r="O107" s="22">
        <v>1.3431999999999999</v>
      </c>
    </row>
    <row r="108" spans="1:20" x14ac:dyDescent="0.25">
      <c r="A108" s="26" t="s">
        <v>256</v>
      </c>
      <c r="B108" s="49" t="s">
        <v>250</v>
      </c>
      <c r="C108" s="50">
        <v>1</v>
      </c>
      <c r="D108" s="49">
        <v>16.53</v>
      </c>
      <c r="E108" s="49">
        <v>18.420000000000002</v>
      </c>
      <c r="F108" s="20" t="s">
        <v>0</v>
      </c>
      <c r="G108" s="20" t="s">
        <v>0</v>
      </c>
      <c r="H108" s="20" t="s">
        <v>0</v>
      </c>
      <c r="I108" s="22" t="s">
        <v>0</v>
      </c>
      <c r="J108" s="20" t="s">
        <v>0</v>
      </c>
      <c r="K108" s="20" t="s">
        <v>0</v>
      </c>
      <c r="L108" s="20" t="s">
        <v>0</v>
      </c>
      <c r="M108" s="23" t="s">
        <v>0</v>
      </c>
      <c r="N108" s="22" t="s">
        <v>0</v>
      </c>
      <c r="O108" s="22">
        <v>1.3576999999999999</v>
      </c>
    </row>
    <row r="109" spans="1:20" x14ac:dyDescent="0.25">
      <c r="A109" s="26" t="s">
        <v>296</v>
      </c>
      <c r="B109" s="49" t="s">
        <v>213</v>
      </c>
      <c r="C109" s="50">
        <v>0.625</v>
      </c>
      <c r="D109" s="49">
        <v>16.54</v>
      </c>
      <c r="E109" s="49">
        <v>17.760000000000002</v>
      </c>
      <c r="F109" s="20" t="s">
        <v>0</v>
      </c>
      <c r="G109" s="20" t="s">
        <v>0</v>
      </c>
      <c r="H109" s="20" t="s">
        <v>0</v>
      </c>
      <c r="I109" s="22" t="s">
        <v>0</v>
      </c>
      <c r="J109" s="20" t="s">
        <v>0</v>
      </c>
      <c r="K109" s="20" t="s">
        <v>0</v>
      </c>
      <c r="L109" s="20" t="s">
        <v>0</v>
      </c>
      <c r="M109" s="23" t="s">
        <v>0</v>
      </c>
      <c r="N109" s="22" t="s">
        <v>0</v>
      </c>
      <c r="O109" s="22">
        <v>1.3485</v>
      </c>
    </row>
    <row r="110" spans="1:20" x14ac:dyDescent="0.25">
      <c r="A110" s="26" t="s">
        <v>72</v>
      </c>
      <c r="B110" s="49" t="s">
        <v>190</v>
      </c>
      <c r="C110" s="50">
        <v>2.25</v>
      </c>
      <c r="D110" s="49">
        <v>17.02</v>
      </c>
      <c r="E110" s="49">
        <v>20.96</v>
      </c>
      <c r="F110" s="20" t="s">
        <v>0</v>
      </c>
      <c r="G110" s="20" t="s">
        <v>0</v>
      </c>
      <c r="H110" s="20" t="s">
        <v>0</v>
      </c>
      <c r="I110" s="22" t="s">
        <v>0</v>
      </c>
      <c r="J110" s="20" t="s">
        <v>0</v>
      </c>
      <c r="K110" s="20" t="s">
        <v>0</v>
      </c>
      <c r="L110" s="20" t="s">
        <v>0</v>
      </c>
      <c r="M110" s="23" t="s">
        <v>0</v>
      </c>
      <c r="N110" s="22" t="s">
        <v>0</v>
      </c>
      <c r="O110" s="22">
        <v>1.3925000000000001</v>
      </c>
    </row>
    <row r="111" spans="1:20" x14ac:dyDescent="0.25">
      <c r="A111" s="26" t="s">
        <v>48</v>
      </c>
      <c r="B111" s="49" t="s">
        <v>189</v>
      </c>
      <c r="C111" s="50">
        <v>2.125</v>
      </c>
      <c r="D111" s="49">
        <v>16.73</v>
      </c>
      <c r="E111" s="49">
        <v>20.53</v>
      </c>
      <c r="F111" s="20" t="s">
        <v>0</v>
      </c>
      <c r="G111" s="20" t="s">
        <v>0</v>
      </c>
      <c r="H111" s="20" t="s">
        <v>0</v>
      </c>
      <c r="I111" s="22" t="s">
        <v>0</v>
      </c>
      <c r="J111" s="20" t="s">
        <v>0</v>
      </c>
      <c r="K111" s="20" t="s">
        <v>0</v>
      </c>
      <c r="L111" s="20" t="s">
        <v>0</v>
      </c>
      <c r="M111" s="23" t="s">
        <v>0</v>
      </c>
      <c r="N111" s="22" t="s">
        <v>0</v>
      </c>
      <c r="O111" s="22">
        <v>1.3856999999999999</v>
      </c>
    </row>
    <row r="112" spans="1:20" x14ac:dyDescent="0.25">
      <c r="A112" s="26" t="s">
        <v>259</v>
      </c>
      <c r="B112" s="49" t="s">
        <v>251</v>
      </c>
      <c r="C112" s="50">
        <v>0.875</v>
      </c>
      <c r="D112" s="49">
        <v>16.82</v>
      </c>
      <c r="E112" s="49">
        <v>18.54</v>
      </c>
      <c r="F112" s="20" t="s">
        <v>0</v>
      </c>
      <c r="G112" s="20" t="s">
        <v>0</v>
      </c>
      <c r="H112" s="20" t="s">
        <v>0</v>
      </c>
      <c r="I112" s="22" t="s">
        <v>0</v>
      </c>
      <c r="J112" s="20" t="s">
        <v>0</v>
      </c>
      <c r="K112" s="20" t="s">
        <v>0</v>
      </c>
      <c r="L112" s="20" t="s">
        <v>0</v>
      </c>
      <c r="M112" s="23" t="s">
        <v>0</v>
      </c>
      <c r="N112" s="22" t="s">
        <v>0</v>
      </c>
      <c r="O112" s="22">
        <v>1.3615999999999999</v>
      </c>
    </row>
    <row r="113" spans="1:20" x14ac:dyDescent="0.25">
      <c r="A113" s="26" t="s">
        <v>298</v>
      </c>
      <c r="B113" s="49" t="s">
        <v>233</v>
      </c>
      <c r="C113" s="50">
        <v>0.625</v>
      </c>
      <c r="D113" s="49">
        <v>16.89</v>
      </c>
      <c r="E113" s="49">
        <v>18.239999999999998</v>
      </c>
      <c r="F113" s="20" t="s">
        <v>0</v>
      </c>
      <c r="G113" s="20" t="s">
        <v>0</v>
      </c>
      <c r="H113" s="20" t="s">
        <v>0</v>
      </c>
      <c r="I113" s="22" t="s">
        <v>0</v>
      </c>
      <c r="J113" s="20" t="s">
        <v>0</v>
      </c>
      <c r="K113" s="20" t="s">
        <v>0</v>
      </c>
      <c r="L113" s="20" t="s">
        <v>0</v>
      </c>
      <c r="M113" s="23" t="s">
        <v>0</v>
      </c>
      <c r="N113" s="22" t="s">
        <v>0</v>
      </c>
      <c r="O113" s="22">
        <v>1.3582000000000001</v>
      </c>
    </row>
    <row r="114" spans="1:20" s="90" customFormat="1" x14ac:dyDescent="0.25">
      <c r="A114" s="84" t="s">
        <v>331</v>
      </c>
      <c r="B114" s="85" t="s">
        <v>332</v>
      </c>
      <c r="C114" s="86">
        <v>1.375</v>
      </c>
      <c r="D114" s="85">
        <v>16.93</v>
      </c>
      <c r="E114" s="85">
        <v>19.54</v>
      </c>
      <c r="F114" s="87" t="s">
        <v>0</v>
      </c>
      <c r="G114" s="87" t="s">
        <v>0</v>
      </c>
      <c r="H114" s="87" t="s">
        <v>0</v>
      </c>
      <c r="I114" s="88" t="s">
        <v>0</v>
      </c>
      <c r="J114" s="87" t="s">
        <v>0</v>
      </c>
      <c r="K114" s="87" t="s">
        <v>0</v>
      </c>
      <c r="L114" s="87" t="s">
        <v>0</v>
      </c>
      <c r="M114" s="89" t="s">
        <v>0</v>
      </c>
      <c r="N114" s="88" t="s">
        <v>0</v>
      </c>
      <c r="O114" s="88">
        <v>1.3754</v>
      </c>
      <c r="Q114" s="91"/>
      <c r="R114" s="91"/>
      <c r="S114" s="92"/>
      <c r="T114" s="92"/>
    </row>
    <row r="115" spans="1:20" x14ac:dyDescent="0.25">
      <c r="A115" s="26" t="s">
        <v>299</v>
      </c>
      <c r="B115" s="49" t="s">
        <v>224</v>
      </c>
      <c r="C115" s="50">
        <v>0.5</v>
      </c>
      <c r="D115" s="49">
        <v>16.97</v>
      </c>
      <c r="E115" s="49">
        <v>18.12</v>
      </c>
      <c r="F115" s="20" t="s">
        <v>0</v>
      </c>
      <c r="G115" s="20" t="s">
        <v>0</v>
      </c>
      <c r="H115" s="20" t="s">
        <v>0</v>
      </c>
      <c r="I115" s="22" t="s">
        <v>0</v>
      </c>
      <c r="J115" s="20" t="s">
        <v>0</v>
      </c>
      <c r="K115" s="20" t="s">
        <v>0</v>
      </c>
      <c r="L115" s="20" t="s">
        <v>0</v>
      </c>
      <c r="M115" s="23" t="s">
        <v>0</v>
      </c>
      <c r="N115" s="22" t="s">
        <v>0</v>
      </c>
      <c r="O115" s="22">
        <v>1.3573</v>
      </c>
    </row>
    <row r="116" spans="1:20" x14ac:dyDescent="0.25">
      <c r="A116" s="26" t="s">
        <v>71</v>
      </c>
      <c r="B116" s="49" t="s">
        <v>195</v>
      </c>
      <c r="C116" s="50">
        <v>2.25</v>
      </c>
      <c r="D116" s="49">
        <v>17</v>
      </c>
      <c r="E116" s="49">
        <v>21.28</v>
      </c>
      <c r="F116" s="20" t="s">
        <v>0</v>
      </c>
      <c r="G116" s="20" t="s">
        <v>0</v>
      </c>
      <c r="H116" s="20" t="s">
        <v>0</v>
      </c>
      <c r="I116" s="22" t="s">
        <v>0</v>
      </c>
      <c r="J116" s="20" t="s">
        <v>0</v>
      </c>
      <c r="K116" s="20" t="s">
        <v>0</v>
      </c>
      <c r="L116" s="20" t="s">
        <v>0</v>
      </c>
      <c r="M116" s="23" t="s">
        <v>0</v>
      </c>
      <c r="N116" s="22" t="s">
        <v>0</v>
      </c>
      <c r="O116" s="22">
        <v>1.3982000000000001</v>
      </c>
    </row>
    <row r="117" spans="1:20" x14ac:dyDescent="0.25">
      <c r="A117" s="26" t="s">
        <v>55</v>
      </c>
      <c r="B117" s="49" t="s">
        <v>191</v>
      </c>
      <c r="C117" s="50">
        <v>2.375</v>
      </c>
      <c r="D117" s="49">
        <v>17.07</v>
      </c>
      <c r="E117" s="49">
        <v>21.49</v>
      </c>
      <c r="F117" s="20" t="s">
        <v>0</v>
      </c>
      <c r="G117" s="20" t="s">
        <v>0</v>
      </c>
      <c r="H117" s="20" t="s">
        <v>0</v>
      </c>
      <c r="I117" s="22" t="s">
        <v>0</v>
      </c>
      <c r="J117" s="20" t="s">
        <v>0</v>
      </c>
      <c r="K117" s="20" t="s">
        <v>0</v>
      </c>
      <c r="L117" s="20" t="s">
        <v>0</v>
      </c>
      <c r="M117" s="23" t="s">
        <v>0</v>
      </c>
      <c r="N117" s="22" t="s">
        <v>0</v>
      </c>
      <c r="O117" s="22">
        <v>1.4008</v>
      </c>
    </row>
    <row r="118" spans="1:20" x14ac:dyDescent="0.25">
      <c r="A118" s="26" t="s">
        <v>73</v>
      </c>
      <c r="B118" s="49" t="s">
        <v>194</v>
      </c>
      <c r="C118" s="50">
        <v>2</v>
      </c>
      <c r="D118" s="49">
        <v>17.11</v>
      </c>
      <c r="E118" s="49">
        <v>20.78</v>
      </c>
      <c r="F118" s="20" t="s">
        <v>0</v>
      </c>
      <c r="G118" s="20" t="s">
        <v>0</v>
      </c>
      <c r="H118" s="20" t="s">
        <v>0</v>
      </c>
      <c r="I118" s="22" t="s">
        <v>0</v>
      </c>
      <c r="J118" s="20" t="s">
        <v>0</v>
      </c>
      <c r="K118" s="20" t="s">
        <v>0</v>
      </c>
      <c r="L118" s="20" t="s">
        <v>0</v>
      </c>
      <c r="M118" s="23" t="s">
        <v>0</v>
      </c>
      <c r="N118" s="22" t="s">
        <v>0</v>
      </c>
      <c r="O118" s="22">
        <v>1.3917999999999999</v>
      </c>
    </row>
    <row r="119" spans="1:20" x14ac:dyDescent="0.25">
      <c r="A119" s="26" t="s">
        <v>380</v>
      </c>
      <c r="B119" s="49" t="s">
        <v>381</v>
      </c>
      <c r="C119" s="50">
        <v>1.375</v>
      </c>
      <c r="D119" s="49">
        <v>17.38</v>
      </c>
      <c r="E119" s="49">
        <v>20</v>
      </c>
      <c r="F119" s="20" t="s">
        <v>0</v>
      </c>
      <c r="G119" s="20" t="s">
        <v>0</v>
      </c>
      <c r="H119" s="20" t="s">
        <v>0</v>
      </c>
      <c r="I119" s="22" t="s">
        <v>0</v>
      </c>
      <c r="J119" s="20" t="s">
        <v>0</v>
      </c>
      <c r="K119" s="20" t="s">
        <v>0</v>
      </c>
      <c r="L119" s="20" t="s">
        <v>0</v>
      </c>
      <c r="M119" s="23" t="s">
        <v>0</v>
      </c>
      <c r="N119" s="22" t="s">
        <v>0</v>
      </c>
      <c r="O119" s="22">
        <v>1.3844000000000001</v>
      </c>
    </row>
    <row r="120" spans="1:20" x14ac:dyDescent="0.25">
      <c r="A120" s="26" t="s">
        <v>74</v>
      </c>
      <c r="B120" s="49" t="s">
        <v>196</v>
      </c>
      <c r="C120" s="50">
        <v>2.375</v>
      </c>
      <c r="D120" s="49">
        <v>17.32</v>
      </c>
      <c r="E120" s="49">
        <v>21.74</v>
      </c>
      <c r="F120" s="20" t="s">
        <v>0</v>
      </c>
      <c r="G120" s="20" t="s">
        <v>0</v>
      </c>
      <c r="H120" s="20" t="s">
        <v>0</v>
      </c>
      <c r="I120" s="22" t="s">
        <v>0</v>
      </c>
      <c r="J120" s="20" t="s">
        <v>0</v>
      </c>
      <c r="K120" s="20" t="s">
        <v>0</v>
      </c>
      <c r="L120" s="20" t="s">
        <v>0</v>
      </c>
      <c r="M120" s="23" t="s">
        <v>0</v>
      </c>
      <c r="N120" s="22" t="s">
        <v>0</v>
      </c>
      <c r="O120" s="22">
        <v>1.4054</v>
      </c>
    </row>
    <row r="121" spans="1:20" x14ac:dyDescent="0.25">
      <c r="A121" s="26" t="s">
        <v>75</v>
      </c>
      <c r="B121" s="49" t="s">
        <v>197</v>
      </c>
      <c r="C121" s="50">
        <v>2.25</v>
      </c>
      <c r="D121" s="49">
        <v>17.690000000000001</v>
      </c>
      <c r="E121" s="49">
        <v>21.98</v>
      </c>
      <c r="F121" s="20" t="s">
        <v>0</v>
      </c>
      <c r="G121" s="20" t="s">
        <v>0</v>
      </c>
      <c r="H121" s="20" t="s">
        <v>0</v>
      </c>
      <c r="I121" s="22" t="s">
        <v>0</v>
      </c>
      <c r="J121" s="20" t="s">
        <v>0</v>
      </c>
      <c r="K121" s="20" t="s">
        <v>0</v>
      </c>
      <c r="L121" s="20" t="s">
        <v>0</v>
      </c>
      <c r="M121" s="23" t="s">
        <v>0</v>
      </c>
      <c r="N121" s="22" t="s">
        <v>0</v>
      </c>
      <c r="O121" s="22">
        <v>1.4113</v>
      </c>
    </row>
    <row r="122" spans="1:20" x14ac:dyDescent="0.25">
      <c r="A122" s="26" t="s">
        <v>76</v>
      </c>
      <c r="B122" s="49" t="s">
        <v>198</v>
      </c>
      <c r="C122" s="50">
        <v>2</v>
      </c>
      <c r="D122" s="49">
        <v>18.59</v>
      </c>
      <c r="E122" s="49">
        <v>23.27</v>
      </c>
      <c r="F122" s="20" t="s">
        <v>0</v>
      </c>
      <c r="G122" s="20" t="s">
        <v>0</v>
      </c>
      <c r="H122" s="20" t="s">
        <v>0</v>
      </c>
      <c r="I122" s="22" t="s">
        <v>0</v>
      </c>
      <c r="J122" s="20" t="s">
        <v>0</v>
      </c>
      <c r="K122" s="20" t="s">
        <v>0</v>
      </c>
      <c r="L122" s="20" t="s">
        <v>0</v>
      </c>
      <c r="M122" s="23" t="s">
        <v>0</v>
      </c>
      <c r="N122" s="22" t="s">
        <v>0</v>
      </c>
      <c r="O122" s="22">
        <v>1.4384999999999999</v>
      </c>
    </row>
    <row r="123" spans="1:20" x14ac:dyDescent="0.25">
      <c r="A123" s="26" t="s">
        <v>77</v>
      </c>
      <c r="B123" s="49" t="s">
        <v>199</v>
      </c>
      <c r="C123" s="50">
        <v>1.625</v>
      </c>
      <c r="D123" s="49">
        <v>18.940000000000001</v>
      </c>
      <c r="E123" s="49">
        <v>22.75</v>
      </c>
      <c r="F123" s="20" t="s">
        <v>0</v>
      </c>
      <c r="G123" s="20" t="s">
        <v>0</v>
      </c>
      <c r="H123" s="20" t="s">
        <v>0</v>
      </c>
      <c r="I123" s="22" t="s">
        <v>0</v>
      </c>
      <c r="J123" s="20" t="s">
        <v>0</v>
      </c>
      <c r="K123" s="20" t="s">
        <v>0</v>
      </c>
      <c r="L123" s="20" t="s">
        <v>0</v>
      </c>
      <c r="M123" s="23" t="s">
        <v>0</v>
      </c>
      <c r="N123" s="22" t="s">
        <v>0</v>
      </c>
      <c r="O123" s="22">
        <v>1.4340999999999999</v>
      </c>
    </row>
    <row r="124" spans="1:20" x14ac:dyDescent="0.25">
      <c r="A124" s="26" t="s">
        <v>78</v>
      </c>
      <c r="B124" s="49" t="s">
        <v>200</v>
      </c>
      <c r="C124" s="50">
        <v>1.875</v>
      </c>
      <c r="D124" s="49">
        <v>19.25</v>
      </c>
      <c r="E124" s="49">
        <v>23.77</v>
      </c>
      <c r="F124" s="20" t="s">
        <v>0</v>
      </c>
      <c r="G124" s="20" t="s">
        <v>0</v>
      </c>
      <c r="H124" s="20" t="s">
        <v>0</v>
      </c>
      <c r="I124" s="22" t="s">
        <v>0</v>
      </c>
      <c r="J124" s="20" t="s">
        <v>0</v>
      </c>
      <c r="K124" s="20" t="s">
        <v>0</v>
      </c>
      <c r="L124" s="20" t="s">
        <v>0</v>
      </c>
      <c r="M124" s="23" t="s">
        <v>0</v>
      </c>
      <c r="N124" s="22" t="s">
        <v>0</v>
      </c>
      <c r="O124" s="22">
        <v>1.4497</v>
      </c>
    </row>
    <row r="125" spans="1:20" x14ac:dyDescent="0.25">
      <c r="A125" s="26" t="s">
        <v>79</v>
      </c>
      <c r="B125" s="49" t="s">
        <v>201</v>
      </c>
      <c r="C125" s="50">
        <v>1.375</v>
      </c>
      <c r="D125" s="49">
        <v>19.53</v>
      </c>
      <c r="E125" s="49">
        <v>22.97</v>
      </c>
      <c r="F125" s="20" t="s">
        <v>0</v>
      </c>
      <c r="G125" s="20" t="s">
        <v>0</v>
      </c>
      <c r="H125" s="20" t="s">
        <v>0</v>
      </c>
      <c r="I125" s="22" t="s">
        <v>0</v>
      </c>
      <c r="J125" s="20" t="s">
        <v>0</v>
      </c>
      <c r="K125" s="20" t="s">
        <v>0</v>
      </c>
      <c r="L125" s="20" t="s">
        <v>0</v>
      </c>
      <c r="M125" s="23" t="s">
        <v>0</v>
      </c>
      <c r="N125" s="22" t="s">
        <v>0</v>
      </c>
      <c r="O125" s="22">
        <v>1.4419999999999999</v>
      </c>
    </row>
    <row r="126" spans="1:20" x14ac:dyDescent="0.25">
      <c r="A126" s="26" t="s">
        <v>80</v>
      </c>
      <c r="B126" s="49" t="s">
        <v>202</v>
      </c>
      <c r="C126" s="50">
        <v>1.625</v>
      </c>
      <c r="D126" s="49">
        <v>19.809999999999999</v>
      </c>
      <c r="E126" s="49">
        <v>24.27</v>
      </c>
      <c r="F126" s="20" t="s">
        <v>0</v>
      </c>
      <c r="G126" s="20" t="s">
        <v>0</v>
      </c>
      <c r="H126" s="20" t="s">
        <v>0</v>
      </c>
      <c r="I126" s="22" t="s">
        <v>0</v>
      </c>
      <c r="J126" s="20" t="s">
        <v>0</v>
      </c>
      <c r="K126" s="20" t="s">
        <v>0</v>
      </c>
      <c r="L126" s="20" t="s">
        <v>0</v>
      </c>
      <c r="M126" s="23" t="s">
        <v>0</v>
      </c>
      <c r="N126" s="22" t="s">
        <v>0</v>
      </c>
      <c r="O126" s="22">
        <v>1.4630000000000001</v>
      </c>
    </row>
    <row r="127" spans="1:20" x14ac:dyDescent="0.25">
      <c r="A127" s="26" t="s">
        <v>81</v>
      </c>
      <c r="B127" s="49" t="s">
        <v>203</v>
      </c>
      <c r="C127" s="50">
        <v>1.5</v>
      </c>
      <c r="D127" s="49">
        <v>20.49</v>
      </c>
      <c r="E127" s="49">
        <v>24.75</v>
      </c>
      <c r="F127" s="20" t="s">
        <v>0</v>
      </c>
      <c r="G127" s="20" t="s">
        <v>0</v>
      </c>
      <c r="H127" s="20" t="s">
        <v>0</v>
      </c>
      <c r="I127" s="22" t="s">
        <v>0</v>
      </c>
      <c r="J127" s="20" t="s">
        <v>0</v>
      </c>
      <c r="K127" s="20" t="s">
        <v>0</v>
      </c>
      <c r="L127" s="20" t="s">
        <v>0</v>
      </c>
      <c r="M127" s="23" t="s">
        <v>0</v>
      </c>
      <c r="N127" s="22" t="s">
        <v>0</v>
      </c>
      <c r="O127" s="22">
        <v>1.4743999999999999</v>
      </c>
    </row>
    <row r="128" spans="1:20" x14ac:dyDescent="0.25">
      <c r="A128" s="26" t="s">
        <v>57</v>
      </c>
      <c r="B128" s="49" t="s">
        <v>204</v>
      </c>
      <c r="C128" s="50">
        <v>1.375</v>
      </c>
      <c r="D128" s="49">
        <v>20.89</v>
      </c>
      <c r="E128" s="49">
        <v>25.23</v>
      </c>
      <c r="F128" s="20" t="s">
        <v>0</v>
      </c>
      <c r="G128" s="20" t="s">
        <v>0</v>
      </c>
      <c r="H128" s="20" t="s">
        <v>0</v>
      </c>
      <c r="I128" s="22" t="s">
        <v>0</v>
      </c>
      <c r="J128" s="20" t="s">
        <v>0</v>
      </c>
      <c r="K128" s="20" t="s">
        <v>0</v>
      </c>
      <c r="L128" s="20" t="s">
        <v>0</v>
      </c>
      <c r="M128" s="23" t="s">
        <v>0</v>
      </c>
      <c r="N128" s="22" t="s">
        <v>0</v>
      </c>
      <c r="O128" s="22">
        <v>1.486</v>
      </c>
    </row>
    <row r="129" spans="1:15" x14ac:dyDescent="0.25">
      <c r="A129" s="26" t="s">
        <v>320</v>
      </c>
      <c r="B129" s="49" t="s">
        <v>315</v>
      </c>
      <c r="C129" s="50">
        <v>2.375</v>
      </c>
      <c r="D129" s="49">
        <v>21.5</v>
      </c>
      <c r="E129" s="49">
        <v>29.24</v>
      </c>
      <c r="F129" s="20">
        <v>1.5509999999999999</v>
      </c>
      <c r="G129" s="20">
        <v>1.5509999999999999</v>
      </c>
      <c r="H129" s="20">
        <v>1.5509999999999999</v>
      </c>
      <c r="I129" s="22">
        <v>3</v>
      </c>
      <c r="J129" s="20">
        <v>1.55</v>
      </c>
      <c r="K129" s="20">
        <v>1.55</v>
      </c>
      <c r="L129" s="20">
        <v>1.55</v>
      </c>
      <c r="M129" s="23">
        <v>1</v>
      </c>
      <c r="N129" s="22">
        <v>3</v>
      </c>
      <c r="O129" s="22">
        <v>1.5411999999999999</v>
      </c>
    </row>
    <row r="130" spans="1:15" x14ac:dyDescent="0.25">
      <c r="A130" s="26" t="s">
        <v>84</v>
      </c>
      <c r="B130" s="49" t="s">
        <v>205</v>
      </c>
      <c r="C130" s="50">
        <v>1.125</v>
      </c>
      <c r="D130" s="49">
        <v>21.93</v>
      </c>
      <c r="E130" s="49">
        <v>25.75</v>
      </c>
      <c r="F130" s="20" t="s">
        <v>0</v>
      </c>
      <c r="G130" s="20" t="s">
        <v>0</v>
      </c>
      <c r="H130" s="20" t="s">
        <v>0</v>
      </c>
      <c r="I130" s="22" t="s">
        <v>0</v>
      </c>
      <c r="J130" s="20" t="s">
        <v>0</v>
      </c>
      <c r="K130" s="20" t="s">
        <v>0</v>
      </c>
      <c r="L130" s="20" t="s">
        <v>0</v>
      </c>
      <c r="M130" s="23" t="s">
        <v>0</v>
      </c>
      <c r="N130" s="22" t="s">
        <v>0</v>
      </c>
      <c r="O130" s="22">
        <v>1.5012000000000001</v>
      </c>
    </row>
    <row r="131" spans="1:15" x14ac:dyDescent="0.25">
      <c r="A131" s="26" t="s">
        <v>268</v>
      </c>
      <c r="B131" s="49" t="s">
        <v>267</v>
      </c>
      <c r="C131" s="50">
        <v>2</v>
      </c>
      <c r="D131" s="49">
        <v>22.09</v>
      </c>
      <c r="E131" s="49">
        <v>28.76</v>
      </c>
      <c r="F131" s="20" t="s">
        <v>0</v>
      </c>
      <c r="G131" s="20" t="s">
        <v>0</v>
      </c>
      <c r="H131" s="20" t="s">
        <v>0</v>
      </c>
      <c r="I131" s="22" t="s">
        <v>0</v>
      </c>
      <c r="J131" s="20" t="s">
        <v>0</v>
      </c>
      <c r="K131" s="20" t="s">
        <v>0</v>
      </c>
      <c r="L131" s="20" t="s">
        <v>0</v>
      </c>
      <c r="M131" s="23" t="s">
        <v>0</v>
      </c>
      <c r="N131" s="22" t="s">
        <v>0</v>
      </c>
      <c r="O131" s="22">
        <v>1.54</v>
      </c>
    </row>
    <row r="132" spans="1:15" x14ac:dyDescent="0.25">
      <c r="A132" s="26" t="s">
        <v>51</v>
      </c>
      <c r="B132" s="49" t="s">
        <v>206</v>
      </c>
      <c r="C132" s="50">
        <v>1</v>
      </c>
      <c r="D132" s="49">
        <v>22.43</v>
      </c>
      <c r="E132" s="49">
        <v>26.23</v>
      </c>
      <c r="F132" s="20" t="s">
        <v>0</v>
      </c>
      <c r="G132" s="20" t="s">
        <v>0</v>
      </c>
      <c r="H132" s="20" t="s">
        <v>0</v>
      </c>
      <c r="I132" s="22" t="s">
        <v>0</v>
      </c>
      <c r="J132" s="20" t="s">
        <v>0</v>
      </c>
      <c r="K132" s="20" t="s">
        <v>0</v>
      </c>
      <c r="L132" s="20" t="s">
        <v>0</v>
      </c>
      <c r="M132" s="23" t="s">
        <v>0</v>
      </c>
      <c r="N132" s="22" t="s">
        <v>0</v>
      </c>
      <c r="O132" s="22">
        <v>1.5135000000000001</v>
      </c>
    </row>
    <row r="133" spans="1:15" x14ac:dyDescent="0.25">
      <c r="A133" s="26" t="s">
        <v>300</v>
      </c>
      <c r="B133" s="49" t="s">
        <v>207</v>
      </c>
      <c r="C133" s="50">
        <v>0.75</v>
      </c>
      <c r="D133" s="49">
        <v>23.6</v>
      </c>
      <c r="E133" s="49">
        <v>26.73</v>
      </c>
      <c r="F133" s="20" t="s">
        <v>0</v>
      </c>
      <c r="G133" s="20" t="s">
        <v>0</v>
      </c>
      <c r="H133" s="20" t="s">
        <v>0</v>
      </c>
      <c r="I133" s="22" t="s">
        <v>0</v>
      </c>
      <c r="J133" s="20" t="s">
        <v>0</v>
      </c>
      <c r="K133" s="20" t="s">
        <v>0</v>
      </c>
      <c r="L133" s="20" t="s">
        <v>0</v>
      </c>
      <c r="M133" s="23" t="s">
        <v>0</v>
      </c>
      <c r="N133" s="22" t="s">
        <v>0</v>
      </c>
      <c r="O133" s="22">
        <v>1.5297000000000001</v>
      </c>
    </row>
    <row r="134" spans="1:15" x14ac:dyDescent="0.25">
      <c r="A134" s="26" t="s">
        <v>301</v>
      </c>
      <c r="B134" s="49" t="s">
        <v>238</v>
      </c>
      <c r="C134" s="50">
        <v>1.125</v>
      </c>
      <c r="D134" s="49">
        <v>23.61</v>
      </c>
      <c r="E134" s="49">
        <v>28.35</v>
      </c>
      <c r="F134" s="20" t="s">
        <v>0</v>
      </c>
      <c r="G134" s="20" t="s">
        <v>0</v>
      </c>
      <c r="H134" s="20" t="s">
        <v>0</v>
      </c>
      <c r="I134" s="22" t="s">
        <v>0</v>
      </c>
      <c r="J134" s="20" t="s">
        <v>0</v>
      </c>
      <c r="K134" s="20" t="s">
        <v>0</v>
      </c>
      <c r="L134" s="20" t="s">
        <v>0</v>
      </c>
      <c r="M134" s="23" t="s">
        <v>0</v>
      </c>
      <c r="N134" s="22" t="s">
        <v>0</v>
      </c>
      <c r="O134" s="22">
        <v>1.5527</v>
      </c>
    </row>
    <row r="135" spans="1:15" x14ac:dyDescent="0.25">
      <c r="A135" s="26" t="s">
        <v>363</v>
      </c>
      <c r="B135" s="49" t="s">
        <v>364</v>
      </c>
      <c r="C135" s="50">
        <v>1.5</v>
      </c>
      <c r="D135" s="49">
        <v>23.68</v>
      </c>
      <c r="E135" s="49">
        <v>29.73</v>
      </c>
      <c r="F135" s="20" t="s">
        <v>0</v>
      </c>
      <c r="G135" s="20" t="s">
        <v>0</v>
      </c>
      <c r="H135" s="20" t="s">
        <v>0</v>
      </c>
      <c r="I135" s="22" t="s">
        <v>0</v>
      </c>
      <c r="J135" s="20" t="s">
        <v>0</v>
      </c>
      <c r="K135" s="20" t="s">
        <v>0</v>
      </c>
      <c r="L135" s="20" t="s">
        <v>0</v>
      </c>
      <c r="M135" s="23" t="s">
        <v>0</v>
      </c>
      <c r="N135" s="22" t="s">
        <v>0</v>
      </c>
      <c r="O135" s="22">
        <v>1.5699000000000001</v>
      </c>
    </row>
    <row r="136" spans="1:15" x14ac:dyDescent="0.25">
      <c r="A136" s="26" t="s">
        <v>302</v>
      </c>
      <c r="B136" s="49" t="s">
        <v>209</v>
      </c>
      <c r="C136" s="50">
        <v>0.625</v>
      </c>
      <c r="D136" s="49">
        <v>24.56</v>
      </c>
      <c r="E136" s="49">
        <v>27.52</v>
      </c>
      <c r="F136" s="20" t="s">
        <v>0</v>
      </c>
      <c r="G136" s="20" t="s">
        <v>0</v>
      </c>
      <c r="H136" s="20" t="s">
        <v>0</v>
      </c>
      <c r="I136" s="22" t="s">
        <v>0</v>
      </c>
      <c r="J136" s="20" t="s">
        <v>0</v>
      </c>
      <c r="K136" s="20" t="s">
        <v>0</v>
      </c>
      <c r="L136" s="20" t="s">
        <v>0</v>
      </c>
      <c r="M136" s="23" t="s">
        <v>0</v>
      </c>
      <c r="N136" s="22" t="s">
        <v>0</v>
      </c>
      <c r="O136" s="22">
        <v>1.5495000000000001</v>
      </c>
    </row>
    <row r="137" spans="1:15" x14ac:dyDescent="0.25">
      <c r="A137" s="32" t="s">
        <v>303</v>
      </c>
      <c r="B137" s="49" t="s">
        <v>208</v>
      </c>
      <c r="C137" s="50">
        <v>0.375</v>
      </c>
      <c r="D137" s="49">
        <v>25.21</v>
      </c>
      <c r="E137" s="49">
        <v>27.28</v>
      </c>
      <c r="F137" s="20" t="s">
        <v>0</v>
      </c>
      <c r="G137" s="20" t="s">
        <v>0</v>
      </c>
      <c r="H137" s="20" t="s">
        <v>0</v>
      </c>
      <c r="I137" s="22" t="s">
        <v>0</v>
      </c>
      <c r="J137" s="20" t="s">
        <v>0</v>
      </c>
      <c r="K137" s="20" t="s">
        <v>0</v>
      </c>
      <c r="L137" s="20" t="s">
        <v>0</v>
      </c>
      <c r="M137" s="23" t="s">
        <v>0</v>
      </c>
      <c r="N137" s="22" t="s">
        <v>0</v>
      </c>
      <c r="O137" s="22">
        <v>1.5515000000000001</v>
      </c>
    </row>
    <row r="138" spans="1:15" x14ac:dyDescent="0.25">
      <c r="A138" s="26" t="s">
        <v>433</v>
      </c>
      <c r="B138" s="34" t="s">
        <v>437</v>
      </c>
      <c r="C138" s="40">
        <v>3.8</v>
      </c>
      <c r="D138" s="40">
        <v>4.0199999999999996</v>
      </c>
      <c r="E138" s="20"/>
      <c r="F138" s="20">
        <v>1.526</v>
      </c>
      <c r="G138" s="20">
        <v>1.526</v>
      </c>
      <c r="H138" s="20">
        <v>1.526</v>
      </c>
      <c r="I138" s="22">
        <v>4</v>
      </c>
      <c r="J138" s="20" t="s">
        <v>0</v>
      </c>
      <c r="K138" s="20" t="s">
        <v>0</v>
      </c>
      <c r="L138" s="20" t="s">
        <v>0</v>
      </c>
      <c r="M138" s="23" t="s">
        <v>0</v>
      </c>
      <c r="N138" s="22" t="s">
        <v>0</v>
      </c>
      <c r="O138" s="22" t="e">
        <v>#N/A</v>
      </c>
    </row>
    <row r="139" spans="1:15" x14ac:dyDescent="0.25">
      <c r="A139" s="26" t="s">
        <v>568</v>
      </c>
      <c r="B139" s="34" t="s">
        <v>573</v>
      </c>
      <c r="C139" s="40">
        <v>6.55</v>
      </c>
      <c r="D139" s="40">
        <v>7</v>
      </c>
      <c r="E139" s="20"/>
      <c r="F139" s="20">
        <v>1.65</v>
      </c>
      <c r="G139" s="20">
        <v>1.65</v>
      </c>
      <c r="H139" s="20">
        <v>1.65</v>
      </c>
      <c r="I139" s="22">
        <v>1</v>
      </c>
      <c r="J139" s="20" t="s">
        <v>0</v>
      </c>
      <c r="K139" s="20" t="s">
        <v>0</v>
      </c>
      <c r="L139" s="20" t="s">
        <v>0</v>
      </c>
      <c r="M139" s="23" t="s">
        <v>0</v>
      </c>
      <c r="N139" s="22" t="s">
        <v>0</v>
      </c>
      <c r="O139" s="22" t="e">
        <v>#N/A</v>
      </c>
    </row>
    <row r="140" spans="1:15" x14ac:dyDescent="0.25">
      <c r="A140" s="26" t="s">
        <v>571</v>
      </c>
      <c r="B140" s="34" t="s">
        <v>574</v>
      </c>
      <c r="C140" s="40">
        <v>0.33</v>
      </c>
      <c r="D140" s="40">
        <v>0.34</v>
      </c>
      <c r="E140" s="20"/>
      <c r="F140" s="20">
        <v>1.44</v>
      </c>
      <c r="G140" s="20">
        <v>1.44</v>
      </c>
      <c r="H140" s="20">
        <v>1.44</v>
      </c>
      <c r="I140" s="22">
        <v>1.5</v>
      </c>
      <c r="J140" s="20" t="s">
        <v>0</v>
      </c>
      <c r="K140" s="20" t="s">
        <v>0</v>
      </c>
      <c r="L140" s="20" t="s">
        <v>0</v>
      </c>
      <c r="M140" s="23" t="s">
        <v>0</v>
      </c>
      <c r="N140" s="22" t="s">
        <v>0</v>
      </c>
      <c r="O140" s="22" t="e">
        <v>#N/A</v>
      </c>
    </row>
    <row r="141" spans="1:15" x14ac:dyDescent="0.25">
      <c r="A141" s="26" t="s">
        <v>567</v>
      </c>
      <c r="B141" s="34" t="s">
        <v>575</v>
      </c>
      <c r="C141" s="26" t="s">
        <v>321</v>
      </c>
      <c r="D141" s="35">
        <v>4.7699999999999996</v>
      </c>
      <c r="E141" s="35">
        <v>5</v>
      </c>
      <c r="F141" s="20">
        <v>1.6</v>
      </c>
      <c r="G141" s="20">
        <v>1.5994999999999999</v>
      </c>
      <c r="H141" s="20">
        <v>1.5998000000000001</v>
      </c>
      <c r="I141" s="22">
        <v>26</v>
      </c>
      <c r="J141" s="20">
        <v>1.6</v>
      </c>
      <c r="K141" s="20">
        <v>1.6</v>
      </c>
      <c r="L141" s="20">
        <v>1.6</v>
      </c>
      <c r="M141" s="23">
        <v>3</v>
      </c>
      <c r="N141" s="22">
        <v>6</v>
      </c>
      <c r="O141" s="22" t="e">
        <v>#N/A</v>
      </c>
    </row>
    <row r="142" spans="1:15" x14ac:dyDescent="0.25">
      <c r="A142" s="26" t="s">
        <v>569</v>
      </c>
      <c r="B142" s="34" t="s">
        <v>576</v>
      </c>
      <c r="C142" s="26" t="s">
        <v>321</v>
      </c>
      <c r="D142" s="35">
        <v>9.1</v>
      </c>
      <c r="E142" s="35">
        <v>10</v>
      </c>
      <c r="F142" s="20">
        <v>1.76</v>
      </c>
      <c r="G142" s="20">
        <v>1.76</v>
      </c>
      <c r="H142" s="20">
        <v>1.76</v>
      </c>
      <c r="I142" s="22">
        <v>1</v>
      </c>
      <c r="J142" s="20">
        <v>1.76</v>
      </c>
      <c r="K142" s="20">
        <v>1.76</v>
      </c>
      <c r="L142" s="20">
        <v>1.76</v>
      </c>
      <c r="M142" s="23">
        <v>28</v>
      </c>
      <c r="N142" s="22">
        <v>82</v>
      </c>
      <c r="O142" s="22" t="e">
        <v>#N/A</v>
      </c>
    </row>
    <row r="143" spans="1:15" x14ac:dyDescent="0.25">
      <c r="A143" s="26" t="s">
        <v>577</v>
      </c>
      <c r="B143" s="34" t="s">
        <v>578</v>
      </c>
      <c r="C143" s="26" t="s">
        <v>321</v>
      </c>
      <c r="D143" s="35">
        <v>4.7699999999999996</v>
      </c>
      <c r="E143" s="35">
        <v>4.99</v>
      </c>
      <c r="F143" s="20" t="s">
        <v>0</v>
      </c>
      <c r="G143" s="20" t="s">
        <v>0</v>
      </c>
      <c r="H143" s="20" t="s">
        <v>0</v>
      </c>
      <c r="I143" s="22" t="s">
        <v>0</v>
      </c>
      <c r="J143" s="20">
        <v>1.57</v>
      </c>
      <c r="K143" s="20">
        <v>1.57</v>
      </c>
      <c r="L143" s="20">
        <v>1.57</v>
      </c>
      <c r="M143" s="23">
        <v>1</v>
      </c>
      <c r="N143" s="22">
        <v>5</v>
      </c>
      <c r="O143" s="22" t="e">
        <v>#N/A</v>
      </c>
    </row>
    <row r="144" spans="1:15" x14ac:dyDescent="0.25">
      <c r="A144" s="26" t="s">
        <v>579</v>
      </c>
      <c r="B144" s="34" t="s">
        <v>580</v>
      </c>
      <c r="C144" s="26" t="s">
        <v>321</v>
      </c>
      <c r="D144" s="35">
        <v>6.56</v>
      </c>
      <c r="E144" s="35">
        <v>6.99</v>
      </c>
      <c r="F144" s="20" t="s">
        <v>0</v>
      </c>
      <c r="G144" s="20" t="s">
        <v>0</v>
      </c>
      <c r="H144" s="20" t="s">
        <v>0</v>
      </c>
      <c r="I144" s="22" t="s">
        <v>0</v>
      </c>
      <c r="J144" s="20">
        <v>1.63</v>
      </c>
      <c r="K144" s="20">
        <v>1.63</v>
      </c>
      <c r="L144" s="20">
        <v>1.63</v>
      </c>
      <c r="M144" s="23">
        <v>1</v>
      </c>
      <c r="N144" s="22">
        <v>2</v>
      </c>
      <c r="O144" s="22" t="e">
        <v>#N/A</v>
      </c>
    </row>
    <row r="145" spans="1:15" x14ac:dyDescent="0.25">
      <c r="A145" s="26" t="s">
        <v>581</v>
      </c>
      <c r="B145" s="34" t="s">
        <v>582</v>
      </c>
      <c r="C145" s="26" t="s">
        <v>321</v>
      </c>
      <c r="D145" s="35">
        <v>9.11</v>
      </c>
      <c r="E145" s="35">
        <v>9.99</v>
      </c>
      <c r="F145" s="20" t="s">
        <v>0</v>
      </c>
      <c r="G145" s="20" t="s">
        <v>0</v>
      </c>
      <c r="H145" s="20" t="s">
        <v>0</v>
      </c>
      <c r="I145" s="22" t="s">
        <v>0</v>
      </c>
      <c r="J145" s="20">
        <v>1.72</v>
      </c>
      <c r="K145" s="20">
        <v>1.72</v>
      </c>
      <c r="L145" s="20">
        <v>1.72</v>
      </c>
      <c r="M145" s="23">
        <v>1</v>
      </c>
      <c r="N145" s="22">
        <v>2</v>
      </c>
      <c r="O145" s="22" t="e">
        <v>#N/A</v>
      </c>
    </row>
    <row r="146" spans="1:15" x14ac:dyDescent="0.25">
      <c r="A146" s="26" t="s">
        <v>583</v>
      </c>
      <c r="B146" s="34" t="s">
        <v>584</v>
      </c>
      <c r="C146" s="26" t="s">
        <v>321</v>
      </c>
      <c r="D146" s="35">
        <v>6.11</v>
      </c>
      <c r="E146" s="35">
        <v>6.4</v>
      </c>
      <c r="F146" s="20" t="s">
        <v>0</v>
      </c>
      <c r="G146" s="20" t="s">
        <v>0</v>
      </c>
      <c r="H146" s="20" t="s">
        <v>0</v>
      </c>
      <c r="I146" s="22" t="s">
        <v>0</v>
      </c>
      <c r="J146" s="20">
        <v>1.69</v>
      </c>
      <c r="K146" s="20">
        <v>1.68</v>
      </c>
      <c r="L146" s="20">
        <v>1.6850000000000001</v>
      </c>
      <c r="M146" s="23">
        <v>2</v>
      </c>
      <c r="N146" s="22">
        <v>6</v>
      </c>
      <c r="O146" s="22" t="e">
        <v>#N/A</v>
      </c>
    </row>
    <row r="147" spans="1:15" x14ac:dyDescent="0.25">
      <c r="A147" s="26" t="s">
        <v>572</v>
      </c>
      <c r="B147" s="34" t="s">
        <v>585</v>
      </c>
      <c r="C147" s="26" t="s">
        <v>321</v>
      </c>
      <c r="D147" s="35">
        <v>0.94</v>
      </c>
      <c r="E147" s="35">
        <v>0.95</v>
      </c>
      <c r="F147" s="20">
        <v>1.45</v>
      </c>
      <c r="G147" s="20">
        <v>1.45</v>
      </c>
      <c r="H147" s="20">
        <v>1.45</v>
      </c>
      <c r="I147" s="22">
        <v>1</v>
      </c>
      <c r="J147" s="20">
        <v>1.4550000000000001</v>
      </c>
      <c r="K147" s="20">
        <v>1.4550000000000001</v>
      </c>
      <c r="L147" s="20">
        <v>1.4550000000000001</v>
      </c>
      <c r="M147" s="23">
        <v>1</v>
      </c>
      <c r="N147" s="22">
        <v>1</v>
      </c>
      <c r="O147" s="22" t="e">
        <v>#N/A</v>
      </c>
    </row>
  </sheetData>
  <mergeCells count="6">
    <mergeCell ref="F1:I1"/>
    <mergeCell ref="J1:N1"/>
    <mergeCell ref="Q1:T1"/>
    <mergeCell ref="F2:H2"/>
    <mergeCell ref="J2:L2"/>
    <mergeCell ref="O2:O3"/>
  </mergeCells>
  <phoneticPr fontId="1" type="noConversion"/>
  <printOptions gridLines="1"/>
  <pageMargins left="0.17" right="0.16" top="0.28999999999999998" bottom="0.2" header="0.5" footer="0.5"/>
  <pageSetup paperSize="9" scale="34" orientation="portrait" r:id="rId1"/>
  <headerFooter alignWithMargins="0">
    <oddFooter>&amp;C&amp;"Times New Roman,標準"&amp;P&amp;R&amp;"Times New Roman,標準"&amp;A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65">
    <pageSetUpPr fitToPage="1"/>
  </sheetPr>
  <dimension ref="A1:T463"/>
  <sheetViews>
    <sheetView zoomScale="90" workbookViewId="0">
      <pane xSplit="1" ySplit="3" topLeftCell="B4" activePane="bottomRight" state="frozen"/>
      <selection sqref="A1:IV65536"/>
      <selection pane="topRight" sqref="A1:IV65536"/>
      <selection pane="bottomLeft" sqref="A1:IV65536"/>
      <selection pane="bottomRight" activeCell="M20" sqref="M20"/>
    </sheetView>
  </sheetViews>
  <sheetFormatPr defaultRowHeight="16.5" x14ac:dyDescent="0.25"/>
  <cols>
    <col min="1" max="1" width="9" style="7" customWidth="1"/>
    <col min="2" max="2" width="10.5" style="8" bestFit="1" customWidth="1"/>
    <col min="3" max="3" width="6.625" style="8" bestFit="1" customWidth="1"/>
    <col min="4" max="4" width="7.125" style="8" bestFit="1" customWidth="1"/>
    <col min="5" max="15" width="9" style="8"/>
    <col min="16" max="16" width="4" style="8" customWidth="1"/>
    <col min="17" max="17" width="6.625" style="28" customWidth="1"/>
    <col min="18" max="18" width="8.625" style="28" customWidth="1"/>
    <col min="19" max="19" width="11.375" style="31" bestFit="1" customWidth="1"/>
    <col min="20" max="20" width="11.25" style="31" bestFit="1" customWidth="1"/>
    <col min="21" max="256" width="9" style="8"/>
    <col min="257" max="257" width="9" style="8" customWidth="1"/>
    <col min="258" max="258" width="10.5" style="8" bestFit="1" customWidth="1"/>
    <col min="259" max="259" width="6.625" style="8" bestFit="1" customWidth="1"/>
    <col min="260" max="260" width="7.125" style="8" bestFit="1" customWidth="1"/>
    <col min="261" max="271" width="9" style="8"/>
    <col min="272" max="272" width="4" style="8" customWidth="1"/>
    <col min="273" max="273" width="6.625" style="8" customWidth="1"/>
    <col min="274" max="274" width="8.625" style="8" customWidth="1"/>
    <col min="275" max="275" width="11.375" style="8" bestFit="1" customWidth="1"/>
    <col min="276" max="276" width="11.25" style="8" bestFit="1" customWidth="1"/>
    <col min="277" max="512" width="9" style="8"/>
    <col min="513" max="513" width="9" style="8" customWidth="1"/>
    <col min="514" max="514" width="10.5" style="8" bestFit="1" customWidth="1"/>
    <col min="515" max="515" width="6.625" style="8" bestFit="1" customWidth="1"/>
    <col min="516" max="516" width="7.125" style="8" bestFit="1" customWidth="1"/>
    <col min="517" max="527" width="9" style="8"/>
    <col min="528" max="528" width="4" style="8" customWidth="1"/>
    <col min="529" max="529" width="6.625" style="8" customWidth="1"/>
    <col min="530" max="530" width="8.625" style="8" customWidth="1"/>
    <col min="531" max="531" width="11.375" style="8" bestFit="1" customWidth="1"/>
    <col min="532" max="532" width="11.25" style="8" bestFit="1" customWidth="1"/>
    <col min="533" max="768" width="9" style="8"/>
    <col min="769" max="769" width="9" style="8" customWidth="1"/>
    <col min="770" max="770" width="10.5" style="8" bestFit="1" customWidth="1"/>
    <col min="771" max="771" width="6.625" style="8" bestFit="1" customWidth="1"/>
    <col min="772" max="772" width="7.125" style="8" bestFit="1" customWidth="1"/>
    <col min="773" max="783" width="9" style="8"/>
    <col min="784" max="784" width="4" style="8" customWidth="1"/>
    <col min="785" max="785" width="6.625" style="8" customWidth="1"/>
    <col min="786" max="786" width="8.625" style="8" customWidth="1"/>
    <col min="787" max="787" width="11.375" style="8" bestFit="1" customWidth="1"/>
    <col min="788" max="788" width="11.25" style="8" bestFit="1" customWidth="1"/>
    <col min="789" max="1024" width="9" style="8"/>
    <col min="1025" max="1025" width="9" style="8" customWidth="1"/>
    <col min="1026" max="1026" width="10.5" style="8" bestFit="1" customWidth="1"/>
    <col min="1027" max="1027" width="6.625" style="8" bestFit="1" customWidth="1"/>
    <col min="1028" max="1028" width="7.125" style="8" bestFit="1" customWidth="1"/>
    <col min="1029" max="1039" width="9" style="8"/>
    <col min="1040" max="1040" width="4" style="8" customWidth="1"/>
    <col min="1041" max="1041" width="6.625" style="8" customWidth="1"/>
    <col min="1042" max="1042" width="8.625" style="8" customWidth="1"/>
    <col min="1043" max="1043" width="11.375" style="8" bestFit="1" customWidth="1"/>
    <col min="1044" max="1044" width="11.25" style="8" bestFit="1" customWidth="1"/>
    <col min="1045" max="1280" width="9" style="8"/>
    <col min="1281" max="1281" width="9" style="8" customWidth="1"/>
    <col min="1282" max="1282" width="10.5" style="8" bestFit="1" customWidth="1"/>
    <col min="1283" max="1283" width="6.625" style="8" bestFit="1" customWidth="1"/>
    <col min="1284" max="1284" width="7.125" style="8" bestFit="1" customWidth="1"/>
    <col min="1285" max="1295" width="9" style="8"/>
    <col min="1296" max="1296" width="4" style="8" customWidth="1"/>
    <col min="1297" max="1297" width="6.625" style="8" customWidth="1"/>
    <col min="1298" max="1298" width="8.625" style="8" customWidth="1"/>
    <col min="1299" max="1299" width="11.375" style="8" bestFit="1" customWidth="1"/>
    <col min="1300" max="1300" width="11.25" style="8" bestFit="1" customWidth="1"/>
    <col min="1301" max="1536" width="9" style="8"/>
    <col min="1537" max="1537" width="9" style="8" customWidth="1"/>
    <col min="1538" max="1538" width="10.5" style="8" bestFit="1" customWidth="1"/>
    <col min="1539" max="1539" width="6.625" style="8" bestFit="1" customWidth="1"/>
    <col min="1540" max="1540" width="7.125" style="8" bestFit="1" customWidth="1"/>
    <col min="1541" max="1551" width="9" style="8"/>
    <col min="1552" max="1552" width="4" style="8" customWidth="1"/>
    <col min="1553" max="1553" width="6.625" style="8" customWidth="1"/>
    <col min="1554" max="1554" width="8.625" style="8" customWidth="1"/>
    <col min="1555" max="1555" width="11.375" style="8" bestFit="1" customWidth="1"/>
    <col min="1556" max="1556" width="11.25" style="8" bestFit="1" customWidth="1"/>
    <col min="1557" max="1792" width="9" style="8"/>
    <col min="1793" max="1793" width="9" style="8" customWidth="1"/>
    <col min="1794" max="1794" width="10.5" style="8" bestFit="1" customWidth="1"/>
    <col min="1795" max="1795" width="6.625" style="8" bestFit="1" customWidth="1"/>
    <col min="1796" max="1796" width="7.125" style="8" bestFit="1" customWidth="1"/>
    <col min="1797" max="1807" width="9" style="8"/>
    <col min="1808" max="1808" width="4" style="8" customWidth="1"/>
    <col min="1809" max="1809" width="6.625" style="8" customWidth="1"/>
    <col min="1810" max="1810" width="8.625" style="8" customWidth="1"/>
    <col min="1811" max="1811" width="11.375" style="8" bestFit="1" customWidth="1"/>
    <col min="1812" max="1812" width="11.25" style="8" bestFit="1" customWidth="1"/>
    <col min="1813" max="2048" width="9" style="8"/>
    <col min="2049" max="2049" width="9" style="8" customWidth="1"/>
    <col min="2050" max="2050" width="10.5" style="8" bestFit="1" customWidth="1"/>
    <col min="2051" max="2051" width="6.625" style="8" bestFit="1" customWidth="1"/>
    <col min="2052" max="2052" width="7.125" style="8" bestFit="1" customWidth="1"/>
    <col min="2053" max="2063" width="9" style="8"/>
    <col min="2064" max="2064" width="4" style="8" customWidth="1"/>
    <col min="2065" max="2065" width="6.625" style="8" customWidth="1"/>
    <col min="2066" max="2066" width="8.625" style="8" customWidth="1"/>
    <col min="2067" max="2067" width="11.375" style="8" bestFit="1" customWidth="1"/>
    <col min="2068" max="2068" width="11.25" style="8" bestFit="1" customWidth="1"/>
    <col min="2069" max="2304" width="9" style="8"/>
    <col min="2305" max="2305" width="9" style="8" customWidth="1"/>
    <col min="2306" max="2306" width="10.5" style="8" bestFit="1" customWidth="1"/>
    <col min="2307" max="2307" width="6.625" style="8" bestFit="1" customWidth="1"/>
    <col min="2308" max="2308" width="7.125" style="8" bestFit="1" customWidth="1"/>
    <col min="2309" max="2319" width="9" style="8"/>
    <col min="2320" max="2320" width="4" style="8" customWidth="1"/>
    <col min="2321" max="2321" width="6.625" style="8" customWidth="1"/>
    <col min="2322" max="2322" width="8.625" style="8" customWidth="1"/>
    <col min="2323" max="2323" width="11.375" style="8" bestFit="1" customWidth="1"/>
    <col min="2324" max="2324" width="11.25" style="8" bestFit="1" customWidth="1"/>
    <col min="2325" max="2560" width="9" style="8"/>
    <col min="2561" max="2561" width="9" style="8" customWidth="1"/>
    <col min="2562" max="2562" width="10.5" style="8" bestFit="1" customWidth="1"/>
    <col min="2563" max="2563" width="6.625" style="8" bestFit="1" customWidth="1"/>
    <col min="2564" max="2564" width="7.125" style="8" bestFit="1" customWidth="1"/>
    <col min="2565" max="2575" width="9" style="8"/>
    <col min="2576" max="2576" width="4" style="8" customWidth="1"/>
    <col min="2577" max="2577" width="6.625" style="8" customWidth="1"/>
    <col min="2578" max="2578" width="8.625" style="8" customWidth="1"/>
    <col min="2579" max="2579" width="11.375" style="8" bestFit="1" customWidth="1"/>
    <col min="2580" max="2580" width="11.25" style="8" bestFit="1" customWidth="1"/>
    <col min="2581" max="2816" width="9" style="8"/>
    <col min="2817" max="2817" width="9" style="8" customWidth="1"/>
    <col min="2818" max="2818" width="10.5" style="8" bestFit="1" customWidth="1"/>
    <col min="2819" max="2819" width="6.625" style="8" bestFit="1" customWidth="1"/>
    <col min="2820" max="2820" width="7.125" style="8" bestFit="1" customWidth="1"/>
    <col min="2821" max="2831" width="9" style="8"/>
    <col min="2832" max="2832" width="4" style="8" customWidth="1"/>
    <col min="2833" max="2833" width="6.625" style="8" customWidth="1"/>
    <col min="2834" max="2834" width="8.625" style="8" customWidth="1"/>
    <col min="2835" max="2835" width="11.375" style="8" bestFit="1" customWidth="1"/>
    <col min="2836" max="2836" width="11.25" style="8" bestFit="1" customWidth="1"/>
    <col min="2837" max="3072" width="9" style="8"/>
    <col min="3073" max="3073" width="9" style="8" customWidth="1"/>
    <col min="3074" max="3074" width="10.5" style="8" bestFit="1" customWidth="1"/>
    <col min="3075" max="3075" width="6.625" style="8" bestFit="1" customWidth="1"/>
    <col min="3076" max="3076" width="7.125" style="8" bestFit="1" customWidth="1"/>
    <col min="3077" max="3087" width="9" style="8"/>
    <col min="3088" max="3088" width="4" style="8" customWidth="1"/>
    <col min="3089" max="3089" width="6.625" style="8" customWidth="1"/>
    <col min="3090" max="3090" width="8.625" style="8" customWidth="1"/>
    <col min="3091" max="3091" width="11.375" style="8" bestFit="1" customWidth="1"/>
    <col min="3092" max="3092" width="11.25" style="8" bestFit="1" customWidth="1"/>
    <col min="3093" max="3328" width="9" style="8"/>
    <col min="3329" max="3329" width="9" style="8" customWidth="1"/>
    <col min="3330" max="3330" width="10.5" style="8" bestFit="1" customWidth="1"/>
    <col min="3331" max="3331" width="6.625" style="8" bestFit="1" customWidth="1"/>
    <col min="3332" max="3332" width="7.125" style="8" bestFit="1" customWidth="1"/>
    <col min="3333" max="3343" width="9" style="8"/>
    <col min="3344" max="3344" width="4" style="8" customWidth="1"/>
    <col min="3345" max="3345" width="6.625" style="8" customWidth="1"/>
    <col min="3346" max="3346" width="8.625" style="8" customWidth="1"/>
    <col min="3347" max="3347" width="11.375" style="8" bestFit="1" customWidth="1"/>
    <col min="3348" max="3348" width="11.25" style="8" bestFit="1" customWidth="1"/>
    <col min="3349" max="3584" width="9" style="8"/>
    <col min="3585" max="3585" width="9" style="8" customWidth="1"/>
    <col min="3586" max="3586" width="10.5" style="8" bestFit="1" customWidth="1"/>
    <col min="3587" max="3587" width="6.625" style="8" bestFit="1" customWidth="1"/>
    <col min="3588" max="3588" width="7.125" style="8" bestFit="1" customWidth="1"/>
    <col min="3589" max="3599" width="9" style="8"/>
    <col min="3600" max="3600" width="4" style="8" customWidth="1"/>
    <col min="3601" max="3601" width="6.625" style="8" customWidth="1"/>
    <col min="3602" max="3602" width="8.625" style="8" customWidth="1"/>
    <col min="3603" max="3603" width="11.375" style="8" bestFit="1" customWidth="1"/>
    <col min="3604" max="3604" width="11.25" style="8" bestFit="1" customWidth="1"/>
    <col min="3605" max="3840" width="9" style="8"/>
    <col min="3841" max="3841" width="9" style="8" customWidth="1"/>
    <col min="3842" max="3842" width="10.5" style="8" bestFit="1" customWidth="1"/>
    <col min="3843" max="3843" width="6.625" style="8" bestFit="1" customWidth="1"/>
    <col min="3844" max="3844" width="7.125" style="8" bestFit="1" customWidth="1"/>
    <col min="3845" max="3855" width="9" style="8"/>
    <col min="3856" max="3856" width="4" style="8" customWidth="1"/>
    <col min="3857" max="3857" width="6.625" style="8" customWidth="1"/>
    <col min="3858" max="3858" width="8.625" style="8" customWidth="1"/>
    <col min="3859" max="3859" width="11.375" style="8" bestFit="1" customWidth="1"/>
    <col min="3860" max="3860" width="11.25" style="8" bestFit="1" customWidth="1"/>
    <col min="3861" max="4096" width="9" style="8"/>
    <col min="4097" max="4097" width="9" style="8" customWidth="1"/>
    <col min="4098" max="4098" width="10.5" style="8" bestFit="1" customWidth="1"/>
    <col min="4099" max="4099" width="6.625" style="8" bestFit="1" customWidth="1"/>
    <col min="4100" max="4100" width="7.125" style="8" bestFit="1" customWidth="1"/>
    <col min="4101" max="4111" width="9" style="8"/>
    <col min="4112" max="4112" width="4" style="8" customWidth="1"/>
    <col min="4113" max="4113" width="6.625" style="8" customWidth="1"/>
    <col min="4114" max="4114" width="8.625" style="8" customWidth="1"/>
    <col min="4115" max="4115" width="11.375" style="8" bestFit="1" customWidth="1"/>
    <col min="4116" max="4116" width="11.25" style="8" bestFit="1" customWidth="1"/>
    <col min="4117" max="4352" width="9" style="8"/>
    <col min="4353" max="4353" width="9" style="8" customWidth="1"/>
    <col min="4354" max="4354" width="10.5" style="8" bestFit="1" customWidth="1"/>
    <col min="4355" max="4355" width="6.625" style="8" bestFit="1" customWidth="1"/>
    <col min="4356" max="4356" width="7.125" style="8" bestFit="1" customWidth="1"/>
    <col min="4357" max="4367" width="9" style="8"/>
    <col min="4368" max="4368" width="4" style="8" customWidth="1"/>
    <col min="4369" max="4369" width="6.625" style="8" customWidth="1"/>
    <col min="4370" max="4370" width="8.625" style="8" customWidth="1"/>
    <col min="4371" max="4371" width="11.375" style="8" bestFit="1" customWidth="1"/>
    <col min="4372" max="4372" width="11.25" style="8" bestFit="1" customWidth="1"/>
    <col min="4373" max="4608" width="9" style="8"/>
    <col min="4609" max="4609" width="9" style="8" customWidth="1"/>
    <col min="4610" max="4610" width="10.5" style="8" bestFit="1" customWidth="1"/>
    <col min="4611" max="4611" width="6.625" style="8" bestFit="1" customWidth="1"/>
    <col min="4612" max="4612" width="7.125" style="8" bestFit="1" customWidth="1"/>
    <col min="4613" max="4623" width="9" style="8"/>
    <col min="4624" max="4624" width="4" style="8" customWidth="1"/>
    <col min="4625" max="4625" width="6.625" style="8" customWidth="1"/>
    <col min="4626" max="4626" width="8.625" style="8" customWidth="1"/>
    <col min="4627" max="4627" width="11.375" style="8" bestFit="1" customWidth="1"/>
    <col min="4628" max="4628" width="11.25" style="8" bestFit="1" customWidth="1"/>
    <col min="4629" max="4864" width="9" style="8"/>
    <col min="4865" max="4865" width="9" style="8" customWidth="1"/>
    <col min="4866" max="4866" width="10.5" style="8" bestFit="1" customWidth="1"/>
    <col min="4867" max="4867" width="6.625" style="8" bestFit="1" customWidth="1"/>
    <col min="4868" max="4868" width="7.125" style="8" bestFit="1" customWidth="1"/>
    <col min="4869" max="4879" width="9" style="8"/>
    <col min="4880" max="4880" width="4" style="8" customWidth="1"/>
    <col min="4881" max="4881" width="6.625" style="8" customWidth="1"/>
    <col min="4882" max="4882" width="8.625" style="8" customWidth="1"/>
    <col min="4883" max="4883" width="11.375" style="8" bestFit="1" customWidth="1"/>
    <col min="4884" max="4884" width="11.25" style="8" bestFit="1" customWidth="1"/>
    <col min="4885" max="5120" width="9" style="8"/>
    <col min="5121" max="5121" width="9" style="8" customWidth="1"/>
    <col min="5122" max="5122" width="10.5" style="8" bestFit="1" customWidth="1"/>
    <col min="5123" max="5123" width="6.625" style="8" bestFit="1" customWidth="1"/>
    <col min="5124" max="5124" width="7.125" style="8" bestFit="1" customWidth="1"/>
    <col min="5125" max="5135" width="9" style="8"/>
    <col min="5136" max="5136" width="4" style="8" customWidth="1"/>
    <col min="5137" max="5137" width="6.625" style="8" customWidth="1"/>
    <col min="5138" max="5138" width="8.625" style="8" customWidth="1"/>
    <col min="5139" max="5139" width="11.375" style="8" bestFit="1" customWidth="1"/>
    <col min="5140" max="5140" width="11.25" style="8" bestFit="1" customWidth="1"/>
    <col min="5141" max="5376" width="9" style="8"/>
    <col min="5377" max="5377" width="9" style="8" customWidth="1"/>
    <col min="5378" max="5378" width="10.5" style="8" bestFit="1" customWidth="1"/>
    <col min="5379" max="5379" width="6.625" style="8" bestFit="1" customWidth="1"/>
    <col min="5380" max="5380" width="7.125" style="8" bestFit="1" customWidth="1"/>
    <col min="5381" max="5391" width="9" style="8"/>
    <col min="5392" max="5392" width="4" style="8" customWidth="1"/>
    <col min="5393" max="5393" width="6.625" style="8" customWidth="1"/>
    <col min="5394" max="5394" width="8.625" style="8" customWidth="1"/>
    <col min="5395" max="5395" width="11.375" style="8" bestFit="1" customWidth="1"/>
    <col min="5396" max="5396" width="11.25" style="8" bestFit="1" customWidth="1"/>
    <col min="5397" max="5632" width="9" style="8"/>
    <col min="5633" max="5633" width="9" style="8" customWidth="1"/>
    <col min="5634" max="5634" width="10.5" style="8" bestFit="1" customWidth="1"/>
    <col min="5635" max="5635" width="6.625" style="8" bestFit="1" customWidth="1"/>
    <col min="5636" max="5636" width="7.125" style="8" bestFit="1" customWidth="1"/>
    <col min="5637" max="5647" width="9" style="8"/>
    <col min="5648" max="5648" width="4" style="8" customWidth="1"/>
    <col min="5649" max="5649" width="6.625" style="8" customWidth="1"/>
    <col min="5650" max="5650" width="8.625" style="8" customWidth="1"/>
    <col min="5651" max="5651" width="11.375" style="8" bestFit="1" customWidth="1"/>
    <col min="5652" max="5652" width="11.25" style="8" bestFit="1" customWidth="1"/>
    <col min="5653" max="5888" width="9" style="8"/>
    <col min="5889" max="5889" width="9" style="8" customWidth="1"/>
    <col min="5890" max="5890" width="10.5" style="8" bestFit="1" customWidth="1"/>
    <col min="5891" max="5891" width="6.625" style="8" bestFit="1" customWidth="1"/>
    <col min="5892" max="5892" width="7.125" style="8" bestFit="1" customWidth="1"/>
    <col min="5893" max="5903" width="9" style="8"/>
    <col min="5904" max="5904" width="4" style="8" customWidth="1"/>
    <col min="5905" max="5905" width="6.625" style="8" customWidth="1"/>
    <col min="5906" max="5906" width="8.625" style="8" customWidth="1"/>
    <col min="5907" max="5907" width="11.375" style="8" bestFit="1" customWidth="1"/>
    <col min="5908" max="5908" width="11.25" style="8" bestFit="1" customWidth="1"/>
    <col min="5909" max="6144" width="9" style="8"/>
    <col min="6145" max="6145" width="9" style="8" customWidth="1"/>
    <col min="6146" max="6146" width="10.5" style="8" bestFit="1" customWidth="1"/>
    <col min="6147" max="6147" width="6.625" style="8" bestFit="1" customWidth="1"/>
    <col min="6148" max="6148" width="7.125" style="8" bestFit="1" customWidth="1"/>
    <col min="6149" max="6159" width="9" style="8"/>
    <col min="6160" max="6160" width="4" style="8" customWidth="1"/>
    <col min="6161" max="6161" width="6.625" style="8" customWidth="1"/>
    <col min="6162" max="6162" width="8.625" style="8" customWidth="1"/>
    <col min="6163" max="6163" width="11.375" style="8" bestFit="1" customWidth="1"/>
    <col min="6164" max="6164" width="11.25" style="8" bestFit="1" customWidth="1"/>
    <col min="6165" max="6400" width="9" style="8"/>
    <col min="6401" max="6401" width="9" style="8" customWidth="1"/>
    <col min="6402" max="6402" width="10.5" style="8" bestFit="1" customWidth="1"/>
    <col min="6403" max="6403" width="6.625" style="8" bestFit="1" customWidth="1"/>
    <col min="6404" max="6404" width="7.125" style="8" bestFit="1" customWidth="1"/>
    <col min="6405" max="6415" width="9" style="8"/>
    <col min="6416" max="6416" width="4" style="8" customWidth="1"/>
    <col min="6417" max="6417" width="6.625" style="8" customWidth="1"/>
    <col min="6418" max="6418" width="8.625" style="8" customWidth="1"/>
    <col min="6419" max="6419" width="11.375" style="8" bestFit="1" customWidth="1"/>
    <col min="6420" max="6420" width="11.25" style="8" bestFit="1" customWidth="1"/>
    <col min="6421" max="6656" width="9" style="8"/>
    <col min="6657" max="6657" width="9" style="8" customWidth="1"/>
    <col min="6658" max="6658" width="10.5" style="8" bestFit="1" customWidth="1"/>
    <col min="6659" max="6659" width="6.625" style="8" bestFit="1" customWidth="1"/>
    <col min="6660" max="6660" width="7.125" style="8" bestFit="1" customWidth="1"/>
    <col min="6661" max="6671" width="9" style="8"/>
    <col min="6672" max="6672" width="4" style="8" customWidth="1"/>
    <col min="6673" max="6673" width="6.625" style="8" customWidth="1"/>
    <col min="6674" max="6674" width="8.625" style="8" customWidth="1"/>
    <col min="6675" max="6675" width="11.375" style="8" bestFit="1" customWidth="1"/>
    <col min="6676" max="6676" width="11.25" style="8" bestFit="1" customWidth="1"/>
    <col min="6677" max="6912" width="9" style="8"/>
    <col min="6913" max="6913" width="9" style="8" customWidth="1"/>
    <col min="6914" max="6914" width="10.5" style="8" bestFit="1" customWidth="1"/>
    <col min="6915" max="6915" width="6.625" style="8" bestFit="1" customWidth="1"/>
    <col min="6916" max="6916" width="7.125" style="8" bestFit="1" customWidth="1"/>
    <col min="6917" max="6927" width="9" style="8"/>
    <col min="6928" max="6928" width="4" style="8" customWidth="1"/>
    <col min="6929" max="6929" width="6.625" style="8" customWidth="1"/>
    <col min="6930" max="6930" width="8.625" style="8" customWidth="1"/>
    <col min="6931" max="6931" width="11.375" style="8" bestFit="1" customWidth="1"/>
    <col min="6932" max="6932" width="11.25" style="8" bestFit="1" customWidth="1"/>
    <col min="6933" max="7168" width="9" style="8"/>
    <col min="7169" max="7169" width="9" style="8" customWidth="1"/>
    <col min="7170" max="7170" width="10.5" style="8" bestFit="1" customWidth="1"/>
    <col min="7171" max="7171" width="6.625" style="8" bestFit="1" customWidth="1"/>
    <col min="7172" max="7172" width="7.125" style="8" bestFit="1" customWidth="1"/>
    <col min="7173" max="7183" width="9" style="8"/>
    <col min="7184" max="7184" width="4" style="8" customWidth="1"/>
    <col min="7185" max="7185" width="6.625" style="8" customWidth="1"/>
    <col min="7186" max="7186" width="8.625" style="8" customWidth="1"/>
    <col min="7187" max="7187" width="11.375" style="8" bestFit="1" customWidth="1"/>
    <col min="7188" max="7188" width="11.25" style="8" bestFit="1" customWidth="1"/>
    <col min="7189" max="7424" width="9" style="8"/>
    <col min="7425" max="7425" width="9" style="8" customWidth="1"/>
    <col min="7426" max="7426" width="10.5" style="8" bestFit="1" customWidth="1"/>
    <col min="7427" max="7427" width="6.625" style="8" bestFit="1" customWidth="1"/>
    <col min="7428" max="7428" width="7.125" style="8" bestFit="1" customWidth="1"/>
    <col min="7429" max="7439" width="9" style="8"/>
    <col min="7440" max="7440" width="4" style="8" customWidth="1"/>
    <col min="7441" max="7441" width="6.625" style="8" customWidth="1"/>
    <col min="7442" max="7442" width="8.625" style="8" customWidth="1"/>
    <col min="7443" max="7443" width="11.375" style="8" bestFit="1" customWidth="1"/>
    <col min="7444" max="7444" width="11.25" style="8" bestFit="1" customWidth="1"/>
    <col min="7445" max="7680" width="9" style="8"/>
    <col min="7681" max="7681" width="9" style="8" customWidth="1"/>
    <col min="7682" max="7682" width="10.5" style="8" bestFit="1" customWidth="1"/>
    <col min="7683" max="7683" width="6.625" style="8" bestFit="1" customWidth="1"/>
    <col min="7684" max="7684" width="7.125" style="8" bestFit="1" customWidth="1"/>
    <col min="7685" max="7695" width="9" style="8"/>
    <col min="7696" max="7696" width="4" style="8" customWidth="1"/>
    <col min="7697" max="7697" width="6.625" style="8" customWidth="1"/>
    <col min="7698" max="7698" width="8.625" style="8" customWidth="1"/>
    <col min="7699" max="7699" width="11.375" style="8" bestFit="1" customWidth="1"/>
    <col min="7700" max="7700" width="11.25" style="8" bestFit="1" customWidth="1"/>
    <col min="7701" max="7936" width="9" style="8"/>
    <col min="7937" max="7937" width="9" style="8" customWidth="1"/>
    <col min="7938" max="7938" width="10.5" style="8" bestFit="1" customWidth="1"/>
    <col min="7939" max="7939" width="6.625" style="8" bestFit="1" customWidth="1"/>
    <col min="7940" max="7940" width="7.125" style="8" bestFit="1" customWidth="1"/>
    <col min="7941" max="7951" width="9" style="8"/>
    <col min="7952" max="7952" width="4" style="8" customWidth="1"/>
    <col min="7953" max="7953" width="6.625" style="8" customWidth="1"/>
    <col min="7954" max="7954" width="8.625" style="8" customWidth="1"/>
    <col min="7955" max="7955" width="11.375" style="8" bestFit="1" customWidth="1"/>
    <col min="7956" max="7956" width="11.25" style="8" bestFit="1" customWidth="1"/>
    <col min="7957" max="8192" width="9" style="8"/>
    <col min="8193" max="8193" width="9" style="8" customWidth="1"/>
    <col min="8194" max="8194" width="10.5" style="8" bestFit="1" customWidth="1"/>
    <col min="8195" max="8195" width="6.625" style="8" bestFit="1" customWidth="1"/>
    <col min="8196" max="8196" width="7.125" style="8" bestFit="1" customWidth="1"/>
    <col min="8197" max="8207" width="9" style="8"/>
    <col min="8208" max="8208" width="4" style="8" customWidth="1"/>
    <col min="8209" max="8209" width="6.625" style="8" customWidth="1"/>
    <col min="8210" max="8210" width="8.625" style="8" customWidth="1"/>
    <col min="8211" max="8211" width="11.375" style="8" bestFit="1" customWidth="1"/>
    <col min="8212" max="8212" width="11.25" style="8" bestFit="1" customWidth="1"/>
    <col min="8213" max="8448" width="9" style="8"/>
    <col min="8449" max="8449" width="9" style="8" customWidth="1"/>
    <col min="8450" max="8450" width="10.5" style="8" bestFit="1" customWidth="1"/>
    <col min="8451" max="8451" width="6.625" style="8" bestFit="1" customWidth="1"/>
    <col min="8452" max="8452" width="7.125" style="8" bestFit="1" customWidth="1"/>
    <col min="8453" max="8463" width="9" style="8"/>
    <col min="8464" max="8464" width="4" style="8" customWidth="1"/>
    <col min="8465" max="8465" width="6.625" style="8" customWidth="1"/>
    <col min="8466" max="8466" width="8.625" style="8" customWidth="1"/>
    <col min="8467" max="8467" width="11.375" style="8" bestFit="1" customWidth="1"/>
    <col min="8468" max="8468" width="11.25" style="8" bestFit="1" customWidth="1"/>
    <col min="8469" max="8704" width="9" style="8"/>
    <col min="8705" max="8705" width="9" style="8" customWidth="1"/>
    <col min="8706" max="8706" width="10.5" style="8" bestFit="1" customWidth="1"/>
    <col min="8707" max="8707" width="6.625" style="8" bestFit="1" customWidth="1"/>
    <col min="8708" max="8708" width="7.125" style="8" bestFit="1" customWidth="1"/>
    <col min="8709" max="8719" width="9" style="8"/>
    <col min="8720" max="8720" width="4" style="8" customWidth="1"/>
    <col min="8721" max="8721" width="6.625" style="8" customWidth="1"/>
    <col min="8722" max="8722" width="8.625" style="8" customWidth="1"/>
    <col min="8723" max="8723" width="11.375" style="8" bestFit="1" customWidth="1"/>
    <col min="8724" max="8724" width="11.25" style="8" bestFit="1" customWidth="1"/>
    <col min="8725" max="8960" width="9" style="8"/>
    <col min="8961" max="8961" width="9" style="8" customWidth="1"/>
    <col min="8962" max="8962" width="10.5" style="8" bestFit="1" customWidth="1"/>
    <col min="8963" max="8963" width="6.625" style="8" bestFit="1" customWidth="1"/>
    <col min="8964" max="8964" width="7.125" style="8" bestFit="1" customWidth="1"/>
    <col min="8965" max="8975" width="9" style="8"/>
    <col min="8976" max="8976" width="4" style="8" customWidth="1"/>
    <col min="8977" max="8977" width="6.625" style="8" customWidth="1"/>
    <col min="8978" max="8978" width="8.625" style="8" customWidth="1"/>
    <col min="8979" max="8979" width="11.375" style="8" bestFit="1" customWidth="1"/>
    <col min="8980" max="8980" width="11.25" style="8" bestFit="1" customWidth="1"/>
    <col min="8981" max="9216" width="9" style="8"/>
    <col min="9217" max="9217" width="9" style="8" customWidth="1"/>
    <col min="9218" max="9218" width="10.5" style="8" bestFit="1" customWidth="1"/>
    <col min="9219" max="9219" width="6.625" style="8" bestFit="1" customWidth="1"/>
    <col min="9220" max="9220" width="7.125" style="8" bestFit="1" customWidth="1"/>
    <col min="9221" max="9231" width="9" style="8"/>
    <col min="9232" max="9232" width="4" style="8" customWidth="1"/>
    <col min="9233" max="9233" width="6.625" style="8" customWidth="1"/>
    <col min="9234" max="9234" width="8.625" style="8" customWidth="1"/>
    <col min="9235" max="9235" width="11.375" style="8" bestFit="1" customWidth="1"/>
    <col min="9236" max="9236" width="11.25" style="8" bestFit="1" customWidth="1"/>
    <col min="9237" max="9472" width="9" style="8"/>
    <col min="9473" max="9473" width="9" style="8" customWidth="1"/>
    <col min="9474" max="9474" width="10.5" style="8" bestFit="1" customWidth="1"/>
    <col min="9475" max="9475" width="6.625" style="8" bestFit="1" customWidth="1"/>
    <col min="9476" max="9476" width="7.125" style="8" bestFit="1" customWidth="1"/>
    <col min="9477" max="9487" width="9" style="8"/>
    <col min="9488" max="9488" width="4" style="8" customWidth="1"/>
    <col min="9489" max="9489" width="6.625" style="8" customWidth="1"/>
    <col min="9490" max="9490" width="8.625" style="8" customWidth="1"/>
    <col min="9491" max="9491" width="11.375" style="8" bestFit="1" customWidth="1"/>
    <col min="9492" max="9492" width="11.25" style="8" bestFit="1" customWidth="1"/>
    <col min="9493" max="9728" width="9" style="8"/>
    <col min="9729" max="9729" width="9" style="8" customWidth="1"/>
    <col min="9730" max="9730" width="10.5" style="8" bestFit="1" customWidth="1"/>
    <col min="9731" max="9731" width="6.625" style="8" bestFit="1" customWidth="1"/>
    <col min="9732" max="9732" width="7.125" style="8" bestFit="1" customWidth="1"/>
    <col min="9733" max="9743" width="9" style="8"/>
    <col min="9744" max="9744" width="4" style="8" customWidth="1"/>
    <col min="9745" max="9745" width="6.625" style="8" customWidth="1"/>
    <col min="9746" max="9746" width="8.625" style="8" customWidth="1"/>
    <col min="9747" max="9747" width="11.375" style="8" bestFit="1" customWidth="1"/>
    <col min="9748" max="9748" width="11.25" style="8" bestFit="1" customWidth="1"/>
    <col min="9749" max="9984" width="9" style="8"/>
    <col min="9985" max="9985" width="9" style="8" customWidth="1"/>
    <col min="9986" max="9986" width="10.5" style="8" bestFit="1" customWidth="1"/>
    <col min="9987" max="9987" width="6.625" style="8" bestFit="1" customWidth="1"/>
    <col min="9988" max="9988" width="7.125" style="8" bestFit="1" customWidth="1"/>
    <col min="9989" max="9999" width="9" style="8"/>
    <col min="10000" max="10000" width="4" style="8" customWidth="1"/>
    <col min="10001" max="10001" width="6.625" style="8" customWidth="1"/>
    <col min="10002" max="10002" width="8.625" style="8" customWidth="1"/>
    <col min="10003" max="10003" width="11.375" style="8" bestFit="1" customWidth="1"/>
    <col min="10004" max="10004" width="11.25" style="8" bestFit="1" customWidth="1"/>
    <col min="10005" max="10240" width="9" style="8"/>
    <col min="10241" max="10241" width="9" style="8" customWidth="1"/>
    <col min="10242" max="10242" width="10.5" style="8" bestFit="1" customWidth="1"/>
    <col min="10243" max="10243" width="6.625" style="8" bestFit="1" customWidth="1"/>
    <col min="10244" max="10244" width="7.125" style="8" bestFit="1" customWidth="1"/>
    <col min="10245" max="10255" width="9" style="8"/>
    <col min="10256" max="10256" width="4" style="8" customWidth="1"/>
    <col min="10257" max="10257" width="6.625" style="8" customWidth="1"/>
    <col min="10258" max="10258" width="8.625" style="8" customWidth="1"/>
    <col min="10259" max="10259" width="11.375" style="8" bestFit="1" customWidth="1"/>
    <col min="10260" max="10260" width="11.25" style="8" bestFit="1" customWidth="1"/>
    <col min="10261" max="10496" width="9" style="8"/>
    <col min="10497" max="10497" width="9" style="8" customWidth="1"/>
    <col min="10498" max="10498" width="10.5" style="8" bestFit="1" customWidth="1"/>
    <col min="10499" max="10499" width="6.625" style="8" bestFit="1" customWidth="1"/>
    <col min="10500" max="10500" width="7.125" style="8" bestFit="1" customWidth="1"/>
    <col min="10501" max="10511" width="9" style="8"/>
    <col min="10512" max="10512" width="4" style="8" customWidth="1"/>
    <col min="10513" max="10513" width="6.625" style="8" customWidth="1"/>
    <col min="10514" max="10514" width="8.625" style="8" customWidth="1"/>
    <col min="10515" max="10515" width="11.375" style="8" bestFit="1" customWidth="1"/>
    <col min="10516" max="10516" width="11.25" style="8" bestFit="1" customWidth="1"/>
    <col min="10517" max="10752" width="9" style="8"/>
    <col min="10753" max="10753" width="9" style="8" customWidth="1"/>
    <col min="10754" max="10754" width="10.5" style="8" bestFit="1" customWidth="1"/>
    <col min="10755" max="10755" width="6.625" style="8" bestFit="1" customWidth="1"/>
    <col min="10756" max="10756" width="7.125" style="8" bestFit="1" customWidth="1"/>
    <col min="10757" max="10767" width="9" style="8"/>
    <col min="10768" max="10768" width="4" style="8" customWidth="1"/>
    <col min="10769" max="10769" width="6.625" style="8" customWidth="1"/>
    <col min="10770" max="10770" width="8.625" style="8" customWidth="1"/>
    <col min="10771" max="10771" width="11.375" style="8" bestFit="1" customWidth="1"/>
    <col min="10772" max="10772" width="11.25" style="8" bestFit="1" customWidth="1"/>
    <col min="10773" max="11008" width="9" style="8"/>
    <col min="11009" max="11009" width="9" style="8" customWidth="1"/>
    <col min="11010" max="11010" width="10.5" style="8" bestFit="1" customWidth="1"/>
    <col min="11011" max="11011" width="6.625" style="8" bestFit="1" customWidth="1"/>
    <col min="11012" max="11012" width="7.125" style="8" bestFit="1" customWidth="1"/>
    <col min="11013" max="11023" width="9" style="8"/>
    <col min="11024" max="11024" width="4" style="8" customWidth="1"/>
    <col min="11025" max="11025" width="6.625" style="8" customWidth="1"/>
    <col min="11026" max="11026" width="8.625" style="8" customWidth="1"/>
    <col min="11027" max="11027" width="11.375" style="8" bestFit="1" customWidth="1"/>
    <col min="11028" max="11028" width="11.25" style="8" bestFit="1" customWidth="1"/>
    <col min="11029" max="11264" width="9" style="8"/>
    <col min="11265" max="11265" width="9" style="8" customWidth="1"/>
    <col min="11266" max="11266" width="10.5" style="8" bestFit="1" customWidth="1"/>
    <col min="11267" max="11267" width="6.625" style="8" bestFit="1" customWidth="1"/>
    <col min="11268" max="11268" width="7.125" style="8" bestFit="1" customWidth="1"/>
    <col min="11269" max="11279" width="9" style="8"/>
    <col min="11280" max="11280" width="4" style="8" customWidth="1"/>
    <col min="11281" max="11281" width="6.625" style="8" customWidth="1"/>
    <col min="11282" max="11282" width="8.625" style="8" customWidth="1"/>
    <col min="11283" max="11283" width="11.375" style="8" bestFit="1" customWidth="1"/>
    <col min="11284" max="11284" width="11.25" style="8" bestFit="1" customWidth="1"/>
    <col min="11285" max="11520" width="9" style="8"/>
    <col min="11521" max="11521" width="9" style="8" customWidth="1"/>
    <col min="11522" max="11522" width="10.5" style="8" bestFit="1" customWidth="1"/>
    <col min="11523" max="11523" width="6.625" style="8" bestFit="1" customWidth="1"/>
    <col min="11524" max="11524" width="7.125" style="8" bestFit="1" customWidth="1"/>
    <col min="11525" max="11535" width="9" style="8"/>
    <col min="11536" max="11536" width="4" style="8" customWidth="1"/>
    <col min="11537" max="11537" width="6.625" style="8" customWidth="1"/>
    <col min="11538" max="11538" width="8.625" style="8" customWidth="1"/>
    <col min="11539" max="11539" width="11.375" style="8" bestFit="1" customWidth="1"/>
    <col min="11540" max="11540" width="11.25" style="8" bestFit="1" customWidth="1"/>
    <col min="11541" max="11776" width="9" style="8"/>
    <col min="11777" max="11777" width="9" style="8" customWidth="1"/>
    <col min="11778" max="11778" width="10.5" style="8" bestFit="1" customWidth="1"/>
    <col min="11779" max="11779" width="6.625" style="8" bestFit="1" customWidth="1"/>
    <col min="11780" max="11780" width="7.125" style="8" bestFit="1" customWidth="1"/>
    <col min="11781" max="11791" width="9" style="8"/>
    <col min="11792" max="11792" width="4" style="8" customWidth="1"/>
    <col min="11793" max="11793" width="6.625" style="8" customWidth="1"/>
    <col min="11794" max="11794" width="8.625" style="8" customWidth="1"/>
    <col min="11795" max="11795" width="11.375" style="8" bestFit="1" customWidth="1"/>
    <col min="11796" max="11796" width="11.25" style="8" bestFit="1" customWidth="1"/>
    <col min="11797" max="12032" width="9" style="8"/>
    <col min="12033" max="12033" width="9" style="8" customWidth="1"/>
    <col min="12034" max="12034" width="10.5" style="8" bestFit="1" customWidth="1"/>
    <col min="12035" max="12035" width="6.625" style="8" bestFit="1" customWidth="1"/>
    <col min="12036" max="12036" width="7.125" style="8" bestFit="1" customWidth="1"/>
    <col min="12037" max="12047" width="9" style="8"/>
    <col min="12048" max="12048" width="4" style="8" customWidth="1"/>
    <col min="12049" max="12049" width="6.625" style="8" customWidth="1"/>
    <col min="12050" max="12050" width="8.625" style="8" customWidth="1"/>
    <col min="12051" max="12051" width="11.375" style="8" bestFit="1" customWidth="1"/>
    <col min="12052" max="12052" width="11.25" style="8" bestFit="1" customWidth="1"/>
    <col min="12053" max="12288" width="9" style="8"/>
    <col min="12289" max="12289" width="9" style="8" customWidth="1"/>
    <col min="12290" max="12290" width="10.5" style="8" bestFit="1" customWidth="1"/>
    <col min="12291" max="12291" width="6.625" style="8" bestFit="1" customWidth="1"/>
    <col min="12292" max="12292" width="7.125" style="8" bestFit="1" customWidth="1"/>
    <col min="12293" max="12303" width="9" style="8"/>
    <col min="12304" max="12304" width="4" style="8" customWidth="1"/>
    <col min="12305" max="12305" width="6.625" style="8" customWidth="1"/>
    <col min="12306" max="12306" width="8.625" style="8" customWidth="1"/>
    <col min="12307" max="12307" width="11.375" style="8" bestFit="1" customWidth="1"/>
    <col min="12308" max="12308" width="11.25" style="8" bestFit="1" customWidth="1"/>
    <col min="12309" max="12544" width="9" style="8"/>
    <col min="12545" max="12545" width="9" style="8" customWidth="1"/>
    <col min="12546" max="12546" width="10.5" style="8" bestFit="1" customWidth="1"/>
    <col min="12547" max="12547" width="6.625" style="8" bestFit="1" customWidth="1"/>
    <col min="12548" max="12548" width="7.125" style="8" bestFit="1" customWidth="1"/>
    <col min="12549" max="12559" width="9" style="8"/>
    <col min="12560" max="12560" width="4" style="8" customWidth="1"/>
    <col min="12561" max="12561" width="6.625" style="8" customWidth="1"/>
    <col min="12562" max="12562" width="8.625" style="8" customWidth="1"/>
    <col min="12563" max="12563" width="11.375" style="8" bestFit="1" customWidth="1"/>
    <col min="12564" max="12564" width="11.25" style="8" bestFit="1" customWidth="1"/>
    <col min="12565" max="12800" width="9" style="8"/>
    <col min="12801" max="12801" width="9" style="8" customWidth="1"/>
    <col min="12802" max="12802" width="10.5" style="8" bestFit="1" customWidth="1"/>
    <col min="12803" max="12803" width="6.625" style="8" bestFit="1" customWidth="1"/>
    <col min="12804" max="12804" width="7.125" style="8" bestFit="1" customWidth="1"/>
    <col min="12805" max="12815" width="9" style="8"/>
    <col min="12816" max="12816" width="4" style="8" customWidth="1"/>
    <col min="12817" max="12817" width="6.625" style="8" customWidth="1"/>
    <col min="12818" max="12818" width="8.625" style="8" customWidth="1"/>
    <col min="12819" max="12819" width="11.375" style="8" bestFit="1" customWidth="1"/>
    <col min="12820" max="12820" width="11.25" style="8" bestFit="1" customWidth="1"/>
    <col min="12821" max="13056" width="9" style="8"/>
    <col min="13057" max="13057" width="9" style="8" customWidth="1"/>
    <col min="13058" max="13058" width="10.5" style="8" bestFit="1" customWidth="1"/>
    <col min="13059" max="13059" width="6.625" style="8" bestFit="1" customWidth="1"/>
    <col min="13060" max="13060" width="7.125" style="8" bestFit="1" customWidth="1"/>
    <col min="13061" max="13071" width="9" style="8"/>
    <col min="13072" max="13072" width="4" style="8" customWidth="1"/>
    <col min="13073" max="13073" width="6.625" style="8" customWidth="1"/>
    <col min="13074" max="13074" width="8.625" style="8" customWidth="1"/>
    <col min="13075" max="13075" width="11.375" style="8" bestFit="1" customWidth="1"/>
    <col min="13076" max="13076" width="11.25" style="8" bestFit="1" customWidth="1"/>
    <col min="13077" max="13312" width="9" style="8"/>
    <col min="13313" max="13313" width="9" style="8" customWidth="1"/>
    <col min="13314" max="13314" width="10.5" style="8" bestFit="1" customWidth="1"/>
    <col min="13315" max="13315" width="6.625" style="8" bestFit="1" customWidth="1"/>
    <col min="13316" max="13316" width="7.125" style="8" bestFit="1" customWidth="1"/>
    <col min="13317" max="13327" width="9" style="8"/>
    <col min="13328" max="13328" width="4" style="8" customWidth="1"/>
    <col min="13329" max="13329" width="6.625" style="8" customWidth="1"/>
    <col min="13330" max="13330" width="8.625" style="8" customWidth="1"/>
    <col min="13331" max="13331" width="11.375" style="8" bestFit="1" customWidth="1"/>
    <col min="13332" max="13332" width="11.25" style="8" bestFit="1" customWidth="1"/>
    <col min="13333" max="13568" width="9" style="8"/>
    <col min="13569" max="13569" width="9" style="8" customWidth="1"/>
    <col min="13570" max="13570" width="10.5" style="8" bestFit="1" customWidth="1"/>
    <col min="13571" max="13571" width="6.625" style="8" bestFit="1" customWidth="1"/>
    <col min="13572" max="13572" width="7.125" style="8" bestFit="1" customWidth="1"/>
    <col min="13573" max="13583" width="9" style="8"/>
    <col min="13584" max="13584" width="4" style="8" customWidth="1"/>
    <col min="13585" max="13585" width="6.625" style="8" customWidth="1"/>
    <col min="13586" max="13586" width="8.625" style="8" customWidth="1"/>
    <col min="13587" max="13587" width="11.375" style="8" bestFit="1" customWidth="1"/>
    <col min="13588" max="13588" width="11.25" style="8" bestFit="1" customWidth="1"/>
    <col min="13589" max="13824" width="9" style="8"/>
    <col min="13825" max="13825" width="9" style="8" customWidth="1"/>
    <col min="13826" max="13826" width="10.5" style="8" bestFit="1" customWidth="1"/>
    <col min="13827" max="13827" width="6.625" style="8" bestFit="1" customWidth="1"/>
    <col min="13828" max="13828" width="7.125" style="8" bestFit="1" customWidth="1"/>
    <col min="13829" max="13839" width="9" style="8"/>
    <col min="13840" max="13840" width="4" style="8" customWidth="1"/>
    <col min="13841" max="13841" width="6.625" style="8" customWidth="1"/>
    <col min="13842" max="13842" width="8.625" style="8" customWidth="1"/>
    <col min="13843" max="13843" width="11.375" style="8" bestFit="1" customWidth="1"/>
    <col min="13844" max="13844" width="11.25" style="8" bestFit="1" customWidth="1"/>
    <col min="13845" max="14080" width="9" style="8"/>
    <col min="14081" max="14081" width="9" style="8" customWidth="1"/>
    <col min="14082" max="14082" width="10.5" style="8" bestFit="1" customWidth="1"/>
    <col min="14083" max="14083" width="6.625" style="8" bestFit="1" customWidth="1"/>
    <col min="14084" max="14084" width="7.125" style="8" bestFit="1" customWidth="1"/>
    <col min="14085" max="14095" width="9" style="8"/>
    <col min="14096" max="14096" width="4" style="8" customWidth="1"/>
    <col min="14097" max="14097" width="6.625" style="8" customWidth="1"/>
    <col min="14098" max="14098" width="8.625" style="8" customWidth="1"/>
    <col min="14099" max="14099" width="11.375" style="8" bestFit="1" customWidth="1"/>
    <col min="14100" max="14100" width="11.25" style="8" bestFit="1" customWidth="1"/>
    <col min="14101" max="14336" width="9" style="8"/>
    <col min="14337" max="14337" width="9" style="8" customWidth="1"/>
    <col min="14338" max="14338" width="10.5" style="8" bestFit="1" customWidth="1"/>
    <col min="14339" max="14339" width="6.625" style="8" bestFit="1" customWidth="1"/>
    <col min="14340" max="14340" width="7.125" style="8" bestFit="1" customWidth="1"/>
    <col min="14341" max="14351" width="9" style="8"/>
    <col min="14352" max="14352" width="4" style="8" customWidth="1"/>
    <col min="14353" max="14353" width="6.625" style="8" customWidth="1"/>
    <col min="14354" max="14354" width="8.625" style="8" customWidth="1"/>
    <col min="14355" max="14355" width="11.375" style="8" bestFit="1" customWidth="1"/>
    <col min="14356" max="14356" width="11.25" style="8" bestFit="1" customWidth="1"/>
    <col min="14357" max="14592" width="9" style="8"/>
    <col min="14593" max="14593" width="9" style="8" customWidth="1"/>
    <col min="14594" max="14594" width="10.5" style="8" bestFit="1" customWidth="1"/>
    <col min="14595" max="14595" width="6.625" style="8" bestFit="1" customWidth="1"/>
    <col min="14596" max="14596" width="7.125" style="8" bestFit="1" customWidth="1"/>
    <col min="14597" max="14607" width="9" style="8"/>
    <col min="14608" max="14608" width="4" style="8" customWidth="1"/>
    <col min="14609" max="14609" width="6.625" style="8" customWidth="1"/>
    <col min="14610" max="14610" width="8.625" style="8" customWidth="1"/>
    <col min="14611" max="14611" width="11.375" style="8" bestFit="1" customWidth="1"/>
    <col min="14612" max="14612" width="11.25" style="8" bestFit="1" customWidth="1"/>
    <col min="14613" max="14848" width="9" style="8"/>
    <col min="14849" max="14849" width="9" style="8" customWidth="1"/>
    <col min="14850" max="14850" width="10.5" style="8" bestFit="1" customWidth="1"/>
    <col min="14851" max="14851" width="6.625" style="8" bestFit="1" customWidth="1"/>
    <col min="14852" max="14852" width="7.125" style="8" bestFit="1" customWidth="1"/>
    <col min="14853" max="14863" width="9" style="8"/>
    <col min="14864" max="14864" width="4" style="8" customWidth="1"/>
    <col min="14865" max="14865" width="6.625" style="8" customWidth="1"/>
    <col min="14866" max="14866" width="8.625" style="8" customWidth="1"/>
    <col min="14867" max="14867" width="11.375" style="8" bestFit="1" customWidth="1"/>
    <col min="14868" max="14868" width="11.25" style="8" bestFit="1" customWidth="1"/>
    <col min="14869" max="15104" width="9" style="8"/>
    <col min="15105" max="15105" width="9" style="8" customWidth="1"/>
    <col min="15106" max="15106" width="10.5" style="8" bestFit="1" customWidth="1"/>
    <col min="15107" max="15107" width="6.625" style="8" bestFit="1" customWidth="1"/>
    <col min="15108" max="15108" width="7.125" style="8" bestFit="1" customWidth="1"/>
    <col min="15109" max="15119" width="9" style="8"/>
    <col min="15120" max="15120" width="4" style="8" customWidth="1"/>
    <col min="15121" max="15121" width="6.625" style="8" customWidth="1"/>
    <col min="15122" max="15122" width="8.625" style="8" customWidth="1"/>
    <col min="15123" max="15123" width="11.375" style="8" bestFit="1" customWidth="1"/>
    <col min="15124" max="15124" width="11.25" style="8" bestFit="1" customWidth="1"/>
    <col min="15125" max="15360" width="9" style="8"/>
    <col min="15361" max="15361" width="9" style="8" customWidth="1"/>
    <col min="15362" max="15362" width="10.5" style="8" bestFit="1" customWidth="1"/>
    <col min="15363" max="15363" width="6.625" style="8" bestFit="1" customWidth="1"/>
    <col min="15364" max="15364" width="7.125" style="8" bestFit="1" customWidth="1"/>
    <col min="15365" max="15375" width="9" style="8"/>
    <col min="15376" max="15376" width="4" style="8" customWidth="1"/>
    <col min="15377" max="15377" width="6.625" style="8" customWidth="1"/>
    <col min="15378" max="15378" width="8.625" style="8" customWidth="1"/>
    <col min="15379" max="15379" width="11.375" style="8" bestFit="1" customWidth="1"/>
    <col min="15380" max="15380" width="11.25" style="8" bestFit="1" customWidth="1"/>
    <col min="15381" max="15616" width="9" style="8"/>
    <col min="15617" max="15617" width="9" style="8" customWidth="1"/>
    <col min="15618" max="15618" width="10.5" style="8" bestFit="1" customWidth="1"/>
    <col min="15619" max="15619" width="6.625" style="8" bestFit="1" customWidth="1"/>
    <col min="15620" max="15620" width="7.125" style="8" bestFit="1" customWidth="1"/>
    <col min="15621" max="15631" width="9" style="8"/>
    <col min="15632" max="15632" width="4" style="8" customWidth="1"/>
    <col min="15633" max="15633" width="6.625" style="8" customWidth="1"/>
    <col min="15634" max="15634" width="8.625" style="8" customWidth="1"/>
    <col min="15635" max="15635" width="11.375" style="8" bestFit="1" customWidth="1"/>
    <col min="15636" max="15636" width="11.25" style="8" bestFit="1" customWidth="1"/>
    <col min="15637" max="15872" width="9" style="8"/>
    <col min="15873" max="15873" width="9" style="8" customWidth="1"/>
    <col min="15874" max="15874" width="10.5" style="8" bestFit="1" customWidth="1"/>
    <col min="15875" max="15875" width="6.625" style="8" bestFit="1" customWidth="1"/>
    <col min="15876" max="15876" width="7.125" style="8" bestFit="1" customWidth="1"/>
    <col min="15877" max="15887" width="9" style="8"/>
    <col min="15888" max="15888" width="4" style="8" customWidth="1"/>
    <col min="15889" max="15889" width="6.625" style="8" customWidth="1"/>
    <col min="15890" max="15890" width="8.625" style="8" customWidth="1"/>
    <col min="15891" max="15891" width="11.375" style="8" bestFit="1" customWidth="1"/>
    <col min="15892" max="15892" width="11.25" style="8" bestFit="1" customWidth="1"/>
    <col min="15893" max="16128" width="9" style="8"/>
    <col min="16129" max="16129" width="9" style="8" customWidth="1"/>
    <col min="16130" max="16130" width="10.5" style="8" bestFit="1" customWidth="1"/>
    <col min="16131" max="16131" width="6.625" style="8" bestFit="1" customWidth="1"/>
    <col min="16132" max="16132" width="7.125" style="8" bestFit="1" customWidth="1"/>
    <col min="16133" max="16143" width="9" style="8"/>
    <col min="16144" max="16144" width="4" style="8" customWidth="1"/>
    <col min="16145" max="16145" width="6.625" style="8" customWidth="1"/>
    <col min="16146" max="16146" width="8.625" style="8" customWidth="1"/>
    <col min="16147" max="16147" width="11.375" style="8" bestFit="1" customWidth="1"/>
    <col min="16148" max="16148" width="11.25" style="8" bestFit="1" customWidth="1"/>
    <col min="16149" max="16384" width="9" style="8"/>
  </cols>
  <sheetData>
    <row r="1" spans="1:20" ht="16.5" customHeight="1" x14ac:dyDescent="0.25">
      <c r="F1" s="93" t="s">
        <v>586</v>
      </c>
      <c r="G1" s="94"/>
      <c r="H1" s="94"/>
      <c r="I1" s="95"/>
      <c r="J1" s="93" t="s">
        <v>587</v>
      </c>
      <c r="K1" s="94"/>
      <c r="L1" s="94"/>
      <c r="M1" s="94"/>
      <c r="N1" s="95"/>
      <c r="O1" s="8" t="s">
        <v>588</v>
      </c>
      <c r="Q1" s="96" t="s">
        <v>589</v>
      </c>
      <c r="R1" s="97"/>
      <c r="S1" s="97"/>
      <c r="T1" s="97"/>
    </row>
    <row r="2" spans="1:20" ht="28.5" x14ac:dyDescent="0.25">
      <c r="D2" s="9" t="s">
        <v>590</v>
      </c>
      <c r="E2" s="9" t="s">
        <v>591</v>
      </c>
      <c r="F2" s="98" t="s">
        <v>592</v>
      </c>
      <c r="G2" s="99"/>
      <c r="H2" s="99"/>
      <c r="I2" s="10" t="s">
        <v>593</v>
      </c>
      <c r="J2" s="98" t="s">
        <v>592</v>
      </c>
      <c r="K2" s="99"/>
      <c r="L2" s="99"/>
      <c r="M2" s="10" t="s">
        <v>594</v>
      </c>
      <c r="N2" s="10" t="s">
        <v>593</v>
      </c>
      <c r="O2" s="100" t="s">
        <v>595</v>
      </c>
      <c r="Q2" s="11" t="s">
        <v>596</v>
      </c>
      <c r="R2" s="12"/>
      <c r="S2" s="13"/>
      <c r="T2" s="13"/>
    </row>
    <row r="3" spans="1:20" ht="45.75" x14ac:dyDescent="0.25">
      <c r="B3" s="8" t="s">
        <v>597</v>
      </c>
      <c r="C3" s="8" t="s">
        <v>598</v>
      </c>
      <c r="D3" s="14" t="s">
        <v>105</v>
      </c>
      <c r="E3" s="14" t="s">
        <v>106</v>
      </c>
      <c r="F3" s="15" t="s">
        <v>599</v>
      </c>
      <c r="G3" s="15" t="s">
        <v>600</v>
      </c>
      <c r="H3" s="15" t="s">
        <v>601</v>
      </c>
      <c r="I3" s="16" t="s">
        <v>602</v>
      </c>
      <c r="J3" s="15" t="s">
        <v>599</v>
      </c>
      <c r="K3" s="15" t="s">
        <v>600</v>
      </c>
      <c r="L3" s="15" t="s">
        <v>601</v>
      </c>
      <c r="M3" s="17" t="s">
        <v>107</v>
      </c>
      <c r="N3" s="16" t="s">
        <v>602</v>
      </c>
      <c r="O3" s="100"/>
      <c r="Q3" s="46" t="s">
        <v>603</v>
      </c>
      <c r="R3" s="18" t="s">
        <v>108</v>
      </c>
      <c r="S3" s="19" t="s">
        <v>604</v>
      </c>
      <c r="T3" s="19" t="s">
        <v>109</v>
      </c>
    </row>
    <row r="4" spans="1:20" x14ac:dyDescent="0.25">
      <c r="A4" s="26" t="s">
        <v>274</v>
      </c>
      <c r="B4" s="49" t="s">
        <v>221</v>
      </c>
      <c r="C4" s="50">
        <v>0.25</v>
      </c>
      <c r="D4" s="49">
        <v>0.01</v>
      </c>
      <c r="E4" s="49">
        <v>0.02</v>
      </c>
      <c r="F4" s="20" t="s">
        <v>0</v>
      </c>
      <c r="G4" s="20" t="s">
        <v>0</v>
      </c>
      <c r="H4" s="20" t="s">
        <v>0</v>
      </c>
      <c r="I4" s="22" t="s">
        <v>0</v>
      </c>
      <c r="J4" s="20" t="s">
        <v>0</v>
      </c>
      <c r="K4" s="20" t="s">
        <v>0</v>
      </c>
      <c r="L4" s="20" t="s">
        <v>0</v>
      </c>
      <c r="M4" s="23" t="s">
        <v>0</v>
      </c>
      <c r="N4" s="22" t="s">
        <v>0</v>
      </c>
      <c r="O4" s="22">
        <v>1.0864</v>
      </c>
      <c r="Q4" s="24" t="s">
        <v>70</v>
      </c>
      <c r="R4" s="24" t="s">
        <v>605</v>
      </c>
      <c r="S4" s="25">
        <v>600000000</v>
      </c>
      <c r="T4" s="25">
        <v>0</v>
      </c>
    </row>
    <row r="5" spans="1:20" x14ac:dyDescent="0.25">
      <c r="A5" s="26" t="s">
        <v>33</v>
      </c>
      <c r="B5" s="49" t="s">
        <v>110</v>
      </c>
      <c r="C5" s="50">
        <v>1.75</v>
      </c>
      <c r="D5" s="49">
        <v>0.08</v>
      </c>
      <c r="E5" s="49">
        <v>0.08</v>
      </c>
      <c r="F5" s="20" t="s">
        <v>0</v>
      </c>
      <c r="G5" s="20" t="s">
        <v>0</v>
      </c>
      <c r="H5" s="20" t="s">
        <v>0</v>
      </c>
      <c r="I5" s="22" t="s">
        <v>0</v>
      </c>
      <c r="J5" s="20" t="s">
        <v>0</v>
      </c>
      <c r="K5" s="20" t="s">
        <v>0</v>
      </c>
      <c r="L5" s="20" t="s">
        <v>0</v>
      </c>
      <c r="M5" s="23" t="s">
        <v>0</v>
      </c>
      <c r="N5" s="22" t="s">
        <v>0</v>
      </c>
      <c r="O5" s="22">
        <v>0.99990000000000001</v>
      </c>
      <c r="Q5" s="26" t="s">
        <v>0</v>
      </c>
      <c r="R5" s="26" t="s">
        <v>606</v>
      </c>
      <c r="S5" s="27">
        <v>0</v>
      </c>
      <c r="T5" s="27">
        <v>600000000</v>
      </c>
    </row>
    <row r="6" spans="1:20" x14ac:dyDescent="0.25">
      <c r="A6" s="26" t="s">
        <v>37</v>
      </c>
      <c r="B6" s="49" t="s">
        <v>111</v>
      </c>
      <c r="C6" s="50">
        <v>0.75</v>
      </c>
      <c r="D6" s="49">
        <v>0.26</v>
      </c>
      <c r="E6" s="49">
        <v>0.26</v>
      </c>
      <c r="F6" s="20" t="s">
        <v>0</v>
      </c>
      <c r="G6" s="20" t="s">
        <v>0</v>
      </c>
      <c r="H6" s="20" t="s">
        <v>0</v>
      </c>
      <c r="I6" s="22" t="s">
        <v>0</v>
      </c>
      <c r="J6" s="20" t="s">
        <v>0</v>
      </c>
      <c r="K6" s="20" t="s">
        <v>0</v>
      </c>
      <c r="L6" s="20" t="s">
        <v>0</v>
      </c>
      <c r="M6" s="23" t="s">
        <v>0</v>
      </c>
      <c r="N6" s="22" t="s">
        <v>0</v>
      </c>
      <c r="O6" s="22">
        <v>0.98709999999999998</v>
      </c>
      <c r="Q6" s="24" t="s">
        <v>69</v>
      </c>
      <c r="R6" s="24" t="s">
        <v>607</v>
      </c>
      <c r="S6" s="25">
        <v>0</v>
      </c>
      <c r="T6" s="25">
        <v>200000000</v>
      </c>
    </row>
    <row r="7" spans="1:20" x14ac:dyDescent="0.25">
      <c r="A7" s="26" t="s">
        <v>27</v>
      </c>
      <c r="B7" s="49" t="s">
        <v>113</v>
      </c>
      <c r="C7" s="50">
        <v>0.625</v>
      </c>
      <c r="D7" s="49">
        <v>0.4</v>
      </c>
      <c r="E7" s="49">
        <v>0.41</v>
      </c>
      <c r="F7" s="20" t="s">
        <v>0</v>
      </c>
      <c r="G7" s="20" t="s">
        <v>0</v>
      </c>
      <c r="H7" s="20" t="s">
        <v>0</v>
      </c>
      <c r="I7" s="22" t="s">
        <v>0</v>
      </c>
      <c r="J7" s="20" t="s">
        <v>0</v>
      </c>
      <c r="K7" s="20" t="s">
        <v>0</v>
      </c>
      <c r="L7" s="20" t="s">
        <v>0</v>
      </c>
      <c r="M7" s="23" t="s">
        <v>0</v>
      </c>
      <c r="N7" s="22" t="s">
        <v>0</v>
      </c>
      <c r="O7" s="22">
        <v>0.98560000000000003</v>
      </c>
      <c r="Q7" s="26" t="s">
        <v>0</v>
      </c>
      <c r="R7" s="26" t="s">
        <v>606</v>
      </c>
      <c r="S7" s="27">
        <v>200000000</v>
      </c>
      <c r="T7" s="27">
        <v>0</v>
      </c>
    </row>
    <row r="8" spans="1:20" x14ac:dyDescent="0.25">
      <c r="A8" s="26" t="s">
        <v>9</v>
      </c>
      <c r="B8" s="49" t="s">
        <v>112</v>
      </c>
      <c r="C8" s="50">
        <v>3</v>
      </c>
      <c r="D8" s="49">
        <v>0.47</v>
      </c>
      <c r="E8" s="49">
        <v>0.48</v>
      </c>
      <c r="F8" s="20" t="s">
        <v>0</v>
      </c>
      <c r="G8" s="20" t="s">
        <v>0</v>
      </c>
      <c r="H8" s="20" t="s">
        <v>0</v>
      </c>
      <c r="I8" s="22" t="s">
        <v>0</v>
      </c>
      <c r="J8" s="20" t="s">
        <v>0</v>
      </c>
      <c r="K8" s="20" t="s">
        <v>0</v>
      </c>
      <c r="L8" s="20" t="s">
        <v>0</v>
      </c>
      <c r="M8" s="23" t="s">
        <v>0</v>
      </c>
      <c r="N8" s="22" t="s">
        <v>0</v>
      </c>
      <c r="O8" s="22">
        <v>0.98519999999999996</v>
      </c>
      <c r="Q8" s="24" t="s">
        <v>32</v>
      </c>
      <c r="R8" s="24" t="s">
        <v>607</v>
      </c>
      <c r="S8" s="25">
        <v>0</v>
      </c>
      <c r="T8" s="25">
        <v>400000000</v>
      </c>
    </row>
    <row r="9" spans="1:20" x14ac:dyDescent="0.25">
      <c r="A9" s="26" t="s">
        <v>52</v>
      </c>
      <c r="B9" s="49" t="s">
        <v>114</v>
      </c>
      <c r="C9" s="50">
        <v>1.5</v>
      </c>
      <c r="D9" s="49">
        <v>0.53</v>
      </c>
      <c r="E9" s="49">
        <v>0.54</v>
      </c>
      <c r="F9" s="20" t="s">
        <v>0</v>
      </c>
      <c r="G9" s="20" t="s">
        <v>0</v>
      </c>
      <c r="H9" s="20" t="s">
        <v>0</v>
      </c>
      <c r="I9" s="22" t="s">
        <v>0</v>
      </c>
      <c r="J9" s="20" t="s">
        <v>0</v>
      </c>
      <c r="K9" s="20" t="s">
        <v>0</v>
      </c>
      <c r="L9" s="20" t="s">
        <v>0</v>
      </c>
      <c r="M9" s="23" t="s">
        <v>0</v>
      </c>
      <c r="N9" s="22" t="s">
        <v>0</v>
      </c>
      <c r="O9" s="22">
        <v>0.9849</v>
      </c>
      <c r="Q9" s="26" t="s">
        <v>0</v>
      </c>
      <c r="R9" s="26" t="s">
        <v>606</v>
      </c>
      <c r="S9" s="27">
        <v>400000000</v>
      </c>
      <c r="T9" s="27">
        <v>0</v>
      </c>
    </row>
    <row r="10" spans="1:20" x14ac:dyDescent="0.25">
      <c r="A10" s="26" t="s">
        <v>277</v>
      </c>
      <c r="B10" s="49" t="s">
        <v>246</v>
      </c>
      <c r="C10" s="50">
        <v>0.75</v>
      </c>
      <c r="D10" s="49">
        <v>0.6</v>
      </c>
      <c r="E10" s="49">
        <v>0.62</v>
      </c>
      <c r="F10" s="20" t="s">
        <v>0</v>
      </c>
      <c r="G10" s="20" t="s">
        <v>0</v>
      </c>
      <c r="H10" s="20" t="s">
        <v>0</v>
      </c>
      <c r="I10" s="22" t="s">
        <v>0</v>
      </c>
      <c r="J10" s="20" t="s">
        <v>0</v>
      </c>
      <c r="K10" s="20" t="s">
        <v>0</v>
      </c>
      <c r="L10" s="20" t="s">
        <v>0</v>
      </c>
      <c r="M10" s="23" t="s">
        <v>0</v>
      </c>
      <c r="N10" s="22" t="s">
        <v>0</v>
      </c>
      <c r="O10" s="22">
        <v>0.98440000000000005</v>
      </c>
      <c r="Q10" s="24" t="s">
        <v>327</v>
      </c>
      <c r="R10" s="24" t="s">
        <v>605</v>
      </c>
      <c r="S10" s="25">
        <v>350000000</v>
      </c>
      <c r="T10" s="25">
        <v>650000000</v>
      </c>
    </row>
    <row r="11" spans="1:20" x14ac:dyDescent="0.25">
      <c r="A11" s="26" t="s">
        <v>5</v>
      </c>
      <c r="B11" s="49" t="s">
        <v>115</v>
      </c>
      <c r="C11" s="50">
        <v>0.5</v>
      </c>
      <c r="D11" s="49">
        <v>0.9</v>
      </c>
      <c r="E11" s="49">
        <v>0.91</v>
      </c>
      <c r="F11" s="20" t="s">
        <v>0</v>
      </c>
      <c r="G11" s="20" t="s">
        <v>0</v>
      </c>
      <c r="H11" s="20" t="s">
        <v>0</v>
      </c>
      <c r="I11" s="22" t="s">
        <v>0</v>
      </c>
      <c r="J11" s="20" t="s">
        <v>0</v>
      </c>
      <c r="K11" s="20" t="s">
        <v>0</v>
      </c>
      <c r="L11" s="20" t="s">
        <v>0</v>
      </c>
      <c r="M11" s="23" t="s">
        <v>0</v>
      </c>
      <c r="N11" s="22" t="s">
        <v>0</v>
      </c>
      <c r="O11" s="22">
        <v>0.98199999999999998</v>
      </c>
      <c r="Q11" s="26" t="s">
        <v>0</v>
      </c>
      <c r="R11" s="26" t="s">
        <v>606</v>
      </c>
      <c r="S11" s="27">
        <v>300000000</v>
      </c>
      <c r="T11" s="27">
        <v>0</v>
      </c>
    </row>
    <row r="12" spans="1:20" x14ac:dyDescent="0.25">
      <c r="A12" s="26" t="s">
        <v>42</v>
      </c>
      <c r="B12" s="49" t="s">
        <v>116</v>
      </c>
      <c r="C12" s="50">
        <v>1.625</v>
      </c>
      <c r="D12" s="49">
        <v>1.07</v>
      </c>
      <c r="E12" s="49">
        <v>1.1100000000000001</v>
      </c>
      <c r="F12" s="20" t="s">
        <v>0</v>
      </c>
      <c r="G12" s="20" t="s">
        <v>0</v>
      </c>
      <c r="H12" s="20" t="s">
        <v>0</v>
      </c>
      <c r="I12" s="22" t="s">
        <v>0</v>
      </c>
      <c r="J12" s="20" t="s">
        <v>0</v>
      </c>
      <c r="K12" s="20" t="s">
        <v>0</v>
      </c>
      <c r="L12" s="20" t="s">
        <v>0</v>
      </c>
      <c r="M12" s="23" t="s">
        <v>0</v>
      </c>
      <c r="N12" s="22" t="s">
        <v>0</v>
      </c>
      <c r="O12" s="22">
        <v>0.97940000000000005</v>
      </c>
      <c r="Q12" s="24" t="s">
        <v>331</v>
      </c>
      <c r="R12" s="24" t="s">
        <v>605</v>
      </c>
      <c r="S12" s="25">
        <v>0</v>
      </c>
      <c r="T12" s="25">
        <v>50000000</v>
      </c>
    </row>
    <row r="13" spans="1:20" x14ac:dyDescent="0.25">
      <c r="A13" s="26" t="s">
        <v>10</v>
      </c>
      <c r="B13" s="49" t="s">
        <v>117</v>
      </c>
      <c r="C13" s="50">
        <v>3</v>
      </c>
      <c r="D13" s="49">
        <v>1.2</v>
      </c>
      <c r="E13" s="49">
        <v>1.25</v>
      </c>
      <c r="F13" s="20" t="s">
        <v>0</v>
      </c>
      <c r="G13" s="20" t="s">
        <v>0</v>
      </c>
      <c r="H13" s="20" t="s">
        <v>0</v>
      </c>
      <c r="I13" s="22" t="s">
        <v>0</v>
      </c>
      <c r="J13" s="20" t="s">
        <v>0</v>
      </c>
      <c r="K13" s="20" t="s">
        <v>0</v>
      </c>
      <c r="L13" s="20" t="s">
        <v>0</v>
      </c>
      <c r="M13" s="23" t="s">
        <v>0</v>
      </c>
      <c r="N13" s="22" t="s">
        <v>0</v>
      </c>
      <c r="O13" s="22">
        <v>0.97760000000000002</v>
      </c>
      <c r="Q13" s="26" t="s">
        <v>0</v>
      </c>
      <c r="R13" s="26" t="s">
        <v>606</v>
      </c>
      <c r="S13" s="27">
        <v>50000000</v>
      </c>
      <c r="T13" s="27">
        <v>0</v>
      </c>
    </row>
    <row r="14" spans="1:20" x14ac:dyDescent="0.25">
      <c r="A14" s="26" t="s">
        <v>275</v>
      </c>
      <c r="B14" s="49" t="s">
        <v>119</v>
      </c>
      <c r="C14" s="50">
        <v>0.5</v>
      </c>
      <c r="D14" s="49">
        <v>1.37</v>
      </c>
      <c r="E14" s="49">
        <v>1.4</v>
      </c>
      <c r="F14" s="20" t="s">
        <v>0</v>
      </c>
      <c r="G14" s="20" t="s">
        <v>0</v>
      </c>
      <c r="H14" s="20" t="s">
        <v>0</v>
      </c>
      <c r="I14" s="22" t="s">
        <v>0</v>
      </c>
      <c r="J14" s="20" t="s">
        <v>0</v>
      </c>
      <c r="K14" s="20" t="s">
        <v>0</v>
      </c>
      <c r="L14" s="20" t="s">
        <v>0</v>
      </c>
      <c r="M14" s="23" t="s">
        <v>0</v>
      </c>
      <c r="N14" s="22" t="s">
        <v>0</v>
      </c>
      <c r="O14" s="22">
        <v>0.97599999999999998</v>
      </c>
      <c r="Q14" s="24" t="s">
        <v>359</v>
      </c>
      <c r="R14" s="24" t="s">
        <v>607</v>
      </c>
      <c r="S14" s="25">
        <v>100000000</v>
      </c>
      <c r="T14" s="25">
        <v>0</v>
      </c>
    </row>
    <row r="15" spans="1:20" x14ac:dyDescent="0.25">
      <c r="A15" s="26" t="s">
        <v>7</v>
      </c>
      <c r="B15" s="49" t="s">
        <v>118</v>
      </c>
      <c r="C15" s="50">
        <v>2.375</v>
      </c>
      <c r="D15" s="49">
        <v>1.48</v>
      </c>
      <c r="E15" s="49">
        <v>1.52</v>
      </c>
      <c r="F15" s="20" t="s">
        <v>0</v>
      </c>
      <c r="G15" s="20" t="s">
        <v>0</v>
      </c>
      <c r="H15" s="20" t="s">
        <v>0</v>
      </c>
      <c r="I15" s="22" t="s">
        <v>0</v>
      </c>
      <c r="J15" s="20" t="s">
        <v>0</v>
      </c>
      <c r="K15" s="20" t="s">
        <v>0</v>
      </c>
      <c r="L15" s="20" t="s">
        <v>0</v>
      </c>
      <c r="M15" s="23" t="s">
        <v>0</v>
      </c>
      <c r="N15" s="22" t="s">
        <v>0</v>
      </c>
      <c r="O15" s="22">
        <v>0.97540000000000004</v>
      </c>
      <c r="Q15" s="26" t="s">
        <v>0</v>
      </c>
      <c r="R15" s="26" t="s">
        <v>608</v>
      </c>
      <c r="S15" s="27">
        <v>0</v>
      </c>
      <c r="T15" s="27">
        <v>100000000</v>
      </c>
    </row>
    <row r="16" spans="1:20" x14ac:dyDescent="0.25">
      <c r="A16" s="26" t="s">
        <v>322</v>
      </c>
      <c r="B16" s="49" t="s">
        <v>323</v>
      </c>
      <c r="C16" s="50">
        <v>1</v>
      </c>
      <c r="D16" s="49">
        <v>1.49</v>
      </c>
      <c r="E16" s="49">
        <v>1.52</v>
      </c>
      <c r="F16" s="20" t="s">
        <v>0</v>
      </c>
      <c r="G16" s="20" t="s">
        <v>0</v>
      </c>
      <c r="H16" s="20" t="s">
        <v>0</v>
      </c>
      <c r="I16" s="22" t="s">
        <v>0</v>
      </c>
      <c r="J16" s="20" t="s">
        <v>0</v>
      </c>
      <c r="K16" s="20" t="s">
        <v>0</v>
      </c>
      <c r="L16" s="20" t="s">
        <v>0</v>
      </c>
      <c r="M16" s="23" t="s">
        <v>0</v>
      </c>
      <c r="N16" s="22" t="s">
        <v>0</v>
      </c>
      <c r="O16" s="22">
        <v>0.97540000000000004</v>
      </c>
      <c r="Q16" s="24" t="s">
        <v>377</v>
      </c>
      <c r="R16" s="24" t="s">
        <v>607</v>
      </c>
      <c r="S16" s="25">
        <v>150000000</v>
      </c>
      <c r="T16" s="25">
        <v>0</v>
      </c>
    </row>
    <row r="17" spans="1:20" x14ac:dyDescent="0.25">
      <c r="A17" s="26" t="s">
        <v>31</v>
      </c>
      <c r="B17" s="49" t="s">
        <v>120</v>
      </c>
      <c r="C17" s="50">
        <v>1.625</v>
      </c>
      <c r="D17" s="49">
        <v>1.53</v>
      </c>
      <c r="E17" s="49">
        <v>1.57</v>
      </c>
      <c r="F17" s="20" t="s">
        <v>0</v>
      </c>
      <c r="G17" s="20" t="s">
        <v>0</v>
      </c>
      <c r="H17" s="20" t="s">
        <v>0</v>
      </c>
      <c r="I17" s="22" t="s">
        <v>0</v>
      </c>
      <c r="J17" s="20" t="s">
        <v>0</v>
      </c>
      <c r="K17" s="20" t="s">
        <v>0</v>
      </c>
      <c r="L17" s="20" t="s">
        <v>0</v>
      </c>
      <c r="M17" s="23" t="s">
        <v>0</v>
      </c>
      <c r="N17" s="22" t="s">
        <v>0</v>
      </c>
      <c r="O17" s="22">
        <v>0.97540000000000004</v>
      </c>
      <c r="Q17" s="26" t="s">
        <v>0</v>
      </c>
      <c r="R17" s="26" t="s">
        <v>608</v>
      </c>
      <c r="S17" s="27">
        <v>50000000</v>
      </c>
      <c r="T17" s="27">
        <v>200000000</v>
      </c>
    </row>
    <row r="18" spans="1:20" x14ac:dyDescent="0.25">
      <c r="A18" s="26" t="s">
        <v>278</v>
      </c>
      <c r="B18" s="49" t="s">
        <v>121</v>
      </c>
      <c r="C18" s="50">
        <v>0.25</v>
      </c>
      <c r="D18" s="49">
        <v>1.88</v>
      </c>
      <c r="E18" s="49">
        <v>1.91</v>
      </c>
      <c r="F18" s="20" t="s">
        <v>0</v>
      </c>
      <c r="G18" s="20" t="s">
        <v>0</v>
      </c>
      <c r="H18" s="20" t="s">
        <v>0</v>
      </c>
      <c r="I18" s="22" t="s">
        <v>0</v>
      </c>
      <c r="J18" s="20" t="s">
        <v>0</v>
      </c>
      <c r="K18" s="20" t="s">
        <v>0</v>
      </c>
      <c r="L18" s="20" t="s">
        <v>0</v>
      </c>
      <c r="M18" s="23" t="s">
        <v>0</v>
      </c>
      <c r="N18" s="22" t="s">
        <v>0</v>
      </c>
      <c r="O18" s="22">
        <v>0.97789999999999999</v>
      </c>
      <c r="Q18" s="24" t="s">
        <v>378</v>
      </c>
      <c r="R18" s="24" t="s">
        <v>605</v>
      </c>
      <c r="S18" s="25">
        <v>50000000</v>
      </c>
      <c r="T18" s="25">
        <v>0</v>
      </c>
    </row>
    <row r="19" spans="1:20" x14ac:dyDescent="0.25">
      <c r="A19" s="26" t="s">
        <v>38</v>
      </c>
      <c r="B19" s="49" t="s">
        <v>122</v>
      </c>
      <c r="C19" s="50">
        <v>1.125</v>
      </c>
      <c r="D19" s="49">
        <v>2</v>
      </c>
      <c r="E19" s="49">
        <v>2.06</v>
      </c>
      <c r="F19" s="20" t="s">
        <v>0</v>
      </c>
      <c r="G19" s="20" t="s">
        <v>0</v>
      </c>
      <c r="H19" s="20" t="s">
        <v>0</v>
      </c>
      <c r="I19" s="22" t="s">
        <v>0</v>
      </c>
      <c r="J19" s="20" t="s">
        <v>0</v>
      </c>
      <c r="K19" s="20" t="s">
        <v>0</v>
      </c>
      <c r="L19" s="20" t="s">
        <v>0</v>
      </c>
      <c r="M19" s="23" t="s">
        <v>0</v>
      </c>
      <c r="N19" s="22" t="s">
        <v>0</v>
      </c>
      <c r="O19" s="22">
        <v>0.98119999999999996</v>
      </c>
      <c r="Q19" s="26" t="s">
        <v>0</v>
      </c>
      <c r="R19" s="26" t="s">
        <v>606</v>
      </c>
      <c r="S19" s="27">
        <v>0</v>
      </c>
      <c r="T19" s="27">
        <v>50000000</v>
      </c>
    </row>
    <row r="20" spans="1:20" x14ac:dyDescent="0.25">
      <c r="A20" s="26" t="s">
        <v>279</v>
      </c>
      <c r="B20" s="49" t="s">
        <v>124</v>
      </c>
      <c r="C20" s="50">
        <v>0.125</v>
      </c>
      <c r="D20" s="49">
        <v>2.27</v>
      </c>
      <c r="E20" s="49">
        <v>2.31</v>
      </c>
      <c r="F20" s="20" t="s">
        <v>0</v>
      </c>
      <c r="G20" s="20" t="s">
        <v>0</v>
      </c>
      <c r="H20" s="20" t="s">
        <v>0</v>
      </c>
      <c r="I20" s="22" t="s">
        <v>0</v>
      </c>
      <c r="J20" s="20" t="s">
        <v>0</v>
      </c>
      <c r="K20" s="20" t="s">
        <v>0</v>
      </c>
      <c r="L20" s="20" t="s">
        <v>0</v>
      </c>
      <c r="M20" s="23" t="s">
        <v>0</v>
      </c>
      <c r="N20" s="22" t="s">
        <v>0</v>
      </c>
      <c r="O20" s="22">
        <v>0.98919999999999997</v>
      </c>
      <c r="Q20" s="24" t="s">
        <v>46</v>
      </c>
      <c r="R20" s="24" t="s">
        <v>607</v>
      </c>
      <c r="S20" s="25">
        <v>600000000</v>
      </c>
      <c r="T20" s="25">
        <v>0</v>
      </c>
    </row>
    <row r="21" spans="1:20" x14ac:dyDescent="0.25">
      <c r="A21" s="26" t="s">
        <v>280</v>
      </c>
      <c r="B21" s="49" t="s">
        <v>125</v>
      </c>
      <c r="C21" s="50">
        <v>0.25</v>
      </c>
      <c r="D21" s="49">
        <v>2.37</v>
      </c>
      <c r="E21" s="49">
        <v>2.4</v>
      </c>
      <c r="F21" s="20" t="s">
        <v>0</v>
      </c>
      <c r="G21" s="20" t="s">
        <v>0</v>
      </c>
      <c r="H21" s="20" t="s">
        <v>0</v>
      </c>
      <c r="I21" s="22" t="s">
        <v>0</v>
      </c>
      <c r="J21" s="20" t="s">
        <v>0</v>
      </c>
      <c r="K21" s="20" t="s">
        <v>0</v>
      </c>
      <c r="L21" s="20" t="s">
        <v>0</v>
      </c>
      <c r="M21" s="23" t="s">
        <v>0</v>
      </c>
      <c r="N21" s="22" t="s">
        <v>0</v>
      </c>
      <c r="O21" s="22">
        <v>0.99339999999999995</v>
      </c>
      <c r="Q21" s="26" t="s">
        <v>0</v>
      </c>
      <c r="R21" s="26" t="s">
        <v>606</v>
      </c>
      <c r="S21" s="27">
        <v>0</v>
      </c>
      <c r="T21" s="27">
        <v>600000000</v>
      </c>
    </row>
    <row r="22" spans="1:20" x14ac:dyDescent="0.25">
      <c r="A22" s="26" t="s">
        <v>8</v>
      </c>
      <c r="B22" s="49" t="s">
        <v>123</v>
      </c>
      <c r="C22" s="50">
        <v>1.875</v>
      </c>
      <c r="D22" s="49">
        <v>2.4300000000000002</v>
      </c>
      <c r="E22" s="49">
        <v>2.52</v>
      </c>
      <c r="F22" s="20" t="s">
        <v>0</v>
      </c>
      <c r="G22" s="20" t="s">
        <v>0</v>
      </c>
      <c r="H22" s="20" t="s">
        <v>0</v>
      </c>
      <c r="I22" s="22" t="s">
        <v>0</v>
      </c>
      <c r="J22" s="20" t="s">
        <v>0</v>
      </c>
      <c r="K22" s="20" t="s">
        <v>0</v>
      </c>
      <c r="L22" s="20" t="s">
        <v>0</v>
      </c>
      <c r="M22" s="23" t="s">
        <v>0</v>
      </c>
      <c r="N22" s="22" t="s">
        <v>0</v>
      </c>
      <c r="O22" s="22">
        <v>0.99890000000000001</v>
      </c>
      <c r="Q22" s="24" t="s">
        <v>510</v>
      </c>
      <c r="R22" s="24" t="s">
        <v>605</v>
      </c>
      <c r="S22" s="25">
        <v>100000000</v>
      </c>
      <c r="T22" s="25">
        <v>0</v>
      </c>
    </row>
    <row r="23" spans="1:20" x14ac:dyDescent="0.25">
      <c r="A23" s="26" t="s">
        <v>59</v>
      </c>
      <c r="B23" s="49" t="s">
        <v>126</v>
      </c>
      <c r="C23" s="50">
        <v>0.75</v>
      </c>
      <c r="D23" s="49">
        <v>2.4900000000000002</v>
      </c>
      <c r="E23" s="49">
        <v>2.54</v>
      </c>
      <c r="F23" s="20" t="s">
        <v>0</v>
      </c>
      <c r="G23" s="20" t="s">
        <v>0</v>
      </c>
      <c r="H23" s="20" t="s">
        <v>0</v>
      </c>
      <c r="I23" s="22" t="s">
        <v>0</v>
      </c>
      <c r="J23" s="20" t="s">
        <v>0</v>
      </c>
      <c r="K23" s="20" t="s">
        <v>0</v>
      </c>
      <c r="L23" s="20" t="s">
        <v>0</v>
      </c>
      <c r="M23" s="23" t="s">
        <v>0</v>
      </c>
      <c r="N23" s="22" t="s">
        <v>0</v>
      </c>
      <c r="O23" s="22">
        <v>1.0004</v>
      </c>
      <c r="Q23" s="26" t="s">
        <v>0</v>
      </c>
      <c r="R23" s="26" t="s">
        <v>606</v>
      </c>
      <c r="S23" s="27">
        <v>0</v>
      </c>
      <c r="T23" s="27">
        <v>100000000</v>
      </c>
    </row>
    <row r="24" spans="1:20" x14ac:dyDescent="0.25">
      <c r="A24" s="26" t="s">
        <v>281</v>
      </c>
      <c r="B24" s="49" t="s">
        <v>222</v>
      </c>
      <c r="C24" s="50">
        <v>0.25</v>
      </c>
      <c r="D24" s="49">
        <v>2.9</v>
      </c>
      <c r="E24" s="49">
        <v>2.94</v>
      </c>
      <c r="F24" s="20" t="s">
        <v>0</v>
      </c>
      <c r="G24" s="20" t="s">
        <v>0</v>
      </c>
      <c r="H24" s="20" t="s">
        <v>0</v>
      </c>
      <c r="I24" s="22" t="s">
        <v>0</v>
      </c>
      <c r="J24" s="20" t="s">
        <v>0</v>
      </c>
      <c r="K24" s="20" t="s">
        <v>0</v>
      </c>
      <c r="L24" s="20" t="s">
        <v>0</v>
      </c>
      <c r="M24" s="23" t="s">
        <v>0</v>
      </c>
      <c r="N24" s="22" t="s">
        <v>0</v>
      </c>
      <c r="O24" s="22">
        <v>1.0246</v>
      </c>
      <c r="Q24" s="24" t="s">
        <v>404</v>
      </c>
      <c r="R24" s="24" t="s">
        <v>607</v>
      </c>
      <c r="S24" s="25">
        <v>300000000</v>
      </c>
      <c r="T24" s="25">
        <v>0</v>
      </c>
    </row>
    <row r="25" spans="1:20" x14ac:dyDescent="0.25">
      <c r="A25" s="26" t="s">
        <v>56</v>
      </c>
      <c r="B25" s="49" t="s">
        <v>128</v>
      </c>
      <c r="C25" s="50">
        <v>0.625</v>
      </c>
      <c r="D25" s="49">
        <v>2.98</v>
      </c>
      <c r="E25" s="49">
        <v>3.05</v>
      </c>
      <c r="F25" s="20" t="s">
        <v>0</v>
      </c>
      <c r="G25" s="20" t="s">
        <v>0</v>
      </c>
      <c r="H25" s="20" t="s">
        <v>0</v>
      </c>
      <c r="I25" s="22" t="s">
        <v>0</v>
      </c>
      <c r="J25" s="20" t="s">
        <v>0</v>
      </c>
      <c r="K25" s="20" t="s">
        <v>0</v>
      </c>
      <c r="L25" s="20" t="s">
        <v>0</v>
      </c>
      <c r="M25" s="23" t="s">
        <v>0</v>
      </c>
      <c r="N25" s="22" t="s">
        <v>0</v>
      </c>
      <c r="O25" s="22">
        <v>1.0313000000000001</v>
      </c>
      <c r="Q25" s="26" t="s">
        <v>0</v>
      </c>
      <c r="R25" s="26" t="s">
        <v>606</v>
      </c>
      <c r="S25" s="27">
        <v>0</v>
      </c>
      <c r="T25" s="27">
        <v>300000000</v>
      </c>
    </row>
    <row r="26" spans="1:20" x14ac:dyDescent="0.25">
      <c r="A26" s="26" t="s">
        <v>11</v>
      </c>
      <c r="B26" s="49" t="s">
        <v>127</v>
      </c>
      <c r="C26" s="50">
        <v>2.125</v>
      </c>
      <c r="D26" s="49">
        <v>3.07</v>
      </c>
      <c r="E26" s="49">
        <v>3.23</v>
      </c>
      <c r="F26" s="20" t="s">
        <v>0</v>
      </c>
      <c r="G26" s="20" t="s">
        <v>0</v>
      </c>
      <c r="H26" s="20" t="s">
        <v>0</v>
      </c>
      <c r="I26" s="22" t="s">
        <v>0</v>
      </c>
      <c r="J26" s="20" t="s">
        <v>0</v>
      </c>
      <c r="K26" s="20" t="s">
        <v>0</v>
      </c>
      <c r="L26" s="20" t="s">
        <v>0</v>
      </c>
      <c r="M26" s="23" t="s">
        <v>0</v>
      </c>
      <c r="N26" s="22" t="s">
        <v>0</v>
      </c>
      <c r="O26" s="22">
        <v>1.0408999999999999</v>
      </c>
      <c r="Q26" s="24" t="s">
        <v>609</v>
      </c>
      <c r="R26" s="24" t="s">
        <v>607</v>
      </c>
      <c r="S26" s="25">
        <v>100000000</v>
      </c>
      <c r="T26" s="25">
        <v>0</v>
      </c>
    </row>
    <row r="27" spans="1:20" x14ac:dyDescent="0.25">
      <c r="A27" s="26" t="s">
        <v>12</v>
      </c>
      <c r="B27" s="49" t="s">
        <v>129</v>
      </c>
      <c r="C27" s="50">
        <v>2</v>
      </c>
      <c r="D27" s="49">
        <v>3.34</v>
      </c>
      <c r="E27" s="49">
        <v>3.49</v>
      </c>
      <c r="F27" s="20" t="s">
        <v>0</v>
      </c>
      <c r="G27" s="20" t="s">
        <v>0</v>
      </c>
      <c r="H27" s="20" t="s">
        <v>0</v>
      </c>
      <c r="I27" s="22" t="s">
        <v>0</v>
      </c>
      <c r="J27" s="20" t="s">
        <v>0</v>
      </c>
      <c r="K27" s="20" t="s">
        <v>0</v>
      </c>
      <c r="L27" s="20" t="s">
        <v>0</v>
      </c>
      <c r="M27" s="23" t="s">
        <v>0</v>
      </c>
      <c r="N27" s="22" t="s">
        <v>0</v>
      </c>
      <c r="O27" s="22">
        <v>1.0555000000000001</v>
      </c>
      <c r="Q27" s="32" t="s">
        <v>0</v>
      </c>
      <c r="R27" s="32" t="s">
        <v>606</v>
      </c>
      <c r="S27" s="36">
        <v>0</v>
      </c>
      <c r="T27" s="36">
        <v>100000000</v>
      </c>
    </row>
    <row r="28" spans="1:20" x14ac:dyDescent="0.25">
      <c r="A28" s="26" t="s">
        <v>32</v>
      </c>
      <c r="B28" s="49" t="s">
        <v>130</v>
      </c>
      <c r="C28" s="50">
        <v>1.125</v>
      </c>
      <c r="D28" s="49">
        <v>3.42</v>
      </c>
      <c r="E28" s="49">
        <v>3.53</v>
      </c>
      <c r="F28" s="20">
        <v>1.0649999999999999</v>
      </c>
      <c r="G28" s="20">
        <v>1.0649999999999999</v>
      </c>
      <c r="H28" s="20">
        <v>1.0649999999999999</v>
      </c>
      <c r="I28" s="22">
        <v>4</v>
      </c>
      <c r="J28" s="20">
        <v>1.06</v>
      </c>
      <c r="K28" s="20">
        <v>1.06</v>
      </c>
      <c r="L28" s="20">
        <v>1.06</v>
      </c>
      <c r="M28" s="23">
        <v>1</v>
      </c>
      <c r="N28" s="22">
        <v>4</v>
      </c>
      <c r="O28" s="22">
        <v>1.0584</v>
      </c>
      <c r="S28" s="29"/>
      <c r="T28" s="29"/>
    </row>
    <row r="29" spans="1:20" x14ac:dyDescent="0.25">
      <c r="A29" s="26" t="s">
        <v>282</v>
      </c>
      <c r="B29" s="49" t="s">
        <v>247</v>
      </c>
      <c r="C29" s="50">
        <v>0.5</v>
      </c>
      <c r="D29" s="49">
        <v>3.45</v>
      </c>
      <c r="E29" s="49">
        <v>3.52</v>
      </c>
      <c r="F29" s="20" t="s">
        <v>0</v>
      </c>
      <c r="G29" s="20" t="s">
        <v>0</v>
      </c>
      <c r="H29" s="20" t="s">
        <v>0</v>
      </c>
      <c r="I29" s="22" t="s">
        <v>0</v>
      </c>
      <c r="J29" s="20" t="s">
        <v>0</v>
      </c>
      <c r="K29" s="20" t="s">
        <v>0</v>
      </c>
      <c r="L29" s="20" t="s">
        <v>0</v>
      </c>
      <c r="M29" s="23" t="s">
        <v>0</v>
      </c>
      <c r="N29" s="22" t="s">
        <v>0</v>
      </c>
      <c r="O29" s="22">
        <v>1.0582</v>
      </c>
      <c r="Q29" s="30"/>
      <c r="R29" s="30"/>
      <c r="S29" s="30"/>
      <c r="T29" s="30"/>
    </row>
    <row r="30" spans="1:20" x14ac:dyDescent="0.25">
      <c r="A30" s="26" t="s">
        <v>263</v>
      </c>
      <c r="B30" s="49" t="s">
        <v>265</v>
      </c>
      <c r="C30" s="50">
        <v>1</v>
      </c>
      <c r="D30" s="49">
        <v>3.74</v>
      </c>
      <c r="E30" s="49">
        <v>3.84</v>
      </c>
      <c r="F30" s="20" t="s">
        <v>0</v>
      </c>
      <c r="G30" s="20" t="s">
        <v>0</v>
      </c>
      <c r="H30" s="20" t="s">
        <v>0</v>
      </c>
      <c r="I30" s="22" t="s">
        <v>0</v>
      </c>
      <c r="J30" s="20" t="s">
        <v>0</v>
      </c>
      <c r="K30" s="20" t="s">
        <v>0</v>
      </c>
      <c r="L30" s="20" t="s">
        <v>0</v>
      </c>
      <c r="M30" s="23" t="s">
        <v>0</v>
      </c>
      <c r="N30" s="22" t="s">
        <v>0</v>
      </c>
      <c r="O30" s="22">
        <v>1.0723</v>
      </c>
    </row>
    <row r="31" spans="1:20" x14ac:dyDescent="0.25">
      <c r="A31" s="26" t="s">
        <v>304</v>
      </c>
      <c r="B31" s="49" t="s">
        <v>305</v>
      </c>
      <c r="C31" s="50">
        <v>1.25</v>
      </c>
      <c r="D31" s="49">
        <v>3.93</v>
      </c>
      <c r="E31" s="49">
        <v>4.0999999999999996</v>
      </c>
      <c r="F31" s="20" t="s">
        <v>0</v>
      </c>
      <c r="G31" s="20" t="s">
        <v>0</v>
      </c>
      <c r="H31" s="20" t="s">
        <v>0</v>
      </c>
      <c r="I31" s="22" t="s">
        <v>0</v>
      </c>
      <c r="J31" s="20" t="s">
        <v>0</v>
      </c>
      <c r="K31" s="20" t="s">
        <v>0</v>
      </c>
      <c r="L31" s="20" t="s">
        <v>0</v>
      </c>
      <c r="M31" s="23" t="s">
        <v>0</v>
      </c>
      <c r="N31" s="22" t="s">
        <v>0</v>
      </c>
      <c r="O31" s="22">
        <v>1.0802</v>
      </c>
    </row>
    <row r="32" spans="1:20" x14ac:dyDescent="0.25">
      <c r="A32" s="26" t="s">
        <v>13</v>
      </c>
      <c r="B32" s="49" t="s">
        <v>131</v>
      </c>
      <c r="C32" s="50">
        <v>3</v>
      </c>
      <c r="D32" s="49">
        <v>3.93</v>
      </c>
      <c r="E32" s="49">
        <v>4.24</v>
      </c>
      <c r="F32" s="20" t="s">
        <v>0</v>
      </c>
      <c r="G32" s="20" t="s">
        <v>0</v>
      </c>
      <c r="H32" s="20" t="s">
        <v>0</v>
      </c>
      <c r="I32" s="22" t="s">
        <v>0</v>
      </c>
      <c r="J32" s="20" t="s">
        <v>0</v>
      </c>
      <c r="K32" s="20" t="s">
        <v>0</v>
      </c>
      <c r="L32" s="20" t="s">
        <v>0</v>
      </c>
      <c r="M32" s="23" t="s">
        <v>0</v>
      </c>
      <c r="N32" s="22" t="s">
        <v>0</v>
      </c>
      <c r="O32" s="22">
        <v>1.0819000000000001</v>
      </c>
    </row>
    <row r="33" spans="1:15" x14ac:dyDescent="0.25">
      <c r="A33" s="26" t="s">
        <v>1</v>
      </c>
      <c r="B33" s="49" t="s">
        <v>132</v>
      </c>
      <c r="C33" s="50">
        <v>1</v>
      </c>
      <c r="D33" s="49">
        <v>3.94</v>
      </c>
      <c r="E33" s="49">
        <v>4.09</v>
      </c>
      <c r="F33" s="20" t="s">
        <v>0</v>
      </c>
      <c r="G33" s="20" t="s">
        <v>0</v>
      </c>
      <c r="H33" s="20" t="s">
        <v>0</v>
      </c>
      <c r="I33" s="22" t="s">
        <v>0</v>
      </c>
      <c r="J33" s="20" t="s">
        <v>0</v>
      </c>
      <c r="K33" s="20" t="s">
        <v>0</v>
      </c>
      <c r="L33" s="20" t="s">
        <v>0</v>
      </c>
      <c r="M33" s="23" t="s">
        <v>0</v>
      </c>
      <c r="N33" s="22" t="s">
        <v>0</v>
      </c>
      <c r="O33" s="22">
        <v>1.0803</v>
      </c>
    </row>
    <row r="34" spans="1:15" x14ac:dyDescent="0.25">
      <c r="A34" s="26" t="s">
        <v>60</v>
      </c>
      <c r="B34" s="49" t="s">
        <v>134</v>
      </c>
      <c r="C34" s="50">
        <v>1.375</v>
      </c>
      <c r="D34" s="49">
        <v>4.21</v>
      </c>
      <c r="E34" s="49">
        <v>4.3899999999999997</v>
      </c>
      <c r="F34" s="20" t="s">
        <v>0</v>
      </c>
      <c r="G34" s="20" t="s">
        <v>0</v>
      </c>
      <c r="H34" s="20" t="s">
        <v>0</v>
      </c>
      <c r="I34" s="22" t="s">
        <v>0</v>
      </c>
      <c r="J34" s="20" t="s">
        <v>0</v>
      </c>
      <c r="K34" s="20" t="s">
        <v>0</v>
      </c>
      <c r="L34" s="20" t="s">
        <v>0</v>
      </c>
      <c r="M34" s="23" t="s">
        <v>0</v>
      </c>
      <c r="N34" s="22" t="s">
        <v>0</v>
      </c>
      <c r="O34" s="22">
        <v>1.0866</v>
      </c>
    </row>
    <row r="35" spans="1:15" x14ac:dyDescent="0.25">
      <c r="A35" s="26" t="s">
        <v>14</v>
      </c>
      <c r="B35" s="49" t="s">
        <v>133</v>
      </c>
      <c r="C35" s="50">
        <v>2.5</v>
      </c>
      <c r="D35" s="49">
        <v>4.21</v>
      </c>
      <c r="E35" s="49">
        <v>4.49</v>
      </c>
      <c r="F35" s="20" t="s">
        <v>0</v>
      </c>
      <c r="G35" s="20" t="s">
        <v>0</v>
      </c>
      <c r="H35" s="20" t="s">
        <v>0</v>
      </c>
      <c r="I35" s="22" t="s">
        <v>0</v>
      </c>
      <c r="J35" s="20" t="s">
        <v>0</v>
      </c>
      <c r="K35" s="20" t="s">
        <v>0</v>
      </c>
      <c r="L35" s="20" t="s">
        <v>0</v>
      </c>
      <c r="M35" s="23" t="s">
        <v>0</v>
      </c>
      <c r="N35" s="22" t="s">
        <v>0</v>
      </c>
      <c r="O35" s="22">
        <v>1.087</v>
      </c>
    </row>
    <row r="36" spans="1:15" x14ac:dyDescent="0.25">
      <c r="A36" s="26" t="s">
        <v>326</v>
      </c>
      <c r="B36" s="49" t="s">
        <v>325</v>
      </c>
      <c r="C36" s="50">
        <v>1</v>
      </c>
      <c r="D36" s="49">
        <v>4.26</v>
      </c>
      <c r="E36" s="49">
        <v>4.41</v>
      </c>
      <c r="F36" s="20" t="s">
        <v>0</v>
      </c>
      <c r="G36" s="20" t="s">
        <v>0</v>
      </c>
      <c r="H36" s="20" t="s">
        <v>0</v>
      </c>
      <c r="I36" s="22" t="s">
        <v>0</v>
      </c>
      <c r="J36" s="20" t="s">
        <v>0</v>
      </c>
      <c r="K36" s="20" t="s">
        <v>0</v>
      </c>
      <c r="L36" s="20" t="s">
        <v>0</v>
      </c>
      <c r="M36" s="23" t="s">
        <v>0</v>
      </c>
      <c r="N36" s="22" t="s">
        <v>0</v>
      </c>
      <c r="O36" s="22">
        <v>1.0874999999999999</v>
      </c>
    </row>
    <row r="37" spans="1:15" x14ac:dyDescent="0.25">
      <c r="A37" s="26" t="s">
        <v>35</v>
      </c>
      <c r="B37" s="49" t="s">
        <v>135</v>
      </c>
      <c r="C37" s="50">
        <v>1</v>
      </c>
      <c r="D37" s="49">
        <v>4.32</v>
      </c>
      <c r="E37" s="49">
        <v>4.47</v>
      </c>
      <c r="F37" s="20" t="s">
        <v>0</v>
      </c>
      <c r="G37" s="20" t="s">
        <v>0</v>
      </c>
      <c r="H37" s="20" t="s">
        <v>0</v>
      </c>
      <c r="I37" s="22" t="s">
        <v>0</v>
      </c>
      <c r="J37" s="20" t="s">
        <v>0</v>
      </c>
      <c r="K37" s="20" t="s">
        <v>0</v>
      </c>
      <c r="L37" s="20" t="s">
        <v>0</v>
      </c>
      <c r="M37" s="23" t="s">
        <v>0</v>
      </c>
      <c r="N37" s="22" t="s">
        <v>0</v>
      </c>
      <c r="O37" s="22">
        <v>1.0884</v>
      </c>
    </row>
    <row r="38" spans="1:15" x14ac:dyDescent="0.25">
      <c r="A38" s="26" t="s">
        <v>15</v>
      </c>
      <c r="B38" s="49" t="s">
        <v>136</v>
      </c>
      <c r="C38" s="50">
        <v>2.625</v>
      </c>
      <c r="D38" s="49">
        <v>4.6900000000000004</v>
      </c>
      <c r="E38" s="49">
        <v>4.99</v>
      </c>
      <c r="F38" s="20" t="s">
        <v>0</v>
      </c>
      <c r="G38" s="20" t="s">
        <v>0</v>
      </c>
      <c r="H38" s="20" t="s">
        <v>0</v>
      </c>
      <c r="I38" s="22" t="s">
        <v>0</v>
      </c>
      <c r="J38" s="20" t="s">
        <v>0</v>
      </c>
      <c r="K38" s="20" t="s">
        <v>0</v>
      </c>
      <c r="L38" s="20" t="s">
        <v>0</v>
      </c>
      <c r="M38" s="23" t="s">
        <v>0</v>
      </c>
      <c r="N38" s="22" t="s">
        <v>0</v>
      </c>
      <c r="O38" s="22">
        <v>1.0939000000000001</v>
      </c>
    </row>
    <row r="39" spans="1:15" x14ac:dyDescent="0.25">
      <c r="A39" s="26" t="s">
        <v>359</v>
      </c>
      <c r="B39" s="49" t="s">
        <v>360</v>
      </c>
      <c r="C39" s="50">
        <v>1</v>
      </c>
      <c r="D39" s="49">
        <v>4.6100000000000003</v>
      </c>
      <c r="E39" s="49">
        <v>4.7699999999999996</v>
      </c>
      <c r="F39" s="20">
        <v>1.0974999999999999</v>
      </c>
      <c r="G39" s="20">
        <v>1.0974999999999999</v>
      </c>
      <c r="H39" s="20">
        <v>1.0974999999999999</v>
      </c>
      <c r="I39" s="22">
        <v>1</v>
      </c>
      <c r="J39" s="20" t="s">
        <v>0</v>
      </c>
      <c r="K39" s="20" t="s">
        <v>0</v>
      </c>
      <c r="L39" s="20" t="s">
        <v>0</v>
      </c>
      <c r="M39" s="23" t="s">
        <v>0</v>
      </c>
      <c r="N39" s="22" t="s">
        <v>0</v>
      </c>
      <c r="O39" s="22">
        <v>1.0929</v>
      </c>
    </row>
    <row r="40" spans="1:15" x14ac:dyDescent="0.25">
      <c r="A40" s="26" t="s">
        <v>2</v>
      </c>
      <c r="B40" s="49" t="s">
        <v>137</v>
      </c>
      <c r="C40" s="50">
        <v>0.875</v>
      </c>
      <c r="D40" s="49">
        <v>4.66</v>
      </c>
      <c r="E40" s="49">
        <v>4.8099999999999996</v>
      </c>
      <c r="F40" s="20" t="s">
        <v>0</v>
      </c>
      <c r="G40" s="20" t="s">
        <v>0</v>
      </c>
      <c r="H40" s="20" t="s">
        <v>0</v>
      </c>
      <c r="I40" s="22" t="s">
        <v>0</v>
      </c>
      <c r="J40" s="20" t="s">
        <v>0</v>
      </c>
      <c r="K40" s="20" t="s">
        <v>0</v>
      </c>
      <c r="L40" s="20" t="s">
        <v>0</v>
      </c>
      <c r="M40" s="23" t="s">
        <v>0</v>
      </c>
      <c r="N40" s="22" t="s">
        <v>0</v>
      </c>
      <c r="O40" s="22">
        <v>1.0935999999999999</v>
      </c>
    </row>
    <row r="41" spans="1:15" x14ac:dyDescent="0.25">
      <c r="A41" s="26" t="s">
        <v>378</v>
      </c>
      <c r="B41" s="49" t="s">
        <v>379</v>
      </c>
      <c r="C41" s="50">
        <v>1</v>
      </c>
      <c r="D41" s="49">
        <v>4.8499999999999996</v>
      </c>
      <c r="E41" s="49">
        <v>5</v>
      </c>
      <c r="F41" s="20">
        <v>1.1000000000000001</v>
      </c>
      <c r="G41" s="20">
        <v>1.1000000000000001</v>
      </c>
      <c r="H41" s="20">
        <v>1.1000000000000001</v>
      </c>
      <c r="I41" s="22">
        <v>0.5</v>
      </c>
      <c r="J41" s="20" t="s">
        <v>0</v>
      </c>
      <c r="K41" s="20" t="s">
        <v>0</v>
      </c>
      <c r="L41" s="20" t="s">
        <v>0</v>
      </c>
      <c r="M41" s="23" t="s">
        <v>0</v>
      </c>
      <c r="N41" s="22" t="s">
        <v>0</v>
      </c>
      <c r="O41" s="22">
        <v>1.0961000000000001</v>
      </c>
    </row>
    <row r="42" spans="1:15" x14ac:dyDescent="0.25">
      <c r="A42" s="26" t="s">
        <v>283</v>
      </c>
      <c r="B42" s="49" t="s">
        <v>223</v>
      </c>
      <c r="C42" s="50">
        <v>0.25</v>
      </c>
      <c r="D42" s="49">
        <v>4.92</v>
      </c>
      <c r="E42" s="49">
        <v>5.01</v>
      </c>
      <c r="F42" s="20" t="s">
        <v>0</v>
      </c>
      <c r="G42" s="20" t="s">
        <v>0</v>
      </c>
      <c r="H42" s="20" t="s">
        <v>0</v>
      </c>
      <c r="I42" s="22" t="s">
        <v>0</v>
      </c>
      <c r="J42" s="20" t="s">
        <v>0</v>
      </c>
      <c r="K42" s="20" t="s">
        <v>0</v>
      </c>
      <c r="L42" s="20" t="s">
        <v>0</v>
      </c>
      <c r="M42" s="23" t="s">
        <v>0</v>
      </c>
      <c r="N42" s="22" t="s">
        <v>0</v>
      </c>
      <c r="O42" s="22">
        <v>1.097</v>
      </c>
    </row>
    <row r="43" spans="1:15" x14ac:dyDescent="0.25">
      <c r="A43" s="26" t="s">
        <v>28</v>
      </c>
      <c r="B43" s="49" t="s">
        <v>139</v>
      </c>
      <c r="C43" s="50">
        <v>0.875</v>
      </c>
      <c r="D43" s="49">
        <v>4.97</v>
      </c>
      <c r="E43" s="49">
        <v>5.16</v>
      </c>
      <c r="F43" s="20" t="s">
        <v>0</v>
      </c>
      <c r="G43" s="20" t="s">
        <v>0</v>
      </c>
      <c r="H43" s="20" t="s">
        <v>0</v>
      </c>
      <c r="I43" s="22" t="s">
        <v>0</v>
      </c>
      <c r="J43" s="20" t="s">
        <v>0</v>
      </c>
      <c r="K43" s="20" t="s">
        <v>0</v>
      </c>
      <c r="L43" s="20" t="s">
        <v>0</v>
      </c>
      <c r="M43" s="23" t="s">
        <v>0</v>
      </c>
      <c r="N43" s="22" t="s">
        <v>0</v>
      </c>
      <c r="O43" s="22">
        <v>1.0984</v>
      </c>
    </row>
    <row r="44" spans="1:15" x14ac:dyDescent="0.25">
      <c r="A44" s="26" t="s">
        <v>16</v>
      </c>
      <c r="B44" s="49" t="s">
        <v>138</v>
      </c>
      <c r="C44" s="50">
        <v>2.125</v>
      </c>
      <c r="D44" s="49">
        <v>5.14</v>
      </c>
      <c r="E44" s="49">
        <v>5.5</v>
      </c>
      <c r="F44" s="20" t="s">
        <v>0</v>
      </c>
      <c r="G44" s="20" t="s">
        <v>0</v>
      </c>
      <c r="H44" s="20" t="s">
        <v>0</v>
      </c>
      <c r="I44" s="22" t="s">
        <v>0</v>
      </c>
      <c r="J44" s="20" t="s">
        <v>0</v>
      </c>
      <c r="K44" s="20" t="s">
        <v>0</v>
      </c>
      <c r="L44" s="20" t="s">
        <v>0</v>
      </c>
      <c r="M44" s="23" t="s">
        <v>0</v>
      </c>
      <c r="N44" s="22" t="s">
        <v>0</v>
      </c>
      <c r="O44" s="22">
        <v>1.1016999999999999</v>
      </c>
    </row>
    <row r="45" spans="1:15" x14ac:dyDescent="0.25">
      <c r="A45" s="26" t="s">
        <v>3</v>
      </c>
      <c r="B45" s="49" t="s">
        <v>140</v>
      </c>
      <c r="C45" s="50">
        <v>0.75</v>
      </c>
      <c r="D45" s="49">
        <v>5.31</v>
      </c>
      <c r="E45" s="49">
        <v>5.49</v>
      </c>
      <c r="F45" s="20" t="s">
        <v>0</v>
      </c>
      <c r="G45" s="20" t="s">
        <v>0</v>
      </c>
      <c r="H45" s="20" t="s">
        <v>0</v>
      </c>
      <c r="I45" s="22" t="s">
        <v>0</v>
      </c>
      <c r="J45" s="20" t="s">
        <v>0</v>
      </c>
      <c r="K45" s="20" t="s">
        <v>0</v>
      </c>
      <c r="L45" s="20" t="s">
        <v>0</v>
      </c>
      <c r="M45" s="23" t="s">
        <v>0</v>
      </c>
      <c r="N45" s="22" t="s">
        <v>0</v>
      </c>
      <c r="O45" s="22">
        <v>1.1032999999999999</v>
      </c>
    </row>
    <row r="46" spans="1:15" x14ac:dyDescent="0.25">
      <c r="A46" s="26" t="s">
        <v>17</v>
      </c>
      <c r="B46" s="49" t="s">
        <v>141</v>
      </c>
      <c r="C46" s="50">
        <v>2.125</v>
      </c>
      <c r="D46" s="49">
        <v>5.62</v>
      </c>
      <c r="E46" s="49">
        <v>5.99</v>
      </c>
      <c r="F46" s="20" t="s">
        <v>0</v>
      </c>
      <c r="G46" s="20" t="s">
        <v>0</v>
      </c>
      <c r="H46" s="20" t="s">
        <v>0</v>
      </c>
      <c r="I46" s="22" t="s">
        <v>0</v>
      </c>
      <c r="J46" s="20" t="s">
        <v>0</v>
      </c>
      <c r="K46" s="20" t="s">
        <v>0</v>
      </c>
      <c r="L46" s="20" t="s">
        <v>0</v>
      </c>
      <c r="M46" s="23" t="s">
        <v>0</v>
      </c>
      <c r="N46" s="22" t="s">
        <v>0</v>
      </c>
      <c r="O46" s="22">
        <v>1.1100000000000001</v>
      </c>
    </row>
    <row r="47" spans="1:15" x14ac:dyDescent="0.25">
      <c r="A47" s="26" t="s">
        <v>4</v>
      </c>
      <c r="B47" s="49" t="s">
        <v>142</v>
      </c>
      <c r="C47" s="50">
        <v>0.625</v>
      </c>
      <c r="D47" s="49">
        <v>5.69</v>
      </c>
      <c r="E47" s="49">
        <v>5.85</v>
      </c>
      <c r="F47" s="20" t="s">
        <v>0</v>
      </c>
      <c r="G47" s="20" t="s">
        <v>0</v>
      </c>
      <c r="H47" s="20" t="s">
        <v>0</v>
      </c>
      <c r="I47" s="22" t="s">
        <v>0</v>
      </c>
      <c r="J47" s="20" t="s">
        <v>0</v>
      </c>
      <c r="K47" s="20" t="s">
        <v>0</v>
      </c>
      <c r="L47" s="20" t="s">
        <v>0</v>
      </c>
      <c r="M47" s="23" t="s">
        <v>0</v>
      </c>
      <c r="N47" s="22" t="s">
        <v>0</v>
      </c>
      <c r="O47" s="22">
        <v>1.1095999999999999</v>
      </c>
    </row>
    <row r="48" spans="1:15" x14ac:dyDescent="0.25">
      <c r="A48" s="26" t="s">
        <v>6</v>
      </c>
      <c r="B48" s="49" t="s">
        <v>144</v>
      </c>
      <c r="C48" s="50">
        <v>0.625</v>
      </c>
      <c r="D48" s="49">
        <v>5.95</v>
      </c>
      <c r="E48" s="49">
        <v>6.16</v>
      </c>
      <c r="F48" s="20" t="s">
        <v>0</v>
      </c>
      <c r="G48" s="20" t="s">
        <v>0</v>
      </c>
      <c r="H48" s="20" t="s">
        <v>0</v>
      </c>
      <c r="I48" s="22" t="s">
        <v>0</v>
      </c>
      <c r="J48" s="20" t="s">
        <v>0</v>
      </c>
      <c r="K48" s="20" t="s">
        <v>0</v>
      </c>
      <c r="L48" s="20" t="s">
        <v>0</v>
      </c>
      <c r="M48" s="23" t="s">
        <v>0</v>
      </c>
      <c r="N48" s="22" t="s">
        <v>0</v>
      </c>
      <c r="O48" s="22">
        <v>1.1153999999999999</v>
      </c>
    </row>
    <row r="49" spans="1:15" x14ac:dyDescent="0.25">
      <c r="A49" s="26" t="s">
        <v>18</v>
      </c>
      <c r="B49" s="49" t="s">
        <v>143</v>
      </c>
      <c r="C49" s="50">
        <v>1.875</v>
      </c>
      <c r="D49" s="49">
        <v>6.07</v>
      </c>
      <c r="E49" s="49">
        <v>6.51</v>
      </c>
      <c r="F49" s="20" t="s">
        <v>0</v>
      </c>
      <c r="G49" s="20" t="s">
        <v>0</v>
      </c>
      <c r="H49" s="20" t="s">
        <v>0</v>
      </c>
      <c r="I49" s="22" t="s">
        <v>0</v>
      </c>
      <c r="J49" s="20" t="s">
        <v>0</v>
      </c>
      <c r="K49" s="20" t="s">
        <v>0</v>
      </c>
      <c r="L49" s="20" t="s">
        <v>0</v>
      </c>
      <c r="M49" s="23" t="s">
        <v>0</v>
      </c>
      <c r="N49" s="22" t="s">
        <v>0</v>
      </c>
      <c r="O49" s="22">
        <v>1.1214</v>
      </c>
    </row>
    <row r="50" spans="1:15" x14ac:dyDescent="0.25">
      <c r="A50" s="26" t="s">
        <v>284</v>
      </c>
      <c r="B50" s="49" t="s">
        <v>145</v>
      </c>
      <c r="C50" s="50">
        <v>0.5</v>
      </c>
      <c r="D50" s="49">
        <v>6.33</v>
      </c>
      <c r="E50" s="49">
        <v>6.51</v>
      </c>
      <c r="F50" s="20" t="s">
        <v>0</v>
      </c>
      <c r="G50" s="20" t="s">
        <v>0</v>
      </c>
      <c r="H50" s="20" t="s">
        <v>0</v>
      </c>
      <c r="I50" s="22" t="s">
        <v>0</v>
      </c>
      <c r="J50" s="20" t="s">
        <v>0</v>
      </c>
      <c r="K50" s="20" t="s">
        <v>0</v>
      </c>
      <c r="L50" s="20" t="s">
        <v>0</v>
      </c>
      <c r="M50" s="23" t="s">
        <v>0</v>
      </c>
      <c r="N50" s="22" t="s">
        <v>0</v>
      </c>
      <c r="O50" s="22">
        <v>1.1234999999999999</v>
      </c>
    </row>
    <row r="51" spans="1:15" x14ac:dyDescent="0.25">
      <c r="A51" s="26" t="s">
        <v>19</v>
      </c>
      <c r="B51" s="49" t="s">
        <v>146</v>
      </c>
      <c r="C51" s="50">
        <v>1.75</v>
      </c>
      <c r="D51" s="49">
        <v>6.56</v>
      </c>
      <c r="E51" s="49">
        <v>6.98</v>
      </c>
      <c r="F51" s="20" t="s">
        <v>0</v>
      </c>
      <c r="G51" s="20" t="s">
        <v>0</v>
      </c>
      <c r="H51" s="20" t="s">
        <v>0</v>
      </c>
      <c r="I51" s="22" t="s">
        <v>0</v>
      </c>
      <c r="J51" s="20" t="s">
        <v>0</v>
      </c>
      <c r="K51" s="20" t="s">
        <v>0</v>
      </c>
      <c r="L51" s="20" t="s">
        <v>0</v>
      </c>
      <c r="M51" s="23" t="s">
        <v>0</v>
      </c>
      <c r="N51" s="22" t="s">
        <v>0</v>
      </c>
      <c r="O51" s="22">
        <v>1.1335999999999999</v>
      </c>
    </row>
    <row r="52" spans="1:15" x14ac:dyDescent="0.25">
      <c r="A52" s="26" t="s">
        <v>285</v>
      </c>
      <c r="B52" s="49" t="s">
        <v>149</v>
      </c>
      <c r="C52" s="50">
        <v>0.375</v>
      </c>
      <c r="D52" s="49">
        <v>6.65</v>
      </c>
      <c r="E52" s="49">
        <v>6.81</v>
      </c>
      <c r="F52" s="20" t="s">
        <v>0</v>
      </c>
      <c r="G52" s="20" t="s">
        <v>0</v>
      </c>
      <c r="H52" s="20" t="s">
        <v>0</v>
      </c>
      <c r="I52" s="22" t="s">
        <v>0</v>
      </c>
      <c r="J52" s="20" t="s">
        <v>0</v>
      </c>
      <c r="K52" s="20" t="s">
        <v>0</v>
      </c>
      <c r="L52" s="20" t="s">
        <v>0</v>
      </c>
      <c r="M52" s="23" t="s">
        <v>0</v>
      </c>
      <c r="N52" s="22" t="s">
        <v>0</v>
      </c>
      <c r="O52" s="22">
        <v>1.1315</v>
      </c>
    </row>
    <row r="53" spans="1:15" x14ac:dyDescent="0.25">
      <c r="A53" s="26" t="s">
        <v>50</v>
      </c>
      <c r="B53" s="49" t="s">
        <v>147</v>
      </c>
      <c r="C53" s="50">
        <v>2.125</v>
      </c>
      <c r="D53" s="49">
        <v>6.78</v>
      </c>
      <c r="E53" s="49">
        <v>7.4</v>
      </c>
      <c r="F53" s="20" t="s">
        <v>0</v>
      </c>
      <c r="G53" s="20" t="s">
        <v>0</v>
      </c>
      <c r="H53" s="20" t="s">
        <v>0</v>
      </c>
      <c r="I53" s="22" t="s">
        <v>0</v>
      </c>
      <c r="J53" s="20" t="s">
        <v>0</v>
      </c>
      <c r="K53" s="20" t="s">
        <v>0</v>
      </c>
      <c r="L53" s="20" t="s">
        <v>0</v>
      </c>
      <c r="M53" s="23" t="s">
        <v>0</v>
      </c>
      <c r="N53" s="22" t="s">
        <v>0</v>
      </c>
      <c r="O53" s="22">
        <v>1.1452</v>
      </c>
    </row>
    <row r="54" spans="1:15" x14ac:dyDescent="0.25">
      <c r="A54" s="26" t="s">
        <v>286</v>
      </c>
      <c r="B54" s="49" t="s">
        <v>151</v>
      </c>
      <c r="C54" s="50">
        <v>0.25</v>
      </c>
      <c r="D54" s="49">
        <v>7</v>
      </c>
      <c r="E54" s="49">
        <v>7.15</v>
      </c>
      <c r="F54" s="20" t="s">
        <v>0</v>
      </c>
      <c r="G54" s="20" t="s">
        <v>0</v>
      </c>
      <c r="H54" s="20" t="s">
        <v>0</v>
      </c>
      <c r="I54" s="22" t="s">
        <v>0</v>
      </c>
      <c r="J54" s="20" t="s">
        <v>0</v>
      </c>
      <c r="K54" s="20" t="s">
        <v>0</v>
      </c>
      <c r="L54" s="20" t="s">
        <v>0</v>
      </c>
      <c r="M54" s="23" t="s">
        <v>0</v>
      </c>
      <c r="N54" s="22" t="s">
        <v>0</v>
      </c>
      <c r="O54" s="22">
        <v>1.1415999999999999</v>
      </c>
    </row>
    <row r="55" spans="1:15" x14ac:dyDescent="0.25">
      <c r="A55" s="26" t="s">
        <v>20</v>
      </c>
      <c r="B55" s="49" t="s">
        <v>148</v>
      </c>
      <c r="C55" s="50">
        <v>3.625</v>
      </c>
      <c r="D55" s="49">
        <v>7</v>
      </c>
      <c r="E55" s="49">
        <v>7.91</v>
      </c>
      <c r="F55" s="20" t="s">
        <v>0</v>
      </c>
      <c r="G55" s="20" t="s">
        <v>0</v>
      </c>
      <c r="H55" s="20" t="s">
        <v>0</v>
      </c>
      <c r="I55" s="22" t="s">
        <v>0</v>
      </c>
      <c r="J55" s="20" t="s">
        <v>0</v>
      </c>
      <c r="K55" s="20" t="s">
        <v>0</v>
      </c>
      <c r="L55" s="20" t="s">
        <v>0</v>
      </c>
      <c r="M55" s="23" t="s">
        <v>0</v>
      </c>
      <c r="N55" s="22" t="s">
        <v>0</v>
      </c>
      <c r="O55" s="22">
        <v>1.1572</v>
      </c>
    </row>
    <row r="56" spans="1:15" x14ac:dyDescent="0.25">
      <c r="A56" s="26" t="s">
        <v>58</v>
      </c>
      <c r="B56" s="49" t="s">
        <v>150</v>
      </c>
      <c r="C56" s="50">
        <v>1.75</v>
      </c>
      <c r="D56" s="49">
        <v>7.23</v>
      </c>
      <c r="E56" s="49">
        <v>7.77</v>
      </c>
      <c r="F56" s="20" t="s">
        <v>0</v>
      </c>
      <c r="G56" s="20" t="s">
        <v>0</v>
      </c>
      <c r="H56" s="20" t="s">
        <v>0</v>
      </c>
      <c r="I56" s="22" t="s">
        <v>0</v>
      </c>
      <c r="J56" s="20" t="s">
        <v>0</v>
      </c>
      <c r="K56" s="20" t="s">
        <v>0</v>
      </c>
      <c r="L56" s="20" t="s">
        <v>0</v>
      </c>
      <c r="M56" s="23" t="s">
        <v>0</v>
      </c>
      <c r="N56" s="22" t="s">
        <v>0</v>
      </c>
      <c r="O56" s="22">
        <v>1.1572</v>
      </c>
    </row>
    <row r="57" spans="1:15" x14ac:dyDescent="0.25">
      <c r="A57" s="26" t="s">
        <v>61</v>
      </c>
      <c r="B57" s="49" t="s">
        <v>153</v>
      </c>
      <c r="C57" s="50">
        <v>1.875</v>
      </c>
      <c r="D57" s="49">
        <v>7.38</v>
      </c>
      <c r="E57" s="49">
        <v>7.95</v>
      </c>
      <c r="F57" s="20" t="s">
        <v>0</v>
      </c>
      <c r="G57" s="20" t="s">
        <v>0</v>
      </c>
      <c r="H57" s="20" t="s">
        <v>0</v>
      </c>
      <c r="I57" s="22" t="s">
        <v>0</v>
      </c>
      <c r="J57" s="20" t="s">
        <v>0</v>
      </c>
      <c r="K57" s="20" t="s">
        <v>0</v>
      </c>
      <c r="L57" s="20" t="s">
        <v>0</v>
      </c>
      <c r="M57" s="23" t="s">
        <v>0</v>
      </c>
      <c r="N57" s="22" t="s">
        <v>0</v>
      </c>
      <c r="O57" s="22">
        <v>1.1625000000000001</v>
      </c>
    </row>
    <row r="58" spans="1:15" x14ac:dyDescent="0.25">
      <c r="A58" s="26" t="s">
        <v>287</v>
      </c>
      <c r="B58" s="49" t="s">
        <v>152</v>
      </c>
      <c r="C58" s="50">
        <v>0.25</v>
      </c>
      <c r="D58" s="49">
        <v>7.35</v>
      </c>
      <c r="E58" s="49">
        <v>7.51</v>
      </c>
      <c r="F58" s="20" t="s">
        <v>0</v>
      </c>
      <c r="G58" s="20" t="s">
        <v>0</v>
      </c>
      <c r="H58" s="20" t="s">
        <v>0</v>
      </c>
      <c r="I58" s="22" t="s">
        <v>0</v>
      </c>
      <c r="J58" s="20" t="s">
        <v>0</v>
      </c>
      <c r="K58" s="20" t="s">
        <v>0</v>
      </c>
      <c r="L58" s="20" t="s">
        <v>0</v>
      </c>
      <c r="M58" s="23" t="s">
        <v>0</v>
      </c>
      <c r="N58" s="22" t="s">
        <v>0</v>
      </c>
      <c r="O58" s="22">
        <v>1.1529</v>
      </c>
    </row>
    <row r="59" spans="1:15" x14ac:dyDescent="0.25">
      <c r="A59" s="26" t="s">
        <v>288</v>
      </c>
      <c r="B59" s="49" t="s">
        <v>212</v>
      </c>
      <c r="C59" s="50">
        <v>0.375</v>
      </c>
      <c r="D59" s="49">
        <v>7.52</v>
      </c>
      <c r="E59" s="49">
        <v>7.72</v>
      </c>
      <c r="F59" s="20" t="s">
        <v>0</v>
      </c>
      <c r="G59" s="20" t="s">
        <v>0</v>
      </c>
      <c r="H59" s="20" t="s">
        <v>0</v>
      </c>
      <c r="I59" s="22" t="s">
        <v>0</v>
      </c>
      <c r="J59" s="20" t="s">
        <v>0</v>
      </c>
      <c r="K59" s="20" t="s">
        <v>0</v>
      </c>
      <c r="L59" s="20" t="s">
        <v>0</v>
      </c>
      <c r="M59" s="23" t="s">
        <v>0</v>
      </c>
      <c r="N59" s="22" t="s">
        <v>0</v>
      </c>
      <c r="O59" s="22">
        <v>1.1591</v>
      </c>
    </row>
    <row r="60" spans="1:15" x14ac:dyDescent="0.25">
      <c r="A60" s="26" t="s">
        <v>276</v>
      </c>
      <c r="B60" s="49" t="s">
        <v>216</v>
      </c>
      <c r="C60" s="50">
        <v>0.375</v>
      </c>
      <c r="D60" s="49">
        <v>7.64</v>
      </c>
      <c r="E60" s="49">
        <v>7.84</v>
      </c>
      <c r="F60" s="20" t="s">
        <v>0</v>
      </c>
      <c r="G60" s="20" t="s">
        <v>0</v>
      </c>
      <c r="H60" s="20" t="s">
        <v>0</v>
      </c>
      <c r="I60" s="22" t="s">
        <v>0</v>
      </c>
      <c r="J60" s="20" t="s">
        <v>0</v>
      </c>
      <c r="K60" s="20" t="s">
        <v>0</v>
      </c>
      <c r="L60" s="20" t="s">
        <v>0</v>
      </c>
      <c r="M60" s="23" t="s">
        <v>0</v>
      </c>
      <c r="N60" s="22" t="s">
        <v>0</v>
      </c>
      <c r="O60" s="22">
        <v>1.1632</v>
      </c>
    </row>
    <row r="61" spans="1:15" x14ac:dyDescent="0.25">
      <c r="A61" s="26" t="s">
        <v>43</v>
      </c>
      <c r="B61" s="49" t="s">
        <v>154</v>
      </c>
      <c r="C61" s="50">
        <v>1.625</v>
      </c>
      <c r="D61" s="49">
        <v>7.78</v>
      </c>
      <c r="E61" s="49">
        <v>8.42</v>
      </c>
      <c r="F61" s="20" t="s">
        <v>0</v>
      </c>
      <c r="G61" s="20" t="s">
        <v>0</v>
      </c>
      <c r="H61" s="20" t="s">
        <v>0</v>
      </c>
      <c r="I61" s="22" t="s">
        <v>0</v>
      </c>
      <c r="J61" s="20" t="s">
        <v>0</v>
      </c>
      <c r="K61" s="20" t="s">
        <v>0</v>
      </c>
      <c r="L61" s="20" t="s">
        <v>0</v>
      </c>
      <c r="M61" s="23" t="s">
        <v>0</v>
      </c>
      <c r="N61" s="22" t="s">
        <v>0</v>
      </c>
      <c r="O61" s="22">
        <v>1.1756</v>
      </c>
    </row>
    <row r="62" spans="1:15" x14ac:dyDescent="0.25">
      <c r="A62" s="26" t="s">
        <v>289</v>
      </c>
      <c r="B62" s="49" t="s">
        <v>232</v>
      </c>
      <c r="C62" s="50">
        <v>0.5</v>
      </c>
      <c r="D62" s="49">
        <v>7.89</v>
      </c>
      <c r="E62" s="49">
        <v>8.18</v>
      </c>
      <c r="F62" s="20" t="s">
        <v>0</v>
      </c>
      <c r="G62" s="20" t="s">
        <v>0</v>
      </c>
      <c r="H62" s="20" t="s">
        <v>0</v>
      </c>
      <c r="I62" s="22" t="s">
        <v>0</v>
      </c>
      <c r="J62" s="20" t="s">
        <v>0</v>
      </c>
      <c r="K62" s="20" t="s">
        <v>0</v>
      </c>
      <c r="L62" s="20" t="s">
        <v>0</v>
      </c>
      <c r="M62" s="23" t="s">
        <v>0</v>
      </c>
      <c r="N62" s="22" t="s">
        <v>0</v>
      </c>
      <c r="O62" s="22">
        <v>1.1726000000000001</v>
      </c>
    </row>
    <row r="63" spans="1:15" x14ac:dyDescent="0.25">
      <c r="A63" s="26" t="s">
        <v>25</v>
      </c>
      <c r="B63" s="49" t="s">
        <v>155</v>
      </c>
      <c r="C63" s="50">
        <v>1.625</v>
      </c>
      <c r="D63" s="49">
        <v>7.93</v>
      </c>
      <c r="E63" s="49">
        <v>8.58</v>
      </c>
      <c r="F63" s="20" t="s">
        <v>0</v>
      </c>
      <c r="G63" s="20" t="s">
        <v>0</v>
      </c>
      <c r="H63" s="20" t="s">
        <v>0</v>
      </c>
      <c r="I63" s="22" t="s">
        <v>0</v>
      </c>
      <c r="J63" s="20" t="s">
        <v>0</v>
      </c>
      <c r="K63" s="20" t="s">
        <v>0</v>
      </c>
      <c r="L63" s="20" t="s">
        <v>0</v>
      </c>
      <c r="M63" s="23" t="s">
        <v>0</v>
      </c>
      <c r="N63" s="22" t="s">
        <v>0</v>
      </c>
      <c r="O63" s="22">
        <v>1.179</v>
      </c>
    </row>
    <row r="64" spans="1:15" x14ac:dyDescent="0.25">
      <c r="A64" s="26" t="s">
        <v>290</v>
      </c>
      <c r="B64" s="49" t="s">
        <v>248</v>
      </c>
      <c r="C64" s="50">
        <v>0.75</v>
      </c>
      <c r="D64" s="49">
        <v>8.0299999999999994</v>
      </c>
      <c r="E64" s="49">
        <v>8.39</v>
      </c>
      <c r="F64" s="20" t="s">
        <v>0</v>
      </c>
      <c r="G64" s="20" t="s">
        <v>0</v>
      </c>
      <c r="H64" s="20" t="s">
        <v>0</v>
      </c>
      <c r="I64" s="22" t="s">
        <v>0</v>
      </c>
      <c r="J64" s="20" t="s">
        <v>0</v>
      </c>
      <c r="K64" s="20" t="s">
        <v>0</v>
      </c>
      <c r="L64" s="20" t="s">
        <v>0</v>
      </c>
      <c r="M64" s="23" t="s">
        <v>0</v>
      </c>
      <c r="N64" s="22" t="s">
        <v>0</v>
      </c>
      <c r="O64" s="22">
        <v>1.1776</v>
      </c>
    </row>
    <row r="65" spans="1:15" x14ac:dyDescent="0.25">
      <c r="A65" s="26" t="s">
        <v>245</v>
      </c>
      <c r="B65" s="49" t="s">
        <v>249</v>
      </c>
      <c r="C65" s="50">
        <v>0.625</v>
      </c>
      <c r="D65" s="49">
        <v>8.17</v>
      </c>
      <c r="E65" s="49">
        <v>8.5</v>
      </c>
      <c r="F65" s="20" t="s">
        <v>0</v>
      </c>
      <c r="G65" s="20" t="s">
        <v>0</v>
      </c>
      <c r="H65" s="20" t="s">
        <v>0</v>
      </c>
      <c r="I65" s="22" t="s">
        <v>0</v>
      </c>
      <c r="J65" s="20" t="s">
        <v>0</v>
      </c>
      <c r="K65" s="20" t="s">
        <v>0</v>
      </c>
      <c r="L65" s="20" t="s">
        <v>0</v>
      </c>
      <c r="M65" s="23" t="s">
        <v>0</v>
      </c>
      <c r="N65" s="22" t="s">
        <v>0</v>
      </c>
      <c r="O65" s="22">
        <v>1.1805000000000001</v>
      </c>
    </row>
    <row r="66" spans="1:15" x14ac:dyDescent="0.25">
      <c r="A66" s="26" t="s">
        <v>29</v>
      </c>
      <c r="B66" s="49" t="s">
        <v>156</v>
      </c>
      <c r="C66" s="50">
        <v>1.5</v>
      </c>
      <c r="D66" s="49">
        <v>8.36</v>
      </c>
      <c r="E66" s="49">
        <v>8.98</v>
      </c>
      <c r="F66" s="20" t="s">
        <v>0</v>
      </c>
      <c r="G66" s="20" t="s">
        <v>0</v>
      </c>
      <c r="H66" s="20" t="s">
        <v>0</v>
      </c>
      <c r="I66" s="22" t="s">
        <v>0</v>
      </c>
      <c r="J66" s="20" t="s">
        <v>0</v>
      </c>
      <c r="K66" s="20" t="s">
        <v>0</v>
      </c>
      <c r="L66" s="20" t="s">
        <v>0</v>
      </c>
      <c r="M66" s="23" t="s">
        <v>0</v>
      </c>
      <c r="N66" s="22" t="s">
        <v>0</v>
      </c>
      <c r="O66" s="22">
        <v>1.1870000000000001</v>
      </c>
    </row>
    <row r="67" spans="1:15" x14ac:dyDescent="0.25">
      <c r="A67" s="26" t="s">
        <v>264</v>
      </c>
      <c r="B67" s="49" t="s">
        <v>266</v>
      </c>
      <c r="C67" s="50">
        <v>1.25</v>
      </c>
      <c r="D67" s="49">
        <v>8.33</v>
      </c>
      <c r="E67" s="49">
        <v>8.8699999999999992</v>
      </c>
      <c r="F67" s="20" t="s">
        <v>0</v>
      </c>
      <c r="G67" s="20" t="s">
        <v>0</v>
      </c>
      <c r="H67" s="20" t="s">
        <v>0</v>
      </c>
      <c r="I67" s="22" t="s">
        <v>0</v>
      </c>
      <c r="J67" s="20" t="s">
        <v>0</v>
      </c>
      <c r="K67" s="20" t="s">
        <v>0</v>
      </c>
      <c r="L67" s="20" t="s">
        <v>0</v>
      </c>
      <c r="M67" s="23" t="s">
        <v>0</v>
      </c>
      <c r="N67" s="22" t="s">
        <v>0</v>
      </c>
      <c r="O67" s="22">
        <v>1.1859</v>
      </c>
    </row>
    <row r="68" spans="1:15" x14ac:dyDescent="0.25">
      <c r="A68" s="26" t="s">
        <v>313</v>
      </c>
      <c r="B68" s="49" t="s">
        <v>314</v>
      </c>
      <c r="C68" s="50">
        <v>1.75</v>
      </c>
      <c r="D68" s="49">
        <v>8.34</v>
      </c>
      <c r="E68" s="49">
        <v>9.16</v>
      </c>
      <c r="F68" s="20" t="s">
        <v>0</v>
      </c>
      <c r="G68" s="20" t="s">
        <v>0</v>
      </c>
      <c r="H68" s="20" t="s">
        <v>0</v>
      </c>
      <c r="I68" s="22" t="s">
        <v>0</v>
      </c>
      <c r="J68" s="20" t="s">
        <v>0</v>
      </c>
      <c r="K68" s="20" t="s">
        <v>0</v>
      </c>
      <c r="L68" s="20" t="s">
        <v>0</v>
      </c>
      <c r="M68" s="23" t="s">
        <v>0</v>
      </c>
      <c r="N68" s="22" t="s">
        <v>0</v>
      </c>
      <c r="O68" s="22">
        <v>1.1891</v>
      </c>
    </row>
    <row r="69" spans="1:15" x14ac:dyDescent="0.25">
      <c r="A69" s="26" t="s">
        <v>53</v>
      </c>
      <c r="B69" s="49" t="s">
        <v>159</v>
      </c>
      <c r="C69" s="50">
        <v>1.5</v>
      </c>
      <c r="D69" s="49">
        <v>8.7100000000000009</v>
      </c>
      <c r="E69" s="49">
        <v>9.4499999999999993</v>
      </c>
      <c r="F69" s="20" t="s">
        <v>0</v>
      </c>
      <c r="G69" s="20" t="s">
        <v>0</v>
      </c>
      <c r="H69" s="20" t="s">
        <v>0</v>
      </c>
      <c r="I69" s="22" t="s">
        <v>0</v>
      </c>
      <c r="J69" s="20" t="s">
        <v>0</v>
      </c>
      <c r="K69" s="20" t="s">
        <v>0</v>
      </c>
      <c r="L69" s="20" t="s">
        <v>0</v>
      </c>
      <c r="M69" s="23" t="s">
        <v>0</v>
      </c>
      <c r="N69" s="22" t="s">
        <v>0</v>
      </c>
      <c r="O69" s="22">
        <v>1.194</v>
      </c>
    </row>
    <row r="70" spans="1:15" x14ac:dyDescent="0.25">
      <c r="A70" s="26" t="s">
        <v>329</v>
      </c>
      <c r="B70" s="49" t="s">
        <v>330</v>
      </c>
      <c r="C70" s="50">
        <v>1.25</v>
      </c>
      <c r="D70" s="49">
        <v>8.75</v>
      </c>
      <c r="E70" s="49">
        <v>9.4</v>
      </c>
      <c r="F70" s="20" t="s">
        <v>0</v>
      </c>
      <c r="G70" s="20" t="s">
        <v>0</v>
      </c>
      <c r="H70" s="20" t="s">
        <v>0</v>
      </c>
      <c r="I70" s="22" t="s">
        <v>0</v>
      </c>
      <c r="J70" s="20" t="s">
        <v>0</v>
      </c>
      <c r="K70" s="20" t="s">
        <v>0</v>
      </c>
      <c r="L70" s="20" t="s">
        <v>0</v>
      </c>
      <c r="M70" s="23" t="s">
        <v>0</v>
      </c>
      <c r="N70" s="22" t="s">
        <v>0</v>
      </c>
      <c r="O70" s="22">
        <v>1.1941999999999999</v>
      </c>
    </row>
    <row r="71" spans="1:15" x14ac:dyDescent="0.25">
      <c r="A71" s="26" t="s">
        <v>62</v>
      </c>
      <c r="B71" s="49" t="s">
        <v>158</v>
      </c>
      <c r="C71" s="50">
        <v>1.75</v>
      </c>
      <c r="D71" s="49">
        <v>8.76</v>
      </c>
      <c r="E71" s="49">
        <v>9.59</v>
      </c>
      <c r="F71" s="20" t="s">
        <v>0</v>
      </c>
      <c r="G71" s="20" t="s">
        <v>0</v>
      </c>
      <c r="H71" s="20" t="s">
        <v>0</v>
      </c>
      <c r="I71" s="22" t="s">
        <v>0</v>
      </c>
      <c r="J71" s="20" t="s">
        <v>0</v>
      </c>
      <c r="K71" s="20" t="s">
        <v>0</v>
      </c>
      <c r="L71" s="20" t="s">
        <v>0</v>
      </c>
      <c r="M71" s="23" t="s">
        <v>0</v>
      </c>
      <c r="N71" s="22" t="s">
        <v>0</v>
      </c>
      <c r="O71" s="22">
        <v>1.1953</v>
      </c>
    </row>
    <row r="72" spans="1:15" x14ac:dyDescent="0.25">
      <c r="A72" s="26" t="s">
        <v>30</v>
      </c>
      <c r="B72" s="49" t="s">
        <v>160</v>
      </c>
      <c r="C72" s="50">
        <v>2</v>
      </c>
      <c r="D72" s="49">
        <v>9.02</v>
      </c>
      <c r="E72" s="49">
        <v>9.94</v>
      </c>
      <c r="F72" s="20" t="s">
        <v>0</v>
      </c>
      <c r="G72" s="20" t="s">
        <v>0</v>
      </c>
      <c r="H72" s="20" t="s">
        <v>0</v>
      </c>
      <c r="I72" s="22" t="s">
        <v>0</v>
      </c>
      <c r="J72" s="20" t="s">
        <v>0</v>
      </c>
      <c r="K72" s="20" t="s">
        <v>0</v>
      </c>
      <c r="L72" s="20" t="s">
        <v>0</v>
      </c>
      <c r="M72" s="23" t="s">
        <v>0</v>
      </c>
      <c r="N72" s="22" t="s">
        <v>0</v>
      </c>
      <c r="O72" s="22">
        <v>1.1995</v>
      </c>
    </row>
    <row r="73" spans="1:15" x14ac:dyDescent="0.25">
      <c r="A73" s="26" t="s">
        <v>327</v>
      </c>
      <c r="B73" s="49" t="s">
        <v>328</v>
      </c>
      <c r="C73" s="50">
        <v>1.125</v>
      </c>
      <c r="D73" s="49">
        <v>8.9</v>
      </c>
      <c r="E73" s="49">
        <v>9.5</v>
      </c>
      <c r="F73" s="20">
        <v>1.1910000000000001</v>
      </c>
      <c r="G73" s="20">
        <v>1.19</v>
      </c>
      <c r="H73" s="20">
        <v>1.1906000000000001</v>
      </c>
      <c r="I73" s="22">
        <v>9.5</v>
      </c>
      <c r="J73" s="20" t="s">
        <v>0</v>
      </c>
      <c r="K73" s="20" t="s">
        <v>0</v>
      </c>
      <c r="L73" s="20" t="s">
        <v>0</v>
      </c>
      <c r="M73" s="23" t="s">
        <v>0</v>
      </c>
      <c r="N73" s="22" t="s">
        <v>0</v>
      </c>
      <c r="O73" s="22">
        <v>1.1960999999999999</v>
      </c>
    </row>
    <row r="74" spans="1:15" x14ac:dyDescent="0.25">
      <c r="A74" s="26" t="s">
        <v>21</v>
      </c>
      <c r="B74" s="49" t="s">
        <v>157</v>
      </c>
      <c r="C74" s="50">
        <v>3.875</v>
      </c>
      <c r="D74" s="49">
        <v>9.06</v>
      </c>
      <c r="E74" s="49">
        <v>10.77</v>
      </c>
      <c r="F74" s="20" t="s">
        <v>0</v>
      </c>
      <c r="G74" s="20" t="s">
        <v>0</v>
      </c>
      <c r="H74" s="20" t="s">
        <v>0</v>
      </c>
      <c r="I74" s="22" t="s">
        <v>0</v>
      </c>
      <c r="J74" s="20" t="s">
        <v>0</v>
      </c>
      <c r="K74" s="20" t="s">
        <v>0</v>
      </c>
      <c r="L74" s="20" t="s">
        <v>0</v>
      </c>
      <c r="M74" s="23" t="s">
        <v>0</v>
      </c>
      <c r="N74" s="22" t="s">
        <v>0</v>
      </c>
      <c r="O74" s="22">
        <v>1.206</v>
      </c>
    </row>
    <row r="75" spans="1:15" x14ac:dyDescent="0.25">
      <c r="A75" s="26" t="s">
        <v>377</v>
      </c>
      <c r="B75" s="49" t="s">
        <v>362</v>
      </c>
      <c r="C75" s="50">
        <v>1.125</v>
      </c>
      <c r="D75" s="49">
        <v>9.19</v>
      </c>
      <c r="E75" s="49">
        <v>9.81</v>
      </c>
      <c r="F75" s="20">
        <v>1.1988000000000001</v>
      </c>
      <c r="G75" s="20">
        <v>1.1950000000000001</v>
      </c>
      <c r="H75" s="20">
        <v>1.1962999999999999</v>
      </c>
      <c r="I75" s="22">
        <v>2.5</v>
      </c>
      <c r="J75" s="20">
        <v>1.1952</v>
      </c>
      <c r="K75" s="20">
        <v>1.1952</v>
      </c>
      <c r="L75" s="20">
        <v>1.1952</v>
      </c>
      <c r="M75" s="23">
        <v>1</v>
      </c>
      <c r="N75" s="22">
        <v>1</v>
      </c>
      <c r="O75" s="22">
        <v>1.2003999999999999</v>
      </c>
    </row>
    <row r="76" spans="1:15" x14ac:dyDescent="0.25">
      <c r="A76" s="26" t="s">
        <v>361</v>
      </c>
      <c r="B76" s="49" t="s">
        <v>362</v>
      </c>
      <c r="C76" s="50">
        <v>1.125</v>
      </c>
      <c r="D76" s="49">
        <v>9.1999999999999993</v>
      </c>
      <c r="E76" s="49">
        <v>9.81</v>
      </c>
      <c r="F76" s="20" t="s">
        <v>0</v>
      </c>
      <c r="G76" s="20" t="s">
        <v>0</v>
      </c>
      <c r="H76" s="20" t="s">
        <v>0</v>
      </c>
      <c r="I76" s="22" t="s">
        <v>0</v>
      </c>
      <c r="J76" s="20" t="s">
        <v>0</v>
      </c>
      <c r="K76" s="20" t="s">
        <v>0</v>
      </c>
      <c r="L76" s="20" t="s">
        <v>0</v>
      </c>
      <c r="M76" s="23" t="s">
        <v>0</v>
      </c>
      <c r="N76" s="22" t="s">
        <v>0</v>
      </c>
      <c r="O76" s="22">
        <v>1.2004999999999999</v>
      </c>
    </row>
    <row r="77" spans="1:15" x14ac:dyDescent="0.25">
      <c r="A77" s="26" t="s">
        <v>63</v>
      </c>
      <c r="B77" s="49" t="s">
        <v>161</v>
      </c>
      <c r="C77" s="50">
        <v>2</v>
      </c>
      <c r="D77" s="49">
        <v>9.36</v>
      </c>
      <c r="E77" s="49">
        <v>10.45</v>
      </c>
      <c r="F77" s="20" t="s">
        <v>0</v>
      </c>
      <c r="G77" s="20" t="s">
        <v>0</v>
      </c>
      <c r="H77" s="20" t="s">
        <v>0</v>
      </c>
      <c r="I77" s="22" t="s">
        <v>0</v>
      </c>
      <c r="J77" s="20" t="s">
        <v>0</v>
      </c>
      <c r="K77" s="20" t="s">
        <v>0</v>
      </c>
      <c r="L77" s="20" t="s">
        <v>0</v>
      </c>
      <c r="M77" s="23" t="s">
        <v>0</v>
      </c>
      <c r="N77" s="22" t="s">
        <v>0</v>
      </c>
      <c r="O77" s="22">
        <v>1.2070000000000001</v>
      </c>
    </row>
    <row r="78" spans="1:15" x14ac:dyDescent="0.25">
      <c r="A78" s="26" t="s">
        <v>65</v>
      </c>
      <c r="B78" s="49" t="s">
        <v>163</v>
      </c>
      <c r="C78" s="50">
        <v>2.125</v>
      </c>
      <c r="D78" s="49">
        <v>9.8000000000000007</v>
      </c>
      <c r="E78" s="49">
        <v>10.95</v>
      </c>
      <c r="F78" s="20" t="s">
        <v>0</v>
      </c>
      <c r="G78" s="20" t="s">
        <v>0</v>
      </c>
      <c r="H78" s="20" t="s">
        <v>0</v>
      </c>
      <c r="I78" s="22" t="s">
        <v>0</v>
      </c>
      <c r="J78" s="20" t="s">
        <v>0</v>
      </c>
      <c r="K78" s="20" t="s">
        <v>0</v>
      </c>
      <c r="L78" s="20" t="s">
        <v>0</v>
      </c>
      <c r="M78" s="23" t="s">
        <v>0</v>
      </c>
      <c r="N78" s="22" t="s">
        <v>0</v>
      </c>
      <c r="O78" s="22">
        <v>1.2144999999999999</v>
      </c>
    </row>
    <row r="79" spans="1:15" x14ac:dyDescent="0.25">
      <c r="A79" s="26" t="s">
        <v>44</v>
      </c>
      <c r="B79" s="49" t="s">
        <v>162</v>
      </c>
      <c r="C79" s="50">
        <v>1.875</v>
      </c>
      <c r="D79" s="49">
        <v>9.64</v>
      </c>
      <c r="E79" s="49">
        <v>10.68</v>
      </c>
      <c r="F79" s="20" t="s">
        <v>0</v>
      </c>
      <c r="G79" s="20" t="s">
        <v>0</v>
      </c>
      <c r="H79" s="20" t="s">
        <v>0</v>
      </c>
      <c r="I79" s="22" t="s">
        <v>0</v>
      </c>
      <c r="J79" s="20" t="s">
        <v>0</v>
      </c>
      <c r="K79" s="20" t="s">
        <v>0</v>
      </c>
      <c r="L79" s="20" t="s">
        <v>0</v>
      </c>
      <c r="M79" s="23" t="s">
        <v>0</v>
      </c>
      <c r="N79" s="22" t="s">
        <v>0</v>
      </c>
      <c r="O79" s="22">
        <v>1.2111000000000001</v>
      </c>
    </row>
    <row r="80" spans="1:15" x14ac:dyDescent="0.25">
      <c r="A80" s="26" t="s">
        <v>64</v>
      </c>
      <c r="B80" s="49" t="s">
        <v>164</v>
      </c>
      <c r="C80" s="50">
        <v>2.25</v>
      </c>
      <c r="D80" s="49">
        <v>9.73</v>
      </c>
      <c r="E80" s="49">
        <v>11.12</v>
      </c>
      <c r="F80" s="20" t="s">
        <v>0</v>
      </c>
      <c r="G80" s="20" t="s">
        <v>0</v>
      </c>
      <c r="H80" s="20" t="s">
        <v>0</v>
      </c>
      <c r="I80" s="22" t="s">
        <v>0</v>
      </c>
      <c r="J80" s="20" t="s">
        <v>0</v>
      </c>
      <c r="K80" s="20" t="s">
        <v>0</v>
      </c>
      <c r="L80" s="20" t="s">
        <v>0</v>
      </c>
      <c r="M80" s="23" t="s">
        <v>0</v>
      </c>
      <c r="N80" s="22" t="s">
        <v>0</v>
      </c>
      <c r="O80" s="22">
        <v>1.2168000000000001</v>
      </c>
    </row>
    <row r="81" spans="1:15" x14ac:dyDescent="0.25">
      <c r="A81" s="26" t="s">
        <v>26</v>
      </c>
      <c r="B81" s="49" t="s">
        <v>165</v>
      </c>
      <c r="C81" s="50">
        <v>2</v>
      </c>
      <c r="D81" s="49">
        <v>10.15</v>
      </c>
      <c r="E81" s="49">
        <v>11.43</v>
      </c>
      <c r="F81" s="20" t="s">
        <v>0</v>
      </c>
      <c r="G81" s="20" t="s">
        <v>0</v>
      </c>
      <c r="H81" s="20" t="s">
        <v>0</v>
      </c>
      <c r="I81" s="22" t="s">
        <v>0</v>
      </c>
      <c r="J81" s="20" t="s">
        <v>0</v>
      </c>
      <c r="K81" s="20" t="s">
        <v>0</v>
      </c>
      <c r="L81" s="20" t="s">
        <v>0</v>
      </c>
      <c r="M81" s="23" t="s">
        <v>0</v>
      </c>
      <c r="N81" s="22" t="s">
        <v>0</v>
      </c>
      <c r="O81" s="22">
        <v>1.2226999999999999</v>
      </c>
    </row>
    <row r="82" spans="1:15" x14ac:dyDescent="0.25">
      <c r="A82" s="26" t="s">
        <v>49</v>
      </c>
      <c r="B82" s="49" t="s">
        <v>166</v>
      </c>
      <c r="C82" s="50">
        <v>2.125</v>
      </c>
      <c r="D82" s="49">
        <v>10.31</v>
      </c>
      <c r="E82" s="49">
        <v>11.66</v>
      </c>
      <c r="F82" s="20" t="s">
        <v>0</v>
      </c>
      <c r="G82" s="20" t="s">
        <v>0</v>
      </c>
      <c r="H82" s="20" t="s">
        <v>0</v>
      </c>
      <c r="I82" s="22" t="s">
        <v>0</v>
      </c>
      <c r="J82" s="20" t="s">
        <v>0</v>
      </c>
      <c r="K82" s="20" t="s">
        <v>0</v>
      </c>
      <c r="L82" s="20" t="s">
        <v>0</v>
      </c>
      <c r="M82" s="23" t="s">
        <v>0</v>
      </c>
      <c r="N82" s="22" t="s">
        <v>0</v>
      </c>
      <c r="O82" s="22">
        <v>1.2261</v>
      </c>
    </row>
    <row r="83" spans="1:15" x14ac:dyDescent="0.25">
      <c r="A83" s="26" t="s">
        <v>54</v>
      </c>
      <c r="B83" s="49" t="s">
        <v>167</v>
      </c>
      <c r="C83" s="50">
        <v>1.75</v>
      </c>
      <c r="D83" s="49">
        <v>10.83</v>
      </c>
      <c r="E83" s="49">
        <v>12.19</v>
      </c>
      <c r="F83" s="20" t="s">
        <v>0</v>
      </c>
      <c r="G83" s="20" t="s">
        <v>0</v>
      </c>
      <c r="H83" s="20" t="s">
        <v>0</v>
      </c>
      <c r="I83" s="22" t="s">
        <v>0</v>
      </c>
      <c r="J83" s="20" t="s">
        <v>0</v>
      </c>
      <c r="K83" s="20" t="s">
        <v>0</v>
      </c>
      <c r="L83" s="20" t="s">
        <v>0</v>
      </c>
      <c r="M83" s="23" t="s">
        <v>0</v>
      </c>
      <c r="N83" s="22" t="s">
        <v>0</v>
      </c>
      <c r="O83" s="22">
        <v>1.2366999999999999</v>
      </c>
    </row>
    <row r="84" spans="1:15" x14ac:dyDescent="0.25">
      <c r="A84" s="26" t="s">
        <v>39</v>
      </c>
      <c r="B84" s="49" t="s">
        <v>168</v>
      </c>
      <c r="C84" s="50">
        <v>1.375</v>
      </c>
      <c r="D84" s="49">
        <v>11.28</v>
      </c>
      <c r="E84" s="49">
        <v>12.43</v>
      </c>
      <c r="F84" s="20" t="s">
        <v>0</v>
      </c>
      <c r="G84" s="20" t="s">
        <v>0</v>
      </c>
      <c r="H84" s="20" t="s">
        <v>0</v>
      </c>
      <c r="I84" s="22" t="s">
        <v>0</v>
      </c>
      <c r="J84" s="20" t="s">
        <v>0</v>
      </c>
      <c r="K84" s="20" t="s">
        <v>0</v>
      </c>
      <c r="L84" s="20" t="s">
        <v>0</v>
      </c>
      <c r="M84" s="23" t="s">
        <v>0</v>
      </c>
      <c r="N84" s="22" t="s">
        <v>0</v>
      </c>
      <c r="O84" s="22">
        <v>1.2426999999999999</v>
      </c>
    </row>
    <row r="85" spans="1:15" x14ac:dyDescent="0.25">
      <c r="A85" s="26" t="s">
        <v>34</v>
      </c>
      <c r="B85" s="49" t="s">
        <v>169</v>
      </c>
      <c r="C85" s="50">
        <v>1.25</v>
      </c>
      <c r="D85" s="49">
        <v>11.57</v>
      </c>
      <c r="E85" s="49">
        <v>12.64</v>
      </c>
      <c r="F85" s="20" t="s">
        <v>0</v>
      </c>
      <c r="G85" s="20" t="s">
        <v>0</v>
      </c>
      <c r="H85" s="20" t="s">
        <v>0</v>
      </c>
      <c r="I85" s="22" t="s">
        <v>0</v>
      </c>
      <c r="J85" s="20" t="s">
        <v>0</v>
      </c>
      <c r="K85" s="20" t="s">
        <v>0</v>
      </c>
      <c r="L85" s="20" t="s">
        <v>0</v>
      </c>
      <c r="M85" s="23" t="s">
        <v>0</v>
      </c>
      <c r="N85" s="22" t="s">
        <v>0</v>
      </c>
      <c r="O85" s="22">
        <v>1.2471000000000001</v>
      </c>
    </row>
    <row r="86" spans="1:15" x14ac:dyDescent="0.25">
      <c r="A86" s="26" t="s">
        <v>45</v>
      </c>
      <c r="B86" s="49" t="s">
        <v>171</v>
      </c>
      <c r="C86" s="50">
        <v>1.125</v>
      </c>
      <c r="D86" s="49">
        <v>11.92</v>
      </c>
      <c r="E86" s="49">
        <v>12.92</v>
      </c>
      <c r="F86" s="20" t="s">
        <v>0</v>
      </c>
      <c r="G86" s="20" t="s">
        <v>0</v>
      </c>
      <c r="H86" s="20" t="s">
        <v>0</v>
      </c>
      <c r="I86" s="22" t="s">
        <v>0</v>
      </c>
      <c r="J86" s="20" t="s">
        <v>0</v>
      </c>
      <c r="K86" s="20" t="s">
        <v>0</v>
      </c>
      <c r="L86" s="20" t="s">
        <v>0</v>
      </c>
      <c r="M86" s="23" t="s">
        <v>0</v>
      </c>
      <c r="N86" s="22" t="s">
        <v>0</v>
      </c>
      <c r="O86" s="22">
        <v>1.2528999999999999</v>
      </c>
    </row>
    <row r="87" spans="1:15" x14ac:dyDescent="0.25">
      <c r="A87" s="26" t="s">
        <v>36</v>
      </c>
      <c r="B87" s="49" t="s">
        <v>170</v>
      </c>
      <c r="C87" s="50">
        <v>1.75</v>
      </c>
      <c r="D87" s="49">
        <v>11.94</v>
      </c>
      <c r="E87" s="49">
        <v>13.51</v>
      </c>
      <c r="F87" s="20" t="s">
        <v>0</v>
      </c>
      <c r="G87" s="20" t="s">
        <v>0</v>
      </c>
      <c r="H87" s="20" t="s">
        <v>0</v>
      </c>
      <c r="I87" s="22" t="s">
        <v>0</v>
      </c>
      <c r="J87" s="20" t="s">
        <v>0</v>
      </c>
      <c r="K87" s="20" t="s">
        <v>0</v>
      </c>
      <c r="L87" s="20" t="s">
        <v>0</v>
      </c>
      <c r="M87" s="23" t="s">
        <v>0</v>
      </c>
      <c r="N87" s="22" t="s">
        <v>0</v>
      </c>
      <c r="O87" s="22">
        <v>1.2604</v>
      </c>
    </row>
    <row r="88" spans="1:15" x14ac:dyDescent="0.25">
      <c r="A88" s="26" t="s">
        <v>66</v>
      </c>
      <c r="B88" s="49" t="s">
        <v>172</v>
      </c>
      <c r="C88" s="50">
        <v>1.5</v>
      </c>
      <c r="D88" s="49">
        <v>12.59</v>
      </c>
      <c r="E88" s="49">
        <v>14</v>
      </c>
      <c r="F88" s="20" t="s">
        <v>0</v>
      </c>
      <c r="G88" s="20" t="s">
        <v>0</v>
      </c>
      <c r="H88" s="20" t="s">
        <v>0</v>
      </c>
      <c r="I88" s="22" t="s">
        <v>0</v>
      </c>
      <c r="J88" s="20" t="s">
        <v>0</v>
      </c>
      <c r="K88" s="20" t="s">
        <v>0</v>
      </c>
      <c r="L88" s="20" t="s">
        <v>0</v>
      </c>
      <c r="M88" s="23" t="s">
        <v>0</v>
      </c>
      <c r="N88" s="22" t="s">
        <v>0</v>
      </c>
      <c r="O88" s="22">
        <v>1.2709999999999999</v>
      </c>
    </row>
    <row r="89" spans="1:15" x14ac:dyDescent="0.25">
      <c r="A89" s="26" t="s">
        <v>67</v>
      </c>
      <c r="B89" s="49" t="s">
        <v>173</v>
      </c>
      <c r="C89" s="50">
        <v>1.375</v>
      </c>
      <c r="D89" s="49">
        <v>13.06</v>
      </c>
      <c r="E89" s="49">
        <v>14.57</v>
      </c>
      <c r="F89" s="20" t="s">
        <v>0</v>
      </c>
      <c r="G89" s="20" t="s">
        <v>0</v>
      </c>
      <c r="H89" s="20" t="s">
        <v>0</v>
      </c>
      <c r="I89" s="22" t="s">
        <v>0</v>
      </c>
      <c r="J89" s="20" t="s">
        <v>0</v>
      </c>
      <c r="K89" s="20" t="s">
        <v>0</v>
      </c>
      <c r="L89" s="20" t="s">
        <v>0</v>
      </c>
      <c r="M89" s="23" t="s">
        <v>0</v>
      </c>
      <c r="N89" s="22" t="s">
        <v>0</v>
      </c>
      <c r="O89" s="22">
        <v>1.2826</v>
      </c>
    </row>
    <row r="90" spans="1:15" x14ac:dyDescent="0.25">
      <c r="A90" s="26" t="s">
        <v>68</v>
      </c>
      <c r="B90" s="49" t="s">
        <v>175</v>
      </c>
      <c r="C90" s="50">
        <v>1.125</v>
      </c>
      <c r="D90" s="49">
        <v>13.62</v>
      </c>
      <c r="E90" s="49">
        <v>15.09</v>
      </c>
      <c r="F90" s="20" t="s">
        <v>0</v>
      </c>
      <c r="G90" s="20" t="s">
        <v>0</v>
      </c>
      <c r="H90" s="20" t="s">
        <v>0</v>
      </c>
      <c r="I90" s="22" t="s">
        <v>0</v>
      </c>
      <c r="J90" s="20" t="s">
        <v>0</v>
      </c>
      <c r="K90" s="20" t="s">
        <v>0</v>
      </c>
      <c r="L90" s="20" t="s">
        <v>0</v>
      </c>
      <c r="M90" s="23" t="s">
        <v>0</v>
      </c>
      <c r="N90" s="22" t="s">
        <v>0</v>
      </c>
      <c r="O90" s="22">
        <v>1.2945</v>
      </c>
    </row>
    <row r="91" spans="1:15" x14ac:dyDescent="0.25">
      <c r="A91" s="26" t="s">
        <v>22</v>
      </c>
      <c r="B91" s="49" t="s">
        <v>174</v>
      </c>
      <c r="C91" s="50">
        <v>2.25</v>
      </c>
      <c r="D91" s="49">
        <v>13.78</v>
      </c>
      <c r="E91" s="49">
        <v>16.440000000000001</v>
      </c>
      <c r="F91" s="20" t="s">
        <v>0</v>
      </c>
      <c r="G91" s="20" t="s">
        <v>0</v>
      </c>
      <c r="H91" s="20" t="s">
        <v>0</v>
      </c>
      <c r="I91" s="22" t="s">
        <v>0</v>
      </c>
      <c r="J91" s="20" t="s">
        <v>0</v>
      </c>
      <c r="K91" s="20" t="s">
        <v>0</v>
      </c>
      <c r="L91" s="20" t="s">
        <v>0</v>
      </c>
      <c r="M91" s="23" t="s">
        <v>0</v>
      </c>
      <c r="N91" s="22" t="s">
        <v>0</v>
      </c>
      <c r="O91" s="22">
        <v>1.3125</v>
      </c>
    </row>
    <row r="92" spans="1:15" x14ac:dyDescent="0.25">
      <c r="A92" s="26" t="s">
        <v>291</v>
      </c>
      <c r="B92" s="49" t="s">
        <v>176</v>
      </c>
      <c r="C92" s="50">
        <v>1.125</v>
      </c>
      <c r="D92" s="49">
        <v>13.97</v>
      </c>
      <c r="E92" s="49">
        <v>15.44</v>
      </c>
      <c r="F92" s="20" t="s">
        <v>0</v>
      </c>
      <c r="G92" s="20" t="s">
        <v>0</v>
      </c>
      <c r="H92" s="20" t="s">
        <v>0</v>
      </c>
      <c r="I92" s="22" t="s">
        <v>0</v>
      </c>
      <c r="J92" s="20" t="s">
        <v>0</v>
      </c>
      <c r="K92" s="20" t="s">
        <v>0</v>
      </c>
      <c r="L92" s="20" t="s">
        <v>0</v>
      </c>
      <c r="M92" s="23" t="s">
        <v>0</v>
      </c>
      <c r="N92" s="22" t="s">
        <v>0</v>
      </c>
      <c r="O92" s="22">
        <v>1.3013999999999999</v>
      </c>
    </row>
    <row r="93" spans="1:15" x14ac:dyDescent="0.25">
      <c r="A93" s="26" t="s">
        <v>292</v>
      </c>
      <c r="B93" s="49" t="s">
        <v>177</v>
      </c>
      <c r="C93" s="50">
        <v>1.125</v>
      </c>
      <c r="D93" s="49">
        <v>14.06</v>
      </c>
      <c r="E93" s="49">
        <v>15.54</v>
      </c>
      <c r="F93" s="20" t="s">
        <v>0</v>
      </c>
      <c r="G93" s="20" t="s">
        <v>0</v>
      </c>
      <c r="H93" s="20" t="s">
        <v>0</v>
      </c>
      <c r="I93" s="22" t="s">
        <v>0</v>
      </c>
      <c r="J93" s="20" t="s">
        <v>0</v>
      </c>
      <c r="K93" s="20" t="s">
        <v>0</v>
      </c>
      <c r="L93" s="20" t="s">
        <v>0</v>
      </c>
      <c r="M93" s="23" t="s">
        <v>0</v>
      </c>
      <c r="N93" s="22" t="s">
        <v>0</v>
      </c>
      <c r="O93" s="22">
        <v>1.3032999999999999</v>
      </c>
    </row>
    <row r="94" spans="1:15" x14ac:dyDescent="0.25">
      <c r="A94" s="26" t="s">
        <v>46</v>
      </c>
      <c r="B94" s="49" t="s">
        <v>178</v>
      </c>
      <c r="C94" s="50">
        <v>2.125</v>
      </c>
      <c r="D94" s="49">
        <v>14.5</v>
      </c>
      <c r="E94" s="49">
        <v>17.36</v>
      </c>
      <c r="F94" s="20">
        <v>1.345</v>
      </c>
      <c r="G94" s="20">
        <v>1.345</v>
      </c>
      <c r="H94" s="20">
        <v>1.345</v>
      </c>
      <c r="I94" s="22">
        <v>6</v>
      </c>
      <c r="J94" s="20">
        <v>1.3460000000000001</v>
      </c>
      <c r="K94" s="20">
        <v>1.345</v>
      </c>
      <c r="L94" s="20">
        <v>1.3458000000000001</v>
      </c>
      <c r="M94" s="23">
        <v>2</v>
      </c>
      <c r="N94" s="22">
        <v>10</v>
      </c>
      <c r="O94" s="22">
        <v>1.3307</v>
      </c>
    </row>
    <row r="95" spans="1:15" x14ac:dyDescent="0.25">
      <c r="A95" s="26" t="s">
        <v>23</v>
      </c>
      <c r="B95" s="49" t="s">
        <v>179</v>
      </c>
      <c r="C95" s="50">
        <v>2</v>
      </c>
      <c r="D95" s="49">
        <v>14.76</v>
      </c>
      <c r="E95" s="49">
        <v>17.510000000000002</v>
      </c>
      <c r="F95" s="20" t="s">
        <v>0</v>
      </c>
      <c r="G95" s="20" t="s">
        <v>0</v>
      </c>
      <c r="H95" s="20" t="s">
        <v>0</v>
      </c>
      <c r="I95" s="22" t="s">
        <v>0</v>
      </c>
      <c r="J95" s="20" t="s">
        <v>0</v>
      </c>
      <c r="K95" s="20" t="s">
        <v>0</v>
      </c>
      <c r="L95" s="20" t="s">
        <v>0</v>
      </c>
      <c r="M95" s="23" t="s">
        <v>0</v>
      </c>
      <c r="N95" s="22" t="s">
        <v>0</v>
      </c>
      <c r="O95" s="22">
        <v>1.3346</v>
      </c>
    </row>
    <row r="96" spans="1:15" x14ac:dyDescent="0.25">
      <c r="A96" s="26" t="s">
        <v>40</v>
      </c>
      <c r="B96" s="49" t="s">
        <v>180</v>
      </c>
      <c r="C96" s="50">
        <v>0.75</v>
      </c>
      <c r="D96" s="49">
        <v>14.82</v>
      </c>
      <c r="E96" s="49">
        <v>16.05</v>
      </c>
      <c r="F96" s="20" t="s">
        <v>0</v>
      </c>
      <c r="G96" s="20" t="s">
        <v>0</v>
      </c>
      <c r="H96" s="20" t="s">
        <v>0</v>
      </c>
      <c r="I96" s="22" t="s">
        <v>0</v>
      </c>
      <c r="J96" s="20" t="s">
        <v>0</v>
      </c>
      <c r="K96" s="20" t="s">
        <v>0</v>
      </c>
      <c r="L96" s="20" t="s">
        <v>0</v>
      </c>
      <c r="M96" s="23" t="s">
        <v>0</v>
      </c>
      <c r="N96" s="22" t="s">
        <v>0</v>
      </c>
      <c r="O96" s="22">
        <v>1.3165</v>
      </c>
    </row>
    <row r="97" spans="1:15" x14ac:dyDescent="0.25">
      <c r="A97" s="26" t="s">
        <v>47</v>
      </c>
      <c r="B97" s="49" t="s">
        <v>181</v>
      </c>
      <c r="C97" s="50">
        <v>1.875</v>
      </c>
      <c r="D97" s="49">
        <v>15.1</v>
      </c>
      <c r="E97" s="49">
        <v>18.010000000000002</v>
      </c>
      <c r="F97" s="20" t="s">
        <v>0</v>
      </c>
      <c r="G97" s="20" t="s">
        <v>0</v>
      </c>
      <c r="H97" s="20" t="s">
        <v>0</v>
      </c>
      <c r="I97" s="22" t="s">
        <v>0</v>
      </c>
      <c r="J97" s="20" t="s">
        <v>0</v>
      </c>
      <c r="K97" s="20" t="s">
        <v>0</v>
      </c>
      <c r="L97" s="20" t="s">
        <v>0</v>
      </c>
      <c r="M97" s="23" t="s">
        <v>0</v>
      </c>
      <c r="N97" s="22" t="s">
        <v>0</v>
      </c>
      <c r="O97" s="22">
        <v>1.3452999999999999</v>
      </c>
    </row>
    <row r="98" spans="1:15" x14ac:dyDescent="0.25">
      <c r="A98" s="26" t="s">
        <v>293</v>
      </c>
      <c r="B98" s="49" t="s">
        <v>182</v>
      </c>
      <c r="C98" s="50">
        <v>0.75</v>
      </c>
      <c r="D98" s="49">
        <v>15.17</v>
      </c>
      <c r="E98" s="49">
        <v>16.41</v>
      </c>
      <c r="F98" s="20" t="s">
        <v>0</v>
      </c>
      <c r="G98" s="20" t="s">
        <v>0</v>
      </c>
      <c r="H98" s="20" t="s">
        <v>0</v>
      </c>
      <c r="I98" s="22" t="s">
        <v>0</v>
      </c>
      <c r="J98" s="20" t="s">
        <v>0</v>
      </c>
      <c r="K98" s="20" t="s">
        <v>0</v>
      </c>
      <c r="L98" s="20" t="s">
        <v>0</v>
      </c>
      <c r="M98" s="23" t="s">
        <v>0</v>
      </c>
      <c r="N98" s="22" t="s">
        <v>0</v>
      </c>
      <c r="O98" s="22">
        <v>1.3238000000000001</v>
      </c>
    </row>
    <row r="99" spans="1:15" x14ac:dyDescent="0.25">
      <c r="A99" s="26" t="s">
        <v>294</v>
      </c>
      <c r="B99" s="49" t="s">
        <v>184</v>
      </c>
      <c r="C99" s="50">
        <v>0.5</v>
      </c>
      <c r="D99" s="49">
        <v>15.62</v>
      </c>
      <c r="E99" s="49">
        <v>16.559999999999999</v>
      </c>
      <c r="F99" s="20" t="s">
        <v>0</v>
      </c>
      <c r="G99" s="20" t="s">
        <v>0</v>
      </c>
      <c r="H99" s="20" t="s">
        <v>0</v>
      </c>
      <c r="I99" s="22" t="s">
        <v>0</v>
      </c>
      <c r="J99" s="20" t="s">
        <v>0</v>
      </c>
      <c r="K99" s="20" t="s">
        <v>0</v>
      </c>
      <c r="L99" s="20" t="s">
        <v>0</v>
      </c>
      <c r="M99" s="23" t="s">
        <v>0</v>
      </c>
      <c r="N99" s="22" t="s">
        <v>0</v>
      </c>
      <c r="O99" s="22">
        <v>1.329</v>
      </c>
    </row>
    <row r="100" spans="1:15" x14ac:dyDescent="0.25">
      <c r="A100" s="26" t="s">
        <v>24</v>
      </c>
      <c r="B100" s="49" t="s">
        <v>183</v>
      </c>
      <c r="C100" s="50">
        <v>1.75</v>
      </c>
      <c r="D100" s="49">
        <v>15.7</v>
      </c>
      <c r="E100" s="49">
        <v>18.489999999999998</v>
      </c>
      <c r="F100" s="20" t="s">
        <v>0</v>
      </c>
      <c r="G100" s="20" t="s">
        <v>0</v>
      </c>
      <c r="H100" s="20" t="s">
        <v>0</v>
      </c>
      <c r="I100" s="22" t="s">
        <v>0</v>
      </c>
      <c r="J100" s="20" t="s">
        <v>0</v>
      </c>
      <c r="K100" s="20" t="s">
        <v>0</v>
      </c>
      <c r="L100" s="20" t="s">
        <v>0</v>
      </c>
      <c r="M100" s="23" t="s">
        <v>0</v>
      </c>
      <c r="N100" s="22" t="s">
        <v>0</v>
      </c>
      <c r="O100" s="22">
        <v>1.3555999999999999</v>
      </c>
    </row>
    <row r="101" spans="1:15" x14ac:dyDescent="0.25">
      <c r="A101" s="26" t="s">
        <v>69</v>
      </c>
      <c r="B101" s="49" t="s">
        <v>185</v>
      </c>
      <c r="C101" s="50">
        <v>2.5</v>
      </c>
      <c r="D101" s="49">
        <v>16.11</v>
      </c>
      <c r="E101" s="49">
        <v>19.95</v>
      </c>
      <c r="F101" s="20">
        <v>1.3859999999999999</v>
      </c>
      <c r="G101" s="20">
        <v>1.3851</v>
      </c>
      <c r="H101" s="20">
        <v>1.3856999999999999</v>
      </c>
      <c r="I101" s="22">
        <v>3</v>
      </c>
      <c r="J101" s="20">
        <v>1.385</v>
      </c>
      <c r="K101" s="20">
        <v>1.385</v>
      </c>
      <c r="L101" s="20">
        <v>1.385</v>
      </c>
      <c r="M101" s="23">
        <v>1</v>
      </c>
      <c r="N101" s="22">
        <v>1</v>
      </c>
      <c r="O101" s="22">
        <v>1.3758999999999999</v>
      </c>
    </row>
    <row r="102" spans="1:15" x14ac:dyDescent="0.25">
      <c r="A102" s="26" t="s">
        <v>311</v>
      </c>
      <c r="B102" s="49" t="s">
        <v>306</v>
      </c>
      <c r="C102" s="50">
        <v>1.875</v>
      </c>
      <c r="D102" s="49">
        <v>15.91</v>
      </c>
      <c r="E102" s="49">
        <v>19.12</v>
      </c>
      <c r="F102" s="20" t="s">
        <v>0</v>
      </c>
      <c r="G102" s="20" t="s">
        <v>0</v>
      </c>
      <c r="H102" s="20" t="s">
        <v>0</v>
      </c>
      <c r="I102" s="22" t="s">
        <v>0</v>
      </c>
      <c r="J102" s="20" t="s">
        <v>0</v>
      </c>
      <c r="K102" s="20" t="s">
        <v>0</v>
      </c>
      <c r="L102" s="20" t="s">
        <v>0</v>
      </c>
      <c r="M102" s="23" t="s">
        <v>0</v>
      </c>
      <c r="N102" s="22" t="s">
        <v>0</v>
      </c>
      <c r="O102" s="22">
        <v>1.3664000000000001</v>
      </c>
    </row>
    <row r="103" spans="1:15" x14ac:dyDescent="0.25">
      <c r="A103" s="26" t="s">
        <v>295</v>
      </c>
      <c r="B103" s="49" t="s">
        <v>187</v>
      </c>
      <c r="C103" s="50">
        <v>0.5</v>
      </c>
      <c r="D103" s="49">
        <v>16.05</v>
      </c>
      <c r="E103" s="49">
        <v>17.079999999999998</v>
      </c>
      <c r="F103" s="20" t="s">
        <v>0</v>
      </c>
      <c r="G103" s="20" t="s">
        <v>0</v>
      </c>
      <c r="H103" s="20" t="s">
        <v>0</v>
      </c>
      <c r="I103" s="22" t="s">
        <v>0</v>
      </c>
      <c r="J103" s="20" t="s">
        <v>0</v>
      </c>
      <c r="K103" s="20" t="s">
        <v>0</v>
      </c>
      <c r="L103" s="20" t="s">
        <v>0</v>
      </c>
      <c r="M103" s="23" t="s">
        <v>0</v>
      </c>
      <c r="N103" s="22" t="s">
        <v>0</v>
      </c>
      <c r="O103" s="22">
        <v>1.3399000000000001</v>
      </c>
    </row>
    <row r="104" spans="1:15" x14ac:dyDescent="0.25">
      <c r="A104" s="26" t="s">
        <v>70</v>
      </c>
      <c r="B104" s="49" t="s">
        <v>186</v>
      </c>
      <c r="C104" s="50">
        <v>1.625</v>
      </c>
      <c r="D104" s="49">
        <v>16.100000000000001</v>
      </c>
      <c r="E104" s="49">
        <v>19.010000000000002</v>
      </c>
      <c r="F104" s="20">
        <v>1.3751</v>
      </c>
      <c r="G104" s="20">
        <v>1.375</v>
      </c>
      <c r="H104" s="20">
        <v>1.375</v>
      </c>
      <c r="I104" s="22">
        <v>7</v>
      </c>
      <c r="J104" s="20">
        <v>1.3759999999999999</v>
      </c>
      <c r="K104" s="20">
        <v>1.375</v>
      </c>
      <c r="L104" s="20">
        <v>1.3756999999999999</v>
      </c>
      <c r="M104" s="23">
        <v>5</v>
      </c>
      <c r="N104" s="22">
        <v>11</v>
      </c>
      <c r="O104" s="22">
        <v>1.367</v>
      </c>
    </row>
    <row r="105" spans="1:15" x14ac:dyDescent="0.25">
      <c r="A105" s="26" t="s">
        <v>297</v>
      </c>
      <c r="B105" s="49" t="s">
        <v>193</v>
      </c>
      <c r="C105" s="50">
        <v>0.5</v>
      </c>
      <c r="D105" s="49">
        <v>16.41</v>
      </c>
      <c r="E105" s="49">
        <v>17.45</v>
      </c>
      <c r="F105" s="20" t="s">
        <v>0</v>
      </c>
      <c r="G105" s="20" t="s">
        <v>0</v>
      </c>
      <c r="H105" s="20" t="s">
        <v>0</v>
      </c>
      <c r="I105" s="22" t="s">
        <v>0</v>
      </c>
      <c r="J105" s="20" t="s">
        <v>0</v>
      </c>
      <c r="K105" s="20" t="s">
        <v>0</v>
      </c>
      <c r="L105" s="20" t="s">
        <v>0</v>
      </c>
      <c r="M105" s="23" t="s">
        <v>0</v>
      </c>
      <c r="N105" s="22" t="s">
        <v>0</v>
      </c>
      <c r="O105" s="22">
        <v>1.3474999999999999</v>
      </c>
    </row>
    <row r="106" spans="1:15" x14ac:dyDescent="0.25">
      <c r="A106" s="26" t="s">
        <v>41</v>
      </c>
      <c r="B106" s="49" t="s">
        <v>188</v>
      </c>
      <c r="C106" s="50">
        <v>1.75</v>
      </c>
      <c r="D106" s="49">
        <v>16.45</v>
      </c>
      <c r="E106" s="49">
        <v>19.52</v>
      </c>
      <c r="F106" s="20" t="s">
        <v>0</v>
      </c>
      <c r="G106" s="20" t="s">
        <v>0</v>
      </c>
      <c r="H106" s="20" t="s">
        <v>0</v>
      </c>
      <c r="I106" s="22" t="s">
        <v>0</v>
      </c>
      <c r="J106" s="20" t="s">
        <v>0</v>
      </c>
      <c r="K106" s="20" t="s">
        <v>0</v>
      </c>
      <c r="L106" s="20" t="s">
        <v>0</v>
      </c>
      <c r="M106" s="23" t="s">
        <v>0</v>
      </c>
      <c r="N106" s="22" t="s">
        <v>0</v>
      </c>
      <c r="O106" s="22">
        <v>1.3754</v>
      </c>
    </row>
    <row r="107" spans="1:15" x14ac:dyDescent="0.25">
      <c r="A107" s="26" t="s">
        <v>260</v>
      </c>
      <c r="B107" s="49" t="s">
        <v>192</v>
      </c>
      <c r="C107" s="50">
        <v>0.375</v>
      </c>
      <c r="D107" s="49">
        <v>16.510000000000002</v>
      </c>
      <c r="E107" s="49">
        <v>17.36</v>
      </c>
      <c r="F107" s="20" t="s">
        <v>0</v>
      </c>
      <c r="G107" s="20" t="s">
        <v>0</v>
      </c>
      <c r="H107" s="20" t="s">
        <v>0</v>
      </c>
      <c r="I107" s="22" t="s">
        <v>0</v>
      </c>
      <c r="J107" s="20" t="s">
        <v>0</v>
      </c>
      <c r="K107" s="20" t="s">
        <v>0</v>
      </c>
      <c r="L107" s="20" t="s">
        <v>0</v>
      </c>
      <c r="M107" s="23" t="s">
        <v>0</v>
      </c>
      <c r="N107" s="22" t="s">
        <v>0</v>
      </c>
      <c r="O107" s="22">
        <v>1.3471</v>
      </c>
    </row>
    <row r="108" spans="1:15" x14ac:dyDescent="0.25">
      <c r="A108" s="26" t="s">
        <v>256</v>
      </c>
      <c r="B108" s="49" t="s">
        <v>250</v>
      </c>
      <c r="C108" s="50">
        <v>1</v>
      </c>
      <c r="D108" s="49">
        <v>16.52</v>
      </c>
      <c r="E108" s="49">
        <v>18.420000000000002</v>
      </c>
      <c r="F108" s="20" t="s">
        <v>0</v>
      </c>
      <c r="G108" s="20" t="s">
        <v>0</v>
      </c>
      <c r="H108" s="20" t="s">
        <v>0</v>
      </c>
      <c r="I108" s="22" t="s">
        <v>0</v>
      </c>
      <c r="J108" s="20" t="s">
        <v>0</v>
      </c>
      <c r="K108" s="20" t="s">
        <v>0</v>
      </c>
      <c r="L108" s="20" t="s">
        <v>0</v>
      </c>
      <c r="M108" s="23" t="s">
        <v>0</v>
      </c>
      <c r="N108" s="22" t="s">
        <v>0</v>
      </c>
      <c r="O108" s="22">
        <v>1.3619000000000001</v>
      </c>
    </row>
    <row r="109" spans="1:15" x14ac:dyDescent="0.25">
      <c r="A109" s="26" t="s">
        <v>296</v>
      </c>
      <c r="B109" s="49" t="s">
        <v>213</v>
      </c>
      <c r="C109" s="50">
        <v>0.625</v>
      </c>
      <c r="D109" s="49">
        <v>16.53</v>
      </c>
      <c r="E109" s="49">
        <v>17.760000000000002</v>
      </c>
      <c r="F109" s="20" t="s">
        <v>0</v>
      </c>
      <c r="G109" s="20" t="s">
        <v>0</v>
      </c>
      <c r="H109" s="20" t="s">
        <v>0</v>
      </c>
      <c r="I109" s="22" t="s">
        <v>0</v>
      </c>
      <c r="J109" s="20" t="s">
        <v>0</v>
      </c>
      <c r="K109" s="20" t="s">
        <v>0</v>
      </c>
      <c r="L109" s="20" t="s">
        <v>0</v>
      </c>
      <c r="M109" s="23" t="s">
        <v>0</v>
      </c>
      <c r="N109" s="22" t="s">
        <v>0</v>
      </c>
      <c r="O109" s="22">
        <v>1.3525</v>
      </c>
    </row>
    <row r="110" spans="1:15" x14ac:dyDescent="0.25">
      <c r="A110" s="26" t="s">
        <v>72</v>
      </c>
      <c r="B110" s="49" t="s">
        <v>190</v>
      </c>
      <c r="C110" s="50">
        <v>2.25</v>
      </c>
      <c r="D110" s="49">
        <v>17.010000000000002</v>
      </c>
      <c r="E110" s="49">
        <v>20.96</v>
      </c>
      <c r="F110" s="20" t="s">
        <v>0</v>
      </c>
      <c r="G110" s="20" t="s">
        <v>0</v>
      </c>
      <c r="H110" s="20" t="s">
        <v>0</v>
      </c>
      <c r="I110" s="22" t="s">
        <v>0</v>
      </c>
      <c r="J110" s="20" t="s">
        <v>0</v>
      </c>
      <c r="K110" s="20" t="s">
        <v>0</v>
      </c>
      <c r="L110" s="20" t="s">
        <v>0</v>
      </c>
      <c r="M110" s="23" t="s">
        <v>0</v>
      </c>
      <c r="N110" s="22" t="s">
        <v>0</v>
      </c>
      <c r="O110" s="22">
        <v>1.3969</v>
      </c>
    </row>
    <row r="111" spans="1:15" x14ac:dyDescent="0.25">
      <c r="A111" s="26" t="s">
        <v>48</v>
      </c>
      <c r="B111" s="49" t="s">
        <v>189</v>
      </c>
      <c r="C111" s="50">
        <v>2.125</v>
      </c>
      <c r="D111" s="49">
        <v>16.72</v>
      </c>
      <c r="E111" s="49">
        <v>20.52</v>
      </c>
      <c r="F111" s="20" t="s">
        <v>0</v>
      </c>
      <c r="G111" s="20" t="s">
        <v>0</v>
      </c>
      <c r="H111" s="20" t="s">
        <v>0</v>
      </c>
      <c r="I111" s="22" t="s">
        <v>0</v>
      </c>
      <c r="J111" s="20" t="s">
        <v>0</v>
      </c>
      <c r="K111" s="20" t="s">
        <v>0</v>
      </c>
      <c r="L111" s="20" t="s">
        <v>0</v>
      </c>
      <c r="M111" s="23" t="s">
        <v>0</v>
      </c>
      <c r="N111" s="22" t="s">
        <v>0</v>
      </c>
      <c r="O111" s="22">
        <v>1.3902000000000001</v>
      </c>
    </row>
    <row r="112" spans="1:15" x14ac:dyDescent="0.25">
      <c r="A112" s="26" t="s">
        <v>259</v>
      </c>
      <c r="B112" s="49" t="s">
        <v>251</v>
      </c>
      <c r="C112" s="50">
        <v>0.875</v>
      </c>
      <c r="D112" s="49">
        <v>16.809999999999999</v>
      </c>
      <c r="E112" s="49">
        <v>18.54</v>
      </c>
      <c r="F112" s="20" t="s">
        <v>0</v>
      </c>
      <c r="G112" s="20" t="s">
        <v>0</v>
      </c>
      <c r="H112" s="20" t="s">
        <v>0</v>
      </c>
      <c r="I112" s="22" t="s">
        <v>0</v>
      </c>
      <c r="J112" s="20" t="s">
        <v>0</v>
      </c>
      <c r="K112" s="20" t="s">
        <v>0</v>
      </c>
      <c r="L112" s="20" t="s">
        <v>0</v>
      </c>
      <c r="M112" s="23" t="s">
        <v>0</v>
      </c>
      <c r="N112" s="22" t="s">
        <v>0</v>
      </c>
      <c r="O112" s="22">
        <v>1.3656999999999999</v>
      </c>
    </row>
    <row r="113" spans="1:15" x14ac:dyDescent="0.25">
      <c r="A113" s="26" t="s">
        <v>298</v>
      </c>
      <c r="B113" s="49" t="s">
        <v>233</v>
      </c>
      <c r="C113" s="50">
        <v>0.625</v>
      </c>
      <c r="D113" s="49">
        <v>16.88</v>
      </c>
      <c r="E113" s="49">
        <v>18.23</v>
      </c>
      <c r="F113" s="20" t="s">
        <v>0</v>
      </c>
      <c r="G113" s="20" t="s">
        <v>0</v>
      </c>
      <c r="H113" s="20" t="s">
        <v>0</v>
      </c>
      <c r="I113" s="22" t="s">
        <v>0</v>
      </c>
      <c r="J113" s="20" t="s">
        <v>0</v>
      </c>
      <c r="K113" s="20" t="s">
        <v>0</v>
      </c>
      <c r="L113" s="20" t="s">
        <v>0</v>
      </c>
      <c r="M113" s="23" t="s">
        <v>0</v>
      </c>
      <c r="N113" s="22" t="s">
        <v>0</v>
      </c>
      <c r="O113" s="22">
        <v>1.3623000000000001</v>
      </c>
    </row>
    <row r="114" spans="1:15" x14ac:dyDescent="0.25">
      <c r="A114" s="26" t="s">
        <v>331</v>
      </c>
      <c r="B114" s="49" t="s">
        <v>332</v>
      </c>
      <c r="C114" s="50">
        <v>1.375</v>
      </c>
      <c r="D114" s="49">
        <v>16.920000000000002</v>
      </c>
      <c r="E114" s="49">
        <v>19.54</v>
      </c>
      <c r="F114" s="20">
        <v>1.381</v>
      </c>
      <c r="G114" s="20">
        <v>1.381</v>
      </c>
      <c r="H114" s="20">
        <v>1.381</v>
      </c>
      <c r="I114" s="22">
        <v>0.5</v>
      </c>
      <c r="J114" s="20">
        <v>1.38</v>
      </c>
      <c r="K114" s="20">
        <v>1.38</v>
      </c>
      <c r="L114" s="20">
        <v>1.38</v>
      </c>
      <c r="M114" s="23">
        <v>1</v>
      </c>
      <c r="N114" s="22">
        <v>0.5</v>
      </c>
      <c r="O114" s="22">
        <v>1.3798999999999999</v>
      </c>
    </row>
    <row r="115" spans="1:15" x14ac:dyDescent="0.25">
      <c r="A115" s="26" t="s">
        <v>299</v>
      </c>
      <c r="B115" s="49" t="s">
        <v>224</v>
      </c>
      <c r="C115" s="50">
        <v>0.5</v>
      </c>
      <c r="D115" s="49">
        <v>16.96</v>
      </c>
      <c r="E115" s="49">
        <v>18.11</v>
      </c>
      <c r="F115" s="20" t="s">
        <v>0</v>
      </c>
      <c r="G115" s="20" t="s">
        <v>0</v>
      </c>
      <c r="H115" s="20" t="s">
        <v>0</v>
      </c>
      <c r="I115" s="22" t="s">
        <v>0</v>
      </c>
      <c r="J115" s="20" t="s">
        <v>0</v>
      </c>
      <c r="K115" s="20" t="s">
        <v>0</v>
      </c>
      <c r="L115" s="20" t="s">
        <v>0</v>
      </c>
      <c r="M115" s="23" t="s">
        <v>0</v>
      </c>
      <c r="N115" s="22" t="s">
        <v>0</v>
      </c>
      <c r="O115" s="22">
        <v>1.3613</v>
      </c>
    </row>
    <row r="116" spans="1:15" x14ac:dyDescent="0.25">
      <c r="A116" s="26" t="s">
        <v>71</v>
      </c>
      <c r="B116" s="49" t="s">
        <v>195</v>
      </c>
      <c r="C116" s="50">
        <v>2.25</v>
      </c>
      <c r="D116" s="49">
        <v>16.989999999999998</v>
      </c>
      <c r="E116" s="49">
        <v>21.27</v>
      </c>
      <c r="F116" s="20" t="s">
        <v>0</v>
      </c>
      <c r="G116" s="20" t="s">
        <v>0</v>
      </c>
      <c r="H116" s="20" t="s">
        <v>0</v>
      </c>
      <c r="I116" s="22" t="s">
        <v>0</v>
      </c>
      <c r="J116" s="20" t="s">
        <v>0</v>
      </c>
      <c r="K116" s="20" t="s">
        <v>0</v>
      </c>
      <c r="L116" s="20" t="s">
        <v>0</v>
      </c>
      <c r="M116" s="23" t="s">
        <v>0</v>
      </c>
      <c r="N116" s="22" t="s">
        <v>0</v>
      </c>
      <c r="O116" s="22">
        <v>1.4025000000000001</v>
      </c>
    </row>
    <row r="117" spans="1:15" x14ac:dyDescent="0.25">
      <c r="A117" s="26" t="s">
        <v>55</v>
      </c>
      <c r="B117" s="49" t="s">
        <v>191</v>
      </c>
      <c r="C117" s="50">
        <v>2.375</v>
      </c>
      <c r="D117" s="49">
        <v>17.059999999999999</v>
      </c>
      <c r="E117" s="49">
        <v>21.49</v>
      </c>
      <c r="F117" s="20" t="s">
        <v>0</v>
      </c>
      <c r="G117" s="20" t="s">
        <v>0</v>
      </c>
      <c r="H117" s="20" t="s">
        <v>0</v>
      </c>
      <c r="I117" s="22" t="s">
        <v>0</v>
      </c>
      <c r="J117" s="20" t="s">
        <v>0</v>
      </c>
      <c r="K117" s="20" t="s">
        <v>0</v>
      </c>
      <c r="L117" s="20" t="s">
        <v>0</v>
      </c>
      <c r="M117" s="23" t="s">
        <v>0</v>
      </c>
      <c r="N117" s="22" t="s">
        <v>0</v>
      </c>
      <c r="O117" s="22">
        <v>1.405</v>
      </c>
    </row>
    <row r="118" spans="1:15" x14ac:dyDescent="0.25">
      <c r="A118" s="26" t="s">
        <v>73</v>
      </c>
      <c r="B118" s="49" t="s">
        <v>194</v>
      </c>
      <c r="C118" s="50">
        <v>2</v>
      </c>
      <c r="D118" s="49">
        <v>17.100000000000001</v>
      </c>
      <c r="E118" s="49">
        <v>20.78</v>
      </c>
      <c r="F118" s="20" t="s">
        <v>0</v>
      </c>
      <c r="G118" s="20" t="s">
        <v>0</v>
      </c>
      <c r="H118" s="20" t="s">
        <v>0</v>
      </c>
      <c r="I118" s="22" t="s">
        <v>0</v>
      </c>
      <c r="J118" s="20" t="s">
        <v>0</v>
      </c>
      <c r="K118" s="20" t="s">
        <v>0</v>
      </c>
      <c r="L118" s="20" t="s">
        <v>0</v>
      </c>
      <c r="M118" s="23" t="s">
        <v>0</v>
      </c>
      <c r="N118" s="22" t="s">
        <v>0</v>
      </c>
      <c r="O118" s="22">
        <v>1.3962000000000001</v>
      </c>
    </row>
    <row r="119" spans="1:15" x14ac:dyDescent="0.25">
      <c r="A119" s="26" t="s">
        <v>380</v>
      </c>
      <c r="B119" s="49" t="s">
        <v>381</v>
      </c>
      <c r="C119" s="50">
        <v>1.375</v>
      </c>
      <c r="D119" s="49">
        <v>17.38</v>
      </c>
      <c r="E119" s="49">
        <v>20</v>
      </c>
      <c r="F119" s="20" t="s">
        <v>0</v>
      </c>
      <c r="G119" s="20" t="s">
        <v>0</v>
      </c>
      <c r="H119" s="20" t="s">
        <v>0</v>
      </c>
      <c r="I119" s="22" t="s">
        <v>0</v>
      </c>
      <c r="J119" s="20" t="s">
        <v>0</v>
      </c>
      <c r="K119" s="20" t="s">
        <v>0</v>
      </c>
      <c r="L119" s="20" t="s">
        <v>0</v>
      </c>
      <c r="M119" s="23" t="s">
        <v>0</v>
      </c>
      <c r="N119" s="22" t="s">
        <v>0</v>
      </c>
      <c r="O119" s="22">
        <v>1.389</v>
      </c>
    </row>
    <row r="120" spans="1:15" x14ac:dyDescent="0.25">
      <c r="A120" s="26" t="s">
        <v>74</v>
      </c>
      <c r="B120" s="49" t="s">
        <v>196</v>
      </c>
      <c r="C120" s="50">
        <v>2.375</v>
      </c>
      <c r="D120" s="49">
        <v>17.309999999999999</v>
      </c>
      <c r="E120" s="49">
        <v>21.74</v>
      </c>
      <c r="F120" s="20" t="s">
        <v>0</v>
      </c>
      <c r="G120" s="20" t="s">
        <v>0</v>
      </c>
      <c r="H120" s="20" t="s">
        <v>0</v>
      </c>
      <c r="I120" s="22" t="s">
        <v>0</v>
      </c>
      <c r="J120" s="20" t="s">
        <v>0</v>
      </c>
      <c r="K120" s="20" t="s">
        <v>0</v>
      </c>
      <c r="L120" s="20" t="s">
        <v>0</v>
      </c>
      <c r="M120" s="23" t="s">
        <v>0</v>
      </c>
      <c r="N120" s="22" t="s">
        <v>0</v>
      </c>
      <c r="O120" s="22">
        <v>1.4095</v>
      </c>
    </row>
    <row r="121" spans="1:15" x14ac:dyDescent="0.25">
      <c r="A121" s="26" t="s">
        <v>75</v>
      </c>
      <c r="B121" s="49" t="s">
        <v>197</v>
      </c>
      <c r="C121" s="50">
        <v>2.25</v>
      </c>
      <c r="D121" s="49">
        <v>17.68</v>
      </c>
      <c r="E121" s="49">
        <v>21.98</v>
      </c>
      <c r="F121" s="20" t="s">
        <v>0</v>
      </c>
      <c r="G121" s="20" t="s">
        <v>0</v>
      </c>
      <c r="H121" s="20" t="s">
        <v>0</v>
      </c>
      <c r="I121" s="22" t="s">
        <v>0</v>
      </c>
      <c r="J121" s="20" t="s">
        <v>0</v>
      </c>
      <c r="K121" s="20" t="s">
        <v>0</v>
      </c>
      <c r="L121" s="20" t="s">
        <v>0</v>
      </c>
      <c r="M121" s="23" t="s">
        <v>0</v>
      </c>
      <c r="N121" s="22" t="s">
        <v>0</v>
      </c>
      <c r="O121" s="22">
        <v>1.4153</v>
      </c>
    </row>
    <row r="122" spans="1:15" x14ac:dyDescent="0.25">
      <c r="A122" s="26" t="s">
        <v>76</v>
      </c>
      <c r="B122" s="49" t="s">
        <v>198</v>
      </c>
      <c r="C122" s="50">
        <v>2</v>
      </c>
      <c r="D122" s="49">
        <v>18.579999999999998</v>
      </c>
      <c r="E122" s="49">
        <v>23.27</v>
      </c>
      <c r="F122" s="20" t="s">
        <v>0</v>
      </c>
      <c r="G122" s="20" t="s">
        <v>0</v>
      </c>
      <c r="H122" s="20" t="s">
        <v>0</v>
      </c>
      <c r="I122" s="22" t="s">
        <v>0</v>
      </c>
      <c r="J122" s="20" t="s">
        <v>0</v>
      </c>
      <c r="K122" s="20" t="s">
        <v>0</v>
      </c>
      <c r="L122" s="20" t="s">
        <v>0</v>
      </c>
      <c r="M122" s="23" t="s">
        <v>0</v>
      </c>
      <c r="N122" s="22" t="s">
        <v>0</v>
      </c>
      <c r="O122" s="22">
        <v>1.4417</v>
      </c>
    </row>
    <row r="123" spans="1:15" x14ac:dyDescent="0.25">
      <c r="A123" s="26" t="s">
        <v>77</v>
      </c>
      <c r="B123" s="49" t="s">
        <v>199</v>
      </c>
      <c r="C123" s="50">
        <v>1.625</v>
      </c>
      <c r="D123" s="49">
        <v>18.93</v>
      </c>
      <c r="E123" s="49">
        <v>22.75</v>
      </c>
      <c r="F123" s="20" t="s">
        <v>0</v>
      </c>
      <c r="G123" s="20" t="s">
        <v>0</v>
      </c>
      <c r="H123" s="20" t="s">
        <v>0</v>
      </c>
      <c r="I123" s="22" t="s">
        <v>0</v>
      </c>
      <c r="J123" s="20" t="s">
        <v>0</v>
      </c>
      <c r="K123" s="20" t="s">
        <v>0</v>
      </c>
      <c r="L123" s="20" t="s">
        <v>0</v>
      </c>
      <c r="M123" s="23" t="s">
        <v>0</v>
      </c>
      <c r="N123" s="22" t="s">
        <v>0</v>
      </c>
      <c r="O123" s="22">
        <v>1.4377</v>
      </c>
    </row>
    <row r="124" spans="1:15" x14ac:dyDescent="0.25">
      <c r="A124" s="26" t="s">
        <v>78</v>
      </c>
      <c r="B124" s="49" t="s">
        <v>200</v>
      </c>
      <c r="C124" s="50">
        <v>1.875</v>
      </c>
      <c r="D124" s="49">
        <v>19.239999999999998</v>
      </c>
      <c r="E124" s="49">
        <v>23.77</v>
      </c>
      <c r="F124" s="20" t="s">
        <v>0</v>
      </c>
      <c r="G124" s="20" t="s">
        <v>0</v>
      </c>
      <c r="H124" s="20" t="s">
        <v>0</v>
      </c>
      <c r="I124" s="22" t="s">
        <v>0</v>
      </c>
      <c r="J124" s="20" t="s">
        <v>0</v>
      </c>
      <c r="K124" s="20" t="s">
        <v>0</v>
      </c>
      <c r="L124" s="20" t="s">
        <v>0</v>
      </c>
      <c r="M124" s="23" t="s">
        <v>0</v>
      </c>
      <c r="N124" s="22" t="s">
        <v>0</v>
      </c>
      <c r="O124" s="22">
        <v>1.4523999999999999</v>
      </c>
    </row>
    <row r="125" spans="1:15" x14ac:dyDescent="0.25">
      <c r="A125" s="26" t="s">
        <v>79</v>
      </c>
      <c r="B125" s="49" t="s">
        <v>201</v>
      </c>
      <c r="C125" s="50">
        <v>1.375</v>
      </c>
      <c r="D125" s="49">
        <v>19.52</v>
      </c>
      <c r="E125" s="49">
        <v>22.96</v>
      </c>
      <c r="F125" s="20" t="s">
        <v>0</v>
      </c>
      <c r="G125" s="20" t="s">
        <v>0</v>
      </c>
      <c r="H125" s="20" t="s">
        <v>0</v>
      </c>
      <c r="I125" s="22" t="s">
        <v>0</v>
      </c>
      <c r="J125" s="20" t="s">
        <v>0</v>
      </c>
      <c r="K125" s="20" t="s">
        <v>0</v>
      </c>
      <c r="L125" s="20" t="s">
        <v>0</v>
      </c>
      <c r="M125" s="23" t="s">
        <v>0</v>
      </c>
      <c r="N125" s="22" t="s">
        <v>0</v>
      </c>
      <c r="O125" s="22">
        <v>1.4454</v>
      </c>
    </row>
    <row r="126" spans="1:15" x14ac:dyDescent="0.25">
      <c r="A126" s="26" t="s">
        <v>80</v>
      </c>
      <c r="B126" s="49" t="s">
        <v>202</v>
      </c>
      <c r="C126" s="50">
        <v>1.625</v>
      </c>
      <c r="D126" s="49">
        <v>19.8</v>
      </c>
      <c r="E126" s="49">
        <v>24.27</v>
      </c>
      <c r="F126" s="20" t="s">
        <v>0</v>
      </c>
      <c r="G126" s="20" t="s">
        <v>0</v>
      </c>
      <c r="H126" s="20" t="s">
        <v>0</v>
      </c>
      <c r="I126" s="22" t="s">
        <v>0</v>
      </c>
      <c r="J126" s="20" t="s">
        <v>0</v>
      </c>
      <c r="K126" s="20" t="s">
        <v>0</v>
      </c>
      <c r="L126" s="20" t="s">
        <v>0</v>
      </c>
      <c r="M126" s="23" t="s">
        <v>0</v>
      </c>
      <c r="N126" s="22" t="s">
        <v>0</v>
      </c>
      <c r="O126" s="22">
        <v>1.4651000000000001</v>
      </c>
    </row>
    <row r="127" spans="1:15" x14ac:dyDescent="0.25">
      <c r="A127" s="26" t="s">
        <v>81</v>
      </c>
      <c r="B127" s="49" t="s">
        <v>203</v>
      </c>
      <c r="C127" s="50">
        <v>1.5</v>
      </c>
      <c r="D127" s="49">
        <v>20.48</v>
      </c>
      <c r="E127" s="49">
        <v>24.75</v>
      </c>
      <c r="F127" s="20" t="s">
        <v>0</v>
      </c>
      <c r="G127" s="20" t="s">
        <v>0</v>
      </c>
      <c r="H127" s="20" t="s">
        <v>0</v>
      </c>
      <c r="I127" s="22" t="s">
        <v>0</v>
      </c>
      <c r="J127" s="20" t="s">
        <v>0</v>
      </c>
      <c r="K127" s="20" t="s">
        <v>0</v>
      </c>
      <c r="L127" s="20" t="s">
        <v>0</v>
      </c>
      <c r="M127" s="23" t="s">
        <v>0</v>
      </c>
      <c r="N127" s="22" t="s">
        <v>0</v>
      </c>
      <c r="O127" s="22">
        <v>1.4757</v>
      </c>
    </row>
    <row r="128" spans="1:15" x14ac:dyDescent="0.25">
      <c r="A128" s="26" t="s">
        <v>57</v>
      </c>
      <c r="B128" s="49" t="s">
        <v>204</v>
      </c>
      <c r="C128" s="50">
        <v>1.375</v>
      </c>
      <c r="D128" s="49">
        <v>20.88</v>
      </c>
      <c r="E128" s="49">
        <v>25.23</v>
      </c>
      <c r="F128" s="20" t="s">
        <v>0</v>
      </c>
      <c r="G128" s="20" t="s">
        <v>0</v>
      </c>
      <c r="H128" s="20" t="s">
        <v>0</v>
      </c>
      <c r="I128" s="22" t="s">
        <v>0</v>
      </c>
      <c r="J128" s="20" t="s">
        <v>0</v>
      </c>
      <c r="K128" s="20" t="s">
        <v>0</v>
      </c>
      <c r="L128" s="20" t="s">
        <v>0</v>
      </c>
      <c r="M128" s="23" t="s">
        <v>0</v>
      </c>
      <c r="N128" s="22" t="s">
        <v>0</v>
      </c>
      <c r="O128" s="22">
        <v>1.4864999999999999</v>
      </c>
    </row>
    <row r="129" spans="1:15" x14ac:dyDescent="0.25">
      <c r="A129" s="26" t="s">
        <v>320</v>
      </c>
      <c r="B129" s="49" t="s">
        <v>315</v>
      </c>
      <c r="C129" s="50">
        <v>2.375</v>
      </c>
      <c r="D129" s="49">
        <v>21.51</v>
      </c>
      <c r="E129" s="49">
        <v>29.23</v>
      </c>
      <c r="F129" s="20" t="s">
        <v>0</v>
      </c>
      <c r="G129" s="20" t="s">
        <v>0</v>
      </c>
      <c r="H129" s="20" t="s">
        <v>0</v>
      </c>
      <c r="I129" s="22" t="s">
        <v>0</v>
      </c>
      <c r="J129" s="20" t="s">
        <v>0</v>
      </c>
      <c r="K129" s="20" t="s">
        <v>0</v>
      </c>
      <c r="L129" s="20" t="s">
        <v>0</v>
      </c>
      <c r="M129" s="23" t="s">
        <v>0</v>
      </c>
      <c r="N129" s="22" t="s">
        <v>0</v>
      </c>
      <c r="O129" s="22">
        <v>1.5326</v>
      </c>
    </row>
    <row r="130" spans="1:15" x14ac:dyDescent="0.25">
      <c r="A130" s="26" t="s">
        <v>84</v>
      </c>
      <c r="B130" s="49" t="s">
        <v>205</v>
      </c>
      <c r="C130" s="50">
        <v>1.125</v>
      </c>
      <c r="D130" s="49">
        <v>21.92</v>
      </c>
      <c r="E130" s="49">
        <v>25.74</v>
      </c>
      <c r="F130" s="20" t="s">
        <v>0</v>
      </c>
      <c r="G130" s="20" t="s">
        <v>0</v>
      </c>
      <c r="H130" s="20" t="s">
        <v>0</v>
      </c>
      <c r="I130" s="22" t="s">
        <v>0</v>
      </c>
      <c r="J130" s="20" t="s">
        <v>0</v>
      </c>
      <c r="K130" s="20" t="s">
        <v>0</v>
      </c>
      <c r="L130" s="20" t="s">
        <v>0</v>
      </c>
      <c r="M130" s="23" t="s">
        <v>0</v>
      </c>
      <c r="N130" s="22" t="s">
        <v>0</v>
      </c>
      <c r="O130" s="22">
        <v>1.5006999999999999</v>
      </c>
    </row>
    <row r="131" spans="1:15" x14ac:dyDescent="0.25">
      <c r="A131" s="26" t="s">
        <v>268</v>
      </c>
      <c r="B131" s="49" t="s">
        <v>267</v>
      </c>
      <c r="C131" s="50">
        <v>2</v>
      </c>
      <c r="D131" s="49">
        <v>22.09</v>
      </c>
      <c r="E131" s="49">
        <v>28.75</v>
      </c>
      <c r="F131" s="20" t="s">
        <v>0</v>
      </c>
      <c r="G131" s="20" t="s">
        <v>0</v>
      </c>
      <c r="H131" s="20" t="s">
        <v>0</v>
      </c>
      <c r="I131" s="22" t="s">
        <v>0</v>
      </c>
      <c r="J131" s="20" t="s">
        <v>0</v>
      </c>
      <c r="K131" s="20" t="s">
        <v>0</v>
      </c>
      <c r="L131" s="20" t="s">
        <v>0</v>
      </c>
      <c r="M131" s="23" t="s">
        <v>0</v>
      </c>
      <c r="N131" s="22" t="s">
        <v>0</v>
      </c>
      <c r="O131" s="22">
        <v>1.5326</v>
      </c>
    </row>
    <row r="132" spans="1:15" x14ac:dyDescent="0.25">
      <c r="A132" s="26" t="s">
        <v>51</v>
      </c>
      <c r="B132" s="49" t="s">
        <v>206</v>
      </c>
      <c r="C132" s="50">
        <v>1</v>
      </c>
      <c r="D132" s="49">
        <v>22.42</v>
      </c>
      <c r="E132" s="49">
        <v>26.22</v>
      </c>
      <c r="F132" s="20" t="s">
        <v>0</v>
      </c>
      <c r="G132" s="20" t="s">
        <v>0</v>
      </c>
      <c r="H132" s="20" t="s">
        <v>0</v>
      </c>
      <c r="I132" s="22" t="s">
        <v>0</v>
      </c>
      <c r="J132" s="20" t="s">
        <v>0</v>
      </c>
      <c r="K132" s="20" t="s">
        <v>0</v>
      </c>
      <c r="L132" s="20" t="s">
        <v>0</v>
      </c>
      <c r="M132" s="23" t="s">
        <v>0</v>
      </c>
      <c r="N132" s="22" t="s">
        <v>0</v>
      </c>
      <c r="O132" s="22">
        <v>1.5119</v>
      </c>
    </row>
    <row r="133" spans="1:15" x14ac:dyDescent="0.25">
      <c r="A133" s="26" t="s">
        <v>300</v>
      </c>
      <c r="B133" s="49" t="s">
        <v>207</v>
      </c>
      <c r="C133" s="50">
        <v>0.75</v>
      </c>
      <c r="D133" s="49">
        <v>23.6</v>
      </c>
      <c r="E133" s="49">
        <v>26.73</v>
      </c>
      <c r="F133" s="20" t="s">
        <v>0</v>
      </c>
      <c r="G133" s="20" t="s">
        <v>0</v>
      </c>
      <c r="H133" s="20" t="s">
        <v>0</v>
      </c>
      <c r="I133" s="22" t="s">
        <v>0</v>
      </c>
      <c r="J133" s="20" t="s">
        <v>0</v>
      </c>
      <c r="K133" s="20" t="s">
        <v>0</v>
      </c>
      <c r="L133" s="20" t="s">
        <v>0</v>
      </c>
      <c r="M133" s="23" t="s">
        <v>0</v>
      </c>
      <c r="N133" s="22" t="s">
        <v>0</v>
      </c>
      <c r="O133" s="22">
        <v>1.5266999999999999</v>
      </c>
    </row>
    <row r="134" spans="1:15" x14ac:dyDescent="0.25">
      <c r="A134" s="26" t="s">
        <v>301</v>
      </c>
      <c r="B134" s="49" t="s">
        <v>238</v>
      </c>
      <c r="C134" s="50">
        <v>1.125</v>
      </c>
      <c r="D134" s="49">
        <v>23.61</v>
      </c>
      <c r="E134" s="49">
        <v>28.35</v>
      </c>
      <c r="F134" s="20" t="s">
        <v>0</v>
      </c>
      <c r="G134" s="20" t="s">
        <v>0</v>
      </c>
      <c r="H134" s="20" t="s">
        <v>0</v>
      </c>
      <c r="I134" s="22" t="s">
        <v>0</v>
      </c>
      <c r="J134" s="20" t="s">
        <v>0</v>
      </c>
      <c r="K134" s="20" t="s">
        <v>0</v>
      </c>
      <c r="L134" s="20" t="s">
        <v>0</v>
      </c>
      <c r="M134" s="23" t="s">
        <v>0</v>
      </c>
      <c r="N134" s="22" t="s">
        <v>0</v>
      </c>
      <c r="O134" s="22">
        <v>1.5454000000000001</v>
      </c>
    </row>
    <row r="135" spans="1:15" x14ac:dyDescent="0.25">
      <c r="A135" s="26" t="s">
        <v>363</v>
      </c>
      <c r="B135" s="49" t="s">
        <v>364</v>
      </c>
      <c r="C135" s="50">
        <v>1.5</v>
      </c>
      <c r="D135" s="49">
        <v>23.68</v>
      </c>
      <c r="E135" s="49">
        <v>29.73</v>
      </c>
      <c r="F135" s="20" t="s">
        <v>0</v>
      </c>
      <c r="G135" s="20" t="s">
        <v>0</v>
      </c>
      <c r="H135" s="20" t="s">
        <v>0</v>
      </c>
      <c r="I135" s="22" t="s">
        <v>0</v>
      </c>
      <c r="J135" s="20" t="s">
        <v>0</v>
      </c>
      <c r="K135" s="20" t="s">
        <v>0</v>
      </c>
      <c r="L135" s="20" t="s">
        <v>0</v>
      </c>
      <c r="M135" s="23" t="s">
        <v>0</v>
      </c>
      <c r="N135" s="22" t="s">
        <v>0</v>
      </c>
      <c r="O135" s="22">
        <v>1.5582</v>
      </c>
    </row>
    <row r="136" spans="1:15" x14ac:dyDescent="0.25">
      <c r="A136" s="26" t="s">
        <v>302</v>
      </c>
      <c r="B136" s="49" t="s">
        <v>209</v>
      </c>
      <c r="C136" s="50">
        <v>0.625</v>
      </c>
      <c r="D136" s="49">
        <v>24.55</v>
      </c>
      <c r="E136" s="49">
        <v>27.52</v>
      </c>
      <c r="F136" s="20" t="s">
        <v>0</v>
      </c>
      <c r="G136" s="20" t="s">
        <v>0</v>
      </c>
      <c r="H136" s="20" t="s">
        <v>0</v>
      </c>
      <c r="I136" s="22" t="s">
        <v>0</v>
      </c>
      <c r="J136" s="20" t="s">
        <v>0</v>
      </c>
      <c r="K136" s="20" t="s">
        <v>0</v>
      </c>
      <c r="L136" s="20" t="s">
        <v>0</v>
      </c>
      <c r="M136" s="23" t="s">
        <v>0</v>
      </c>
      <c r="N136" s="22" t="s">
        <v>0</v>
      </c>
      <c r="O136" s="22">
        <v>1.5441</v>
      </c>
    </row>
    <row r="137" spans="1:15" x14ac:dyDescent="0.25">
      <c r="A137" s="32" t="s">
        <v>303</v>
      </c>
      <c r="B137" s="49" t="s">
        <v>208</v>
      </c>
      <c r="C137" s="50">
        <v>0.375</v>
      </c>
      <c r="D137" s="49">
        <v>25.21</v>
      </c>
      <c r="E137" s="49">
        <v>27.27</v>
      </c>
      <c r="F137" s="20" t="s">
        <v>0</v>
      </c>
      <c r="G137" s="20" t="s">
        <v>0</v>
      </c>
      <c r="H137" s="20" t="s">
        <v>0</v>
      </c>
      <c r="I137" s="22" t="s">
        <v>0</v>
      </c>
      <c r="J137" s="20" t="s">
        <v>0</v>
      </c>
      <c r="K137" s="20" t="s">
        <v>0</v>
      </c>
      <c r="L137" s="20" t="s">
        <v>0</v>
      </c>
      <c r="M137" s="23" t="s">
        <v>0</v>
      </c>
      <c r="N137" s="22" t="s">
        <v>0</v>
      </c>
      <c r="O137" s="22">
        <v>1.5466</v>
      </c>
    </row>
    <row r="138" spans="1:15" x14ac:dyDescent="0.25">
      <c r="A138" s="26" t="s">
        <v>404</v>
      </c>
      <c r="B138" s="34" t="s">
        <v>405</v>
      </c>
      <c r="C138" s="40">
        <v>2.71</v>
      </c>
      <c r="D138" s="40">
        <v>2.8</v>
      </c>
      <c r="E138" s="20"/>
      <c r="F138" s="20">
        <v>1.486</v>
      </c>
      <c r="G138" s="20">
        <v>1.486</v>
      </c>
      <c r="H138" s="20">
        <v>1.486</v>
      </c>
      <c r="I138" s="22">
        <v>3</v>
      </c>
      <c r="J138" s="20" t="s">
        <v>0</v>
      </c>
      <c r="K138" s="20" t="s">
        <v>0</v>
      </c>
      <c r="L138" s="20" t="s">
        <v>0</v>
      </c>
      <c r="M138" s="23" t="s">
        <v>0</v>
      </c>
      <c r="N138" s="22" t="s">
        <v>0</v>
      </c>
      <c r="O138" s="22" t="e">
        <v>#N/A</v>
      </c>
    </row>
    <row r="139" spans="1:15" x14ac:dyDescent="0.25">
      <c r="A139" s="26" t="s">
        <v>609</v>
      </c>
      <c r="B139" s="34" t="s">
        <v>610</v>
      </c>
      <c r="C139" s="40">
        <v>4.13</v>
      </c>
      <c r="D139" s="40">
        <v>4.4000000000000004</v>
      </c>
      <c r="E139" s="20"/>
      <c r="F139" s="20">
        <v>1.6020000000000001</v>
      </c>
      <c r="G139" s="20">
        <v>1.6</v>
      </c>
      <c r="H139" s="20">
        <v>1.601</v>
      </c>
      <c r="I139" s="22">
        <v>3</v>
      </c>
      <c r="J139" s="20" t="s">
        <v>0</v>
      </c>
      <c r="K139" s="20" t="s">
        <v>0</v>
      </c>
      <c r="L139" s="20" t="s">
        <v>0</v>
      </c>
      <c r="M139" s="23" t="s">
        <v>0</v>
      </c>
      <c r="N139" s="22" t="s">
        <v>0</v>
      </c>
      <c r="O139" s="22" t="e">
        <v>#N/A</v>
      </c>
    </row>
    <row r="140" spans="1:15" x14ac:dyDescent="0.25">
      <c r="A140" s="26" t="s">
        <v>510</v>
      </c>
      <c r="B140" s="34" t="s">
        <v>511</v>
      </c>
      <c r="C140" s="26" t="s">
        <v>321</v>
      </c>
      <c r="D140" s="35">
        <v>2.29</v>
      </c>
      <c r="E140" s="35">
        <v>2.34</v>
      </c>
      <c r="F140" s="20">
        <v>1.58</v>
      </c>
      <c r="G140" s="20">
        <v>1.58</v>
      </c>
      <c r="H140" s="20">
        <v>1.58</v>
      </c>
      <c r="I140" s="22">
        <v>1</v>
      </c>
      <c r="J140" s="20">
        <v>1.585</v>
      </c>
      <c r="K140" s="20">
        <v>1.585</v>
      </c>
      <c r="L140" s="20">
        <v>1.585</v>
      </c>
      <c r="M140" s="23">
        <v>1</v>
      </c>
      <c r="N140" s="22">
        <v>1</v>
      </c>
      <c r="O140" s="22" t="e">
        <v>#N/A</v>
      </c>
    </row>
    <row r="141" spans="1:15" x14ac:dyDescent="0.25">
      <c r="A141" s="26" t="s">
        <v>567</v>
      </c>
      <c r="B141" s="34" t="s">
        <v>575</v>
      </c>
      <c r="C141" s="26" t="s">
        <v>321</v>
      </c>
      <c r="D141" s="35">
        <v>4.7699999999999996</v>
      </c>
      <c r="E141" s="35">
        <v>4.99</v>
      </c>
      <c r="F141" s="20" t="s">
        <v>0</v>
      </c>
      <c r="G141" s="20" t="s">
        <v>0</v>
      </c>
      <c r="H141" s="20" t="s">
        <v>0</v>
      </c>
      <c r="I141" s="22" t="s">
        <v>0</v>
      </c>
      <c r="J141" s="20">
        <v>1.6</v>
      </c>
      <c r="K141" s="20">
        <v>1.6</v>
      </c>
      <c r="L141" s="20">
        <v>1.6</v>
      </c>
      <c r="M141" s="23">
        <v>1</v>
      </c>
      <c r="N141" s="22">
        <v>5</v>
      </c>
      <c r="O141" s="22" t="e">
        <v>#N/A</v>
      </c>
    </row>
    <row r="142" spans="1:15" x14ac:dyDescent="0.25">
      <c r="A142" s="26" t="s">
        <v>568</v>
      </c>
      <c r="B142" s="34" t="s">
        <v>573</v>
      </c>
      <c r="C142" s="26" t="s">
        <v>321</v>
      </c>
      <c r="D142" s="35">
        <v>6.56</v>
      </c>
      <c r="E142" s="35">
        <v>6.99</v>
      </c>
      <c r="F142" s="20" t="s">
        <v>0</v>
      </c>
      <c r="G142" s="20" t="s">
        <v>0</v>
      </c>
      <c r="H142" s="20" t="s">
        <v>0</v>
      </c>
      <c r="I142" s="22" t="s">
        <v>0</v>
      </c>
      <c r="J142" s="20">
        <v>1.65</v>
      </c>
      <c r="K142" s="20">
        <v>1.65</v>
      </c>
      <c r="L142" s="20">
        <v>1.65</v>
      </c>
      <c r="M142" s="23">
        <v>1</v>
      </c>
      <c r="N142" s="22">
        <v>2</v>
      </c>
      <c r="O142" s="22" t="e">
        <v>#N/A</v>
      </c>
    </row>
    <row r="143" spans="1:15" x14ac:dyDescent="0.25">
      <c r="A143" s="26" t="s">
        <v>611</v>
      </c>
      <c r="B143" s="34" t="s">
        <v>612</v>
      </c>
      <c r="C143" s="26" t="s">
        <v>321</v>
      </c>
      <c r="D143" s="35">
        <v>8.24</v>
      </c>
      <c r="E143" s="35">
        <v>9.17</v>
      </c>
      <c r="F143" s="20" t="s">
        <v>0</v>
      </c>
      <c r="G143" s="20" t="s">
        <v>0</v>
      </c>
      <c r="H143" s="20" t="s">
        <v>0</v>
      </c>
      <c r="I143" s="22" t="s">
        <v>0</v>
      </c>
      <c r="J143" s="20">
        <v>1.7150000000000001</v>
      </c>
      <c r="K143" s="20">
        <v>1.712</v>
      </c>
      <c r="L143" s="20">
        <v>1.7135</v>
      </c>
      <c r="M143" s="23">
        <v>3</v>
      </c>
      <c r="N143" s="22">
        <v>10</v>
      </c>
      <c r="O143" s="22" t="e">
        <v>#N/A</v>
      </c>
    </row>
    <row r="144" spans="1:15" x14ac:dyDescent="0.25">
      <c r="A144" s="26" t="s">
        <v>581</v>
      </c>
      <c r="B144" s="34" t="s">
        <v>582</v>
      </c>
      <c r="C144" s="26" t="s">
        <v>321</v>
      </c>
      <c r="D144" s="35">
        <v>9.11</v>
      </c>
      <c r="E144" s="35">
        <v>9.99</v>
      </c>
      <c r="F144" s="20" t="s">
        <v>0</v>
      </c>
      <c r="G144" s="20" t="s">
        <v>0</v>
      </c>
      <c r="H144" s="20" t="s">
        <v>0</v>
      </c>
      <c r="I144" s="22" t="s">
        <v>0</v>
      </c>
      <c r="J144" s="20">
        <v>1.72</v>
      </c>
      <c r="K144" s="20">
        <v>1.72</v>
      </c>
      <c r="L144" s="20">
        <v>1.72</v>
      </c>
      <c r="M144" s="23">
        <v>1</v>
      </c>
      <c r="N144" s="22">
        <v>2</v>
      </c>
      <c r="O144" s="22" t="e">
        <v>#N/A</v>
      </c>
    </row>
    <row r="145" spans="1:15" x14ac:dyDescent="0.25">
      <c r="A145" s="26" t="s">
        <v>613</v>
      </c>
      <c r="B145" s="34" t="s">
        <v>614</v>
      </c>
      <c r="C145" s="26" t="s">
        <v>321</v>
      </c>
      <c r="D145" s="35">
        <v>4.7699999999999996</v>
      </c>
      <c r="E145" s="35">
        <v>4.9000000000000004</v>
      </c>
      <c r="F145" s="20" t="s">
        <v>0</v>
      </c>
      <c r="G145" s="20" t="s">
        <v>0</v>
      </c>
      <c r="H145" s="20" t="s">
        <v>0</v>
      </c>
      <c r="I145" s="22" t="s">
        <v>0</v>
      </c>
      <c r="J145" s="20">
        <v>1.615</v>
      </c>
      <c r="K145" s="20">
        <v>1.61</v>
      </c>
      <c r="L145" s="20">
        <v>1.6115999999999999</v>
      </c>
      <c r="M145" s="23">
        <v>3</v>
      </c>
      <c r="N145" s="22">
        <v>9</v>
      </c>
      <c r="O145" s="22" t="e">
        <v>#N/A</v>
      </c>
    </row>
    <row r="146" spans="1:15" x14ac:dyDescent="0.25">
      <c r="A146" s="26"/>
      <c r="B146" s="20"/>
      <c r="C146" s="21"/>
      <c r="D146" s="20"/>
      <c r="E146" s="20"/>
      <c r="F146" s="20" t="s">
        <v>0</v>
      </c>
      <c r="G146" s="20" t="s">
        <v>0</v>
      </c>
      <c r="H146" s="20" t="s">
        <v>0</v>
      </c>
      <c r="I146" s="22" t="s">
        <v>0</v>
      </c>
      <c r="J146" s="20" t="s">
        <v>0</v>
      </c>
      <c r="K146" s="20" t="s">
        <v>0</v>
      </c>
      <c r="L146" s="20" t="s">
        <v>0</v>
      </c>
      <c r="M146" s="23" t="s">
        <v>0</v>
      </c>
      <c r="N146" s="22" t="s">
        <v>0</v>
      </c>
      <c r="O146" s="22" t="e">
        <v>#N/A</v>
      </c>
    </row>
    <row r="147" spans="1:15" x14ac:dyDescent="0.25">
      <c r="A147" s="26"/>
      <c r="B147" s="20"/>
      <c r="C147" s="21"/>
      <c r="D147" s="20"/>
      <c r="E147" s="20"/>
      <c r="F147" s="20" t="s">
        <v>0</v>
      </c>
      <c r="G147" s="20" t="s">
        <v>0</v>
      </c>
      <c r="H147" s="20" t="s">
        <v>0</v>
      </c>
      <c r="I147" s="22" t="s">
        <v>0</v>
      </c>
      <c r="J147" s="20" t="s">
        <v>0</v>
      </c>
      <c r="K147" s="20" t="s">
        <v>0</v>
      </c>
      <c r="L147" s="20" t="s">
        <v>0</v>
      </c>
      <c r="M147" s="23" t="s">
        <v>0</v>
      </c>
      <c r="N147" s="22" t="s">
        <v>0</v>
      </c>
      <c r="O147" s="22" t="e">
        <v>#N/A</v>
      </c>
    </row>
    <row r="148" spans="1:15" x14ac:dyDescent="0.25">
      <c r="A148" s="26"/>
      <c r="B148" s="20"/>
      <c r="C148" s="21"/>
      <c r="D148" s="20"/>
      <c r="E148" s="20"/>
      <c r="F148" s="20" t="s">
        <v>0</v>
      </c>
      <c r="G148" s="20" t="s">
        <v>0</v>
      </c>
      <c r="H148" s="20" t="s">
        <v>0</v>
      </c>
      <c r="I148" s="22" t="s">
        <v>0</v>
      </c>
      <c r="J148" s="20" t="s">
        <v>0</v>
      </c>
      <c r="K148" s="20" t="s">
        <v>0</v>
      </c>
      <c r="L148" s="20" t="s">
        <v>0</v>
      </c>
      <c r="M148" s="23" t="s">
        <v>0</v>
      </c>
      <c r="N148" s="22" t="s">
        <v>0</v>
      </c>
      <c r="O148" s="22" t="e">
        <v>#N/A</v>
      </c>
    </row>
    <row r="149" spans="1:15" x14ac:dyDescent="0.25">
      <c r="A149" s="26"/>
      <c r="B149" s="20"/>
      <c r="C149" s="21"/>
      <c r="D149" s="20"/>
      <c r="E149" s="20"/>
      <c r="F149" s="20" t="s">
        <v>0</v>
      </c>
      <c r="G149" s="20" t="s">
        <v>0</v>
      </c>
      <c r="H149" s="20" t="s">
        <v>0</v>
      </c>
      <c r="I149" s="22" t="s">
        <v>0</v>
      </c>
      <c r="J149" s="20" t="s">
        <v>0</v>
      </c>
      <c r="K149" s="20" t="s">
        <v>0</v>
      </c>
      <c r="L149" s="20" t="s">
        <v>0</v>
      </c>
      <c r="M149" s="23" t="s">
        <v>0</v>
      </c>
      <c r="N149" s="22" t="s">
        <v>0</v>
      </c>
      <c r="O149" s="22" t="e">
        <v>#N/A</v>
      </c>
    </row>
    <row r="150" spans="1:15" x14ac:dyDescent="0.25">
      <c r="A150" s="26"/>
      <c r="B150" s="20"/>
      <c r="C150" s="21"/>
      <c r="D150" s="20"/>
      <c r="E150" s="20"/>
      <c r="F150" s="20" t="s">
        <v>0</v>
      </c>
      <c r="G150" s="20" t="s">
        <v>0</v>
      </c>
      <c r="H150" s="20" t="s">
        <v>0</v>
      </c>
      <c r="I150" s="22" t="s">
        <v>0</v>
      </c>
      <c r="J150" s="20" t="s">
        <v>0</v>
      </c>
      <c r="K150" s="20" t="s">
        <v>0</v>
      </c>
      <c r="L150" s="20" t="s">
        <v>0</v>
      </c>
      <c r="M150" s="23" t="s">
        <v>0</v>
      </c>
      <c r="N150" s="22" t="s">
        <v>0</v>
      </c>
      <c r="O150" s="22" t="e">
        <v>#N/A</v>
      </c>
    </row>
    <row r="151" spans="1:15" x14ac:dyDescent="0.25">
      <c r="A151" s="26"/>
      <c r="B151" s="20"/>
      <c r="C151" s="21"/>
      <c r="D151" s="20"/>
      <c r="E151" s="20"/>
      <c r="F151" s="20" t="s">
        <v>0</v>
      </c>
      <c r="G151" s="20" t="s">
        <v>0</v>
      </c>
      <c r="H151" s="20" t="s">
        <v>0</v>
      </c>
      <c r="I151" s="22" t="s">
        <v>0</v>
      </c>
      <c r="J151" s="20" t="s">
        <v>0</v>
      </c>
      <c r="K151" s="20" t="s">
        <v>0</v>
      </c>
      <c r="L151" s="20" t="s">
        <v>0</v>
      </c>
      <c r="M151" s="23" t="s">
        <v>0</v>
      </c>
      <c r="N151" s="22" t="s">
        <v>0</v>
      </c>
      <c r="O151" s="22" t="e">
        <v>#N/A</v>
      </c>
    </row>
    <row r="152" spans="1:15" x14ac:dyDescent="0.25">
      <c r="A152" s="26"/>
      <c r="B152" s="20"/>
      <c r="C152" s="21"/>
      <c r="D152" s="20"/>
      <c r="E152" s="20"/>
      <c r="F152" s="20" t="s">
        <v>0</v>
      </c>
      <c r="G152" s="20" t="s">
        <v>0</v>
      </c>
      <c r="H152" s="20" t="s">
        <v>0</v>
      </c>
      <c r="I152" s="22" t="s">
        <v>0</v>
      </c>
      <c r="J152" s="20" t="s">
        <v>0</v>
      </c>
      <c r="K152" s="20" t="s">
        <v>0</v>
      </c>
      <c r="L152" s="20" t="s">
        <v>0</v>
      </c>
      <c r="M152" s="23" t="s">
        <v>0</v>
      </c>
      <c r="N152" s="22" t="s">
        <v>0</v>
      </c>
      <c r="O152" s="22" t="e">
        <v>#N/A</v>
      </c>
    </row>
    <row r="153" spans="1:15" x14ac:dyDescent="0.25">
      <c r="A153" s="26"/>
      <c r="B153" s="20"/>
      <c r="C153" s="21"/>
      <c r="D153" s="20"/>
      <c r="E153" s="20"/>
      <c r="F153" s="20" t="s">
        <v>0</v>
      </c>
      <c r="G153" s="20" t="s">
        <v>0</v>
      </c>
      <c r="H153" s="20" t="s">
        <v>0</v>
      </c>
      <c r="I153" s="22" t="s">
        <v>0</v>
      </c>
      <c r="J153" s="20" t="s">
        <v>0</v>
      </c>
      <c r="K153" s="20" t="s">
        <v>0</v>
      </c>
      <c r="L153" s="20" t="s">
        <v>0</v>
      </c>
      <c r="M153" s="23" t="s">
        <v>0</v>
      </c>
      <c r="N153" s="22" t="s">
        <v>0</v>
      </c>
      <c r="O153" s="22" t="e">
        <v>#N/A</v>
      </c>
    </row>
    <row r="154" spans="1:15" x14ac:dyDescent="0.25">
      <c r="A154" s="26"/>
      <c r="B154" s="20"/>
      <c r="C154" s="21"/>
      <c r="D154" s="20"/>
      <c r="E154" s="20"/>
      <c r="F154" s="20" t="s">
        <v>0</v>
      </c>
      <c r="G154" s="20" t="s">
        <v>0</v>
      </c>
      <c r="H154" s="20" t="s">
        <v>0</v>
      </c>
      <c r="I154" s="22" t="s">
        <v>0</v>
      </c>
      <c r="J154" s="20" t="s">
        <v>0</v>
      </c>
      <c r="K154" s="20" t="s">
        <v>0</v>
      </c>
      <c r="L154" s="20" t="s">
        <v>0</v>
      </c>
      <c r="M154" s="23" t="s">
        <v>0</v>
      </c>
      <c r="N154" s="22" t="s">
        <v>0</v>
      </c>
      <c r="O154" s="22" t="e">
        <v>#N/A</v>
      </c>
    </row>
    <row r="155" spans="1:15" x14ac:dyDescent="0.25">
      <c r="A155" s="26"/>
      <c r="B155" s="20"/>
      <c r="C155" s="21"/>
      <c r="D155" s="20"/>
      <c r="E155" s="20"/>
      <c r="F155" s="20" t="s">
        <v>0</v>
      </c>
      <c r="G155" s="20" t="s">
        <v>0</v>
      </c>
      <c r="H155" s="20" t="s">
        <v>0</v>
      </c>
      <c r="I155" s="22" t="s">
        <v>0</v>
      </c>
      <c r="J155" s="20" t="s">
        <v>0</v>
      </c>
      <c r="K155" s="20" t="s">
        <v>0</v>
      </c>
      <c r="L155" s="20" t="s">
        <v>0</v>
      </c>
      <c r="M155" s="23" t="s">
        <v>0</v>
      </c>
      <c r="N155" s="22" t="s">
        <v>0</v>
      </c>
      <c r="O155" s="22" t="e">
        <v>#N/A</v>
      </c>
    </row>
    <row r="156" spans="1:15" x14ac:dyDescent="0.25">
      <c r="A156" s="26"/>
      <c r="B156" s="20"/>
      <c r="C156" s="21"/>
      <c r="D156" s="20"/>
      <c r="E156" s="20"/>
      <c r="F156" s="20" t="s">
        <v>0</v>
      </c>
      <c r="G156" s="20" t="s">
        <v>0</v>
      </c>
      <c r="H156" s="20" t="s">
        <v>0</v>
      </c>
      <c r="I156" s="22" t="s">
        <v>0</v>
      </c>
      <c r="J156" s="20" t="s">
        <v>0</v>
      </c>
      <c r="K156" s="20" t="s">
        <v>0</v>
      </c>
      <c r="L156" s="20" t="s">
        <v>0</v>
      </c>
      <c r="M156" s="23" t="s">
        <v>0</v>
      </c>
      <c r="N156" s="22" t="s">
        <v>0</v>
      </c>
      <c r="O156" s="22" t="e">
        <v>#N/A</v>
      </c>
    </row>
    <row r="157" spans="1:15" x14ac:dyDescent="0.25">
      <c r="A157" s="26"/>
      <c r="B157" s="20"/>
      <c r="C157" s="21"/>
      <c r="D157" s="20"/>
      <c r="E157" s="20"/>
      <c r="F157" s="20" t="s">
        <v>0</v>
      </c>
      <c r="G157" s="20" t="s">
        <v>0</v>
      </c>
      <c r="H157" s="20" t="s">
        <v>0</v>
      </c>
      <c r="I157" s="22" t="s">
        <v>0</v>
      </c>
      <c r="J157" s="20" t="s">
        <v>0</v>
      </c>
      <c r="K157" s="20" t="s">
        <v>0</v>
      </c>
      <c r="L157" s="20" t="s">
        <v>0</v>
      </c>
      <c r="M157" s="23" t="s">
        <v>0</v>
      </c>
      <c r="N157" s="22" t="s">
        <v>0</v>
      </c>
      <c r="O157" s="22" t="e">
        <v>#N/A</v>
      </c>
    </row>
    <row r="158" spans="1:15" x14ac:dyDescent="0.25">
      <c r="A158" s="26"/>
      <c r="B158" s="20"/>
      <c r="C158" s="21"/>
      <c r="D158" s="20"/>
      <c r="E158" s="20"/>
      <c r="F158" s="20" t="s">
        <v>0</v>
      </c>
      <c r="G158" s="20" t="s">
        <v>0</v>
      </c>
      <c r="H158" s="20" t="s">
        <v>0</v>
      </c>
      <c r="I158" s="22" t="s">
        <v>0</v>
      </c>
      <c r="J158" s="20" t="s">
        <v>0</v>
      </c>
      <c r="K158" s="20" t="s">
        <v>0</v>
      </c>
      <c r="L158" s="20" t="s">
        <v>0</v>
      </c>
      <c r="M158" s="23" t="s">
        <v>0</v>
      </c>
      <c r="N158" s="22" t="s">
        <v>0</v>
      </c>
      <c r="O158" s="22" t="e">
        <v>#N/A</v>
      </c>
    </row>
    <row r="159" spans="1:15" x14ac:dyDescent="0.25">
      <c r="A159" s="26"/>
      <c r="B159" s="20"/>
      <c r="C159" s="21"/>
      <c r="D159" s="20"/>
      <c r="E159" s="20"/>
      <c r="F159" s="20" t="s">
        <v>0</v>
      </c>
      <c r="G159" s="20" t="s">
        <v>0</v>
      </c>
      <c r="H159" s="20" t="s">
        <v>0</v>
      </c>
      <c r="I159" s="22" t="s">
        <v>0</v>
      </c>
      <c r="J159" s="20" t="s">
        <v>0</v>
      </c>
      <c r="K159" s="20" t="s">
        <v>0</v>
      </c>
      <c r="L159" s="20" t="s">
        <v>0</v>
      </c>
      <c r="M159" s="23" t="s">
        <v>0</v>
      </c>
      <c r="N159" s="22" t="s">
        <v>0</v>
      </c>
      <c r="O159" s="22" t="e">
        <v>#N/A</v>
      </c>
    </row>
    <row r="160" spans="1:15" x14ac:dyDescent="0.25">
      <c r="A160" s="26"/>
      <c r="B160" s="20"/>
      <c r="C160" s="21"/>
      <c r="D160" s="20"/>
      <c r="E160" s="20"/>
      <c r="F160" s="20" t="s">
        <v>0</v>
      </c>
      <c r="G160" s="20" t="s">
        <v>0</v>
      </c>
      <c r="H160" s="20" t="s">
        <v>0</v>
      </c>
      <c r="I160" s="22" t="s">
        <v>0</v>
      </c>
      <c r="J160" s="20" t="s">
        <v>0</v>
      </c>
      <c r="K160" s="20" t="s">
        <v>0</v>
      </c>
      <c r="L160" s="20" t="s">
        <v>0</v>
      </c>
      <c r="M160" s="23" t="s">
        <v>0</v>
      </c>
      <c r="N160" s="22" t="s">
        <v>0</v>
      </c>
      <c r="O160" s="22" t="e">
        <v>#N/A</v>
      </c>
    </row>
    <row r="161" spans="1:15" x14ac:dyDescent="0.25">
      <c r="A161" s="26"/>
      <c r="B161" s="20"/>
      <c r="C161" s="21"/>
      <c r="D161" s="20"/>
      <c r="E161" s="20"/>
      <c r="F161" s="20" t="s">
        <v>0</v>
      </c>
      <c r="G161" s="20" t="s">
        <v>0</v>
      </c>
      <c r="H161" s="20" t="s">
        <v>0</v>
      </c>
      <c r="I161" s="22" t="s">
        <v>0</v>
      </c>
      <c r="J161" s="20" t="s">
        <v>0</v>
      </c>
      <c r="K161" s="20" t="s">
        <v>0</v>
      </c>
      <c r="L161" s="20" t="s">
        <v>0</v>
      </c>
      <c r="M161" s="23" t="s">
        <v>0</v>
      </c>
      <c r="N161" s="22" t="s">
        <v>0</v>
      </c>
      <c r="O161" s="22" t="e">
        <v>#N/A</v>
      </c>
    </row>
    <row r="162" spans="1:15" x14ac:dyDescent="0.25">
      <c r="A162" s="26"/>
      <c r="B162" s="20"/>
      <c r="C162" s="21"/>
      <c r="D162" s="20"/>
      <c r="E162" s="20"/>
      <c r="F162" s="20" t="s">
        <v>0</v>
      </c>
      <c r="G162" s="20" t="s">
        <v>0</v>
      </c>
      <c r="H162" s="20" t="s">
        <v>0</v>
      </c>
      <c r="I162" s="22" t="s">
        <v>0</v>
      </c>
      <c r="J162" s="20" t="s">
        <v>0</v>
      </c>
      <c r="K162" s="20" t="s">
        <v>0</v>
      </c>
      <c r="L162" s="20" t="s">
        <v>0</v>
      </c>
      <c r="M162" s="23" t="s">
        <v>0</v>
      </c>
      <c r="N162" s="22" t="s">
        <v>0</v>
      </c>
      <c r="O162" s="22" t="e">
        <v>#N/A</v>
      </c>
    </row>
    <row r="163" spans="1:15" x14ac:dyDescent="0.25">
      <c r="A163" s="26"/>
      <c r="B163" s="20"/>
      <c r="C163" s="21"/>
      <c r="D163" s="20"/>
      <c r="E163" s="20"/>
      <c r="F163" s="20" t="s">
        <v>0</v>
      </c>
      <c r="G163" s="20" t="s">
        <v>0</v>
      </c>
      <c r="H163" s="20" t="s">
        <v>0</v>
      </c>
      <c r="I163" s="22" t="s">
        <v>0</v>
      </c>
      <c r="J163" s="20" t="s">
        <v>0</v>
      </c>
      <c r="K163" s="20" t="s">
        <v>0</v>
      </c>
      <c r="L163" s="20" t="s">
        <v>0</v>
      </c>
      <c r="M163" s="23" t="s">
        <v>0</v>
      </c>
      <c r="N163" s="22" t="s">
        <v>0</v>
      </c>
      <c r="O163" s="22" t="e">
        <v>#N/A</v>
      </c>
    </row>
    <row r="164" spans="1:15" x14ac:dyDescent="0.25">
      <c r="A164" s="26"/>
      <c r="B164" s="20"/>
      <c r="C164" s="21"/>
      <c r="D164" s="20"/>
      <c r="E164" s="20"/>
      <c r="F164" s="20" t="s">
        <v>0</v>
      </c>
      <c r="G164" s="20" t="s">
        <v>0</v>
      </c>
      <c r="H164" s="20" t="s">
        <v>0</v>
      </c>
      <c r="I164" s="22" t="s">
        <v>0</v>
      </c>
      <c r="J164" s="20" t="s">
        <v>0</v>
      </c>
      <c r="K164" s="20" t="s">
        <v>0</v>
      </c>
      <c r="L164" s="20" t="s">
        <v>0</v>
      </c>
      <c r="M164" s="23" t="s">
        <v>0</v>
      </c>
      <c r="N164" s="22" t="s">
        <v>0</v>
      </c>
      <c r="O164" s="22" t="e">
        <v>#N/A</v>
      </c>
    </row>
    <row r="165" spans="1:15" x14ac:dyDescent="0.25">
      <c r="A165" s="26"/>
      <c r="B165" s="20"/>
      <c r="C165" s="21"/>
      <c r="D165" s="20"/>
      <c r="E165" s="20"/>
      <c r="F165" s="20" t="s">
        <v>0</v>
      </c>
      <c r="G165" s="20" t="s">
        <v>0</v>
      </c>
      <c r="H165" s="20" t="s">
        <v>0</v>
      </c>
      <c r="I165" s="22" t="s">
        <v>0</v>
      </c>
      <c r="J165" s="20" t="s">
        <v>0</v>
      </c>
      <c r="K165" s="20" t="s">
        <v>0</v>
      </c>
      <c r="L165" s="20" t="s">
        <v>0</v>
      </c>
      <c r="M165" s="23" t="s">
        <v>0</v>
      </c>
      <c r="N165" s="22" t="s">
        <v>0</v>
      </c>
      <c r="O165" s="22" t="e">
        <v>#N/A</v>
      </c>
    </row>
    <row r="166" spans="1:15" x14ac:dyDescent="0.25">
      <c r="A166" s="26"/>
      <c r="B166" s="20"/>
      <c r="C166" s="21"/>
      <c r="D166" s="20"/>
      <c r="E166" s="20"/>
      <c r="F166" s="20" t="s">
        <v>0</v>
      </c>
      <c r="G166" s="20" t="s">
        <v>0</v>
      </c>
      <c r="H166" s="20" t="s">
        <v>0</v>
      </c>
      <c r="I166" s="22" t="s">
        <v>0</v>
      </c>
      <c r="J166" s="20" t="s">
        <v>0</v>
      </c>
      <c r="K166" s="20" t="s">
        <v>0</v>
      </c>
      <c r="L166" s="20" t="s">
        <v>0</v>
      </c>
      <c r="M166" s="23" t="s">
        <v>0</v>
      </c>
      <c r="N166" s="22" t="s">
        <v>0</v>
      </c>
      <c r="O166" s="22" t="e">
        <v>#N/A</v>
      </c>
    </row>
    <row r="167" spans="1:15" x14ac:dyDescent="0.25">
      <c r="A167" s="26"/>
      <c r="B167" s="20"/>
      <c r="C167" s="21"/>
      <c r="D167" s="20"/>
      <c r="E167" s="20"/>
      <c r="F167" s="20" t="s">
        <v>0</v>
      </c>
      <c r="G167" s="20" t="s">
        <v>0</v>
      </c>
      <c r="H167" s="20" t="s">
        <v>0</v>
      </c>
      <c r="I167" s="22" t="s">
        <v>0</v>
      </c>
      <c r="J167" s="20" t="s">
        <v>0</v>
      </c>
      <c r="K167" s="20" t="s">
        <v>0</v>
      </c>
      <c r="L167" s="20" t="s">
        <v>0</v>
      </c>
      <c r="M167" s="23" t="s">
        <v>0</v>
      </c>
      <c r="N167" s="22" t="s">
        <v>0</v>
      </c>
      <c r="O167" s="22" t="e">
        <v>#N/A</v>
      </c>
    </row>
    <row r="168" spans="1:15" x14ac:dyDescent="0.25">
      <c r="A168" s="26"/>
      <c r="B168" s="20"/>
      <c r="C168" s="21"/>
      <c r="D168" s="20"/>
      <c r="E168" s="20"/>
      <c r="F168" s="20" t="s">
        <v>0</v>
      </c>
      <c r="G168" s="20" t="s">
        <v>0</v>
      </c>
      <c r="H168" s="20" t="s">
        <v>0</v>
      </c>
      <c r="I168" s="22" t="s">
        <v>0</v>
      </c>
      <c r="J168" s="20" t="s">
        <v>0</v>
      </c>
      <c r="K168" s="20" t="s">
        <v>0</v>
      </c>
      <c r="L168" s="20" t="s">
        <v>0</v>
      </c>
      <c r="M168" s="23" t="s">
        <v>0</v>
      </c>
      <c r="N168" s="22" t="s">
        <v>0</v>
      </c>
      <c r="O168" s="22" t="e">
        <v>#N/A</v>
      </c>
    </row>
    <row r="169" spans="1:15" x14ac:dyDescent="0.25">
      <c r="A169" s="26"/>
      <c r="B169" s="20"/>
      <c r="C169" s="21"/>
      <c r="D169" s="20"/>
      <c r="E169" s="20"/>
      <c r="F169" s="20" t="s">
        <v>0</v>
      </c>
      <c r="G169" s="20" t="s">
        <v>0</v>
      </c>
      <c r="H169" s="20" t="s">
        <v>0</v>
      </c>
      <c r="I169" s="22" t="s">
        <v>0</v>
      </c>
      <c r="J169" s="20" t="s">
        <v>0</v>
      </c>
      <c r="K169" s="20" t="s">
        <v>0</v>
      </c>
      <c r="L169" s="20" t="s">
        <v>0</v>
      </c>
      <c r="M169" s="23" t="s">
        <v>0</v>
      </c>
      <c r="N169" s="22" t="s">
        <v>0</v>
      </c>
      <c r="O169" s="22" t="e">
        <v>#N/A</v>
      </c>
    </row>
    <row r="170" spans="1:15" x14ac:dyDescent="0.25">
      <c r="A170" s="26"/>
      <c r="B170" s="20"/>
      <c r="C170" s="21"/>
      <c r="D170" s="20"/>
      <c r="E170" s="20"/>
      <c r="F170" s="20" t="s">
        <v>0</v>
      </c>
      <c r="G170" s="20" t="s">
        <v>0</v>
      </c>
      <c r="H170" s="20" t="s">
        <v>0</v>
      </c>
      <c r="I170" s="22" t="s">
        <v>0</v>
      </c>
      <c r="J170" s="20" t="s">
        <v>0</v>
      </c>
      <c r="K170" s="20" t="s">
        <v>0</v>
      </c>
      <c r="L170" s="20" t="s">
        <v>0</v>
      </c>
      <c r="M170" s="23" t="s">
        <v>0</v>
      </c>
      <c r="N170" s="22" t="s">
        <v>0</v>
      </c>
      <c r="O170" s="22" t="e">
        <v>#N/A</v>
      </c>
    </row>
    <row r="171" spans="1:15" x14ac:dyDescent="0.25">
      <c r="A171" s="26"/>
      <c r="B171" s="20"/>
      <c r="C171" s="21"/>
      <c r="D171" s="20"/>
      <c r="E171" s="20"/>
      <c r="F171" s="20" t="s">
        <v>0</v>
      </c>
      <c r="G171" s="20" t="s">
        <v>0</v>
      </c>
      <c r="H171" s="20" t="s">
        <v>0</v>
      </c>
      <c r="I171" s="22" t="s">
        <v>0</v>
      </c>
      <c r="J171" s="20" t="s">
        <v>0</v>
      </c>
      <c r="K171" s="20" t="s">
        <v>0</v>
      </c>
      <c r="L171" s="20" t="s">
        <v>0</v>
      </c>
      <c r="M171" s="23" t="s">
        <v>0</v>
      </c>
      <c r="N171" s="22" t="s">
        <v>0</v>
      </c>
      <c r="O171" s="22" t="e">
        <v>#N/A</v>
      </c>
    </row>
    <row r="172" spans="1:15" x14ac:dyDescent="0.25">
      <c r="A172" s="26"/>
      <c r="B172" s="20"/>
      <c r="C172" s="21"/>
      <c r="D172" s="20"/>
      <c r="E172" s="20"/>
      <c r="F172" s="20" t="s">
        <v>0</v>
      </c>
      <c r="G172" s="20" t="s">
        <v>0</v>
      </c>
      <c r="H172" s="20" t="s">
        <v>0</v>
      </c>
      <c r="I172" s="22" t="s">
        <v>0</v>
      </c>
      <c r="J172" s="20" t="s">
        <v>0</v>
      </c>
      <c r="K172" s="20" t="s">
        <v>0</v>
      </c>
      <c r="L172" s="20" t="s">
        <v>0</v>
      </c>
      <c r="M172" s="23" t="s">
        <v>0</v>
      </c>
      <c r="N172" s="22" t="s">
        <v>0</v>
      </c>
      <c r="O172" s="22" t="e">
        <v>#N/A</v>
      </c>
    </row>
    <row r="173" spans="1:15" x14ac:dyDescent="0.25">
      <c r="A173" s="26"/>
      <c r="B173" s="20"/>
      <c r="C173" s="21"/>
      <c r="D173" s="20"/>
      <c r="E173" s="20"/>
      <c r="F173" s="20" t="s">
        <v>0</v>
      </c>
      <c r="G173" s="20" t="s">
        <v>0</v>
      </c>
      <c r="H173" s="20" t="s">
        <v>0</v>
      </c>
      <c r="I173" s="22" t="s">
        <v>0</v>
      </c>
      <c r="J173" s="20" t="s">
        <v>0</v>
      </c>
      <c r="K173" s="20" t="s">
        <v>0</v>
      </c>
      <c r="L173" s="20" t="s">
        <v>0</v>
      </c>
      <c r="M173" s="23" t="s">
        <v>0</v>
      </c>
      <c r="N173" s="22" t="s">
        <v>0</v>
      </c>
      <c r="O173" s="22" t="e">
        <v>#N/A</v>
      </c>
    </row>
    <row r="174" spans="1:15" x14ac:dyDescent="0.25">
      <c r="A174" s="26"/>
      <c r="B174" s="20"/>
      <c r="C174" s="21"/>
      <c r="D174" s="20"/>
      <c r="E174" s="20"/>
      <c r="F174" s="20" t="s">
        <v>0</v>
      </c>
      <c r="G174" s="20" t="s">
        <v>0</v>
      </c>
      <c r="H174" s="20" t="s">
        <v>0</v>
      </c>
      <c r="I174" s="22" t="s">
        <v>0</v>
      </c>
      <c r="J174" s="20" t="s">
        <v>0</v>
      </c>
      <c r="K174" s="20" t="s">
        <v>0</v>
      </c>
      <c r="L174" s="20" t="s">
        <v>0</v>
      </c>
      <c r="M174" s="23" t="s">
        <v>0</v>
      </c>
      <c r="N174" s="22" t="s">
        <v>0</v>
      </c>
      <c r="O174" s="22" t="e">
        <v>#N/A</v>
      </c>
    </row>
    <row r="175" spans="1:15" x14ac:dyDescent="0.25">
      <c r="A175" s="26"/>
      <c r="B175" s="20"/>
      <c r="C175" s="21"/>
      <c r="D175" s="20"/>
      <c r="E175" s="20"/>
      <c r="F175" s="20" t="s">
        <v>0</v>
      </c>
      <c r="G175" s="20" t="s">
        <v>0</v>
      </c>
      <c r="H175" s="20" t="s">
        <v>0</v>
      </c>
      <c r="I175" s="22" t="s">
        <v>0</v>
      </c>
      <c r="J175" s="20" t="s">
        <v>0</v>
      </c>
      <c r="K175" s="20" t="s">
        <v>0</v>
      </c>
      <c r="L175" s="20" t="s">
        <v>0</v>
      </c>
      <c r="M175" s="23" t="s">
        <v>0</v>
      </c>
      <c r="N175" s="22" t="s">
        <v>0</v>
      </c>
      <c r="O175" s="22" t="e">
        <v>#N/A</v>
      </c>
    </row>
    <row r="176" spans="1:15" x14ac:dyDescent="0.25">
      <c r="A176" s="26"/>
      <c r="B176" s="20"/>
      <c r="C176" s="21"/>
      <c r="D176" s="20"/>
      <c r="E176" s="20"/>
      <c r="F176" s="20" t="s">
        <v>0</v>
      </c>
      <c r="G176" s="20" t="s">
        <v>0</v>
      </c>
      <c r="H176" s="20" t="s">
        <v>0</v>
      </c>
      <c r="I176" s="22" t="s">
        <v>0</v>
      </c>
      <c r="J176" s="20" t="s">
        <v>0</v>
      </c>
      <c r="K176" s="20" t="s">
        <v>0</v>
      </c>
      <c r="L176" s="20" t="s">
        <v>0</v>
      </c>
      <c r="M176" s="23" t="s">
        <v>0</v>
      </c>
      <c r="N176" s="22" t="s">
        <v>0</v>
      </c>
      <c r="O176" s="22" t="e">
        <v>#N/A</v>
      </c>
    </row>
    <row r="177" spans="1:15" x14ac:dyDescent="0.25">
      <c r="A177" s="26"/>
      <c r="B177" s="20"/>
      <c r="C177" s="21"/>
      <c r="D177" s="20"/>
      <c r="E177" s="20"/>
      <c r="F177" s="20" t="s">
        <v>0</v>
      </c>
      <c r="G177" s="20" t="s">
        <v>0</v>
      </c>
      <c r="H177" s="20" t="s">
        <v>0</v>
      </c>
      <c r="I177" s="22" t="s">
        <v>0</v>
      </c>
      <c r="J177" s="20" t="s">
        <v>0</v>
      </c>
      <c r="K177" s="20" t="s">
        <v>0</v>
      </c>
      <c r="L177" s="20" t="s">
        <v>0</v>
      </c>
      <c r="M177" s="23" t="s">
        <v>0</v>
      </c>
      <c r="N177" s="22" t="s">
        <v>0</v>
      </c>
      <c r="O177" s="22" t="e">
        <v>#N/A</v>
      </c>
    </row>
    <row r="178" spans="1:15" x14ac:dyDescent="0.25">
      <c r="A178" s="26"/>
      <c r="B178" s="20"/>
      <c r="C178" s="21"/>
      <c r="D178" s="20"/>
      <c r="E178" s="20"/>
      <c r="F178" s="20" t="s">
        <v>0</v>
      </c>
      <c r="G178" s="20" t="s">
        <v>0</v>
      </c>
      <c r="H178" s="20" t="s">
        <v>0</v>
      </c>
      <c r="I178" s="22" t="s">
        <v>0</v>
      </c>
      <c r="J178" s="20" t="s">
        <v>0</v>
      </c>
      <c r="K178" s="20" t="s">
        <v>0</v>
      </c>
      <c r="L178" s="20" t="s">
        <v>0</v>
      </c>
      <c r="M178" s="23" t="s">
        <v>0</v>
      </c>
      <c r="N178" s="22" t="s">
        <v>0</v>
      </c>
      <c r="O178" s="22" t="e">
        <v>#N/A</v>
      </c>
    </row>
    <row r="179" spans="1:15" x14ac:dyDescent="0.25">
      <c r="A179" s="26"/>
      <c r="B179" s="20"/>
      <c r="C179" s="21"/>
      <c r="D179" s="20"/>
      <c r="E179" s="20"/>
      <c r="F179" s="20" t="s">
        <v>0</v>
      </c>
      <c r="G179" s="20" t="s">
        <v>0</v>
      </c>
      <c r="H179" s="20" t="s">
        <v>0</v>
      </c>
      <c r="I179" s="22" t="s">
        <v>0</v>
      </c>
      <c r="J179" s="20" t="s">
        <v>0</v>
      </c>
      <c r="K179" s="20" t="s">
        <v>0</v>
      </c>
      <c r="L179" s="20" t="s">
        <v>0</v>
      </c>
      <c r="M179" s="23" t="s">
        <v>0</v>
      </c>
      <c r="N179" s="22" t="s">
        <v>0</v>
      </c>
      <c r="O179" s="22" t="e">
        <v>#N/A</v>
      </c>
    </row>
    <row r="180" spans="1:15" x14ac:dyDescent="0.25">
      <c r="A180" s="26"/>
      <c r="B180" s="20"/>
      <c r="C180" s="21"/>
      <c r="D180" s="20"/>
      <c r="E180" s="20"/>
      <c r="F180" s="20" t="s">
        <v>0</v>
      </c>
      <c r="G180" s="20" t="s">
        <v>0</v>
      </c>
      <c r="H180" s="20" t="s">
        <v>0</v>
      </c>
      <c r="I180" s="22" t="s">
        <v>0</v>
      </c>
      <c r="J180" s="20" t="s">
        <v>0</v>
      </c>
      <c r="K180" s="20" t="s">
        <v>0</v>
      </c>
      <c r="L180" s="20" t="s">
        <v>0</v>
      </c>
      <c r="M180" s="23" t="s">
        <v>0</v>
      </c>
      <c r="N180" s="22" t="s">
        <v>0</v>
      </c>
      <c r="O180" s="22" t="e">
        <v>#N/A</v>
      </c>
    </row>
    <row r="181" spans="1:15" x14ac:dyDescent="0.25">
      <c r="A181" s="26"/>
      <c r="B181" s="20"/>
      <c r="C181" s="21"/>
      <c r="D181" s="20"/>
      <c r="E181" s="20"/>
      <c r="F181" s="20" t="s">
        <v>0</v>
      </c>
      <c r="G181" s="20" t="s">
        <v>0</v>
      </c>
      <c r="H181" s="20" t="s">
        <v>0</v>
      </c>
      <c r="I181" s="22" t="s">
        <v>0</v>
      </c>
      <c r="J181" s="20" t="s">
        <v>0</v>
      </c>
      <c r="K181" s="20" t="s">
        <v>0</v>
      </c>
      <c r="L181" s="20" t="s">
        <v>0</v>
      </c>
      <c r="M181" s="23" t="s">
        <v>0</v>
      </c>
      <c r="N181" s="22" t="s">
        <v>0</v>
      </c>
      <c r="O181" s="22" t="e">
        <v>#N/A</v>
      </c>
    </row>
    <row r="182" spans="1:15" x14ac:dyDescent="0.25">
      <c r="A182" s="26"/>
      <c r="B182" s="20"/>
      <c r="C182" s="21"/>
      <c r="D182" s="20"/>
      <c r="E182" s="20"/>
      <c r="F182" s="20" t="s">
        <v>0</v>
      </c>
      <c r="G182" s="20" t="s">
        <v>0</v>
      </c>
      <c r="H182" s="20" t="s">
        <v>0</v>
      </c>
      <c r="I182" s="22" t="s">
        <v>0</v>
      </c>
      <c r="J182" s="20" t="s">
        <v>0</v>
      </c>
      <c r="K182" s="20" t="s">
        <v>0</v>
      </c>
      <c r="L182" s="20" t="s">
        <v>0</v>
      </c>
      <c r="M182" s="23" t="s">
        <v>0</v>
      </c>
      <c r="N182" s="22" t="s">
        <v>0</v>
      </c>
      <c r="O182" s="22" t="e">
        <v>#N/A</v>
      </c>
    </row>
    <row r="183" spans="1:15" x14ac:dyDescent="0.25">
      <c r="A183" s="26"/>
      <c r="B183" s="20"/>
      <c r="C183" s="21"/>
      <c r="D183" s="20"/>
      <c r="E183" s="20"/>
      <c r="F183" s="20" t="s">
        <v>0</v>
      </c>
      <c r="G183" s="20" t="s">
        <v>0</v>
      </c>
      <c r="H183" s="20" t="s">
        <v>0</v>
      </c>
      <c r="I183" s="22" t="s">
        <v>0</v>
      </c>
      <c r="J183" s="20" t="s">
        <v>0</v>
      </c>
      <c r="K183" s="20" t="s">
        <v>0</v>
      </c>
      <c r="L183" s="20" t="s">
        <v>0</v>
      </c>
      <c r="M183" s="23" t="s">
        <v>0</v>
      </c>
      <c r="N183" s="22" t="s">
        <v>0</v>
      </c>
      <c r="O183" s="22" t="e">
        <v>#N/A</v>
      </c>
    </row>
    <row r="184" spans="1:15" x14ac:dyDescent="0.25">
      <c r="A184" s="26"/>
      <c r="B184" s="20"/>
      <c r="C184" s="21"/>
      <c r="D184" s="20"/>
      <c r="E184" s="20"/>
      <c r="F184" s="20" t="s">
        <v>0</v>
      </c>
      <c r="G184" s="20" t="s">
        <v>0</v>
      </c>
      <c r="H184" s="20" t="s">
        <v>0</v>
      </c>
      <c r="I184" s="22" t="s">
        <v>0</v>
      </c>
      <c r="J184" s="20" t="s">
        <v>0</v>
      </c>
      <c r="K184" s="20" t="s">
        <v>0</v>
      </c>
      <c r="L184" s="20" t="s">
        <v>0</v>
      </c>
      <c r="M184" s="23" t="s">
        <v>0</v>
      </c>
      <c r="N184" s="22" t="s">
        <v>0</v>
      </c>
      <c r="O184" s="22" t="e">
        <v>#N/A</v>
      </c>
    </row>
    <row r="185" spans="1:15" x14ac:dyDescent="0.25">
      <c r="A185" s="26"/>
      <c r="B185" s="20"/>
      <c r="C185" s="21"/>
      <c r="D185" s="20"/>
      <c r="E185" s="20"/>
      <c r="F185" s="20" t="s">
        <v>0</v>
      </c>
      <c r="G185" s="20" t="s">
        <v>0</v>
      </c>
      <c r="H185" s="20" t="s">
        <v>0</v>
      </c>
      <c r="I185" s="22" t="s">
        <v>0</v>
      </c>
      <c r="J185" s="20" t="s">
        <v>0</v>
      </c>
      <c r="K185" s="20" t="s">
        <v>0</v>
      </c>
      <c r="L185" s="20" t="s">
        <v>0</v>
      </c>
      <c r="M185" s="23" t="s">
        <v>0</v>
      </c>
      <c r="N185" s="22" t="s">
        <v>0</v>
      </c>
      <c r="O185" s="22" t="e">
        <v>#N/A</v>
      </c>
    </row>
    <row r="186" spans="1:15" x14ac:dyDescent="0.25">
      <c r="A186" s="26"/>
      <c r="B186" s="20"/>
      <c r="C186" s="21"/>
      <c r="D186" s="20"/>
      <c r="E186" s="20"/>
      <c r="F186" s="20" t="s">
        <v>0</v>
      </c>
      <c r="G186" s="20" t="s">
        <v>0</v>
      </c>
      <c r="H186" s="20" t="s">
        <v>0</v>
      </c>
      <c r="I186" s="22" t="s">
        <v>0</v>
      </c>
      <c r="J186" s="20" t="s">
        <v>0</v>
      </c>
      <c r="K186" s="20" t="s">
        <v>0</v>
      </c>
      <c r="L186" s="20" t="s">
        <v>0</v>
      </c>
      <c r="M186" s="23" t="s">
        <v>0</v>
      </c>
      <c r="N186" s="22" t="s">
        <v>0</v>
      </c>
      <c r="O186" s="22" t="e">
        <v>#N/A</v>
      </c>
    </row>
    <row r="187" spans="1:15" x14ac:dyDescent="0.25">
      <c r="A187" s="26"/>
      <c r="B187" s="20"/>
      <c r="C187" s="21"/>
      <c r="D187" s="20"/>
      <c r="E187" s="20"/>
      <c r="F187" s="20" t="s">
        <v>0</v>
      </c>
      <c r="G187" s="20" t="s">
        <v>0</v>
      </c>
      <c r="H187" s="20" t="s">
        <v>0</v>
      </c>
      <c r="I187" s="22" t="s">
        <v>0</v>
      </c>
      <c r="J187" s="20" t="s">
        <v>0</v>
      </c>
      <c r="K187" s="20" t="s">
        <v>0</v>
      </c>
      <c r="L187" s="20" t="s">
        <v>0</v>
      </c>
      <c r="M187" s="23" t="s">
        <v>0</v>
      </c>
      <c r="N187" s="22" t="s">
        <v>0</v>
      </c>
      <c r="O187" s="22" t="e">
        <v>#N/A</v>
      </c>
    </row>
    <row r="188" spans="1:15" x14ac:dyDescent="0.25">
      <c r="A188" s="26"/>
      <c r="B188" s="20"/>
      <c r="C188" s="21"/>
      <c r="D188" s="20"/>
      <c r="E188" s="20"/>
      <c r="F188" s="20" t="s">
        <v>0</v>
      </c>
      <c r="G188" s="20" t="s">
        <v>0</v>
      </c>
      <c r="H188" s="20" t="s">
        <v>0</v>
      </c>
      <c r="I188" s="22" t="s">
        <v>0</v>
      </c>
      <c r="J188" s="20" t="s">
        <v>0</v>
      </c>
      <c r="K188" s="20" t="s">
        <v>0</v>
      </c>
      <c r="L188" s="20" t="s">
        <v>0</v>
      </c>
      <c r="M188" s="23" t="s">
        <v>0</v>
      </c>
      <c r="N188" s="22" t="s">
        <v>0</v>
      </c>
      <c r="O188" s="22" t="e">
        <v>#N/A</v>
      </c>
    </row>
    <row r="189" spans="1:15" x14ac:dyDescent="0.25">
      <c r="A189" s="26"/>
      <c r="B189" s="20"/>
      <c r="C189" s="21"/>
      <c r="D189" s="20"/>
      <c r="E189" s="20"/>
      <c r="F189" s="20" t="s">
        <v>0</v>
      </c>
      <c r="G189" s="20" t="s">
        <v>0</v>
      </c>
      <c r="H189" s="20" t="s">
        <v>0</v>
      </c>
      <c r="I189" s="22" t="s">
        <v>0</v>
      </c>
      <c r="J189" s="20" t="s">
        <v>0</v>
      </c>
      <c r="K189" s="20" t="s">
        <v>0</v>
      </c>
      <c r="L189" s="20" t="s">
        <v>0</v>
      </c>
      <c r="M189" s="23" t="s">
        <v>0</v>
      </c>
      <c r="N189" s="22" t="s">
        <v>0</v>
      </c>
      <c r="O189" s="22" t="e">
        <v>#N/A</v>
      </c>
    </row>
    <row r="190" spans="1:15" x14ac:dyDescent="0.25">
      <c r="A190" s="26"/>
      <c r="B190" s="20"/>
      <c r="C190" s="21"/>
      <c r="D190" s="20"/>
      <c r="E190" s="20"/>
      <c r="F190" s="20" t="s">
        <v>0</v>
      </c>
      <c r="G190" s="20" t="s">
        <v>0</v>
      </c>
      <c r="H190" s="20" t="s">
        <v>0</v>
      </c>
      <c r="I190" s="22" t="s">
        <v>0</v>
      </c>
      <c r="J190" s="20" t="s">
        <v>0</v>
      </c>
      <c r="K190" s="20" t="s">
        <v>0</v>
      </c>
      <c r="L190" s="20" t="s">
        <v>0</v>
      </c>
      <c r="M190" s="23" t="s">
        <v>0</v>
      </c>
      <c r="N190" s="22" t="s">
        <v>0</v>
      </c>
      <c r="O190" s="22" t="e">
        <v>#N/A</v>
      </c>
    </row>
    <row r="191" spans="1:15" x14ac:dyDescent="0.25">
      <c r="A191" s="26"/>
      <c r="B191" s="20"/>
      <c r="C191" s="21"/>
      <c r="D191" s="20"/>
      <c r="E191" s="20"/>
      <c r="F191" s="20" t="s">
        <v>0</v>
      </c>
      <c r="G191" s="20" t="s">
        <v>0</v>
      </c>
      <c r="H191" s="20" t="s">
        <v>0</v>
      </c>
      <c r="I191" s="22" t="s">
        <v>0</v>
      </c>
      <c r="J191" s="20" t="s">
        <v>0</v>
      </c>
      <c r="K191" s="20" t="s">
        <v>0</v>
      </c>
      <c r="L191" s="20" t="s">
        <v>0</v>
      </c>
      <c r="M191" s="23" t="s">
        <v>0</v>
      </c>
      <c r="N191" s="22" t="s">
        <v>0</v>
      </c>
      <c r="O191" s="22" t="e">
        <v>#N/A</v>
      </c>
    </row>
    <row r="192" spans="1:15" x14ac:dyDescent="0.25">
      <c r="A192" s="26"/>
      <c r="B192" s="20"/>
      <c r="C192" s="21"/>
      <c r="D192" s="20"/>
      <c r="E192" s="20"/>
      <c r="F192" s="20" t="s">
        <v>0</v>
      </c>
      <c r="G192" s="20" t="s">
        <v>0</v>
      </c>
      <c r="H192" s="20" t="s">
        <v>0</v>
      </c>
      <c r="I192" s="22" t="s">
        <v>0</v>
      </c>
      <c r="J192" s="20" t="s">
        <v>0</v>
      </c>
      <c r="K192" s="20" t="s">
        <v>0</v>
      </c>
      <c r="L192" s="20" t="s">
        <v>0</v>
      </c>
      <c r="M192" s="23" t="s">
        <v>0</v>
      </c>
      <c r="N192" s="22" t="s">
        <v>0</v>
      </c>
      <c r="O192" s="22" t="e">
        <v>#N/A</v>
      </c>
    </row>
    <row r="193" spans="1:15" x14ac:dyDescent="0.25">
      <c r="A193" s="26"/>
      <c r="B193" s="20"/>
      <c r="C193" s="21"/>
      <c r="D193" s="20"/>
      <c r="E193" s="20"/>
      <c r="F193" s="20" t="s">
        <v>0</v>
      </c>
      <c r="G193" s="20" t="s">
        <v>0</v>
      </c>
      <c r="H193" s="20" t="s">
        <v>0</v>
      </c>
      <c r="I193" s="22" t="s">
        <v>0</v>
      </c>
      <c r="J193" s="20" t="s">
        <v>0</v>
      </c>
      <c r="K193" s="20" t="s">
        <v>0</v>
      </c>
      <c r="L193" s="20" t="s">
        <v>0</v>
      </c>
      <c r="M193" s="23" t="s">
        <v>0</v>
      </c>
      <c r="N193" s="22" t="s">
        <v>0</v>
      </c>
      <c r="O193" s="22" t="e">
        <v>#N/A</v>
      </c>
    </row>
    <row r="194" spans="1:15" x14ac:dyDescent="0.25">
      <c r="A194" s="26"/>
      <c r="B194" s="20"/>
      <c r="C194" s="21"/>
      <c r="D194" s="20"/>
      <c r="E194" s="20"/>
      <c r="F194" s="20" t="s">
        <v>0</v>
      </c>
      <c r="G194" s="20" t="s">
        <v>0</v>
      </c>
      <c r="H194" s="20" t="s">
        <v>0</v>
      </c>
      <c r="I194" s="22" t="s">
        <v>0</v>
      </c>
      <c r="J194" s="20" t="s">
        <v>0</v>
      </c>
      <c r="K194" s="20" t="s">
        <v>0</v>
      </c>
      <c r="L194" s="20" t="s">
        <v>0</v>
      </c>
      <c r="M194" s="23" t="s">
        <v>0</v>
      </c>
      <c r="N194" s="22" t="s">
        <v>0</v>
      </c>
      <c r="O194" s="22" t="e">
        <v>#N/A</v>
      </c>
    </row>
    <row r="195" spans="1:15" x14ac:dyDescent="0.25">
      <c r="A195" s="26"/>
      <c r="B195" s="20"/>
      <c r="C195" s="21"/>
      <c r="D195" s="20"/>
      <c r="E195" s="20"/>
      <c r="F195" s="20" t="s">
        <v>0</v>
      </c>
      <c r="G195" s="20" t="s">
        <v>0</v>
      </c>
      <c r="H195" s="20" t="s">
        <v>0</v>
      </c>
      <c r="I195" s="22" t="s">
        <v>0</v>
      </c>
      <c r="J195" s="20" t="s">
        <v>0</v>
      </c>
      <c r="K195" s="20" t="s">
        <v>0</v>
      </c>
      <c r="L195" s="20" t="s">
        <v>0</v>
      </c>
      <c r="M195" s="23" t="s">
        <v>0</v>
      </c>
      <c r="N195" s="22" t="s">
        <v>0</v>
      </c>
      <c r="O195" s="22" t="e">
        <v>#N/A</v>
      </c>
    </row>
    <row r="196" spans="1:15" x14ac:dyDescent="0.25">
      <c r="A196" s="26"/>
      <c r="B196" s="20"/>
      <c r="C196" s="21"/>
      <c r="D196" s="20"/>
      <c r="E196" s="20"/>
      <c r="F196" s="20" t="s">
        <v>0</v>
      </c>
      <c r="G196" s="20" t="s">
        <v>0</v>
      </c>
      <c r="H196" s="20" t="s">
        <v>0</v>
      </c>
      <c r="I196" s="22" t="s">
        <v>0</v>
      </c>
      <c r="J196" s="20" t="s">
        <v>0</v>
      </c>
      <c r="K196" s="20" t="s">
        <v>0</v>
      </c>
      <c r="L196" s="20" t="s">
        <v>0</v>
      </c>
      <c r="M196" s="23" t="s">
        <v>0</v>
      </c>
      <c r="N196" s="22" t="s">
        <v>0</v>
      </c>
      <c r="O196" s="22" t="e">
        <v>#N/A</v>
      </c>
    </row>
    <row r="197" spans="1:15" x14ac:dyDescent="0.25">
      <c r="A197" s="26"/>
      <c r="B197" s="20"/>
      <c r="C197" s="21"/>
      <c r="D197" s="20"/>
      <c r="E197" s="20"/>
      <c r="F197" s="20" t="s">
        <v>0</v>
      </c>
      <c r="G197" s="20" t="s">
        <v>0</v>
      </c>
      <c r="H197" s="20" t="s">
        <v>0</v>
      </c>
      <c r="I197" s="22" t="s">
        <v>0</v>
      </c>
      <c r="J197" s="20" t="s">
        <v>0</v>
      </c>
      <c r="K197" s="20" t="s">
        <v>0</v>
      </c>
      <c r="L197" s="20" t="s">
        <v>0</v>
      </c>
      <c r="M197" s="23" t="s">
        <v>0</v>
      </c>
      <c r="N197" s="22" t="s">
        <v>0</v>
      </c>
      <c r="O197" s="22" t="e">
        <v>#N/A</v>
      </c>
    </row>
    <row r="198" spans="1:15" x14ac:dyDescent="0.25">
      <c r="A198" s="26"/>
      <c r="B198" s="20"/>
      <c r="C198" s="21"/>
      <c r="D198" s="20"/>
      <c r="E198" s="20"/>
      <c r="F198" s="20" t="s">
        <v>0</v>
      </c>
      <c r="G198" s="20" t="s">
        <v>0</v>
      </c>
      <c r="H198" s="20" t="s">
        <v>0</v>
      </c>
      <c r="I198" s="22" t="s">
        <v>0</v>
      </c>
      <c r="J198" s="20" t="s">
        <v>0</v>
      </c>
      <c r="K198" s="20" t="s">
        <v>0</v>
      </c>
      <c r="L198" s="20" t="s">
        <v>0</v>
      </c>
      <c r="M198" s="23" t="s">
        <v>0</v>
      </c>
      <c r="N198" s="22" t="s">
        <v>0</v>
      </c>
      <c r="O198" s="22" t="e">
        <v>#N/A</v>
      </c>
    </row>
    <row r="199" spans="1:15" x14ac:dyDescent="0.25">
      <c r="A199" s="26"/>
      <c r="B199" s="20"/>
      <c r="C199" s="21"/>
      <c r="D199" s="20"/>
      <c r="E199" s="20"/>
      <c r="F199" s="20" t="s">
        <v>0</v>
      </c>
      <c r="G199" s="20" t="s">
        <v>0</v>
      </c>
      <c r="H199" s="20" t="s">
        <v>0</v>
      </c>
      <c r="I199" s="22" t="s">
        <v>0</v>
      </c>
      <c r="J199" s="20" t="s">
        <v>0</v>
      </c>
      <c r="K199" s="20" t="s">
        <v>0</v>
      </c>
      <c r="L199" s="20" t="s">
        <v>0</v>
      </c>
      <c r="M199" s="23" t="s">
        <v>0</v>
      </c>
      <c r="N199" s="22" t="s">
        <v>0</v>
      </c>
      <c r="O199" s="22" t="e">
        <v>#N/A</v>
      </c>
    </row>
    <row r="200" spans="1:15" x14ac:dyDescent="0.25">
      <c r="A200" s="26"/>
      <c r="B200" s="20"/>
      <c r="C200" s="21"/>
      <c r="D200" s="20"/>
      <c r="E200" s="20"/>
      <c r="F200" s="20" t="s">
        <v>0</v>
      </c>
      <c r="G200" s="20" t="s">
        <v>0</v>
      </c>
      <c r="H200" s="20" t="s">
        <v>0</v>
      </c>
      <c r="I200" s="22" t="s">
        <v>0</v>
      </c>
      <c r="J200" s="20" t="s">
        <v>0</v>
      </c>
      <c r="K200" s="20" t="s">
        <v>0</v>
      </c>
      <c r="L200" s="20" t="s">
        <v>0</v>
      </c>
      <c r="M200" s="23" t="s">
        <v>0</v>
      </c>
      <c r="N200" s="22" t="s">
        <v>0</v>
      </c>
      <c r="O200" s="22" t="e">
        <v>#N/A</v>
      </c>
    </row>
    <row r="201" spans="1:15" x14ac:dyDescent="0.25">
      <c r="A201" s="26"/>
      <c r="B201" s="20"/>
      <c r="C201" s="21"/>
      <c r="D201" s="20"/>
      <c r="E201" s="20"/>
      <c r="F201" s="20" t="s">
        <v>0</v>
      </c>
      <c r="G201" s="20" t="s">
        <v>0</v>
      </c>
      <c r="H201" s="20" t="s">
        <v>0</v>
      </c>
      <c r="I201" s="22" t="s">
        <v>0</v>
      </c>
      <c r="J201" s="20" t="s">
        <v>0</v>
      </c>
      <c r="K201" s="20" t="s">
        <v>0</v>
      </c>
      <c r="L201" s="20" t="s">
        <v>0</v>
      </c>
      <c r="M201" s="23" t="s">
        <v>0</v>
      </c>
      <c r="N201" s="22" t="s">
        <v>0</v>
      </c>
      <c r="O201" s="22" t="e">
        <v>#N/A</v>
      </c>
    </row>
    <row r="202" spans="1:15" x14ac:dyDescent="0.25">
      <c r="A202" s="26"/>
      <c r="B202" s="20"/>
      <c r="C202" s="21"/>
      <c r="D202" s="20"/>
      <c r="E202" s="20"/>
      <c r="F202" s="20" t="s">
        <v>0</v>
      </c>
      <c r="G202" s="20" t="s">
        <v>0</v>
      </c>
      <c r="H202" s="20" t="s">
        <v>0</v>
      </c>
      <c r="I202" s="22" t="s">
        <v>0</v>
      </c>
      <c r="J202" s="20" t="s">
        <v>0</v>
      </c>
      <c r="K202" s="20" t="s">
        <v>0</v>
      </c>
      <c r="L202" s="20" t="s">
        <v>0</v>
      </c>
      <c r="M202" s="23" t="s">
        <v>0</v>
      </c>
      <c r="N202" s="22" t="s">
        <v>0</v>
      </c>
      <c r="O202" s="22" t="e">
        <v>#N/A</v>
      </c>
    </row>
    <row r="203" spans="1:15" x14ac:dyDescent="0.25">
      <c r="A203" s="26"/>
      <c r="B203" s="20"/>
      <c r="C203" s="21"/>
      <c r="D203" s="20"/>
      <c r="E203" s="20"/>
      <c r="F203" s="20" t="s">
        <v>0</v>
      </c>
      <c r="G203" s="20" t="s">
        <v>0</v>
      </c>
      <c r="H203" s="20" t="s">
        <v>0</v>
      </c>
      <c r="I203" s="22" t="s">
        <v>0</v>
      </c>
      <c r="J203" s="20" t="s">
        <v>0</v>
      </c>
      <c r="K203" s="20" t="s">
        <v>0</v>
      </c>
      <c r="L203" s="20" t="s">
        <v>0</v>
      </c>
      <c r="M203" s="23" t="s">
        <v>0</v>
      </c>
      <c r="N203" s="22" t="s">
        <v>0</v>
      </c>
      <c r="O203" s="22" t="e">
        <v>#N/A</v>
      </c>
    </row>
    <row r="204" spans="1:15" x14ac:dyDescent="0.25">
      <c r="A204" s="26"/>
      <c r="B204" s="20"/>
      <c r="C204" s="21"/>
      <c r="D204" s="20"/>
      <c r="E204" s="20"/>
      <c r="F204" s="20" t="s">
        <v>0</v>
      </c>
      <c r="G204" s="20" t="s">
        <v>0</v>
      </c>
      <c r="H204" s="20" t="s">
        <v>0</v>
      </c>
      <c r="I204" s="22" t="s">
        <v>0</v>
      </c>
      <c r="J204" s="20" t="s">
        <v>0</v>
      </c>
      <c r="K204" s="20" t="s">
        <v>0</v>
      </c>
      <c r="L204" s="20" t="s">
        <v>0</v>
      </c>
      <c r="M204" s="23" t="s">
        <v>0</v>
      </c>
      <c r="N204" s="22" t="s">
        <v>0</v>
      </c>
      <c r="O204" s="22" t="e">
        <v>#N/A</v>
      </c>
    </row>
    <row r="205" spans="1:15" x14ac:dyDescent="0.25">
      <c r="A205" s="26"/>
      <c r="B205" s="20"/>
      <c r="C205" s="21"/>
      <c r="D205" s="20"/>
      <c r="E205" s="20"/>
      <c r="F205" s="20" t="s">
        <v>0</v>
      </c>
      <c r="G205" s="20" t="s">
        <v>0</v>
      </c>
      <c r="H205" s="20" t="s">
        <v>0</v>
      </c>
      <c r="I205" s="22" t="s">
        <v>0</v>
      </c>
      <c r="J205" s="20" t="s">
        <v>0</v>
      </c>
      <c r="K205" s="20" t="s">
        <v>0</v>
      </c>
      <c r="L205" s="20" t="s">
        <v>0</v>
      </c>
      <c r="M205" s="23" t="s">
        <v>0</v>
      </c>
      <c r="N205" s="22" t="s">
        <v>0</v>
      </c>
      <c r="O205" s="22" t="e">
        <v>#N/A</v>
      </c>
    </row>
    <row r="206" spans="1:15" x14ac:dyDescent="0.25">
      <c r="A206" s="26"/>
      <c r="B206" s="20"/>
      <c r="C206" s="21"/>
      <c r="D206" s="20"/>
      <c r="E206" s="20"/>
      <c r="F206" s="20" t="s">
        <v>0</v>
      </c>
      <c r="G206" s="20" t="s">
        <v>0</v>
      </c>
      <c r="H206" s="20" t="s">
        <v>0</v>
      </c>
      <c r="I206" s="22" t="s">
        <v>0</v>
      </c>
      <c r="J206" s="20" t="s">
        <v>0</v>
      </c>
      <c r="K206" s="20" t="s">
        <v>0</v>
      </c>
      <c r="L206" s="20" t="s">
        <v>0</v>
      </c>
      <c r="M206" s="23" t="s">
        <v>0</v>
      </c>
      <c r="N206" s="22" t="s">
        <v>0</v>
      </c>
      <c r="O206" s="22" t="e">
        <v>#N/A</v>
      </c>
    </row>
    <row r="207" spans="1:15" x14ac:dyDescent="0.25">
      <c r="A207" s="26"/>
      <c r="B207" s="20"/>
      <c r="C207" s="21"/>
      <c r="D207" s="20"/>
      <c r="E207" s="20"/>
      <c r="F207" s="20" t="s">
        <v>0</v>
      </c>
      <c r="G207" s="20" t="s">
        <v>0</v>
      </c>
      <c r="H207" s="20" t="s">
        <v>0</v>
      </c>
      <c r="I207" s="22" t="s">
        <v>0</v>
      </c>
      <c r="J207" s="20" t="s">
        <v>0</v>
      </c>
      <c r="K207" s="20" t="s">
        <v>0</v>
      </c>
      <c r="L207" s="20" t="s">
        <v>0</v>
      </c>
      <c r="M207" s="23" t="s">
        <v>0</v>
      </c>
      <c r="N207" s="22" t="s">
        <v>0</v>
      </c>
      <c r="O207" s="22" t="e">
        <v>#N/A</v>
      </c>
    </row>
    <row r="208" spans="1:15" x14ac:dyDescent="0.25">
      <c r="A208" s="26"/>
      <c r="B208" s="20"/>
      <c r="C208" s="21"/>
      <c r="D208" s="20"/>
      <c r="E208" s="20"/>
      <c r="F208" s="20" t="s">
        <v>0</v>
      </c>
      <c r="G208" s="20" t="s">
        <v>0</v>
      </c>
      <c r="H208" s="20" t="s">
        <v>0</v>
      </c>
      <c r="I208" s="22" t="s">
        <v>0</v>
      </c>
      <c r="J208" s="20" t="s">
        <v>0</v>
      </c>
      <c r="K208" s="20" t="s">
        <v>0</v>
      </c>
      <c r="L208" s="20" t="s">
        <v>0</v>
      </c>
      <c r="M208" s="23" t="s">
        <v>0</v>
      </c>
      <c r="N208" s="22" t="s">
        <v>0</v>
      </c>
      <c r="O208" s="22" t="e">
        <v>#N/A</v>
      </c>
    </row>
    <row r="209" spans="1:15" x14ac:dyDescent="0.25">
      <c r="A209" s="26"/>
      <c r="B209" s="20"/>
      <c r="C209" s="21"/>
      <c r="D209" s="20"/>
      <c r="E209" s="20"/>
      <c r="F209" s="20" t="s">
        <v>0</v>
      </c>
      <c r="G209" s="20" t="s">
        <v>0</v>
      </c>
      <c r="H209" s="20" t="s">
        <v>0</v>
      </c>
      <c r="I209" s="22" t="s">
        <v>0</v>
      </c>
      <c r="J209" s="20" t="s">
        <v>0</v>
      </c>
      <c r="K209" s="20" t="s">
        <v>0</v>
      </c>
      <c r="L209" s="20" t="s">
        <v>0</v>
      </c>
      <c r="M209" s="23" t="s">
        <v>0</v>
      </c>
      <c r="N209" s="22" t="s">
        <v>0</v>
      </c>
      <c r="O209" s="22" t="e">
        <v>#N/A</v>
      </c>
    </row>
    <row r="210" spans="1:15" x14ac:dyDescent="0.25">
      <c r="A210" s="26"/>
      <c r="B210" s="20"/>
      <c r="C210" s="21"/>
      <c r="D210" s="20"/>
      <c r="E210" s="20"/>
      <c r="F210" s="20" t="s">
        <v>0</v>
      </c>
      <c r="G210" s="20" t="s">
        <v>0</v>
      </c>
      <c r="H210" s="20" t="s">
        <v>0</v>
      </c>
      <c r="I210" s="22" t="s">
        <v>0</v>
      </c>
      <c r="J210" s="20" t="s">
        <v>0</v>
      </c>
      <c r="K210" s="20" t="s">
        <v>0</v>
      </c>
      <c r="L210" s="20" t="s">
        <v>0</v>
      </c>
      <c r="M210" s="23" t="s">
        <v>0</v>
      </c>
      <c r="N210" s="22" t="s">
        <v>0</v>
      </c>
      <c r="O210" s="22" t="e">
        <v>#N/A</v>
      </c>
    </row>
    <row r="211" spans="1:15" x14ac:dyDescent="0.25">
      <c r="A211" s="26"/>
      <c r="B211" s="20"/>
      <c r="C211" s="21"/>
      <c r="D211" s="20"/>
      <c r="E211" s="20"/>
      <c r="F211" s="20" t="s">
        <v>0</v>
      </c>
      <c r="G211" s="20" t="s">
        <v>0</v>
      </c>
      <c r="H211" s="20" t="s">
        <v>0</v>
      </c>
      <c r="I211" s="22" t="s">
        <v>0</v>
      </c>
      <c r="J211" s="20" t="s">
        <v>0</v>
      </c>
      <c r="K211" s="20" t="s">
        <v>0</v>
      </c>
      <c r="L211" s="20" t="s">
        <v>0</v>
      </c>
      <c r="M211" s="23" t="s">
        <v>0</v>
      </c>
      <c r="N211" s="22" t="s">
        <v>0</v>
      </c>
      <c r="O211" s="22" t="e">
        <v>#N/A</v>
      </c>
    </row>
    <row r="212" spans="1:15" x14ac:dyDescent="0.25">
      <c r="A212" s="26"/>
      <c r="B212" s="20"/>
      <c r="C212" s="21"/>
      <c r="D212" s="20"/>
      <c r="E212" s="20"/>
      <c r="F212" s="20" t="s">
        <v>0</v>
      </c>
      <c r="G212" s="20" t="s">
        <v>0</v>
      </c>
      <c r="H212" s="20" t="s">
        <v>0</v>
      </c>
      <c r="I212" s="22" t="s">
        <v>0</v>
      </c>
      <c r="J212" s="20" t="s">
        <v>0</v>
      </c>
      <c r="K212" s="20" t="s">
        <v>0</v>
      </c>
      <c r="L212" s="20" t="s">
        <v>0</v>
      </c>
      <c r="M212" s="23" t="s">
        <v>0</v>
      </c>
      <c r="N212" s="22" t="s">
        <v>0</v>
      </c>
      <c r="O212" s="22" t="e">
        <v>#N/A</v>
      </c>
    </row>
    <row r="213" spans="1:15" x14ac:dyDescent="0.25">
      <c r="A213" s="26"/>
      <c r="B213" s="20"/>
      <c r="C213" s="21"/>
      <c r="D213" s="20"/>
      <c r="E213" s="20"/>
      <c r="F213" s="20" t="s">
        <v>0</v>
      </c>
      <c r="G213" s="20" t="s">
        <v>0</v>
      </c>
      <c r="H213" s="20" t="s">
        <v>0</v>
      </c>
      <c r="I213" s="22" t="s">
        <v>0</v>
      </c>
      <c r="J213" s="20" t="s">
        <v>0</v>
      </c>
      <c r="K213" s="20" t="s">
        <v>0</v>
      </c>
      <c r="L213" s="20" t="s">
        <v>0</v>
      </c>
      <c r="M213" s="23" t="s">
        <v>0</v>
      </c>
      <c r="N213" s="22" t="s">
        <v>0</v>
      </c>
      <c r="O213" s="22" t="e">
        <v>#N/A</v>
      </c>
    </row>
    <row r="214" spans="1:15" x14ac:dyDescent="0.25">
      <c r="A214" s="26"/>
      <c r="B214" s="20"/>
      <c r="C214" s="21"/>
      <c r="D214" s="20"/>
      <c r="E214" s="20"/>
      <c r="F214" s="20" t="s">
        <v>0</v>
      </c>
      <c r="G214" s="20" t="s">
        <v>0</v>
      </c>
      <c r="H214" s="20" t="s">
        <v>0</v>
      </c>
      <c r="I214" s="22" t="s">
        <v>0</v>
      </c>
      <c r="J214" s="20" t="s">
        <v>0</v>
      </c>
      <c r="K214" s="20" t="s">
        <v>0</v>
      </c>
      <c r="L214" s="20" t="s">
        <v>0</v>
      </c>
      <c r="M214" s="23" t="s">
        <v>0</v>
      </c>
      <c r="N214" s="22" t="s">
        <v>0</v>
      </c>
      <c r="O214" s="22" t="e">
        <v>#N/A</v>
      </c>
    </row>
    <row r="215" spans="1:15" x14ac:dyDescent="0.25">
      <c r="A215" s="26"/>
      <c r="B215" s="20"/>
      <c r="C215" s="21"/>
      <c r="D215" s="20"/>
      <c r="E215" s="20"/>
      <c r="F215" s="20" t="s">
        <v>0</v>
      </c>
      <c r="G215" s="20" t="s">
        <v>0</v>
      </c>
      <c r="H215" s="20" t="s">
        <v>0</v>
      </c>
      <c r="I215" s="22" t="s">
        <v>0</v>
      </c>
      <c r="J215" s="20" t="s">
        <v>0</v>
      </c>
      <c r="K215" s="20" t="s">
        <v>0</v>
      </c>
      <c r="L215" s="20" t="s">
        <v>0</v>
      </c>
      <c r="M215" s="23" t="s">
        <v>0</v>
      </c>
      <c r="N215" s="22" t="s">
        <v>0</v>
      </c>
      <c r="O215" s="22" t="e">
        <v>#N/A</v>
      </c>
    </row>
    <row r="216" spans="1:15" x14ac:dyDescent="0.25">
      <c r="A216" s="26"/>
      <c r="B216" s="20"/>
      <c r="C216" s="21"/>
      <c r="D216" s="20"/>
      <c r="E216" s="20"/>
      <c r="F216" s="20" t="s">
        <v>0</v>
      </c>
      <c r="G216" s="20" t="s">
        <v>0</v>
      </c>
      <c r="H216" s="20" t="s">
        <v>0</v>
      </c>
      <c r="I216" s="22" t="s">
        <v>0</v>
      </c>
      <c r="J216" s="20" t="s">
        <v>0</v>
      </c>
      <c r="K216" s="20" t="s">
        <v>0</v>
      </c>
      <c r="L216" s="20" t="s">
        <v>0</v>
      </c>
      <c r="M216" s="23" t="s">
        <v>0</v>
      </c>
      <c r="N216" s="22" t="s">
        <v>0</v>
      </c>
      <c r="O216" s="22" t="e">
        <v>#N/A</v>
      </c>
    </row>
    <row r="217" spans="1:15" x14ac:dyDescent="0.25">
      <c r="A217" s="26"/>
      <c r="B217" s="20"/>
      <c r="C217" s="21"/>
      <c r="D217" s="20"/>
      <c r="E217" s="20"/>
      <c r="F217" s="20" t="s">
        <v>0</v>
      </c>
      <c r="G217" s="20" t="s">
        <v>0</v>
      </c>
      <c r="H217" s="20" t="s">
        <v>0</v>
      </c>
      <c r="I217" s="22" t="s">
        <v>0</v>
      </c>
      <c r="J217" s="20" t="s">
        <v>0</v>
      </c>
      <c r="K217" s="20" t="s">
        <v>0</v>
      </c>
      <c r="L217" s="20" t="s">
        <v>0</v>
      </c>
      <c r="M217" s="23" t="s">
        <v>0</v>
      </c>
      <c r="N217" s="22" t="s">
        <v>0</v>
      </c>
      <c r="O217" s="22" t="e">
        <v>#N/A</v>
      </c>
    </row>
    <row r="218" spans="1:15" x14ac:dyDescent="0.25">
      <c r="A218" s="26"/>
      <c r="B218" s="20"/>
      <c r="C218" s="21"/>
      <c r="D218" s="20"/>
      <c r="E218" s="20"/>
      <c r="F218" s="20" t="s">
        <v>0</v>
      </c>
      <c r="G218" s="20" t="s">
        <v>0</v>
      </c>
      <c r="H218" s="20" t="s">
        <v>0</v>
      </c>
      <c r="I218" s="22" t="s">
        <v>0</v>
      </c>
      <c r="J218" s="20" t="s">
        <v>0</v>
      </c>
      <c r="K218" s="20" t="s">
        <v>0</v>
      </c>
      <c r="L218" s="20" t="s">
        <v>0</v>
      </c>
      <c r="M218" s="23" t="s">
        <v>0</v>
      </c>
      <c r="N218" s="22" t="s">
        <v>0</v>
      </c>
      <c r="O218" s="22" t="e">
        <v>#N/A</v>
      </c>
    </row>
    <row r="219" spans="1:15" x14ac:dyDescent="0.25">
      <c r="A219" s="26"/>
      <c r="B219" s="20"/>
      <c r="C219" s="21"/>
      <c r="D219" s="20"/>
      <c r="E219" s="20"/>
      <c r="F219" s="20" t="s">
        <v>0</v>
      </c>
      <c r="G219" s="20" t="s">
        <v>0</v>
      </c>
      <c r="H219" s="20" t="s">
        <v>0</v>
      </c>
      <c r="I219" s="22" t="s">
        <v>0</v>
      </c>
      <c r="J219" s="20" t="s">
        <v>0</v>
      </c>
      <c r="K219" s="20" t="s">
        <v>0</v>
      </c>
      <c r="L219" s="20" t="s">
        <v>0</v>
      </c>
      <c r="M219" s="23" t="s">
        <v>0</v>
      </c>
      <c r="N219" s="22" t="s">
        <v>0</v>
      </c>
      <c r="O219" s="22" t="e">
        <v>#N/A</v>
      </c>
    </row>
    <row r="220" spans="1:15" x14ac:dyDescent="0.25">
      <c r="A220" s="26"/>
      <c r="B220" s="20"/>
      <c r="C220" s="21"/>
      <c r="D220" s="20"/>
      <c r="E220" s="20"/>
      <c r="F220" s="20" t="s">
        <v>0</v>
      </c>
      <c r="G220" s="20" t="s">
        <v>0</v>
      </c>
      <c r="H220" s="20" t="s">
        <v>0</v>
      </c>
      <c r="I220" s="22" t="s">
        <v>0</v>
      </c>
      <c r="J220" s="20" t="s">
        <v>0</v>
      </c>
      <c r="K220" s="20" t="s">
        <v>0</v>
      </c>
      <c r="L220" s="20" t="s">
        <v>0</v>
      </c>
      <c r="M220" s="23" t="s">
        <v>0</v>
      </c>
      <c r="N220" s="22" t="s">
        <v>0</v>
      </c>
      <c r="O220" s="22" t="e">
        <v>#N/A</v>
      </c>
    </row>
    <row r="221" spans="1:15" x14ac:dyDescent="0.25">
      <c r="A221" s="26"/>
      <c r="B221" s="20"/>
      <c r="C221" s="21"/>
      <c r="D221" s="20"/>
      <c r="E221" s="20"/>
      <c r="F221" s="20" t="s">
        <v>0</v>
      </c>
      <c r="G221" s="20" t="s">
        <v>0</v>
      </c>
      <c r="H221" s="20" t="s">
        <v>0</v>
      </c>
      <c r="I221" s="22" t="s">
        <v>0</v>
      </c>
      <c r="J221" s="20" t="s">
        <v>0</v>
      </c>
      <c r="K221" s="20" t="s">
        <v>0</v>
      </c>
      <c r="L221" s="20" t="s">
        <v>0</v>
      </c>
      <c r="M221" s="23" t="s">
        <v>0</v>
      </c>
      <c r="N221" s="22" t="s">
        <v>0</v>
      </c>
      <c r="O221" s="22" t="e">
        <v>#N/A</v>
      </c>
    </row>
    <row r="222" spans="1:15" x14ac:dyDescent="0.25">
      <c r="A222" s="26"/>
      <c r="B222" s="20"/>
      <c r="C222" s="21"/>
      <c r="D222" s="20"/>
      <c r="E222" s="20"/>
      <c r="F222" s="20" t="s">
        <v>0</v>
      </c>
      <c r="G222" s="20" t="s">
        <v>0</v>
      </c>
      <c r="H222" s="20" t="s">
        <v>0</v>
      </c>
      <c r="I222" s="22" t="s">
        <v>0</v>
      </c>
      <c r="J222" s="20" t="s">
        <v>0</v>
      </c>
      <c r="K222" s="20" t="s">
        <v>0</v>
      </c>
      <c r="L222" s="20" t="s">
        <v>0</v>
      </c>
      <c r="M222" s="23" t="s">
        <v>0</v>
      </c>
      <c r="N222" s="22" t="s">
        <v>0</v>
      </c>
      <c r="O222" s="22" t="e">
        <v>#N/A</v>
      </c>
    </row>
    <row r="223" spans="1:15" x14ac:dyDescent="0.25">
      <c r="A223" s="26"/>
      <c r="B223" s="20"/>
      <c r="C223" s="21"/>
      <c r="D223" s="20"/>
      <c r="E223" s="20"/>
      <c r="F223" s="20" t="s">
        <v>0</v>
      </c>
      <c r="G223" s="20" t="s">
        <v>0</v>
      </c>
      <c r="H223" s="20" t="s">
        <v>0</v>
      </c>
      <c r="I223" s="22" t="s">
        <v>0</v>
      </c>
      <c r="J223" s="20" t="s">
        <v>0</v>
      </c>
      <c r="K223" s="20" t="s">
        <v>0</v>
      </c>
      <c r="L223" s="20" t="s">
        <v>0</v>
      </c>
      <c r="M223" s="23" t="s">
        <v>0</v>
      </c>
      <c r="N223" s="22" t="s">
        <v>0</v>
      </c>
      <c r="O223" s="22" t="e">
        <v>#N/A</v>
      </c>
    </row>
    <row r="224" spans="1:15" x14ac:dyDescent="0.25">
      <c r="A224" s="26"/>
      <c r="B224" s="20"/>
      <c r="C224" s="21"/>
      <c r="D224" s="20"/>
      <c r="E224" s="20"/>
      <c r="F224" s="20" t="s">
        <v>0</v>
      </c>
      <c r="G224" s="20" t="s">
        <v>0</v>
      </c>
      <c r="H224" s="20" t="s">
        <v>0</v>
      </c>
      <c r="I224" s="22" t="s">
        <v>0</v>
      </c>
      <c r="J224" s="20" t="s">
        <v>0</v>
      </c>
      <c r="K224" s="20" t="s">
        <v>0</v>
      </c>
      <c r="L224" s="20" t="s">
        <v>0</v>
      </c>
      <c r="M224" s="23" t="s">
        <v>0</v>
      </c>
      <c r="N224" s="22" t="s">
        <v>0</v>
      </c>
      <c r="O224" s="22" t="e">
        <v>#N/A</v>
      </c>
    </row>
    <row r="225" spans="1:15" x14ac:dyDescent="0.25">
      <c r="A225" s="26"/>
      <c r="B225" s="20"/>
      <c r="C225" s="21"/>
      <c r="D225" s="20"/>
      <c r="E225" s="20"/>
      <c r="F225" s="20" t="s">
        <v>0</v>
      </c>
      <c r="G225" s="20" t="s">
        <v>0</v>
      </c>
      <c r="H225" s="20" t="s">
        <v>0</v>
      </c>
      <c r="I225" s="22" t="s">
        <v>0</v>
      </c>
      <c r="J225" s="20" t="s">
        <v>0</v>
      </c>
      <c r="K225" s="20" t="s">
        <v>0</v>
      </c>
      <c r="L225" s="20" t="s">
        <v>0</v>
      </c>
      <c r="M225" s="23" t="s">
        <v>0</v>
      </c>
      <c r="N225" s="22" t="s">
        <v>0</v>
      </c>
      <c r="O225" s="22" t="e">
        <v>#N/A</v>
      </c>
    </row>
    <row r="226" spans="1:15" x14ac:dyDescent="0.25">
      <c r="A226" s="26"/>
      <c r="B226" s="20"/>
      <c r="C226" s="21"/>
      <c r="D226" s="20"/>
      <c r="E226" s="20"/>
      <c r="F226" s="20" t="s">
        <v>0</v>
      </c>
      <c r="G226" s="20" t="s">
        <v>0</v>
      </c>
      <c r="H226" s="20" t="s">
        <v>0</v>
      </c>
      <c r="I226" s="22" t="s">
        <v>0</v>
      </c>
      <c r="J226" s="20" t="s">
        <v>0</v>
      </c>
      <c r="K226" s="20" t="s">
        <v>0</v>
      </c>
      <c r="L226" s="20" t="s">
        <v>0</v>
      </c>
      <c r="M226" s="23" t="s">
        <v>0</v>
      </c>
      <c r="N226" s="22" t="s">
        <v>0</v>
      </c>
      <c r="O226" s="22" t="e">
        <v>#N/A</v>
      </c>
    </row>
    <row r="227" spans="1:15" x14ac:dyDescent="0.25">
      <c r="A227" s="26"/>
      <c r="B227" s="20"/>
      <c r="C227" s="21"/>
      <c r="D227" s="20"/>
      <c r="E227" s="20"/>
      <c r="F227" s="20" t="s">
        <v>0</v>
      </c>
      <c r="G227" s="20" t="s">
        <v>0</v>
      </c>
      <c r="H227" s="20" t="s">
        <v>0</v>
      </c>
      <c r="I227" s="22" t="s">
        <v>0</v>
      </c>
      <c r="J227" s="20" t="s">
        <v>0</v>
      </c>
      <c r="K227" s="20" t="s">
        <v>0</v>
      </c>
      <c r="L227" s="20" t="s">
        <v>0</v>
      </c>
      <c r="M227" s="23" t="s">
        <v>0</v>
      </c>
      <c r="N227" s="22" t="s">
        <v>0</v>
      </c>
      <c r="O227" s="22" t="e">
        <v>#N/A</v>
      </c>
    </row>
    <row r="228" spans="1:15" x14ac:dyDescent="0.25">
      <c r="A228" s="26"/>
      <c r="B228" s="20"/>
      <c r="C228" s="21"/>
      <c r="D228" s="20"/>
      <c r="E228" s="20"/>
      <c r="F228" s="20" t="s">
        <v>0</v>
      </c>
      <c r="G228" s="20" t="s">
        <v>0</v>
      </c>
      <c r="H228" s="20" t="s">
        <v>0</v>
      </c>
      <c r="I228" s="22" t="s">
        <v>0</v>
      </c>
      <c r="J228" s="20" t="s">
        <v>0</v>
      </c>
      <c r="K228" s="20" t="s">
        <v>0</v>
      </c>
      <c r="L228" s="20" t="s">
        <v>0</v>
      </c>
      <c r="M228" s="23" t="s">
        <v>0</v>
      </c>
      <c r="N228" s="22" t="s">
        <v>0</v>
      </c>
      <c r="O228" s="22" t="e">
        <v>#N/A</v>
      </c>
    </row>
    <row r="229" spans="1:15" x14ac:dyDescent="0.25">
      <c r="A229" s="26"/>
      <c r="B229" s="20"/>
      <c r="C229" s="21"/>
      <c r="D229" s="20"/>
      <c r="E229" s="20"/>
      <c r="F229" s="20" t="s">
        <v>0</v>
      </c>
      <c r="G229" s="20" t="s">
        <v>0</v>
      </c>
      <c r="H229" s="20" t="s">
        <v>0</v>
      </c>
      <c r="I229" s="22" t="s">
        <v>0</v>
      </c>
      <c r="J229" s="20" t="s">
        <v>0</v>
      </c>
      <c r="K229" s="20" t="s">
        <v>0</v>
      </c>
      <c r="L229" s="20" t="s">
        <v>0</v>
      </c>
      <c r="M229" s="23" t="s">
        <v>0</v>
      </c>
      <c r="N229" s="22" t="s">
        <v>0</v>
      </c>
      <c r="O229" s="22" t="e">
        <v>#N/A</v>
      </c>
    </row>
    <row r="230" spans="1:15" x14ac:dyDescent="0.25">
      <c r="A230" s="26"/>
      <c r="B230" s="20"/>
      <c r="C230" s="21"/>
      <c r="D230" s="20"/>
      <c r="E230" s="20"/>
      <c r="F230" s="20" t="s">
        <v>0</v>
      </c>
      <c r="G230" s="20" t="s">
        <v>0</v>
      </c>
      <c r="H230" s="20" t="s">
        <v>0</v>
      </c>
      <c r="I230" s="22" t="s">
        <v>0</v>
      </c>
      <c r="J230" s="20" t="s">
        <v>0</v>
      </c>
      <c r="K230" s="20" t="s">
        <v>0</v>
      </c>
      <c r="L230" s="20" t="s">
        <v>0</v>
      </c>
      <c r="M230" s="23" t="s">
        <v>0</v>
      </c>
      <c r="N230" s="22" t="s">
        <v>0</v>
      </c>
      <c r="O230" s="22" t="e">
        <v>#N/A</v>
      </c>
    </row>
    <row r="231" spans="1:15" x14ac:dyDescent="0.25">
      <c r="A231" s="26"/>
      <c r="B231" s="20"/>
      <c r="C231" s="21"/>
      <c r="D231" s="20"/>
      <c r="E231" s="20"/>
      <c r="F231" s="20" t="s">
        <v>0</v>
      </c>
      <c r="G231" s="20" t="s">
        <v>0</v>
      </c>
      <c r="H231" s="20" t="s">
        <v>0</v>
      </c>
      <c r="I231" s="22" t="s">
        <v>0</v>
      </c>
      <c r="J231" s="20" t="s">
        <v>0</v>
      </c>
      <c r="K231" s="20" t="s">
        <v>0</v>
      </c>
      <c r="L231" s="20" t="s">
        <v>0</v>
      </c>
      <c r="M231" s="23" t="s">
        <v>0</v>
      </c>
      <c r="N231" s="22" t="s">
        <v>0</v>
      </c>
      <c r="O231" s="22" t="e">
        <v>#N/A</v>
      </c>
    </row>
    <row r="232" spans="1:15" x14ac:dyDescent="0.25">
      <c r="A232" s="26"/>
      <c r="B232" s="20"/>
      <c r="C232" s="21"/>
      <c r="D232" s="20"/>
      <c r="E232" s="20"/>
      <c r="F232" s="20" t="s">
        <v>0</v>
      </c>
      <c r="G232" s="20" t="s">
        <v>0</v>
      </c>
      <c r="H232" s="20" t="s">
        <v>0</v>
      </c>
      <c r="I232" s="22" t="s">
        <v>0</v>
      </c>
      <c r="J232" s="20" t="s">
        <v>0</v>
      </c>
      <c r="K232" s="20" t="s">
        <v>0</v>
      </c>
      <c r="L232" s="20" t="s">
        <v>0</v>
      </c>
      <c r="M232" s="23" t="s">
        <v>0</v>
      </c>
      <c r="N232" s="22" t="s">
        <v>0</v>
      </c>
      <c r="O232" s="22" t="e">
        <v>#N/A</v>
      </c>
    </row>
    <row r="233" spans="1:15" x14ac:dyDescent="0.25">
      <c r="A233" s="26"/>
      <c r="B233" s="20"/>
      <c r="C233" s="21"/>
      <c r="D233" s="20"/>
      <c r="E233" s="20"/>
      <c r="F233" s="20" t="s">
        <v>0</v>
      </c>
      <c r="G233" s="20" t="s">
        <v>0</v>
      </c>
      <c r="H233" s="20" t="s">
        <v>0</v>
      </c>
      <c r="I233" s="22" t="s">
        <v>0</v>
      </c>
      <c r="J233" s="20" t="s">
        <v>0</v>
      </c>
      <c r="K233" s="20" t="s">
        <v>0</v>
      </c>
      <c r="L233" s="20" t="s">
        <v>0</v>
      </c>
      <c r="M233" s="23" t="s">
        <v>0</v>
      </c>
      <c r="N233" s="22" t="s">
        <v>0</v>
      </c>
      <c r="O233" s="22" t="e">
        <v>#N/A</v>
      </c>
    </row>
    <row r="234" spans="1:15" x14ac:dyDescent="0.25">
      <c r="A234" s="26"/>
      <c r="B234" s="20"/>
      <c r="C234" s="21"/>
      <c r="D234" s="20"/>
      <c r="E234" s="20"/>
      <c r="F234" s="20" t="s">
        <v>0</v>
      </c>
      <c r="G234" s="20" t="s">
        <v>0</v>
      </c>
      <c r="H234" s="20" t="s">
        <v>0</v>
      </c>
      <c r="I234" s="22" t="s">
        <v>0</v>
      </c>
      <c r="J234" s="20" t="s">
        <v>0</v>
      </c>
      <c r="K234" s="20" t="s">
        <v>0</v>
      </c>
      <c r="L234" s="20" t="s">
        <v>0</v>
      </c>
      <c r="M234" s="23" t="s">
        <v>0</v>
      </c>
      <c r="N234" s="22" t="s">
        <v>0</v>
      </c>
      <c r="O234" s="22" t="e">
        <v>#N/A</v>
      </c>
    </row>
    <row r="235" spans="1:15" x14ac:dyDescent="0.25">
      <c r="A235" s="26"/>
      <c r="B235" s="20"/>
      <c r="C235" s="21"/>
      <c r="D235" s="20"/>
      <c r="E235" s="20"/>
      <c r="F235" s="20" t="s">
        <v>0</v>
      </c>
      <c r="G235" s="20" t="s">
        <v>0</v>
      </c>
      <c r="H235" s="20" t="s">
        <v>0</v>
      </c>
      <c r="I235" s="22" t="s">
        <v>0</v>
      </c>
      <c r="J235" s="20" t="s">
        <v>0</v>
      </c>
      <c r="K235" s="20" t="s">
        <v>0</v>
      </c>
      <c r="L235" s="20" t="s">
        <v>0</v>
      </c>
      <c r="M235" s="23" t="s">
        <v>0</v>
      </c>
      <c r="N235" s="22" t="s">
        <v>0</v>
      </c>
      <c r="O235" s="22" t="e">
        <v>#N/A</v>
      </c>
    </row>
    <row r="236" spans="1:15" x14ac:dyDescent="0.25">
      <c r="A236" s="26"/>
      <c r="B236" s="20"/>
      <c r="C236" s="21"/>
      <c r="D236" s="20"/>
      <c r="E236" s="20"/>
      <c r="F236" s="20" t="s">
        <v>0</v>
      </c>
      <c r="G236" s="20" t="s">
        <v>0</v>
      </c>
      <c r="H236" s="20" t="s">
        <v>0</v>
      </c>
      <c r="I236" s="22" t="s">
        <v>0</v>
      </c>
      <c r="J236" s="20" t="s">
        <v>0</v>
      </c>
      <c r="K236" s="20" t="s">
        <v>0</v>
      </c>
      <c r="L236" s="20" t="s">
        <v>0</v>
      </c>
      <c r="M236" s="23" t="s">
        <v>0</v>
      </c>
      <c r="N236" s="22" t="s">
        <v>0</v>
      </c>
      <c r="O236" s="22" t="e">
        <v>#N/A</v>
      </c>
    </row>
    <row r="237" spans="1:15" x14ac:dyDescent="0.25">
      <c r="A237" s="26"/>
      <c r="B237" s="20"/>
      <c r="C237" s="21"/>
      <c r="D237" s="20"/>
      <c r="E237" s="20"/>
      <c r="F237" s="20" t="s">
        <v>0</v>
      </c>
      <c r="G237" s="20" t="s">
        <v>0</v>
      </c>
      <c r="H237" s="20" t="s">
        <v>0</v>
      </c>
      <c r="I237" s="22" t="s">
        <v>0</v>
      </c>
      <c r="J237" s="20" t="s">
        <v>0</v>
      </c>
      <c r="K237" s="20" t="s">
        <v>0</v>
      </c>
      <c r="L237" s="20" t="s">
        <v>0</v>
      </c>
      <c r="M237" s="23" t="s">
        <v>0</v>
      </c>
      <c r="N237" s="22" t="s">
        <v>0</v>
      </c>
      <c r="O237" s="22" t="e">
        <v>#N/A</v>
      </c>
    </row>
    <row r="238" spans="1:15" x14ac:dyDescent="0.25">
      <c r="A238" s="26"/>
      <c r="B238" s="20"/>
      <c r="C238" s="21"/>
      <c r="D238" s="20"/>
      <c r="E238" s="20"/>
      <c r="F238" s="20" t="s">
        <v>0</v>
      </c>
      <c r="G238" s="20" t="s">
        <v>0</v>
      </c>
      <c r="H238" s="20" t="s">
        <v>0</v>
      </c>
      <c r="I238" s="22" t="s">
        <v>0</v>
      </c>
      <c r="J238" s="20" t="s">
        <v>0</v>
      </c>
      <c r="K238" s="20" t="s">
        <v>0</v>
      </c>
      <c r="L238" s="20" t="s">
        <v>0</v>
      </c>
      <c r="M238" s="23" t="s">
        <v>0</v>
      </c>
      <c r="N238" s="22" t="s">
        <v>0</v>
      </c>
      <c r="O238" s="22" t="e">
        <v>#N/A</v>
      </c>
    </row>
    <row r="239" spans="1:15" x14ac:dyDescent="0.25">
      <c r="A239" s="26"/>
      <c r="B239" s="20"/>
      <c r="C239" s="21"/>
      <c r="D239" s="20"/>
      <c r="E239" s="20"/>
      <c r="F239" s="20" t="s">
        <v>0</v>
      </c>
      <c r="G239" s="20" t="s">
        <v>0</v>
      </c>
      <c r="H239" s="20" t="s">
        <v>0</v>
      </c>
      <c r="I239" s="22" t="s">
        <v>0</v>
      </c>
      <c r="J239" s="20" t="s">
        <v>0</v>
      </c>
      <c r="K239" s="20" t="s">
        <v>0</v>
      </c>
      <c r="L239" s="20" t="s">
        <v>0</v>
      </c>
      <c r="M239" s="23" t="s">
        <v>0</v>
      </c>
      <c r="N239" s="22" t="s">
        <v>0</v>
      </c>
      <c r="O239" s="22" t="e">
        <v>#N/A</v>
      </c>
    </row>
    <row r="240" spans="1:15" x14ac:dyDescent="0.25">
      <c r="A240" s="26"/>
      <c r="B240" s="20"/>
      <c r="C240" s="21"/>
      <c r="D240" s="20"/>
      <c r="E240" s="20"/>
      <c r="F240" s="20" t="s">
        <v>0</v>
      </c>
      <c r="G240" s="20" t="s">
        <v>0</v>
      </c>
      <c r="H240" s="20" t="s">
        <v>0</v>
      </c>
      <c r="I240" s="22" t="s">
        <v>0</v>
      </c>
      <c r="J240" s="20" t="s">
        <v>0</v>
      </c>
      <c r="K240" s="20" t="s">
        <v>0</v>
      </c>
      <c r="L240" s="20" t="s">
        <v>0</v>
      </c>
      <c r="M240" s="23" t="s">
        <v>0</v>
      </c>
      <c r="N240" s="22" t="s">
        <v>0</v>
      </c>
      <c r="O240" s="22" t="e">
        <v>#N/A</v>
      </c>
    </row>
    <row r="241" spans="1:15" x14ac:dyDescent="0.25">
      <c r="A241" s="26"/>
      <c r="B241" s="20"/>
      <c r="C241" s="21"/>
      <c r="D241" s="20"/>
      <c r="E241" s="20"/>
      <c r="F241" s="20" t="s">
        <v>0</v>
      </c>
      <c r="G241" s="20" t="s">
        <v>0</v>
      </c>
      <c r="H241" s="20" t="s">
        <v>0</v>
      </c>
      <c r="I241" s="22" t="s">
        <v>0</v>
      </c>
      <c r="J241" s="20" t="s">
        <v>0</v>
      </c>
      <c r="K241" s="20" t="s">
        <v>0</v>
      </c>
      <c r="L241" s="20" t="s">
        <v>0</v>
      </c>
      <c r="M241" s="23" t="s">
        <v>0</v>
      </c>
      <c r="N241" s="22" t="s">
        <v>0</v>
      </c>
      <c r="O241" s="22" t="e">
        <v>#N/A</v>
      </c>
    </row>
    <row r="242" spans="1:15" x14ac:dyDescent="0.25">
      <c r="A242" s="26"/>
      <c r="B242" s="20"/>
      <c r="C242" s="21"/>
      <c r="D242" s="20"/>
      <c r="E242" s="20"/>
      <c r="F242" s="20" t="s">
        <v>0</v>
      </c>
      <c r="G242" s="20" t="s">
        <v>0</v>
      </c>
      <c r="H242" s="20" t="s">
        <v>0</v>
      </c>
      <c r="I242" s="22" t="s">
        <v>0</v>
      </c>
      <c r="J242" s="20" t="s">
        <v>0</v>
      </c>
      <c r="K242" s="20" t="s">
        <v>0</v>
      </c>
      <c r="L242" s="20" t="s">
        <v>0</v>
      </c>
      <c r="M242" s="23" t="s">
        <v>0</v>
      </c>
      <c r="N242" s="22" t="s">
        <v>0</v>
      </c>
      <c r="O242" s="22" t="e">
        <v>#N/A</v>
      </c>
    </row>
    <row r="243" spans="1:15" x14ac:dyDescent="0.25">
      <c r="A243" s="26"/>
      <c r="B243" s="20"/>
      <c r="C243" s="21"/>
      <c r="D243" s="20"/>
      <c r="E243" s="20"/>
      <c r="F243" s="20" t="s">
        <v>0</v>
      </c>
      <c r="G243" s="20" t="s">
        <v>0</v>
      </c>
      <c r="H243" s="20" t="s">
        <v>0</v>
      </c>
      <c r="I243" s="22" t="s">
        <v>0</v>
      </c>
      <c r="J243" s="20" t="s">
        <v>0</v>
      </c>
      <c r="K243" s="20" t="s">
        <v>0</v>
      </c>
      <c r="L243" s="20" t="s">
        <v>0</v>
      </c>
      <c r="M243" s="23" t="s">
        <v>0</v>
      </c>
      <c r="N243" s="22" t="s">
        <v>0</v>
      </c>
      <c r="O243" s="22" t="e">
        <v>#N/A</v>
      </c>
    </row>
    <row r="244" spans="1:15" x14ac:dyDescent="0.25">
      <c r="A244" s="26"/>
      <c r="B244" s="20"/>
      <c r="C244" s="21"/>
      <c r="D244" s="20"/>
      <c r="E244" s="20"/>
      <c r="F244" s="20" t="s">
        <v>0</v>
      </c>
      <c r="G244" s="20" t="s">
        <v>0</v>
      </c>
      <c r="H244" s="20" t="s">
        <v>0</v>
      </c>
      <c r="I244" s="22" t="s">
        <v>0</v>
      </c>
      <c r="J244" s="20" t="s">
        <v>0</v>
      </c>
      <c r="K244" s="20" t="s">
        <v>0</v>
      </c>
      <c r="L244" s="20" t="s">
        <v>0</v>
      </c>
      <c r="M244" s="23" t="s">
        <v>0</v>
      </c>
      <c r="N244" s="22" t="s">
        <v>0</v>
      </c>
      <c r="O244" s="22" t="e">
        <v>#N/A</v>
      </c>
    </row>
    <row r="245" spans="1:15" x14ac:dyDescent="0.25">
      <c r="A245" s="26"/>
      <c r="B245" s="20"/>
      <c r="C245" s="21"/>
      <c r="D245" s="20"/>
      <c r="E245" s="20"/>
      <c r="F245" s="20" t="s">
        <v>0</v>
      </c>
      <c r="G245" s="20" t="s">
        <v>0</v>
      </c>
      <c r="H245" s="20" t="s">
        <v>0</v>
      </c>
      <c r="I245" s="22" t="s">
        <v>0</v>
      </c>
      <c r="J245" s="20" t="s">
        <v>0</v>
      </c>
      <c r="K245" s="20" t="s">
        <v>0</v>
      </c>
      <c r="L245" s="20" t="s">
        <v>0</v>
      </c>
      <c r="M245" s="23" t="s">
        <v>0</v>
      </c>
      <c r="N245" s="22" t="s">
        <v>0</v>
      </c>
      <c r="O245" s="22" t="e">
        <v>#N/A</v>
      </c>
    </row>
    <row r="246" spans="1:15" x14ac:dyDescent="0.25">
      <c r="A246" s="26"/>
      <c r="B246" s="20"/>
      <c r="C246" s="21"/>
      <c r="D246" s="20"/>
      <c r="E246" s="20"/>
      <c r="F246" s="20" t="s">
        <v>0</v>
      </c>
      <c r="G246" s="20" t="s">
        <v>0</v>
      </c>
      <c r="H246" s="20" t="s">
        <v>0</v>
      </c>
      <c r="I246" s="22" t="s">
        <v>0</v>
      </c>
      <c r="J246" s="20" t="s">
        <v>0</v>
      </c>
      <c r="K246" s="20" t="s">
        <v>0</v>
      </c>
      <c r="L246" s="20" t="s">
        <v>0</v>
      </c>
      <c r="M246" s="23" t="s">
        <v>0</v>
      </c>
      <c r="N246" s="22" t="s">
        <v>0</v>
      </c>
      <c r="O246" s="22" t="e">
        <v>#N/A</v>
      </c>
    </row>
    <row r="247" spans="1:15" x14ac:dyDescent="0.25">
      <c r="A247" s="26"/>
      <c r="B247" s="20"/>
      <c r="C247" s="21"/>
      <c r="D247" s="20"/>
      <c r="E247" s="20"/>
      <c r="F247" s="20" t="s">
        <v>0</v>
      </c>
      <c r="G247" s="20" t="s">
        <v>0</v>
      </c>
      <c r="H247" s="20" t="s">
        <v>0</v>
      </c>
      <c r="I247" s="22" t="s">
        <v>0</v>
      </c>
      <c r="J247" s="20" t="s">
        <v>0</v>
      </c>
      <c r="K247" s="20" t="s">
        <v>0</v>
      </c>
      <c r="L247" s="20" t="s">
        <v>0</v>
      </c>
      <c r="M247" s="23" t="s">
        <v>0</v>
      </c>
      <c r="N247" s="22" t="s">
        <v>0</v>
      </c>
      <c r="O247" s="22" t="e">
        <v>#N/A</v>
      </c>
    </row>
    <row r="248" spans="1:15" x14ac:dyDescent="0.25">
      <c r="A248" s="26"/>
      <c r="B248" s="20"/>
      <c r="C248" s="21"/>
      <c r="D248" s="20"/>
      <c r="E248" s="20"/>
      <c r="F248" s="20" t="s">
        <v>0</v>
      </c>
      <c r="G248" s="20" t="s">
        <v>0</v>
      </c>
      <c r="H248" s="20" t="s">
        <v>0</v>
      </c>
      <c r="I248" s="22" t="s">
        <v>0</v>
      </c>
      <c r="J248" s="20" t="s">
        <v>0</v>
      </c>
      <c r="K248" s="20" t="s">
        <v>0</v>
      </c>
      <c r="L248" s="20" t="s">
        <v>0</v>
      </c>
      <c r="M248" s="23" t="s">
        <v>0</v>
      </c>
      <c r="N248" s="22" t="s">
        <v>0</v>
      </c>
      <c r="O248" s="22" t="e">
        <v>#N/A</v>
      </c>
    </row>
    <row r="249" spans="1:15" x14ac:dyDescent="0.25">
      <c r="M249" s="33"/>
    </row>
    <row r="250" spans="1:15" x14ac:dyDescent="0.25">
      <c r="M250" s="33"/>
    </row>
    <row r="251" spans="1:15" x14ac:dyDescent="0.25">
      <c r="M251" s="33"/>
    </row>
    <row r="252" spans="1:15" x14ac:dyDescent="0.25">
      <c r="M252" s="33"/>
    </row>
    <row r="253" spans="1:15" x14ac:dyDescent="0.25">
      <c r="M253" s="33"/>
    </row>
    <row r="254" spans="1:15" x14ac:dyDescent="0.25">
      <c r="M254" s="33"/>
    </row>
    <row r="255" spans="1:15" x14ac:dyDescent="0.25">
      <c r="M255" s="33"/>
    </row>
    <row r="256" spans="1:15" x14ac:dyDescent="0.25">
      <c r="M256" s="33"/>
    </row>
    <row r="257" spans="13:13" x14ac:dyDescent="0.25">
      <c r="M257" s="33"/>
    </row>
    <row r="258" spans="13:13" x14ac:dyDescent="0.25">
      <c r="M258" s="33"/>
    </row>
    <row r="259" spans="13:13" x14ac:dyDescent="0.25">
      <c r="M259" s="33"/>
    </row>
    <row r="260" spans="13:13" x14ac:dyDescent="0.25">
      <c r="M260" s="33"/>
    </row>
    <row r="261" spans="13:13" x14ac:dyDescent="0.25">
      <c r="M261" s="33"/>
    </row>
    <row r="262" spans="13:13" x14ac:dyDescent="0.25">
      <c r="M262" s="33"/>
    </row>
    <row r="263" spans="13:13" x14ac:dyDescent="0.25">
      <c r="M263" s="33"/>
    </row>
    <row r="264" spans="13:13" x14ac:dyDescent="0.25">
      <c r="M264" s="33"/>
    </row>
    <row r="265" spans="13:13" x14ac:dyDescent="0.25">
      <c r="M265" s="33"/>
    </row>
    <row r="266" spans="13:13" x14ac:dyDescent="0.25">
      <c r="M266" s="33"/>
    </row>
    <row r="267" spans="13:13" x14ac:dyDescent="0.25">
      <c r="M267" s="33"/>
    </row>
    <row r="268" spans="13:13" x14ac:dyDescent="0.25">
      <c r="M268" s="33"/>
    </row>
    <row r="269" spans="13:13" x14ac:dyDescent="0.25">
      <c r="M269" s="33"/>
    </row>
    <row r="270" spans="13:13" x14ac:dyDescent="0.25">
      <c r="M270" s="33"/>
    </row>
    <row r="271" spans="13:13" x14ac:dyDescent="0.25">
      <c r="M271" s="33"/>
    </row>
    <row r="272" spans="13:13" x14ac:dyDescent="0.25">
      <c r="M272" s="33"/>
    </row>
    <row r="273" spans="13:13" x14ac:dyDescent="0.25">
      <c r="M273" s="33"/>
    </row>
    <row r="274" spans="13:13" x14ac:dyDescent="0.25">
      <c r="M274" s="33"/>
    </row>
    <row r="275" spans="13:13" x14ac:dyDescent="0.25">
      <c r="M275" s="33"/>
    </row>
    <row r="276" spans="13:13" x14ac:dyDescent="0.25">
      <c r="M276" s="33"/>
    </row>
    <row r="277" spans="13:13" x14ac:dyDescent="0.25">
      <c r="M277" s="33"/>
    </row>
    <row r="278" spans="13:13" x14ac:dyDescent="0.25">
      <c r="M278" s="33"/>
    </row>
    <row r="279" spans="13:13" x14ac:dyDescent="0.25">
      <c r="M279" s="33"/>
    </row>
    <row r="280" spans="13:13" x14ac:dyDescent="0.25">
      <c r="M280" s="33"/>
    </row>
    <row r="281" spans="13:13" x14ac:dyDescent="0.25">
      <c r="M281" s="33"/>
    </row>
    <row r="282" spans="13:13" x14ac:dyDescent="0.25">
      <c r="M282" s="33"/>
    </row>
    <row r="283" spans="13:13" x14ac:dyDescent="0.25">
      <c r="M283" s="33"/>
    </row>
    <row r="284" spans="13:13" x14ac:dyDescent="0.25">
      <c r="M284" s="33"/>
    </row>
    <row r="285" spans="13:13" x14ac:dyDescent="0.25">
      <c r="M285" s="33"/>
    </row>
    <row r="286" spans="13:13" x14ac:dyDescent="0.25">
      <c r="M286" s="33"/>
    </row>
    <row r="287" spans="13:13" x14ac:dyDescent="0.25">
      <c r="M287" s="33"/>
    </row>
    <row r="288" spans="13:13" x14ac:dyDescent="0.25">
      <c r="M288" s="33"/>
    </row>
    <row r="289" spans="13:13" x14ac:dyDescent="0.25">
      <c r="M289" s="33"/>
    </row>
    <row r="290" spans="13:13" x14ac:dyDescent="0.25">
      <c r="M290" s="33"/>
    </row>
    <row r="291" spans="13:13" x14ac:dyDescent="0.25">
      <c r="M291" s="33"/>
    </row>
    <row r="292" spans="13:13" x14ac:dyDescent="0.25">
      <c r="M292" s="33"/>
    </row>
    <row r="293" spans="13:13" x14ac:dyDescent="0.25">
      <c r="M293" s="33"/>
    </row>
    <row r="294" spans="13:13" x14ac:dyDescent="0.25">
      <c r="M294" s="33"/>
    </row>
    <row r="295" spans="13:13" x14ac:dyDescent="0.25">
      <c r="M295" s="33"/>
    </row>
    <row r="296" spans="13:13" x14ac:dyDescent="0.25">
      <c r="M296" s="33"/>
    </row>
    <row r="297" spans="13:13" x14ac:dyDescent="0.25">
      <c r="M297" s="33"/>
    </row>
    <row r="298" spans="13:13" x14ac:dyDescent="0.25">
      <c r="M298" s="33"/>
    </row>
    <row r="299" spans="13:13" x14ac:dyDescent="0.25">
      <c r="M299" s="33"/>
    </row>
    <row r="300" spans="13:13" x14ac:dyDescent="0.25">
      <c r="M300" s="33"/>
    </row>
    <row r="301" spans="13:13" x14ac:dyDescent="0.25">
      <c r="M301" s="33"/>
    </row>
    <row r="302" spans="13:13" x14ac:dyDescent="0.25">
      <c r="M302" s="33"/>
    </row>
    <row r="303" spans="13:13" x14ac:dyDescent="0.25">
      <c r="M303" s="33"/>
    </row>
    <row r="304" spans="13:13" x14ac:dyDescent="0.25">
      <c r="M304" s="33"/>
    </row>
    <row r="305" spans="13:13" x14ac:dyDescent="0.25">
      <c r="M305" s="33"/>
    </row>
    <row r="306" spans="13:13" x14ac:dyDescent="0.25">
      <c r="M306" s="33"/>
    </row>
    <row r="307" spans="13:13" x14ac:dyDescent="0.25">
      <c r="M307" s="33"/>
    </row>
    <row r="308" spans="13:13" x14ac:dyDescent="0.25">
      <c r="M308" s="33"/>
    </row>
    <row r="309" spans="13:13" x14ac:dyDescent="0.25">
      <c r="M309" s="33"/>
    </row>
    <row r="310" spans="13:13" x14ac:dyDescent="0.25">
      <c r="M310" s="33"/>
    </row>
    <row r="311" spans="13:13" x14ac:dyDescent="0.25">
      <c r="M311" s="33"/>
    </row>
    <row r="312" spans="13:13" x14ac:dyDescent="0.25">
      <c r="M312" s="33"/>
    </row>
    <row r="313" spans="13:13" x14ac:dyDescent="0.25">
      <c r="M313" s="33"/>
    </row>
    <row r="314" spans="13:13" x14ac:dyDescent="0.25">
      <c r="M314" s="33"/>
    </row>
    <row r="315" spans="13:13" x14ac:dyDescent="0.25">
      <c r="M315" s="33"/>
    </row>
    <row r="316" spans="13:13" x14ac:dyDescent="0.25">
      <c r="M316" s="33"/>
    </row>
    <row r="317" spans="13:13" x14ac:dyDescent="0.25">
      <c r="M317" s="33"/>
    </row>
    <row r="318" spans="13:13" x14ac:dyDescent="0.25">
      <c r="M318" s="33"/>
    </row>
    <row r="319" spans="13:13" x14ac:dyDescent="0.25">
      <c r="M319" s="33"/>
    </row>
    <row r="320" spans="13:13" x14ac:dyDescent="0.25">
      <c r="M320" s="33"/>
    </row>
    <row r="321" spans="13:13" x14ac:dyDescent="0.25">
      <c r="M321" s="33"/>
    </row>
    <row r="322" spans="13:13" x14ac:dyDescent="0.25">
      <c r="M322" s="33"/>
    </row>
    <row r="323" spans="13:13" x14ac:dyDescent="0.25">
      <c r="M323" s="33"/>
    </row>
    <row r="324" spans="13:13" x14ac:dyDescent="0.25">
      <c r="M324" s="33"/>
    </row>
    <row r="325" spans="13:13" x14ac:dyDescent="0.25">
      <c r="M325" s="33"/>
    </row>
    <row r="326" spans="13:13" x14ac:dyDescent="0.25">
      <c r="M326" s="33"/>
    </row>
    <row r="327" spans="13:13" x14ac:dyDescent="0.25">
      <c r="M327" s="33"/>
    </row>
    <row r="328" spans="13:13" x14ac:dyDescent="0.25">
      <c r="M328" s="33"/>
    </row>
    <row r="329" spans="13:13" x14ac:dyDescent="0.25">
      <c r="M329" s="33"/>
    </row>
    <row r="330" spans="13:13" x14ac:dyDescent="0.25">
      <c r="M330" s="33"/>
    </row>
    <row r="331" spans="13:13" x14ac:dyDescent="0.25">
      <c r="M331" s="33"/>
    </row>
    <row r="332" spans="13:13" x14ac:dyDescent="0.25">
      <c r="M332" s="33"/>
    </row>
    <row r="333" spans="13:13" x14ac:dyDescent="0.25">
      <c r="M333" s="33"/>
    </row>
    <row r="334" spans="13:13" x14ac:dyDescent="0.25">
      <c r="M334" s="33"/>
    </row>
    <row r="335" spans="13:13" x14ac:dyDescent="0.25">
      <c r="M335" s="33"/>
    </row>
    <row r="336" spans="13:13" x14ac:dyDescent="0.25">
      <c r="M336" s="33"/>
    </row>
    <row r="337" spans="13:13" x14ac:dyDescent="0.25">
      <c r="M337" s="33"/>
    </row>
    <row r="338" spans="13:13" x14ac:dyDescent="0.25">
      <c r="M338" s="33"/>
    </row>
    <row r="339" spans="13:13" x14ac:dyDescent="0.25">
      <c r="M339" s="33"/>
    </row>
    <row r="340" spans="13:13" x14ac:dyDescent="0.25">
      <c r="M340" s="33"/>
    </row>
    <row r="341" spans="13:13" x14ac:dyDescent="0.25">
      <c r="M341" s="33"/>
    </row>
    <row r="342" spans="13:13" x14ac:dyDescent="0.25">
      <c r="M342" s="33"/>
    </row>
    <row r="343" spans="13:13" x14ac:dyDescent="0.25">
      <c r="M343" s="33"/>
    </row>
    <row r="344" spans="13:13" x14ac:dyDescent="0.25">
      <c r="M344" s="33"/>
    </row>
    <row r="345" spans="13:13" x14ac:dyDescent="0.25">
      <c r="M345" s="33"/>
    </row>
    <row r="346" spans="13:13" x14ac:dyDescent="0.25">
      <c r="M346" s="33"/>
    </row>
    <row r="347" spans="13:13" x14ac:dyDescent="0.25">
      <c r="M347" s="33"/>
    </row>
    <row r="348" spans="13:13" x14ac:dyDescent="0.25">
      <c r="M348" s="33"/>
    </row>
    <row r="349" spans="13:13" x14ac:dyDescent="0.25">
      <c r="M349" s="33"/>
    </row>
    <row r="350" spans="13:13" x14ac:dyDescent="0.25">
      <c r="M350" s="33"/>
    </row>
    <row r="351" spans="13:13" x14ac:dyDescent="0.25">
      <c r="M351" s="33"/>
    </row>
    <row r="352" spans="13:13" x14ac:dyDescent="0.25">
      <c r="M352" s="33"/>
    </row>
    <row r="353" spans="13:13" x14ac:dyDescent="0.25">
      <c r="M353" s="33"/>
    </row>
    <row r="354" spans="13:13" x14ac:dyDescent="0.25">
      <c r="M354" s="33"/>
    </row>
    <row r="355" spans="13:13" x14ac:dyDescent="0.25">
      <c r="M355" s="33"/>
    </row>
    <row r="356" spans="13:13" x14ac:dyDescent="0.25">
      <c r="M356" s="33"/>
    </row>
    <row r="357" spans="13:13" x14ac:dyDescent="0.25">
      <c r="M357" s="33"/>
    </row>
    <row r="358" spans="13:13" x14ac:dyDescent="0.25">
      <c r="M358" s="33"/>
    </row>
    <row r="359" spans="13:13" x14ac:dyDescent="0.25">
      <c r="M359" s="33"/>
    </row>
    <row r="360" spans="13:13" x14ac:dyDescent="0.25">
      <c r="M360" s="33"/>
    </row>
    <row r="361" spans="13:13" x14ac:dyDescent="0.25">
      <c r="M361" s="33"/>
    </row>
    <row r="362" spans="13:13" x14ac:dyDescent="0.25">
      <c r="M362" s="33"/>
    </row>
    <row r="363" spans="13:13" x14ac:dyDescent="0.25">
      <c r="M363" s="33"/>
    </row>
    <row r="364" spans="13:13" x14ac:dyDescent="0.25">
      <c r="M364" s="33"/>
    </row>
    <row r="365" spans="13:13" x14ac:dyDescent="0.25">
      <c r="M365" s="33"/>
    </row>
    <row r="366" spans="13:13" x14ac:dyDescent="0.25">
      <c r="M366" s="33"/>
    </row>
    <row r="367" spans="13:13" x14ac:dyDescent="0.25">
      <c r="M367" s="33"/>
    </row>
    <row r="368" spans="13:13" x14ac:dyDescent="0.25">
      <c r="M368" s="33"/>
    </row>
    <row r="369" spans="13:13" x14ac:dyDescent="0.25">
      <c r="M369" s="33"/>
    </row>
    <row r="370" spans="13:13" x14ac:dyDescent="0.25">
      <c r="M370" s="33"/>
    </row>
    <row r="371" spans="13:13" x14ac:dyDescent="0.25">
      <c r="M371" s="33"/>
    </row>
    <row r="372" spans="13:13" x14ac:dyDescent="0.25">
      <c r="M372" s="33"/>
    </row>
    <row r="373" spans="13:13" x14ac:dyDescent="0.25">
      <c r="M373" s="33"/>
    </row>
    <row r="374" spans="13:13" x14ac:dyDescent="0.25">
      <c r="M374" s="33"/>
    </row>
    <row r="375" spans="13:13" x14ac:dyDescent="0.25">
      <c r="M375" s="33"/>
    </row>
    <row r="376" spans="13:13" x14ac:dyDescent="0.25">
      <c r="M376" s="33"/>
    </row>
    <row r="377" spans="13:13" x14ac:dyDescent="0.25">
      <c r="M377" s="33"/>
    </row>
    <row r="378" spans="13:13" x14ac:dyDescent="0.25">
      <c r="M378" s="33"/>
    </row>
    <row r="379" spans="13:13" x14ac:dyDescent="0.25">
      <c r="M379" s="33"/>
    </row>
    <row r="380" spans="13:13" x14ac:dyDescent="0.25">
      <c r="M380" s="33"/>
    </row>
    <row r="381" spans="13:13" x14ac:dyDescent="0.25">
      <c r="M381" s="33"/>
    </row>
    <row r="382" spans="13:13" x14ac:dyDescent="0.25">
      <c r="M382" s="33"/>
    </row>
    <row r="383" spans="13:13" x14ac:dyDescent="0.25">
      <c r="M383" s="33"/>
    </row>
    <row r="384" spans="13:13" x14ac:dyDescent="0.25">
      <c r="M384" s="33"/>
    </row>
    <row r="385" spans="13:13" x14ac:dyDescent="0.25">
      <c r="M385" s="33"/>
    </row>
    <row r="386" spans="13:13" x14ac:dyDescent="0.25">
      <c r="M386" s="33"/>
    </row>
    <row r="387" spans="13:13" x14ac:dyDescent="0.25">
      <c r="M387" s="33"/>
    </row>
    <row r="388" spans="13:13" x14ac:dyDescent="0.25">
      <c r="M388" s="33"/>
    </row>
    <row r="389" spans="13:13" x14ac:dyDescent="0.25">
      <c r="M389" s="33"/>
    </row>
    <row r="390" spans="13:13" x14ac:dyDescent="0.25">
      <c r="M390" s="33"/>
    </row>
    <row r="391" spans="13:13" x14ac:dyDescent="0.25">
      <c r="M391" s="33"/>
    </row>
    <row r="392" spans="13:13" x14ac:dyDescent="0.25">
      <c r="M392" s="33"/>
    </row>
    <row r="393" spans="13:13" x14ac:dyDescent="0.25">
      <c r="M393" s="33"/>
    </row>
    <row r="394" spans="13:13" x14ac:dyDescent="0.25">
      <c r="M394" s="33"/>
    </row>
    <row r="395" spans="13:13" x14ac:dyDescent="0.25">
      <c r="M395" s="33"/>
    </row>
    <row r="396" spans="13:13" x14ac:dyDescent="0.25">
      <c r="M396" s="33"/>
    </row>
    <row r="397" spans="13:13" x14ac:dyDescent="0.25">
      <c r="M397" s="33"/>
    </row>
    <row r="398" spans="13:13" x14ac:dyDescent="0.25">
      <c r="M398" s="33"/>
    </row>
    <row r="399" spans="13:13" x14ac:dyDescent="0.25">
      <c r="M399" s="33"/>
    </row>
    <row r="400" spans="13:13" x14ac:dyDescent="0.25">
      <c r="M400" s="33"/>
    </row>
    <row r="401" spans="13:13" x14ac:dyDescent="0.25">
      <c r="M401" s="33"/>
    </row>
    <row r="402" spans="13:13" x14ac:dyDescent="0.25">
      <c r="M402" s="33"/>
    </row>
    <row r="403" spans="13:13" x14ac:dyDescent="0.25">
      <c r="M403" s="33"/>
    </row>
    <row r="404" spans="13:13" x14ac:dyDescent="0.25">
      <c r="M404" s="33"/>
    </row>
    <row r="405" spans="13:13" x14ac:dyDescent="0.25">
      <c r="M405" s="33"/>
    </row>
    <row r="406" spans="13:13" x14ac:dyDescent="0.25">
      <c r="M406" s="33"/>
    </row>
    <row r="407" spans="13:13" x14ac:dyDescent="0.25">
      <c r="M407" s="33"/>
    </row>
    <row r="408" spans="13:13" x14ac:dyDescent="0.25">
      <c r="M408" s="33"/>
    </row>
    <row r="409" spans="13:13" x14ac:dyDescent="0.25">
      <c r="M409" s="33"/>
    </row>
    <row r="410" spans="13:13" x14ac:dyDescent="0.25">
      <c r="M410" s="33"/>
    </row>
    <row r="411" spans="13:13" x14ac:dyDescent="0.25">
      <c r="M411" s="33"/>
    </row>
    <row r="412" spans="13:13" x14ac:dyDescent="0.25">
      <c r="M412" s="33"/>
    </row>
    <row r="413" spans="13:13" x14ac:dyDescent="0.25">
      <c r="M413" s="33"/>
    </row>
    <row r="414" spans="13:13" x14ac:dyDescent="0.25">
      <c r="M414" s="33"/>
    </row>
    <row r="415" spans="13:13" x14ac:dyDescent="0.25">
      <c r="M415" s="33"/>
    </row>
    <row r="416" spans="13:13" x14ac:dyDescent="0.25">
      <c r="M416" s="33"/>
    </row>
    <row r="417" spans="13:13" x14ac:dyDescent="0.25">
      <c r="M417" s="33"/>
    </row>
    <row r="418" spans="13:13" x14ac:dyDescent="0.25">
      <c r="M418" s="33"/>
    </row>
    <row r="419" spans="13:13" x14ac:dyDescent="0.25">
      <c r="M419" s="33"/>
    </row>
    <row r="420" spans="13:13" x14ac:dyDescent="0.25">
      <c r="M420" s="33"/>
    </row>
    <row r="421" spans="13:13" x14ac:dyDescent="0.25">
      <c r="M421" s="33"/>
    </row>
    <row r="422" spans="13:13" x14ac:dyDescent="0.25">
      <c r="M422" s="33"/>
    </row>
    <row r="423" spans="13:13" x14ac:dyDescent="0.25">
      <c r="M423" s="33"/>
    </row>
    <row r="424" spans="13:13" x14ac:dyDescent="0.25">
      <c r="M424" s="33"/>
    </row>
    <row r="425" spans="13:13" x14ac:dyDescent="0.25">
      <c r="M425" s="33"/>
    </row>
    <row r="426" spans="13:13" x14ac:dyDescent="0.25">
      <c r="M426" s="33"/>
    </row>
    <row r="427" spans="13:13" x14ac:dyDescent="0.25">
      <c r="M427" s="33"/>
    </row>
    <row r="428" spans="13:13" x14ac:dyDescent="0.25">
      <c r="M428" s="33"/>
    </row>
    <row r="429" spans="13:13" x14ac:dyDescent="0.25">
      <c r="M429" s="33"/>
    </row>
    <row r="430" spans="13:13" x14ac:dyDescent="0.25">
      <c r="M430" s="33"/>
    </row>
    <row r="431" spans="13:13" x14ac:dyDescent="0.25">
      <c r="M431" s="33"/>
    </row>
    <row r="432" spans="13:13" x14ac:dyDescent="0.25">
      <c r="M432" s="33"/>
    </row>
    <row r="433" spans="13:13" x14ac:dyDescent="0.25">
      <c r="M433" s="33"/>
    </row>
    <row r="434" spans="13:13" x14ac:dyDescent="0.25">
      <c r="M434" s="33"/>
    </row>
    <row r="435" spans="13:13" x14ac:dyDescent="0.25">
      <c r="M435" s="33"/>
    </row>
    <row r="436" spans="13:13" x14ac:dyDescent="0.25">
      <c r="M436" s="33"/>
    </row>
    <row r="437" spans="13:13" x14ac:dyDescent="0.25">
      <c r="M437" s="33"/>
    </row>
    <row r="438" spans="13:13" x14ac:dyDescent="0.25">
      <c r="M438" s="33"/>
    </row>
    <row r="439" spans="13:13" x14ac:dyDescent="0.25">
      <c r="M439" s="33"/>
    </row>
    <row r="440" spans="13:13" x14ac:dyDescent="0.25">
      <c r="M440" s="33"/>
    </row>
    <row r="441" spans="13:13" x14ac:dyDescent="0.25">
      <c r="M441" s="33"/>
    </row>
    <row r="442" spans="13:13" x14ac:dyDescent="0.25">
      <c r="M442" s="33"/>
    </row>
    <row r="443" spans="13:13" x14ac:dyDescent="0.25">
      <c r="M443" s="33"/>
    </row>
    <row r="444" spans="13:13" x14ac:dyDescent="0.25">
      <c r="M444" s="33"/>
    </row>
    <row r="445" spans="13:13" x14ac:dyDescent="0.25">
      <c r="M445" s="33"/>
    </row>
    <row r="446" spans="13:13" x14ac:dyDescent="0.25">
      <c r="M446" s="33"/>
    </row>
    <row r="447" spans="13:13" x14ac:dyDescent="0.25">
      <c r="M447" s="33"/>
    </row>
    <row r="448" spans="13:13" x14ac:dyDescent="0.25">
      <c r="M448" s="33"/>
    </row>
    <row r="449" spans="13:13" x14ac:dyDescent="0.25">
      <c r="M449" s="33"/>
    </row>
    <row r="450" spans="13:13" x14ac:dyDescent="0.25">
      <c r="M450" s="33"/>
    </row>
    <row r="451" spans="13:13" x14ac:dyDescent="0.25">
      <c r="M451" s="33"/>
    </row>
    <row r="452" spans="13:13" x14ac:dyDescent="0.25">
      <c r="M452" s="33"/>
    </row>
    <row r="453" spans="13:13" x14ac:dyDescent="0.25">
      <c r="M453" s="33"/>
    </row>
    <row r="454" spans="13:13" x14ac:dyDescent="0.25">
      <c r="M454" s="33"/>
    </row>
    <row r="455" spans="13:13" x14ac:dyDescent="0.25">
      <c r="M455" s="33"/>
    </row>
    <row r="456" spans="13:13" x14ac:dyDescent="0.25">
      <c r="M456" s="33"/>
    </row>
    <row r="457" spans="13:13" x14ac:dyDescent="0.25">
      <c r="M457" s="33"/>
    </row>
    <row r="458" spans="13:13" x14ac:dyDescent="0.25">
      <c r="M458" s="33"/>
    </row>
    <row r="459" spans="13:13" x14ac:dyDescent="0.25">
      <c r="M459" s="33"/>
    </row>
    <row r="460" spans="13:13" x14ac:dyDescent="0.25">
      <c r="M460" s="33"/>
    </row>
    <row r="461" spans="13:13" x14ac:dyDescent="0.25">
      <c r="M461" s="33"/>
    </row>
    <row r="462" spans="13:13" x14ac:dyDescent="0.25">
      <c r="M462" s="33"/>
    </row>
    <row r="463" spans="13:13" x14ac:dyDescent="0.25">
      <c r="M463" s="33"/>
    </row>
  </sheetData>
  <mergeCells count="6">
    <mergeCell ref="F1:I1"/>
    <mergeCell ref="J1:N1"/>
    <mergeCell ref="Q1:T1"/>
    <mergeCell ref="F2:H2"/>
    <mergeCell ref="J2:L2"/>
    <mergeCell ref="O2:O3"/>
  </mergeCells>
  <phoneticPr fontId="1" type="noConversion"/>
  <printOptions gridLines="1"/>
  <pageMargins left="0.17" right="0.16" top="0.28999999999999998" bottom="0.2" header="0.5" footer="0.5"/>
  <pageSetup paperSize="9" scale="39" orientation="portrait" r:id="rId1"/>
  <headerFooter alignWithMargins="0">
    <oddFooter>&amp;C&amp;"Times New Roman,標準"&amp;P&amp;R&amp;"Times New Roman,標準"&amp;A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11">
    <pageSetUpPr fitToPage="1"/>
  </sheetPr>
  <dimension ref="A1:T365"/>
  <sheetViews>
    <sheetView zoomScale="90" zoomScaleNormal="90" workbookViewId="0">
      <pane xSplit="1" ySplit="3" topLeftCell="B4" activePane="bottomRight" state="frozen"/>
      <selection sqref="A1:P65536"/>
      <selection pane="topRight" sqref="A1:P65536"/>
      <selection pane="bottomLeft" sqref="A1:P65536"/>
      <selection pane="bottomRight" activeCell="F8" sqref="F8"/>
    </sheetView>
  </sheetViews>
  <sheetFormatPr defaultRowHeight="16.5" x14ac:dyDescent="0.25"/>
  <cols>
    <col min="1" max="1" width="9" style="7" customWidth="1"/>
    <col min="2" max="2" width="10.5" style="8" bestFit="1" customWidth="1"/>
    <col min="3" max="3" width="7.5" style="8" bestFit="1" customWidth="1"/>
    <col min="4" max="4" width="9.5" style="8" customWidth="1"/>
    <col min="5" max="9" width="9.25" style="8" bestFit="1" customWidth="1"/>
    <col min="10" max="14" width="9" style="8"/>
    <col min="15" max="15" width="9.25" style="8" bestFit="1" customWidth="1"/>
    <col min="16" max="16" width="4" style="8" customWidth="1"/>
    <col min="17" max="17" width="6.625" style="28" customWidth="1"/>
    <col min="18" max="18" width="8.625" style="28" customWidth="1"/>
    <col min="19" max="20" width="11.5" style="31" bestFit="1" customWidth="1"/>
    <col min="21" max="256" width="9" style="8"/>
    <col min="257" max="257" width="9" style="8" customWidth="1"/>
    <col min="258" max="258" width="10.5" style="8" bestFit="1" customWidth="1"/>
    <col min="259" max="259" width="6.5" style="8" bestFit="1" customWidth="1"/>
    <col min="260" max="260" width="9.5" style="8" customWidth="1"/>
    <col min="261" max="271" width="9" style="8"/>
    <col min="272" max="272" width="4" style="8" customWidth="1"/>
    <col min="273" max="273" width="6.625" style="8" customWidth="1"/>
    <col min="274" max="274" width="8.625" style="8" customWidth="1"/>
    <col min="275" max="276" width="11.5" style="8" bestFit="1" customWidth="1"/>
    <col min="277" max="512" width="9" style="8"/>
    <col min="513" max="513" width="9" style="8" customWidth="1"/>
    <col min="514" max="514" width="10.5" style="8" bestFit="1" customWidth="1"/>
    <col min="515" max="515" width="6.5" style="8" bestFit="1" customWidth="1"/>
    <col min="516" max="516" width="9.5" style="8" customWidth="1"/>
    <col min="517" max="527" width="9" style="8"/>
    <col min="528" max="528" width="4" style="8" customWidth="1"/>
    <col min="529" max="529" width="6.625" style="8" customWidth="1"/>
    <col min="530" max="530" width="8.625" style="8" customWidth="1"/>
    <col min="531" max="532" width="11.5" style="8" bestFit="1" customWidth="1"/>
    <col min="533" max="768" width="9" style="8"/>
    <col min="769" max="769" width="9" style="8" customWidth="1"/>
    <col min="770" max="770" width="10.5" style="8" bestFit="1" customWidth="1"/>
    <col min="771" max="771" width="6.5" style="8" bestFit="1" customWidth="1"/>
    <col min="772" max="772" width="9.5" style="8" customWidth="1"/>
    <col min="773" max="783" width="9" style="8"/>
    <col min="784" max="784" width="4" style="8" customWidth="1"/>
    <col min="785" max="785" width="6.625" style="8" customWidth="1"/>
    <col min="786" max="786" width="8.625" style="8" customWidth="1"/>
    <col min="787" max="788" width="11.5" style="8" bestFit="1" customWidth="1"/>
    <col min="789" max="1024" width="9" style="8"/>
    <col min="1025" max="1025" width="9" style="8" customWidth="1"/>
    <col min="1026" max="1026" width="10.5" style="8" bestFit="1" customWidth="1"/>
    <col min="1027" max="1027" width="6.5" style="8" bestFit="1" customWidth="1"/>
    <col min="1028" max="1028" width="9.5" style="8" customWidth="1"/>
    <col min="1029" max="1039" width="9" style="8"/>
    <col min="1040" max="1040" width="4" style="8" customWidth="1"/>
    <col min="1041" max="1041" width="6.625" style="8" customWidth="1"/>
    <col min="1042" max="1042" width="8.625" style="8" customWidth="1"/>
    <col min="1043" max="1044" width="11.5" style="8" bestFit="1" customWidth="1"/>
    <col min="1045" max="1280" width="9" style="8"/>
    <col min="1281" max="1281" width="9" style="8" customWidth="1"/>
    <col min="1282" max="1282" width="10.5" style="8" bestFit="1" customWidth="1"/>
    <col min="1283" max="1283" width="6.5" style="8" bestFit="1" customWidth="1"/>
    <col min="1284" max="1284" width="9.5" style="8" customWidth="1"/>
    <col min="1285" max="1295" width="9" style="8"/>
    <col min="1296" max="1296" width="4" style="8" customWidth="1"/>
    <col min="1297" max="1297" width="6.625" style="8" customWidth="1"/>
    <col min="1298" max="1298" width="8.625" style="8" customWidth="1"/>
    <col min="1299" max="1300" width="11.5" style="8" bestFit="1" customWidth="1"/>
    <col min="1301" max="1536" width="9" style="8"/>
    <col min="1537" max="1537" width="9" style="8" customWidth="1"/>
    <col min="1538" max="1538" width="10.5" style="8" bestFit="1" customWidth="1"/>
    <col min="1539" max="1539" width="6.5" style="8" bestFit="1" customWidth="1"/>
    <col min="1540" max="1540" width="9.5" style="8" customWidth="1"/>
    <col min="1541" max="1551" width="9" style="8"/>
    <col min="1552" max="1552" width="4" style="8" customWidth="1"/>
    <col min="1553" max="1553" width="6.625" style="8" customWidth="1"/>
    <col min="1554" max="1554" width="8.625" style="8" customWidth="1"/>
    <col min="1555" max="1556" width="11.5" style="8" bestFit="1" customWidth="1"/>
    <col min="1557" max="1792" width="9" style="8"/>
    <col min="1793" max="1793" width="9" style="8" customWidth="1"/>
    <col min="1794" max="1794" width="10.5" style="8" bestFit="1" customWidth="1"/>
    <col min="1795" max="1795" width="6.5" style="8" bestFit="1" customWidth="1"/>
    <col min="1796" max="1796" width="9.5" style="8" customWidth="1"/>
    <col min="1797" max="1807" width="9" style="8"/>
    <col min="1808" max="1808" width="4" style="8" customWidth="1"/>
    <col min="1809" max="1809" width="6.625" style="8" customWidth="1"/>
    <col min="1810" max="1810" width="8.625" style="8" customWidth="1"/>
    <col min="1811" max="1812" width="11.5" style="8" bestFit="1" customWidth="1"/>
    <col min="1813" max="2048" width="9" style="8"/>
    <col min="2049" max="2049" width="9" style="8" customWidth="1"/>
    <col min="2050" max="2050" width="10.5" style="8" bestFit="1" customWidth="1"/>
    <col min="2051" max="2051" width="6.5" style="8" bestFit="1" customWidth="1"/>
    <col min="2052" max="2052" width="9.5" style="8" customWidth="1"/>
    <col min="2053" max="2063" width="9" style="8"/>
    <col min="2064" max="2064" width="4" style="8" customWidth="1"/>
    <col min="2065" max="2065" width="6.625" style="8" customWidth="1"/>
    <col min="2066" max="2066" width="8.625" style="8" customWidth="1"/>
    <col min="2067" max="2068" width="11.5" style="8" bestFit="1" customWidth="1"/>
    <col min="2069" max="2304" width="9" style="8"/>
    <col min="2305" max="2305" width="9" style="8" customWidth="1"/>
    <col min="2306" max="2306" width="10.5" style="8" bestFit="1" customWidth="1"/>
    <col min="2307" max="2307" width="6.5" style="8" bestFit="1" customWidth="1"/>
    <col min="2308" max="2308" width="9.5" style="8" customWidth="1"/>
    <col min="2309" max="2319" width="9" style="8"/>
    <col min="2320" max="2320" width="4" style="8" customWidth="1"/>
    <col min="2321" max="2321" width="6.625" style="8" customWidth="1"/>
    <col min="2322" max="2322" width="8.625" style="8" customWidth="1"/>
    <col min="2323" max="2324" width="11.5" style="8" bestFit="1" customWidth="1"/>
    <col min="2325" max="2560" width="9" style="8"/>
    <col min="2561" max="2561" width="9" style="8" customWidth="1"/>
    <col min="2562" max="2562" width="10.5" style="8" bestFit="1" customWidth="1"/>
    <col min="2563" max="2563" width="6.5" style="8" bestFit="1" customWidth="1"/>
    <col min="2564" max="2564" width="9.5" style="8" customWidth="1"/>
    <col min="2565" max="2575" width="9" style="8"/>
    <col min="2576" max="2576" width="4" style="8" customWidth="1"/>
    <col min="2577" max="2577" width="6.625" style="8" customWidth="1"/>
    <col min="2578" max="2578" width="8.625" style="8" customWidth="1"/>
    <col min="2579" max="2580" width="11.5" style="8" bestFit="1" customWidth="1"/>
    <col min="2581" max="2816" width="9" style="8"/>
    <col min="2817" max="2817" width="9" style="8" customWidth="1"/>
    <col min="2818" max="2818" width="10.5" style="8" bestFit="1" customWidth="1"/>
    <col min="2819" max="2819" width="6.5" style="8" bestFit="1" customWidth="1"/>
    <col min="2820" max="2820" width="9.5" style="8" customWidth="1"/>
    <col min="2821" max="2831" width="9" style="8"/>
    <col min="2832" max="2832" width="4" style="8" customWidth="1"/>
    <col min="2833" max="2833" width="6.625" style="8" customWidth="1"/>
    <col min="2834" max="2834" width="8.625" style="8" customWidth="1"/>
    <col min="2835" max="2836" width="11.5" style="8" bestFit="1" customWidth="1"/>
    <col min="2837" max="3072" width="9" style="8"/>
    <col min="3073" max="3073" width="9" style="8" customWidth="1"/>
    <col min="3074" max="3074" width="10.5" style="8" bestFit="1" customWidth="1"/>
    <col min="3075" max="3075" width="6.5" style="8" bestFit="1" customWidth="1"/>
    <col min="3076" max="3076" width="9.5" style="8" customWidth="1"/>
    <col min="3077" max="3087" width="9" style="8"/>
    <col min="3088" max="3088" width="4" style="8" customWidth="1"/>
    <col min="3089" max="3089" width="6.625" style="8" customWidth="1"/>
    <col min="3090" max="3090" width="8.625" style="8" customWidth="1"/>
    <col min="3091" max="3092" width="11.5" style="8" bestFit="1" customWidth="1"/>
    <col min="3093" max="3328" width="9" style="8"/>
    <col min="3329" max="3329" width="9" style="8" customWidth="1"/>
    <col min="3330" max="3330" width="10.5" style="8" bestFit="1" customWidth="1"/>
    <col min="3331" max="3331" width="6.5" style="8" bestFit="1" customWidth="1"/>
    <col min="3332" max="3332" width="9.5" style="8" customWidth="1"/>
    <col min="3333" max="3343" width="9" style="8"/>
    <col min="3344" max="3344" width="4" style="8" customWidth="1"/>
    <col min="3345" max="3345" width="6.625" style="8" customWidth="1"/>
    <col min="3346" max="3346" width="8.625" style="8" customWidth="1"/>
    <col min="3347" max="3348" width="11.5" style="8" bestFit="1" customWidth="1"/>
    <col min="3349" max="3584" width="9" style="8"/>
    <col min="3585" max="3585" width="9" style="8" customWidth="1"/>
    <col min="3586" max="3586" width="10.5" style="8" bestFit="1" customWidth="1"/>
    <col min="3587" max="3587" width="6.5" style="8" bestFit="1" customWidth="1"/>
    <col min="3588" max="3588" width="9.5" style="8" customWidth="1"/>
    <col min="3589" max="3599" width="9" style="8"/>
    <col min="3600" max="3600" width="4" style="8" customWidth="1"/>
    <col min="3601" max="3601" width="6.625" style="8" customWidth="1"/>
    <col min="3602" max="3602" width="8.625" style="8" customWidth="1"/>
    <col min="3603" max="3604" width="11.5" style="8" bestFit="1" customWidth="1"/>
    <col min="3605" max="3840" width="9" style="8"/>
    <col min="3841" max="3841" width="9" style="8" customWidth="1"/>
    <col min="3842" max="3842" width="10.5" style="8" bestFit="1" customWidth="1"/>
    <col min="3843" max="3843" width="6.5" style="8" bestFit="1" customWidth="1"/>
    <col min="3844" max="3844" width="9.5" style="8" customWidth="1"/>
    <col min="3845" max="3855" width="9" style="8"/>
    <col min="3856" max="3856" width="4" style="8" customWidth="1"/>
    <col min="3857" max="3857" width="6.625" style="8" customWidth="1"/>
    <col min="3858" max="3858" width="8.625" style="8" customWidth="1"/>
    <col min="3859" max="3860" width="11.5" style="8" bestFit="1" customWidth="1"/>
    <col min="3861" max="4096" width="9" style="8"/>
    <col min="4097" max="4097" width="9" style="8" customWidth="1"/>
    <col min="4098" max="4098" width="10.5" style="8" bestFit="1" customWidth="1"/>
    <col min="4099" max="4099" width="6.5" style="8" bestFit="1" customWidth="1"/>
    <col min="4100" max="4100" width="9.5" style="8" customWidth="1"/>
    <col min="4101" max="4111" width="9" style="8"/>
    <col min="4112" max="4112" width="4" style="8" customWidth="1"/>
    <col min="4113" max="4113" width="6.625" style="8" customWidth="1"/>
    <col min="4114" max="4114" width="8.625" style="8" customWidth="1"/>
    <col min="4115" max="4116" width="11.5" style="8" bestFit="1" customWidth="1"/>
    <col min="4117" max="4352" width="9" style="8"/>
    <col min="4353" max="4353" width="9" style="8" customWidth="1"/>
    <col min="4354" max="4354" width="10.5" style="8" bestFit="1" customWidth="1"/>
    <col min="4355" max="4355" width="6.5" style="8" bestFit="1" customWidth="1"/>
    <col min="4356" max="4356" width="9.5" style="8" customWidth="1"/>
    <col min="4357" max="4367" width="9" style="8"/>
    <col min="4368" max="4368" width="4" style="8" customWidth="1"/>
    <col min="4369" max="4369" width="6.625" style="8" customWidth="1"/>
    <col min="4370" max="4370" width="8.625" style="8" customWidth="1"/>
    <col min="4371" max="4372" width="11.5" style="8" bestFit="1" customWidth="1"/>
    <col min="4373" max="4608" width="9" style="8"/>
    <col min="4609" max="4609" width="9" style="8" customWidth="1"/>
    <col min="4610" max="4610" width="10.5" style="8" bestFit="1" customWidth="1"/>
    <col min="4611" max="4611" width="6.5" style="8" bestFit="1" customWidth="1"/>
    <col min="4612" max="4612" width="9.5" style="8" customWidth="1"/>
    <col min="4613" max="4623" width="9" style="8"/>
    <col min="4624" max="4624" width="4" style="8" customWidth="1"/>
    <col min="4625" max="4625" width="6.625" style="8" customWidth="1"/>
    <col min="4626" max="4626" width="8.625" style="8" customWidth="1"/>
    <col min="4627" max="4628" width="11.5" style="8" bestFit="1" customWidth="1"/>
    <col min="4629" max="4864" width="9" style="8"/>
    <col min="4865" max="4865" width="9" style="8" customWidth="1"/>
    <col min="4866" max="4866" width="10.5" style="8" bestFit="1" customWidth="1"/>
    <col min="4867" max="4867" width="6.5" style="8" bestFit="1" customWidth="1"/>
    <col min="4868" max="4868" width="9.5" style="8" customWidth="1"/>
    <col min="4869" max="4879" width="9" style="8"/>
    <col min="4880" max="4880" width="4" style="8" customWidth="1"/>
    <col min="4881" max="4881" width="6.625" style="8" customWidth="1"/>
    <col min="4882" max="4882" width="8.625" style="8" customWidth="1"/>
    <col min="4883" max="4884" width="11.5" style="8" bestFit="1" customWidth="1"/>
    <col min="4885" max="5120" width="9" style="8"/>
    <col min="5121" max="5121" width="9" style="8" customWidth="1"/>
    <col min="5122" max="5122" width="10.5" style="8" bestFit="1" customWidth="1"/>
    <col min="5123" max="5123" width="6.5" style="8" bestFit="1" customWidth="1"/>
    <col min="5124" max="5124" width="9.5" style="8" customWidth="1"/>
    <col min="5125" max="5135" width="9" style="8"/>
    <col min="5136" max="5136" width="4" style="8" customWidth="1"/>
    <col min="5137" max="5137" width="6.625" style="8" customWidth="1"/>
    <col min="5138" max="5138" width="8.625" style="8" customWidth="1"/>
    <col min="5139" max="5140" width="11.5" style="8" bestFit="1" customWidth="1"/>
    <col min="5141" max="5376" width="9" style="8"/>
    <col min="5377" max="5377" width="9" style="8" customWidth="1"/>
    <col min="5378" max="5378" width="10.5" style="8" bestFit="1" customWidth="1"/>
    <col min="5379" max="5379" width="6.5" style="8" bestFit="1" customWidth="1"/>
    <col min="5380" max="5380" width="9.5" style="8" customWidth="1"/>
    <col min="5381" max="5391" width="9" style="8"/>
    <col min="5392" max="5392" width="4" style="8" customWidth="1"/>
    <col min="5393" max="5393" width="6.625" style="8" customWidth="1"/>
    <col min="5394" max="5394" width="8.625" style="8" customWidth="1"/>
    <col min="5395" max="5396" width="11.5" style="8" bestFit="1" customWidth="1"/>
    <col min="5397" max="5632" width="9" style="8"/>
    <col min="5633" max="5633" width="9" style="8" customWidth="1"/>
    <col min="5634" max="5634" width="10.5" style="8" bestFit="1" customWidth="1"/>
    <col min="5635" max="5635" width="6.5" style="8" bestFit="1" customWidth="1"/>
    <col min="5636" max="5636" width="9.5" style="8" customWidth="1"/>
    <col min="5637" max="5647" width="9" style="8"/>
    <col min="5648" max="5648" width="4" style="8" customWidth="1"/>
    <col min="5649" max="5649" width="6.625" style="8" customWidth="1"/>
    <col min="5650" max="5650" width="8.625" style="8" customWidth="1"/>
    <col min="5651" max="5652" width="11.5" style="8" bestFit="1" customWidth="1"/>
    <col min="5653" max="5888" width="9" style="8"/>
    <col min="5889" max="5889" width="9" style="8" customWidth="1"/>
    <col min="5890" max="5890" width="10.5" style="8" bestFit="1" customWidth="1"/>
    <col min="5891" max="5891" width="6.5" style="8" bestFit="1" customWidth="1"/>
    <col min="5892" max="5892" width="9.5" style="8" customWidth="1"/>
    <col min="5893" max="5903" width="9" style="8"/>
    <col min="5904" max="5904" width="4" style="8" customWidth="1"/>
    <col min="5905" max="5905" width="6.625" style="8" customWidth="1"/>
    <col min="5906" max="5906" width="8.625" style="8" customWidth="1"/>
    <col min="5907" max="5908" width="11.5" style="8" bestFit="1" customWidth="1"/>
    <col min="5909" max="6144" width="9" style="8"/>
    <col min="6145" max="6145" width="9" style="8" customWidth="1"/>
    <col min="6146" max="6146" width="10.5" style="8" bestFit="1" customWidth="1"/>
    <col min="6147" max="6147" width="6.5" style="8" bestFit="1" customWidth="1"/>
    <col min="6148" max="6148" width="9.5" style="8" customWidth="1"/>
    <col min="6149" max="6159" width="9" style="8"/>
    <col min="6160" max="6160" width="4" style="8" customWidth="1"/>
    <col min="6161" max="6161" width="6.625" style="8" customWidth="1"/>
    <col min="6162" max="6162" width="8.625" style="8" customWidth="1"/>
    <col min="6163" max="6164" width="11.5" style="8" bestFit="1" customWidth="1"/>
    <col min="6165" max="6400" width="9" style="8"/>
    <col min="6401" max="6401" width="9" style="8" customWidth="1"/>
    <col min="6402" max="6402" width="10.5" style="8" bestFit="1" customWidth="1"/>
    <col min="6403" max="6403" width="6.5" style="8" bestFit="1" customWidth="1"/>
    <col min="6404" max="6404" width="9.5" style="8" customWidth="1"/>
    <col min="6405" max="6415" width="9" style="8"/>
    <col min="6416" max="6416" width="4" style="8" customWidth="1"/>
    <col min="6417" max="6417" width="6.625" style="8" customWidth="1"/>
    <col min="6418" max="6418" width="8.625" style="8" customWidth="1"/>
    <col min="6419" max="6420" width="11.5" style="8" bestFit="1" customWidth="1"/>
    <col min="6421" max="6656" width="9" style="8"/>
    <col min="6657" max="6657" width="9" style="8" customWidth="1"/>
    <col min="6658" max="6658" width="10.5" style="8" bestFit="1" customWidth="1"/>
    <col min="6659" max="6659" width="6.5" style="8" bestFit="1" customWidth="1"/>
    <col min="6660" max="6660" width="9.5" style="8" customWidth="1"/>
    <col min="6661" max="6671" width="9" style="8"/>
    <col min="6672" max="6672" width="4" style="8" customWidth="1"/>
    <col min="6673" max="6673" width="6.625" style="8" customWidth="1"/>
    <col min="6674" max="6674" width="8.625" style="8" customWidth="1"/>
    <col min="6675" max="6676" width="11.5" style="8" bestFit="1" customWidth="1"/>
    <col min="6677" max="6912" width="9" style="8"/>
    <col min="6913" max="6913" width="9" style="8" customWidth="1"/>
    <col min="6914" max="6914" width="10.5" style="8" bestFit="1" customWidth="1"/>
    <col min="6915" max="6915" width="6.5" style="8" bestFit="1" customWidth="1"/>
    <col min="6916" max="6916" width="9.5" style="8" customWidth="1"/>
    <col min="6917" max="6927" width="9" style="8"/>
    <col min="6928" max="6928" width="4" style="8" customWidth="1"/>
    <col min="6929" max="6929" width="6.625" style="8" customWidth="1"/>
    <col min="6930" max="6930" width="8.625" style="8" customWidth="1"/>
    <col min="6931" max="6932" width="11.5" style="8" bestFit="1" customWidth="1"/>
    <col min="6933" max="7168" width="9" style="8"/>
    <col min="7169" max="7169" width="9" style="8" customWidth="1"/>
    <col min="7170" max="7170" width="10.5" style="8" bestFit="1" customWidth="1"/>
    <col min="7171" max="7171" width="6.5" style="8" bestFit="1" customWidth="1"/>
    <col min="7172" max="7172" width="9.5" style="8" customWidth="1"/>
    <col min="7173" max="7183" width="9" style="8"/>
    <col min="7184" max="7184" width="4" style="8" customWidth="1"/>
    <col min="7185" max="7185" width="6.625" style="8" customWidth="1"/>
    <col min="7186" max="7186" width="8.625" style="8" customWidth="1"/>
    <col min="7187" max="7188" width="11.5" style="8" bestFit="1" customWidth="1"/>
    <col min="7189" max="7424" width="9" style="8"/>
    <col min="7425" max="7425" width="9" style="8" customWidth="1"/>
    <col min="7426" max="7426" width="10.5" style="8" bestFit="1" customWidth="1"/>
    <col min="7427" max="7427" width="6.5" style="8" bestFit="1" customWidth="1"/>
    <col min="7428" max="7428" width="9.5" style="8" customWidth="1"/>
    <col min="7429" max="7439" width="9" style="8"/>
    <col min="7440" max="7440" width="4" style="8" customWidth="1"/>
    <col min="7441" max="7441" width="6.625" style="8" customWidth="1"/>
    <col min="7442" max="7442" width="8.625" style="8" customWidth="1"/>
    <col min="7443" max="7444" width="11.5" style="8" bestFit="1" customWidth="1"/>
    <col min="7445" max="7680" width="9" style="8"/>
    <col min="7681" max="7681" width="9" style="8" customWidth="1"/>
    <col min="7682" max="7682" width="10.5" style="8" bestFit="1" customWidth="1"/>
    <col min="7683" max="7683" width="6.5" style="8" bestFit="1" customWidth="1"/>
    <col min="7684" max="7684" width="9.5" style="8" customWidth="1"/>
    <col min="7685" max="7695" width="9" style="8"/>
    <col min="7696" max="7696" width="4" style="8" customWidth="1"/>
    <col min="7697" max="7697" width="6.625" style="8" customWidth="1"/>
    <col min="7698" max="7698" width="8.625" style="8" customWidth="1"/>
    <col min="7699" max="7700" width="11.5" style="8" bestFit="1" customWidth="1"/>
    <col min="7701" max="7936" width="9" style="8"/>
    <col min="7937" max="7937" width="9" style="8" customWidth="1"/>
    <col min="7938" max="7938" width="10.5" style="8" bestFit="1" customWidth="1"/>
    <col min="7939" max="7939" width="6.5" style="8" bestFit="1" customWidth="1"/>
    <col min="7940" max="7940" width="9.5" style="8" customWidth="1"/>
    <col min="7941" max="7951" width="9" style="8"/>
    <col min="7952" max="7952" width="4" style="8" customWidth="1"/>
    <col min="7953" max="7953" width="6.625" style="8" customWidth="1"/>
    <col min="7954" max="7954" width="8.625" style="8" customWidth="1"/>
    <col min="7955" max="7956" width="11.5" style="8" bestFit="1" customWidth="1"/>
    <col min="7957" max="8192" width="9" style="8"/>
    <col min="8193" max="8193" width="9" style="8" customWidth="1"/>
    <col min="8194" max="8194" width="10.5" style="8" bestFit="1" customWidth="1"/>
    <col min="8195" max="8195" width="6.5" style="8" bestFit="1" customWidth="1"/>
    <col min="8196" max="8196" width="9.5" style="8" customWidth="1"/>
    <col min="8197" max="8207" width="9" style="8"/>
    <col min="8208" max="8208" width="4" style="8" customWidth="1"/>
    <col min="8209" max="8209" width="6.625" style="8" customWidth="1"/>
    <col min="8210" max="8210" width="8.625" style="8" customWidth="1"/>
    <col min="8211" max="8212" width="11.5" style="8" bestFit="1" customWidth="1"/>
    <col min="8213" max="8448" width="9" style="8"/>
    <col min="8449" max="8449" width="9" style="8" customWidth="1"/>
    <col min="8450" max="8450" width="10.5" style="8" bestFit="1" customWidth="1"/>
    <col min="8451" max="8451" width="6.5" style="8" bestFit="1" customWidth="1"/>
    <col min="8452" max="8452" width="9.5" style="8" customWidth="1"/>
    <col min="8453" max="8463" width="9" style="8"/>
    <col min="8464" max="8464" width="4" style="8" customWidth="1"/>
    <col min="8465" max="8465" width="6.625" style="8" customWidth="1"/>
    <col min="8466" max="8466" width="8.625" style="8" customWidth="1"/>
    <col min="8467" max="8468" width="11.5" style="8" bestFit="1" customWidth="1"/>
    <col min="8469" max="8704" width="9" style="8"/>
    <col min="8705" max="8705" width="9" style="8" customWidth="1"/>
    <col min="8706" max="8706" width="10.5" style="8" bestFit="1" customWidth="1"/>
    <col min="8707" max="8707" width="6.5" style="8" bestFit="1" customWidth="1"/>
    <col min="8708" max="8708" width="9.5" style="8" customWidth="1"/>
    <col min="8709" max="8719" width="9" style="8"/>
    <col min="8720" max="8720" width="4" style="8" customWidth="1"/>
    <col min="8721" max="8721" width="6.625" style="8" customWidth="1"/>
    <col min="8722" max="8722" width="8.625" style="8" customWidth="1"/>
    <col min="8723" max="8724" width="11.5" style="8" bestFit="1" customWidth="1"/>
    <col min="8725" max="8960" width="9" style="8"/>
    <col min="8961" max="8961" width="9" style="8" customWidth="1"/>
    <col min="8962" max="8962" width="10.5" style="8" bestFit="1" customWidth="1"/>
    <col min="8963" max="8963" width="6.5" style="8" bestFit="1" customWidth="1"/>
    <col min="8964" max="8964" width="9.5" style="8" customWidth="1"/>
    <col min="8965" max="8975" width="9" style="8"/>
    <col min="8976" max="8976" width="4" style="8" customWidth="1"/>
    <col min="8977" max="8977" width="6.625" style="8" customWidth="1"/>
    <col min="8978" max="8978" width="8.625" style="8" customWidth="1"/>
    <col min="8979" max="8980" width="11.5" style="8" bestFit="1" customWidth="1"/>
    <col min="8981" max="9216" width="9" style="8"/>
    <col min="9217" max="9217" width="9" style="8" customWidth="1"/>
    <col min="9218" max="9218" width="10.5" style="8" bestFit="1" customWidth="1"/>
    <col min="9219" max="9219" width="6.5" style="8" bestFit="1" customWidth="1"/>
    <col min="9220" max="9220" width="9.5" style="8" customWidth="1"/>
    <col min="9221" max="9231" width="9" style="8"/>
    <col min="9232" max="9232" width="4" style="8" customWidth="1"/>
    <col min="9233" max="9233" width="6.625" style="8" customWidth="1"/>
    <col min="9234" max="9234" width="8.625" style="8" customWidth="1"/>
    <col min="9235" max="9236" width="11.5" style="8" bestFit="1" customWidth="1"/>
    <col min="9237" max="9472" width="9" style="8"/>
    <col min="9473" max="9473" width="9" style="8" customWidth="1"/>
    <col min="9474" max="9474" width="10.5" style="8" bestFit="1" customWidth="1"/>
    <col min="9475" max="9475" width="6.5" style="8" bestFit="1" customWidth="1"/>
    <col min="9476" max="9476" width="9.5" style="8" customWidth="1"/>
    <col min="9477" max="9487" width="9" style="8"/>
    <col min="9488" max="9488" width="4" style="8" customWidth="1"/>
    <col min="9489" max="9489" width="6.625" style="8" customWidth="1"/>
    <col min="9490" max="9490" width="8.625" style="8" customWidth="1"/>
    <col min="9491" max="9492" width="11.5" style="8" bestFit="1" customWidth="1"/>
    <col min="9493" max="9728" width="9" style="8"/>
    <col min="9729" max="9729" width="9" style="8" customWidth="1"/>
    <col min="9730" max="9730" width="10.5" style="8" bestFit="1" customWidth="1"/>
    <col min="9731" max="9731" width="6.5" style="8" bestFit="1" customWidth="1"/>
    <col min="9732" max="9732" width="9.5" style="8" customWidth="1"/>
    <col min="9733" max="9743" width="9" style="8"/>
    <col min="9744" max="9744" width="4" style="8" customWidth="1"/>
    <col min="9745" max="9745" width="6.625" style="8" customWidth="1"/>
    <col min="9746" max="9746" width="8.625" style="8" customWidth="1"/>
    <col min="9747" max="9748" width="11.5" style="8" bestFit="1" customWidth="1"/>
    <col min="9749" max="9984" width="9" style="8"/>
    <col min="9985" max="9985" width="9" style="8" customWidth="1"/>
    <col min="9986" max="9986" width="10.5" style="8" bestFit="1" customWidth="1"/>
    <col min="9987" max="9987" width="6.5" style="8" bestFit="1" customWidth="1"/>
    <col min="9988" max="9988" width="9.5" style="8" customWidth="1"/>
    <col min="9989" max="9999" width="9" style="8"/>
    <col min="10000" max="10000" width="4" style="8" customWidth="1"/>
    <col min="10001" max="10001" width="6.625" style="8" customWidth="1"/>
    <col min="10002" max="10002" width="8.625" style="8" customWidth="1"/>
    <col min="10003" max="10004" width="11.5" style="8" bestFit="1" customWidth="1"/>
    <col min="10005" max="10240" width="9" style="8"/>
    <col min="10241" max="10241" width="9" style="8" customWidth="1"/>
    <col min="10242" max="10242" width="10.5" style="8" bestFit="1" customWidth="1"/>
    <col min="10243" max="10243" width="6.5" style="8" bestFit="1" customWidth="1"/>
    <col min="10244" max="10244" width="9.5" style="8" customWidth="1"/>
    <col min="10245" max="10255" width="9" style="8"/>
    <col min="10256" max="10256" width="4" style="8" customWidth="1"/>
    <col min="10257" max="10257" width="6.625" style="8" customWidth="1"/>
    <col min="10258" max="10258" width="8.625" style="8" customWidth="1"/>
    <col min="10259" max="10260" width="11.5" style="8" bestFit="1" customWidth="1"/>
    <col min="10261" max="10496" width="9" style="8"/>
    <col min="10497" max="10497" width="9" style="8" customWidth="1"/>
    <col min="10498" max="10498" width="10.5" style="8" bestFit="1" customWidth="1"/>
    <col min="10499" max="10499" width="6.5" style="8" bestFit="1" customWidth="1"/>
    <col min="10500" max="10500" width="9.5" style="8" customWidth="1"/>
    <col min="10501" max="10511" width="9" style="8"/>
    <col min="10512" max="10512" width="4" style="8" customWidth="1"/>
    <col min="10513" max="10513" width="6.625" style="8" customWidth="1"/>
    <col min="10514" max="10514" width="8.625" style="8" customWidth="1"/>
    <col min="10515" max="10516" width="11.5" style="8" bestFit="1" customWidth="1"/>
    <col min="10517" max="10752" width="9" style="8"/>
    <col min="10753" max="10753" width="9" style="8" customWidth="1"/>
    <col min="10754" max="10754" width="10.5" style="8" bestFit="1" customWidth="1"/>
    <col min="10755" max="10755" width="6.5" style="8" bestFit="1" customWidth="1"/>
    <col min="10756" max="10756" width="9.5" style="8" customWidth="1"/>
    <col min="10757" max="10767" width="9" style="8"/>
    <col min="10768" max="10768" width="4" style="8" customWidth="1"/>
    <col min="10769" max="10769" width="6.625" style="8" customWidth="1"/>
    <col min="10770" max="10770" width="8.625" style="8" customWidth="1"/>
    <col min="10771" max="10772" width="11.5" style="8" bestFit="1" customWidth="1"/>
    <col min="10773" max="11008" width="9" style="8"/>
    <col min="11009" max="11009" width="9" style="8" customWidth="1"/>
    <col min="11010" max="11010" width="10.5" style="8" bestFit="1" customWidth="1"/>
    <col min="11011" max="11011" width="6.5" style="8" bestFit="1" customWidth="1"/>
    <col min="11012" max="11012" width="9.5" style="8" customWidth="1"/>
    <col min="11013" max="11023" width="9" style="8"/>
    <col min="11024" max="11024" width="4" style="8" customWidth="1"/>
    <col min="11025" max="11025" width="6.625" style="8" customWidth="1"/>
    <col min="11026" max="11026" width="8.625" style="8" customWidth="1"/>
    <col min="11027" max="11028" width="11.5" style="8" bestFit="1" customWidth="1"/>
    <col min="11029" max="11264" width="9" style="8"/>
    <col min="11265" max="11265" width="9" style="8" customWidth="1"/>
    <col min="11266" max="11266" width="10.5" style="8" bestFit="1" customWidth="1"/>
    <col min="11267" max="11267" width="6.5" style="8" bestFit="1" customWidth="1"/>
    <col min="11268" max="11268" width="9.5" style="8" customWidth="1"/>
    <col min="11269" max="11279" width="9" style="8"/>
    <col min="11280" max="11280" width="4" style="8" customWidth="1"/>
    <col min="11281" max="11281" width="6.625" style="8" customWidth="1"/>
    <col min="11282" max="11282" width="8.625" style="8" customWidth="1"/>
    <col min="11283" max="11284" width="11.5" style="8" bestFit="1" customWidth="1"/>
    <col min="11285" max="11520" width="9" style="8"/>
    <col min="11521" max="11521" width="9" style="8" customWidth="1"/>
    <col min="11522" max="11522" width="10.5" style="8" bestFit="1" customWidth="1"/>
    <col min="11523" max="11523" width="6.5" style="8" bestFit="1" customWidth="1"/>
    <col min="11524" max="11524" width="9.5" style="8" customWidth="1"/>
    <col min="11525" max="11535" width="9" style="8"/>
    <col min="11536" max="11536" width="4" style="8" customWidth="1"/>
    <col min="11537" max="11537" width="6.625" style="8" customWidth="1"/>
    <col min="11538" max="11538" width="8.625" style="8" customWidth="1"/>
    <col min="11539" max="11540" width="11.5" style="8" bestFit="1" customWidth="1"/>
    <col min="11541" max="11776" width="9" style="8"/>
    <col min="11777" max="11777" width="9" style="8" customWidth="1"/>
    <col min="11778" max="11778" width="10.5" style="8" bestFit="1" customWidth="1"/>
    <col min="11779" max="11779" width="6.5" style="8" bestFit="1" customWidth="1"/>
    <col min="11780" max="11780" width="9.5" style="8" customWidth="1"/>
    <col min="11781" max="11791" width="9" style="8"/>
    <col min="11792" max="11792" width="4" style="8" customWidth="1"/>
    <col min="11793" max="11793" width="6.625" style="8" customWidth="1"/>
    <col min="11794" max="11794" width="8.625" style="8" customWidth="1"/>
    <col min="11795" max="11796" width="11.5" style="8" bestFit="1" customWidth="1"/>
    <col min="11797" max="12032" width="9" style="8"/>
    <col min="12033" max="12033" width="9" style="8" customWidth="1"/>
    <col min="12034" max="12034" width="10.5" style="8" bestFit="1" customWidth="1"/>
    <col min="12035" max="12035" width="6.5" style="8" bestFit="1" customWidth="1"/>
    <col min="12036" max="12036" width="9.5" style="8" customWidth="1"/>
    <col min="12037" max="12047" width="9" style="8"/>
    <col min="12048" max="12048" width="4" style="8" customWidth="1"/>
    <col min="12049" max="12049" width="6.625" style="8" customWidth="1"/>
    <col min="12050" max="12050" width="8.625" style="8" customWidth="1"/>
    <col min="12051" max="12052" width="11.5" style="8" bestFit="1" customWidth="1"/>
    <col min="12053" max="12288" width="9" style="8"/>
    <col min="12289" max="12289" width="9" style="8" customWidth="1"/>
    <col min="12290" max="12290" width="10.5" style="8" bestFit="1" customWidth="1"/>
    <col min="12291" max="12291" width="6.5" style="8" bestFit="1" customWidth="1"/>
    <col min="12292" max="12292" width="9.5" style="8" customWidth="1"/>
    <col min="12293" max="12303" width="9" style="8"/>
    <col min="12304" max="12304" width="4" style="8" customWidth="1"/>
    <col min="12305" max="12305" width="6.625" style="8" customWidth="1"/>
    <col min="12306" max="12306" width="8.625" style="8" customWidth="1"/>
    <col min="12307" max="12308" width="11.5" style="8" bestFit="1" customWidth="1"/>
    <col min="12309" max="12544" width="9" style="8"/>
    <col min="12545" max="12545" width="9" style="8" customWidth="1"/>
    <col min="12546" max="12546" width="10.5" style="8" bestFit="1" customWidth="1"/>
    <col min="12547" max="12547" width="6.5" style="8" bestFit="1" customWidth="1"/>
    <col min="12548" max="12548" width="9.5" style="8" customWidth="1"/>
    <col min="12549" max="12559" width="9" style="8"/>
    <col min="12560" max="12560" width="4" style="8" customWidth="1"/>
    <col min="12561" max="12561" width="6.625" style="8" customWidth="1"/>
    <col min="12562" max="12562" width="8.625" style="8" customWidth="1"/>
    <col min="12563" max="12564" width="11.5" style="8" bestFit="1" customWidth="1"/>
    <col min="12565" max="12800" width="9" style="8"/>
    <col min="12801" max="12801" width="9" style="8" customWidth="1"/>
    <col min="12802" max="12802" width="10.5" style="8" bestFit="1" customWidth="1"/>
    <col min="12803" max="12803" width="6.5" style="8" bestFit="1" customWidth="1"/>
    <col min="12804" max="12804" width="9.5" style="8" customWidth="1"/>
    <col min="12805" max="12815" width="9" style="8"/>
    <col min="12816" max="12816" width="4" style="8" customWidth="1"/>
    <col min="12817" max="12817" width="6.625" style="8" customWidth="1"/>
    <col min="12818" max="12818" width="8.625" style="8" customWidth="1"/>
    <col min="12819" max="12820" width="11.5" style="8" bestFit="1" customWidth="1"/>
    <col min="12821" max="13056" width="9" style="8"/>
    <col min="13057" max="13057" width="9" style="8" customWidth="1"/>
    <col min="13058" max="13058" width="10.5" style="8" bestFit="1" customWidth="1"/>
    <col min="13059" max="13059" width="6.5" style="8" bestFit="1" customWidth="1"/>
    <col min="13060" max="13060" width="9.5" style="8" customWidth="1"/>
    <col min="13061" max="13071" width="9" style="8"/>
    <col min="13072" max="13072" width="4" style="8" customWidth="1"/>
    <col min="13073" max="13073" width="6.625" style="8" customWidth="1"/>
    <col min="13074" max="13074" width="8.625" style="8" customWidth="1"/>
    <col min="13075" max="13076" width="11.5" style="8" bestFit="1" customWidth="1"/>
    <col min="13077" max="13312" width="9" style="8"/>
    <col min="13313" max="13313" width="9" style="8" customWidth="1"/>
    <col min="13314" max="13314" width="10.5" style="8" bestFit="1" customWidth="1"/>
    <col min="13315" max="13315" width="6.5" style="8" bestFit="1" customWidth="1"/>
    <col min="13316" max="13316" width="9.5" style="8" customWidth="1"/>
    <col min="13317" max="13327" width="9" style="8"/>
    <col min="13328" max="13328" width="4" style="8" customWidth="1"/>
    <col min="13329" max="13329" width="6.625" style="8" customWidth="1"/>
    <col min="13330" max="13330" width="8.625" style="8" customWidth="1"/>
    <col min="13331" max="13332" width="11.5" style="8" bestFit="1" customWidth="1"/>
    <col min="13333" max="13568" width="9" style="8"/>
    <col min="13569" max="13569" width="9" style="8" customWidth="1"/>
    <col min="13570" max="13570" width="10.5" style="8" bestFit="1" customWidth="1"/>
    <col min="13571" max="13571" width="6.5" style="8" bestFit="1" customWidth="1"/>
    <col min="13572" max="13572" width="9.5" style="8" customWidth="1"/>
    <col min="13573" max="13583" width="9" style="8"/>
    <col min="13584" max="13584" width="4" style="8" customWidth="1"/>
    <col min="13585" max="13585" width="6.625" style="8" customWidth="1"/>
    <col min="13586" max="13586" width="8.625" style="8" customWidth="1"/>
    <col min="13587" max="13588" width="11.5" style="8" bestFit="1" customWidth="1"/>
    <col min="13589" max="13824" width="9" style="8"/>
    <col min="13825" max="13825" width="9" style="8" customWidth="1"/>
    <col min="13826" max="13826" width="10.5" style="8" bestFit="1" customWidth="1"/>
    <col min="13827" max="13827" width="6.5" style="8" bestFit="1" customWidth="1"/>
    <col min="13828" max="13828" width="9.5" style="8" customWidth="1"/>
    <col min="13829" max="13839" width="9" style="8"/>
    <col min="13840" max="13840" width="4" style="8" customWidth="1"/>
    <col min="13841" max="13841" width="6.625" style="8" customWidth="1"/>
    <col min="13842" max="13842" width="8.625" style="8" customWidth="1"/>
    <col min="13843" max="13844" width="11.5" style="8" bestFit="1" customWidth="1"/>
    <col min="13845" max="14080" width="9" style="8"/>
    <col min="14081" max="14081" width="9" style="8" customWidth="1"/>
    <col min="14082" max="14082" width="10.5" style="8" bestFit="1" customWidth="1"/>
    <col min="14083" max="14083" width="6.5" style="8" bestFit="1" customWidth="1"/>
    <col min="14084" max="14084" width="9.5" style="8" customWidth="1"/>
    <col min="14085" max="14095" width="9" style="8"/>
    <col min="14096" max="14096" width="4" style="8" customWidth="1"/>
    <col min="14097" max="14097" width="6.625" style="8" customWidth="1"/>
    <col min="14098" max="14098" width="8.625" style="8" customWidth="1"/>
    <col min="14099" max="14100" width="11.5" style="8" bestFit="1" customWidth="1"/>
    <col min="14101" max="14336" width="9" style="8"/>
    <col min="14337" max="14337" width="9" style="8" customWidth="1"/>
    <col min="14338" max="14338" width="10.5" style="8" bestFit="1" customWidth="1"/>
    <col min="14339" max="14339" width="6.5" style="8" bestFit="1" customWidth="1"/>
    <col min="14340" max="14340" width="9.5" style="8" customWidth="1"/>
    <col min="14341" max="14351" width="9" style="8"/>
    <col min="14352" max="14352" width="4" style="8" customWidth="1"/>
    <col min="14353" max="14353" width="6.625" style="8" customWidth="1"/>
    <col min="14354" max="14354" width="8.625" style="8" customWidth="1"/>
    <col min="14355" max="14356" width="11.5" style="8" bestFit="1" customWidth="1"/>
    <col min="14357" max="14592" width="9" style="8"/>
    <col min="14593" max="14593" width="9" style="8" customWidth="1"/>
    <col min="14594" max="14594" width="10.5" style="8" bestFit="1" customWidth="1"/>
    <col min="14595" max="14595" width="6.5" style="8" bestFit="1" customWidth="1"/>
    <col min="14596" max="14596" width="9.5" style="8" customWidth="1"/>
    <col min="14597" max="14607" width="9" style="8"/>
    <col min="14608" max="14608" width="4" style="8" customWidth="1"/>
    <col min="14609" max="14609" width="6.625" style="8" customWidth="1"/>
    <col min="14610" max="14610" width="8.625" style="8" customWidth="1"/>
    <col min="14611" max="14612" width="11.5" style="8" bestFit="1" customWidth="1"/>
    <col min="14613" max="14848" width="9" style="8"/>
    <col min="14849" max="14849" width="9" style="8" customWidth="1"/>
    <col min="14850" max="14850" width="10.5" style="8" bestFit="1" customWidth="1"/>
    <col min="14851" max="14851" width="6.5" style="8" bestFit="1" customWidth="1"/>
    <col min="14852" max="14852" width="9.5" style="8" customWidth="1"/>
    <col min="14853" max="14863" width="9" style="8"/>
    <col min="14864" max="14864" width="4" style="8" customWidth="1"/>
    <col min="14865" max="14865" width="6.625" style="8" customWidth="1"/>
    <col min="14866" max="14866" width="8.625" style="8" customWidth="1"/>
    <col min="14867" max="14868" width="11.5" style="8" bestFit="1" customWidth="1"/>
    <col min="14869" max="15104" width="9" style="8"/>
    <col min="15105" max="15105" width="9" style="8" customWidth="1"/>
    <col min="15106" max="15106" width="10.5" style="8" bestFit="1" customWidth="1"/>
    <col min="15107" max="15107" width="6.5" style="8" bestFit="1" customWidth="1"/>
    <col min="15108" max="15108" width="9.5" style="8" customWidth="1"/>
    <col min="15109" max="15119" width="9" style="8"/>
    <col min="15120" max="15120" width="4" style="8" customWidth="1"/>
    <col min="15121" max="15121" width="6.625" style="8" customWidth="1"/>
    <col min="15122" max="15122" width="8.625" style="8" customWidth="1"/>
    <col min="15123" max="15124" width="11.5" style="8" bestFit="1" customWidth="1"/>
    <col min="15125" max="15360" width="9" style="8"/>
    <col min="15361" max="15361" width="9" style="8" customWidth="1"/>
    <col min="15362" max="15362" width="10.5" style="8" bestFit="1" customWidth="1"/>
    <col min="15363" max="15363" width="6.5" style="8" bestFit="1" customWidth="1"/>
    <col min="15364" max="15364" width="9.5" style="8" customWidth="1"/>
    <col min="15365" max="15375" width="9" style="8"/>
    <col min="15376" max="15376" width="4" style="8" customWidth="1"/>
    <col min="15377" max="15377" width="6.625" style="8" customWidth="1"/>
    <col min="15378" max="15378" width="8.625" style="8" customWidth="1"/>
    <col min="15379" max="15380" width="11.5" style="8" bestFit="1" customWidth="1"/>
    <col min="15381" max="15616" width="9" style="8"/>
    <col min="15617" max="15617" width="9" style="8" customWidth="1"/>
    <col min="15618" max="15618" width="10.5" style="8" bestFit="1" customWidth="1"/>
    <col min="15619" max="15619" width="6.5" style="8" bestFit="1" customWidth="1"/>
    <col min="15620" max="15620" width="9.5" style="8" customWidth="1"/>
    <col min="15621" max="15631" width="9" style="8"/>
    <col min="15632" max="15632" width="4" style="8" customWidth="1"/>
    <col min="15633" max="15633" width="6.625" style="8" customWidth="1"/>
    <col min="15634" max="15634" width="8.625" style="8" customWidth="1"/>
    <col min="15635" max="15636" width="11.5" style="8" bestFit="1" customWidth="1"/>
    <col min="15637" max="15872" width="9" style="8"/>
    <col min="15873" max="15873" width="9" style="8" customWidth="1"/>
    <col min="15874" max="15874" width="10.5" style="8" bestFit="1" customWidth="1"/>
    <col min="15875" max="15875" width="6.5" style="8" bestFit="1" customWidth="1"/>
    <col min="15876" max="15876" width="9.5" style="8" customWidth="1"/>
    <col min="15877" max="15887" width="9" style="8"/>
    <col min="15888" max="15888" width="4" style="8" customWidth="1"/>
    <col min="15889" max="15889" width="6.625" style="8" customWidth="1"/>
    <col min="15890" max="15890" width="8.625" style="8" customWidth="1"/>
    <col min="15891" max="15892" width="11.5" style="8" bestFit="1" customWidth="1"/>
    <col min="15893" max="16128" width="9" style="8"/>
    <col min="16129" max="16129" width="9" style="8" customWidth="1"/>
    <col min="16130" max="16130" width="10.5" style="8" bestFit="1" customWidth="1"/>
    <col min="16131" max="16131" width="6.5" style="8" bestFit="1" customWidth="1"/>
    <col min="16132" max="16132" width="9.5" style="8" customWidth="1"/>
    <col min="16133" max="16143" width="9" style="8"/>
    <col min="16144" max="16144" width="4" style="8" customWidth="1"/>
    <col min="16145" max="16145" width="6.625" style="8" customWidth="1"/>
    <col min="16146" max="16146" width="8.625" style="8" customWidth="1"/>
    <col min="16147" max="16148" width="11.5" style="8" bestFit="1" customWidth="1"/>
    <col min="16149" max="16384" width="9" style="8"/>
  </cols>
  <sheetData>
    <row r="1" spans="1:20" ht="16.5" customHeight="1" x14ac:dyDescent="0.25">
      <c r="F1" s="93" t="s">
        <v>615</v>
      </c>
      <c r="G1" s="94"/>
      <c r="H1" s="94"/>
      <c r="I1" s="95"/>
      <c r="J1" s="93" t="s">
        <v>616</v>
      </c>
      <c r="K1" s="94"/>
      <c r="L1" s="94"/>
      <c r="M1" s="94"/>
      <c r="N1" s="95"/>
      <c r="O1" s="8" t="s">
        <v>617</v>
      </c>
      <c r="Q1" s="96" t="s">
        <v>618</v>
      </c>
      <c r="R1" s="97"/>
      <c r="S1" s="97"/>
      <c r="T1" s="97"/>
    </row>
    <row r="2" spans="1:20" ht="28.5" x14ac:dyDescent="0.25">
      <c r="D2" s="9" t="s">
        <v>619</v>
      </c>
      <c r="E2" s="9" t="s">
        <v>620</v>
      </c>
      <c r="F2" s="98" t="s">
        <v>621</v>
      </c>
      <c r="G2" s="99"/>
      <c r="H2" s="99"/>
      <c r="I2" s="10" t="s">
        <v>622</v>
      </c>
      <c r="J2" s="98" t="s">
        <v>623</v>
      </c>
      <c r="K2" s="99"/>
      <c r="L2" s="99"/>
      <c r="M2" s="10" t="s">
        <v>624</v>
      </c>
      <c r="N2" s="10" t="s">
        <v>625</v>
      </c>
      <c r="O2" s="100" t="s">
        <v>626</v>
      </c>
      <c r="Q2" s="11" t="s">
        <v>627</v>
      </c>
      <c r="R2" s="12"/>
      <c r="S2" s="13"/>
      <c r="T2" s="13"/>
    </row>
    <row r="3" spans="1:20" ht="45.75" x14ac:dyDescent="0.25">
      <c r="B3" s="8" t="s">
        <v>628</v>
      </c>
      <c r="C3" s="8" t="s">
        <v>352</v>
      </c>
      <c r="D3" s="14" t="s">
        <v>105</v>
      </c>
      <c r="E3" s="14" t="s">
        <v>106</v>
      </c>
      <c r="F3" s="15" t="s">
        <v>422</v>
      </c>
      <c r="G3" s="15" t="s">
        <v>629</v>
      </c>
      <c r="H3" s="15" t="s">
        <v>630</v>
      </c>
      <c r="I3" s="16" t="s">
        <v>395</v>
      </c>
      <c r="J3" s="15" t="s">
        <v>422</v>
      </c>
      <c r="K3" s="15" t="s">
        <v>631</v>
      </c>
      <c r="L3" s="15" t="s">
        <v>388</v>
      </c>
      <c r="M3" s="17" t="s">
        <v>107</v>
      </c>
      <c r="N3" s="16" t="s">
        <v>632</v>
      </c>
      <c r="O3" s="100"/>
      <c r="Q3" s="46" t="s">
        <v>426</v>
      </c>
      <c r="R3" s="18" t="s">
        <v>108</v>
      </c>
      <c r="S3" s="19" t="s">
        <v>633</v>
      </c>
      <c r="T3" s="19" t="s">
        <v>109</v>
      </c>
    </row>
    <row r="4" spans="1:20" x14ac:dyDescent="0.25">
      <c r="A4" s="26" t="s">
        <v>274</v>
      </c>
      <c r="B4" s="20" t="s">
        <v>221</v>
      </c>
      <c r="C4" s="21">
        <v>0.25</v>
      </c>
      <c r="D4" s="20">
        <v>0.01</v>
      </c>
      <c r="E4" s="20">
        <v>0.02</v>
      </c>
      <c r="F4" s="20">
        <v>0.72</v>
      </c>
      <c r="G4" s="20">
        <v>0.68</v>
      </c>
      <c r="H4" s="20">
        <v>0.7</v>
      </c>
      <c r="I4" s="22">
        <v>3</v>
      </c>
      <c r="J4" s="20" t="s">
        <v>0</v>
      </c>
      <c r="K4" s="20" t="s">
        <v>0</v>
      </c>
      <c r="L4" s="20" t="s">
        <v>0</v>
      </c>
      <c r="M4" s="23" t="s">
        <v>0</v>
      </c>
      <c r="N4" s="22" t="s">
        <v>0</v>
      </c>
      <c r="O4" s="22">
        <v>1.0725</v>
      </c>
      <c r="Q4" s="24" t="s">
        <v>274</v>
      </c>
      <c r="R4" s="24" t="s">
        <v>397</v>
      </c>
      <c r="S4" s="25">
        <v>150000000</v>
      </c>
      <c r="T4" s="25">
        <v>150000000</v>
      </c>
    </row>
    <row r="5" spans="1:20" x14ac:dyDescent="0.25">
      <c r="A5" s="26" t="s">
        <v>33</v>
      </c>
      <c r="B5" s="20" t="s">
        <v>110</v>
      </c>
      <c r="C5" s="21">
        <v>1.75</v>
      </c>
      <c r="D5" s="20">
        <v>7.0000000000000007E-2</v>
      </c>
      <c r="E5" s="20">
        <v>0.08</v>
      </c>
      <c r="F5" s="20" t="s">
        <v>0</v>
      </c>
      <c r="G5" s="20" t="s">
        <v>0</v>
      </c>
      <c r="H5" s="20" t="s">
        <v>0</v>
      </c>
      <c r="I5" s="22" t="s">
        <v>0</v>
      </c>
      <c r="J5" s="20" t="s">
        <v>0</v>
      </c>
      <c r="K5" s="20" t="s">
        <v>0</v>
      </c>
      <c r="L5" s="20" t="s">
        <v>0</v>
      </c>
      <c r="M5" s="23" t="s">
        <v>0</v>
      </c>
      <c r="N5" s="22" t="s">
        <v>0</v>
      </c>
      <c r="O5" s="22">
        <v>0.94579999999999997</v>
      </c>
      <c r="Q5" s="24" t="s">
        <v>264</v>
      </c>
      <c r="R5" s="24" t="s">
        <v>634</v>
      </c>
      <c r="S5" s="25">
        <v>200000000</v>
      </c>
      <c r="T5" s="25">
        <v>0</v>
      </c>
    </row>
    <row r="6" spans="1:20" x14ac:dyDescent="0.25">
      <c r="A6" s="26" t="s">
        <v>37</v>
      </c>
      <c r="B6" s="20" t="s">
        <v>111</v>
      </c>
      <c r="C6" s="21">
        <v>0.75</v>
      </c>
      <c r="D6" s="20">
        <v>0.25</v>
      </c>
      <c r="E6" s="20">
        <v>0.26</v>
      </c>
      <c r="F6" s="20" t="s">
        <v>0</v>
      </c>
      <c r="G6" s="20" t="s">
        <v>0</v>
      </c>
      <c r="H6" s="20" t="s">
        <v>0</v>
      </c>
      <c r="I6" s="22" t="s">
        <v>0</v>
      </c>
      <c r="J6" s="20" t="s">
        <v>0</v>
      </c>
      <c r="K6" s="20" t="s">
        <v>0</v>
      </c>
      <c r="L6" s="20" t="s">
        <v>0</v>
      </c>
      <c r="M6" s="23" t="s">
        <v>0</v>
      </c>
      <c r="N6" s="22" t="s">
        <v>0</v>
      </c>
      <c r="O6" s="22">
        <v>0.9355</v>
      </c>
      <c r="Q6" s="26" t="s">
        <v>0</v>
      </c>
      <c r="R6" s="26" t="s">
        <v>635</v>
      </c>
      <c r="S6" s="27">
        <v>0</v>
      </c>
      <c r="T6" s="27">
        <v>200000000</v>
      </c>
    </row>
    <row r="7" spans="1:20" x14ac:dyDescent="0.25">
      <c r="A7" s="26" t="s">
        <v>27</v>
      </c>
      <c r="B7" s="20" t="s">
        <v>113</v>
      </c>
      <c r="C7" s="21">
        <v>0.625</v>
      </c>
      <c r="D7" s="20">
        <v>0.39</v>
      </c>
      <c r="E7" s="20">
        <v>0.4</v>
      </c>
      <c r="F7" s="20" t="s">
        <v>0</v>
      </c>
      <c r="G7" s="20" t="s">
        <v>0</v>
      </c>
      <c r="H7" s="20" t="s">
        <v>0</v>
      </c>
      <c r="I7" s="22" t="s">
        <v>0</v>
      </c>
      <c r="J7" s="20" t="s">
        <v>0</v>
      </c>
      <c r="K7" s="20" t="s">
        <v>0</v>
      </c>
      <c r="L7" s="20" t="s">
        <v>0</v>
      </c>
      <c r="M7" s="23" t="s">
        <v>0</v>
      </c>
      <c r="N7" s="22" t="s">
        <v>0</v>
      </c>
      <c r="O7" s="22">
        <v>0.93799999999999994</v>
      </c>
      <c r="Q7" s="24" t="s">
        <v>326</v>
      </c>
      <c r="R7" s="24" t="s">
        <v>636</v>
      </c>
      <c r="S7" s="25">
        <v>150000000</v>
      </c>
      <c r="T7" s="25">
        <v>150000000</v>
      </c>
    </row>
    <row r="8" spans="1:20" x14ac:dyDescent="0.25">
      <c r="A8" s="26" t="s">
        <v>9</v>
      </c>
      <c r="B8" s="20" t="s">
        <v>112</v>
      </c>
      <c r="C8" s="21">
        <v>3</v>
      </c>
      <c r="D8" s="20">
        <v>0.47</v>
      </c>
      <c r="E8" s="20">
        <v>0.48</v>
      </c>
      <c r="F8" s="20">
        <v>0.94</v>
      </c>
      <c r="G8" s="20">
        <v>0.93</v>
      </c>
      <c r="H8" s="20">
        <v>0.93500000000000005</v>
      </c>
      <c r="I8" s="22">
        <v>7</v>
      </c>
      <c r="J8" s="20" t="s">
        <v>0</v>
      </c>
      <c r="K8" s="20" t="s">
        <v>0</v>
      </c>
      <c r="L8" s="20" t="s">
        <v>0</v>
      </c>
      <c r="M8" s="23" t="s">
        <v>0</v>
      </c>
      <c r="N8" s="22" t="s">
        <v>0</v>
      </c>
      <c r="O8" s="22">
        <v>0.93979999999999997</v>
      </c>
      <c r="Q8" s="24" t="s">
        <v>331</v>
      </c>
      <c r="R8" s="24" t="s">
        <v>637</v>
      </c>
      <c r="S8" s="25">
        <v>50000000</v>
      </c>
      <c r="T8" s="25">
        <v>150000000</v>
      </c>
    </row>
    <row r="9" spans="1:20" x14ac:dyDescent="0.25">
      <c r="A9" s="26" t="s">
        <v>52</v>
      </c>
      <c r="B9" s="20" t="s">
        <v>114</v>
      </c>
      <c r="C9" s="21">
        <v>1.5</v>
      </c>
      <c r="D9" s="20">
        <v>0.53</v>
      </c>
      <c r="E9" s="20">
        <v>0.54</v>
      </c>
      <c r="F9" s="20" t="s">
        <v>0</v>
      </c>
      <c r="G9" s="20" t="s">
        <v>0</v>
      </c>
      <c r="H9" s="20" t="s">
        <v>0</v>
      </c>
      <c r="I9" s="22" t="s">
        <v>0</v>
      </c>
      <c r="J9" s="20" t="s">
        <v>0</v>
      </c>
      <c r="K9" s="20" t="s">
        <v>0</v>
      </c>
      <c r="L9" s="20" t="s">
        <v>0</v>
      </c>
      <c r="M9" s="23" t="s">
        <v>0</v>
      </c>
      <c r="N9" s="22" t="s">
        <v>0</v>
      </c>
      <c r="O9" s="22">
        <v>0.94130000000000003</v>
      </c>
      <c r="Q9" s="26" t="s">
        <v>0</v>
      </c>
      <c r="R9" s="26" t="s">
        <v>398</v>
      </c>
      <c r="S9" s="27">
        <v>100000000</v>
      </c>
      <c r="T9" s="27">
        <v>0</v>
      </c>
    </row>
    <row r="10" spans="1:20" x14ac:dyDescent="0.25">
      <c r="A10" s="26" t="s">
        <v>277</v>
      </c>
      <c r="B10" s="20" t="s">
        <v>246</v>
      </c>
      <c r="C10" s="21">
        <v>0.75</v>
      </c>
      <c r="D10" s="20">
        <v>0.6</v>
      </c>
      <c r="E10" s="20">
        <v>0.61</v>
      </c>
      <c r="F10" s="20" t="s">
        <v>0</v>
      </c>
      <c r="G10" s="20" t="s">
        <v>0</v>
      </c>
      <c r="H10" s="20" t="s">
        <v>0</v>
      </c>
      <c r="I10" s="22" t="s">
        <v>0</v>
      </c>
      <c r="J10" s="20" t="s">
        <v>0</v>
      </c>
      <c r="K10" s="20" t="s">
        <v>0</v>
      </c>
      <c r="L10" s="20" t="s">
        <v>0</v>
      </c>
      <c r="M10" s="23" t="s">
        <v>0</v>
      </c>
      <c r="N10" s="22" t="s">
        <v>0</v>
      </c>
      <c r="O10" s="22">
        <v>0.94340000000000002</v>
      </c>
      <c r="Q10" s="24" t="s">
        <v>377</v>
      </c>
      <c r="R10" s="24" t="s">
        <v>637</v>
      </c>
      <c r="S10" s="25">
        <v>100000000</v>
      </c>
      <c r="T10" s="25">
        <v>0</v>
      </c>
    </row>
    <row r="11" spans="1:20" x14ac:dyDescent="0.25">
      <c r="A11" s="26" t="s">
        <v>5</v>
      </c>
      <c r="B11" s="20" t="s">
        <v>115</v>
      </c>
      <c r="C11" s="21">
        <v>0.5</v>
      </c>
      <c r="D11" s="20">
        <v>0.89</v>
      </c>
      <c r="E11" s="20">
        <v>0.91</v>
      </c>
      <c r="F11" s="20" t="s">
        <v>0</v>
      </c>
      <c r="G11" s="20" t="s">
        <v>0</v>
      </c>
      <c r="H11" s="20" t="s">
        <v>0</v>
      </c>
      <c r="I11" s="22" t="s">
        <v>0</v>
      </c>
      <c r="J11" s="20" t="s">
        <v>0</v>
      </c>
      <c r="K11" s="20" t="s">
        <v>0</v>
      </c>
      <c r="L11" s="20" t="s">
        <v>0</v>
      </c>
      <c r="M11" s="23" t="s">
        <v>0</v>
      </c>
      <c r="N11" s="22" t="s">
        <v>0</v>
      </c>
      <c r="O11" s="22">
        <v>0.95099999999999996</v>
      </c>
      <c r="Q11" s="26" t="s">
        <v>0</v>
      </c>
      <c r="R11" s="26" t="s">
        <v>638</v>
      </c>
      <c r="S11" s="27">
        <v>0</v>
      </c>
      <c r="T11" s="27">
        <v>50000000</v>
      </c>
    </row>
    <row r="12" spans="1:20" x14ac:dyDescent="0.25">
      <c r="A12" s="26" t="s">
        <v>42</v>
      </c>
      <c r="B12" s="20" t="s">
        <v>116</v>
      </c>
      <c r="C12" s="21">
        <v>1.625</v>
      </c>
      <c r="D12" s="20">
        <v>1.07</v>
      </c>
      <c r="E12" s="20">
        <v>1.1000000000000001</v>
      </c>
      <c r="F12" s="20" t="s">
        <v>0</v>
      </c>
      <c r="G12" s="20" t="s">
        <v>0</v>
      </c>
      <c r="H12" s="20" t="s">
        <v>0</v>
      </c>
      <c r="I12" s="22" t="s">
        <v>0</v>
      </c>
      <c r="J12" s="20" t="s">
        <v>0</v>
      </c>
      <c r="K12" s="20" t="s">
        <v>0</v>
      </c>
      <c r="L12" s="20" t="s">
        <v>0</v>
      </c>
      <c r="M12" s="23" t="s">
        <v>0</v>
      </c>
      <c r="N12" s="22" t="s">
        <v>0</v>
      </c>
      <c r="O12" s="22">
        <v>0.9556</v>
      </c>
      <c r="Q12" s="26" t="s">
        <v>0</v>
      </c>
      <c r="R12" s="26" t="s">
        <v>635</v>
      </c>
      <c r="S12" s="27">
        <v>200000000</v>
      </c>
      <c r="T12" s="27">
        <v>250000000</v>
      </c>
    </row>
    <row r="13" spans="1:20" x14ac:dyDescent="0.25">
      <c r="A13" s="26" t="s">
        <v>10</v>
      </c>
      <c r="B13" s="20" t="s">
        <v>117</v>
      </c>
      <c r="C13" s="21">
        <v>3</v>
      </c>
      <c r="D13" s="20">
        <v>1.2</v>
      </c>
      <c r="E13" s="20">
        <v>1.25</v>
      </c>
      <c r="F13" s="20" t="s">
        <v>0</v>
      </c>
      <c r="G13" s="20" t="s">
        <v>0</v>
      </c>
      <c r="H13" s="20" t="s">
        <v>0</v>
      </c>
      <c r="I13" s="22" t="s">
        <v>0</v>
      </c>
      <c r="J13" s="20" t="s">
        <v>0</v>
      </c>
      <c r="K13" s="20" t="s">
        <v>0</v>
      </c>
      <c r="L13" s="20" t="s">
        <v>0</v>
      </c>
      <c r="M13" s="23" t="s">
        <v>0</v>
      </c>
      <c r="N13" s="22" t="s">
        <v>0</v>
      </c>
      <c r="O13" s="22">
        <v>0.95889999999999997</v>
      </c>
      <c r="Q13" s="24" t="s">
        <v>9</v>
      </c>
      <c r="R13" s="24" t="s">
        <v>637</v>
      </c>
      <c r="S13" s="25">
        <v>350000000</v>
      </c>
      <c r="T13" s="25">
        <v>0</v>
      </c>
    </row>
    <row r="14" spans="1:20" x14ac:dyDescent="0.25">
      <c r="A14" s="26" t="s">
        <v>275</v>
      </c>
      <c r="B14" s="20" t="s">
        <v>119</v>
      </c>
      <c r="C14" s="21">
        <v>0.5</v>
      </c>
      <c r="D14" s="20">
        <v>1.37</v>
      </c>
      <c r="E14" s="20">
        <v>1.39</v>
      </c>
      <c r="F14" s="20" t="s">
        <v>0</v>
      </c>
      <c r="G14" s="20" t="s">
        <v>0</v>
      </c>
      <c r="H14" s="20" t="s">
        <v>0</v>
      </c>
      <c r="I14" s="22" t="s">
        <v>0</v>
      </c>
      <c r="J14" s="20" t="s">
        <v>0</v>
      </c>
      <c r="K14" s="20" t="s">
        <v>0</v>
      </c>
      <c r="L14" s="20" t="s">
        <v>0</v>
      </c>
      <c r="M14" s="23" t="s">
        <v>0</v>
      </c>
      <c r="N14" s="22" t="s">
        <v>0</v>
      </c>
      <c r="O14" s="22">
        <v>0.96260000000000001</v>
      </c>
      <c r="Q14" s="26" t="s">
        <v>0</v>
      </c>
      <c r="R14" s="26" t="s">
        <v>398</v>
      </c>
      <c r="S14" s="27">
        <v>0</v>
      </c>
      <c r="T14" s="27">
        <v>350000000</v>
      </c>
    </row>
    <row r="15" spans="1:20" x14ac:dyDescent="0.25">
      <c r="A15" s="26" t="s">
        <v>7</v>
      </c>
      <c r="B15" s="20" t="s">
        <v>118</v>
      </c>
      <c r="C15" s="21">
        <v>2.375</v>
      </c>
      <c r="D15" s="20">
        <v>1.48</v>
      </c>
      <c r="E15" s="20">
        <v>1.52</v>
      </c>
      <c r="F15" s="20" t="s">
        <v>0</v>
      </c>
      <c r="G15" s="20" t="s">
        <v>0</v>
      </c>
      <c r="H15" s="20" t="s">
        <v>0</v>
      </c>
      <c r="I15" s="22" t="s">
        <v>0</v>
      </c>
      <c r="J15" s="20" t="s">
        <v>0</v>
      </c>
      <c r="K15" s="20" t="s">
        <v>0</v>
      </c>
      <c r="L15" s="20" t="s">
        <v>0</v>
      </c>
      <c r="M15" s="23" t="s">
        <v>0</v>
      </c>
      <c r="N15" s="22" t="s">
        <v>0</v>
      </c>
      <c r="O15" s="22">
        <v>0.96579999999999999</v>
      </c>
      <c r="Q15" s="24" t="s">
        <v>433</v>
      </c>
      <c r="R15" s="24" t="s">
        <v>639</v>
      </c>
      <c r="S15" s="25">
        <v>100000000</v>
      </c>
      <c r="T15" s="25">
        <v>0</v>
      </c>
    </row>
    <row r="16" spans="1:20" x14ac:dyDescent="0.25">
      <c r="A16" s="26" t="s">
        <v>322</v>
      </c>
      <c r="B16" s="20" t="s">
        <v>323</v>
      </c>
      <c r="C16" s="21">
        <v>1</v>
      </c>
      <c r="D16" s="20">
        <v>1.48</v>
      </c>
      <c r="E16" s="20">
        <v>1.51</v>
      </c>
      <c r="F16" s="20" t="s">
        <v>0</v>
      </c>
      <c r="G16" s="20" t="s">
        <v>0</v>
      </c>
      <c r="H16" s="20" t="s">
        <v>0</v>
      </c>
      <c r="I16" s="22" t="s">
        <v>0</v>
      </c>
      <c r="J16" s="20" t="s">
        <v>0</v>
      </c>
      <c r="K16" s="20" t="s">
        <v>0</v>
      </c>
      <c r="L16" s="20" t="s">
        <v>0</v>
      </c>
      <c r="M16" s="23" t="s">
        <v>0</v>
      </c>
      <c r="N16" s="22" t="s">
        <v>0</v>
      </c>
      <c r="O16" s="22">
        <v>0.9657</v>
      </c>
      <c r="Q16" s="26" t="s">
        <v>0</v>
      </c>
      <c r="R16" s="26" t="s">
        <v>640</v>
      </c>
      <c r="S16" s="27">
        <v>0</v>
      </c>
      <c r="T16" s="27">
        <v>100000000</v>
      </c>
    </row>
    <row r="17" spans="1:20" x14ac:dyDescent="0.25">
      <c r="A17" s="26" t="s">
        <v>31</v>
      </c>
      <c r="B17" s="20" t="s">
        <v>120</v>
      </c>
      <c r="C17" s="21">
        <v>1.625</v>
      </c>
      <c r="D17" s="20">
        <v>1.53</v>
      </c>
      <c r="E17" s="20">
        <v>1.56</v>
      </c>
      <c r="F17" s="20" t="s">
        <v>0</v>
      </c>
      <c r="G17" s="20" t="s">
        <v>0</v>
      </c>
      <c r="H17" s="20" t="s">
        <v>0</v>
      </c>
      <c r="I17" s="22" t="s">
        <v>0</v>
      </c>
      <c r="J17" s="20" t="s">
        <v>0</v>
      </c>
      <c r="K17" s="20" t="s">
        <v>0</v>
      </c>
      <c r="L17" s="20" t="s">
        <v>0</v>
      </c>
      <c r="M17" s="23" t="s">
        <v>0</v>
      </c>
      <c r="N17" s="22" t="s">
        <v>0</v>
      </c>
      <c r="O17" s="22">
        <v>0.96709999999999996</v>
      </c>
      <c r="Q17" s="24" t="s">
        <v>641</v>
      </c>
      <c r="R17" s="24" t="s">
        <v>637</v>
      </c>
      <c r="S17" s="25">
        <v>0</v>
      </c>
      <c r="T17" s="25">
        <v>400000000</v>
      </c>
    </row>
    <row r="18" spans="1:20" x14ac:dyDescent="0.25">
      <c r="A18" s="26" t="s">
        <v>278</v>
      </c>
      <c r="B18" s="20" t="s">
        <v>121</v>
      </c>
      <c r="C18" s="21">
        <v>0.25</v>
      </c>
      <c r="D18" s="20">
        <v>1.88</v>
      </c>
      <c r="E18" s="20">
        <v>1.91</v>
      </c>
      <c r="F18" s="20" t="s">
        <v>0</v>
      </c>
      <c r="G18" s="20" t="s">
        <v>0</v>
      </c>
      <c r="H18" s="20" t="s">
        <v>0</v>
      </c>
      <c r="I18" s="22" t="s">
        <v>0</v>
      </c>
      <c r="J18" s="20" t="s">
        <v>0</v>
      </c>
      <c r="K18" s="20" t="s">
        <v>0</v>
      </c>
      <c r="L18" s="20" t="s">
        <v>0</v>
      </c>
      <c r="M18" s="23" t="s">
        <v>0</v>
      </c>
      <c r="N18" s="22" t="s">
        <v>0</v>
      </c>
      <c r="O18" s="22">
        <v>0.97860000000000003</v>
      </c>
      <c r="Q18" s="26" t="s">
        <v>0</v>
      </c>
      <c r="R18" s="26" t="s">
        <v>640</v>
      </c>
      <c r="S18" s="27">
        <v>400000000</v>
      </c>
      <c r="T18" s="27">
        <v>0</v>
      </c>
    </row>
    <row r="19" spans="1:20" x14ac:dyDescent="0.25">
      <c r="A19" s="26" t="s">
        <v>38</v>
      </c>
      <c r="B19" s="20" t="s">
        <v>122</v>
      </c>
      <c r="C19" s="21">
        <v>1.125</v>
      </c>
      <c r="D19" s="20">
        <v>2</v>
      </c>
      <c r="E19" s="20">
        <v>2.06</v>
      </c>
      <c r="F19" s="20" t="s">
        <v>0</v>
      </c>
      <c r="G19" s="20" t="s">
        <v>0</v>
      </c>
      <c r="H19" s="20" t="s">
        <v>0</v>
      </c>
      <c r="I19" s="22" t="s">
        <v>0</v>
      </c>
      <c r="J19" s="20" t="s">
        <v>0</v>
      </c>
      <c r="K19" s="20" t="s">
        <v>0</v>
      </c>
      <c r="L19" s="20" t="s">
        <v>0</v>
      </c>
      <c r="M19" s="23" t="s">
        <v>0</v>
      </c>
      <c r="N19" s="22" t="s">
        <v>0</v>
      </c>
      <c r="O19" s="22">
        <v>0.98440000000000005</v>
      </c>
      <c r="Q19" s="24" t="s">
        <v>567</v>
      </c>
      <c r="R19" s="24" t="s">
        <v>398</v>
      </c>
      <c r="S19" s="25">
        <v>100000000</v>
      </c>
      <c r="T19" s="25">
        <v>100000000</v>
      </c>
    </row>
    <row r="20" spans="1:20" x14ac:dyDescent="0.25">
      <c r="A20" s="26" t="s">
        <v>279</v>
      </c>
      <c r="B20" s="20" t="s">
        <v>124</v>
      </c>
      <c r="C20" s="21">
        <v>0.125</v>
      </c>
      <c r="D20" s="20">
        <v>2.27</v>
      </c>
      <c r="E20" s="20">
        <v>2.2999999999999998</v>
      </c>
      <c r="F20" s="20" t="s">
        <v>0</v>
      </c>
      <c r="G20" s="20" t="s">
        <v>0</v>
      </c>
      <c r="H20" s="20" t="s">
        <v>0</v>
      </c>
      <c r="I20" s="22" t="s">
        <v>0</v>
      </c>
      <c r="J20" s="20" t="s">
        <v>0</v>
      </c>
      <c r="K20" s="20" t="s">
        <v>0</v>
      </c>
      <c r="L20" s="20" t="s">
        <v>0</v>
      </c>
      <c r="M20" s="23" t="s">
        <v>0</v>
      </c>
      <c r="N20" s="22" t="s">
        <v>0</v>
      </c>
      <c r="O20" s="22">
        <v>0.99539999999999995</v>
      </c>
      <c r="Q20" s="24" t="s">
        <v>508</v>
      </c>
      <c r="R20" s="24" t="s">
        <v>637</v>
      </c>
      <c r="S20" s="25">
        <v>200000000</v>
      </c>
      <c r="T20" s="25">
        <v>0</v>
      </c>
    </row>
    <row r="21" spans="1:20" x14ac:dyDescent="0.25">
      <c r="A21" s="26" t="s">
        <v>280</v>
      </c>
      <c r="B21" s="20" t="s">
        <v>125</v>
      </c>
      <c r="C21" s="21">
        <v>0.25</v>
      </c>
      <c r="D21" s="20">
        <v>2.36</v>
      </c>
      <c r="E21" s="20">
        <v>2.4</v>
      </c>
      <c r="F21" s="20" t="s">
        <v>0</v>
      </c>
      <c r="G21" s="20" t="s">
        <v>0</v>
      </c>
      <c r="H21" s="20" t="s">
        <v>0</v>
      </c>
      <c r="I21" s="22" t="s">
        <v>0</v>
      </c>
      <c r="J21" s="20" t="s">
        <v>0</v>
      </c>
      <c r="K21" s="20" t="s">
        <v>0</v>
      </c>
      <c r="L21" s="20" t="s">
        <v>0</v>
      </c>
      <c r="M21" s="23" t="s">
        <v>0</v>
      </c>
      <c r="N21" s="22" t="s">
        <v>0</v>
      </c>
      <c r="O21" s="22">
        <v>1.0002</v>
      </c>
      <c r="Q21" s="26" t="s">
        <v>0</v>
      </c>
      <c r="R21" s="26" t="s">
        <v>642</v>
      </c>
      <c r="S21" s="27">
        <v>0</v>
      </c>
      <c r="T21" s="27">
        <v>200000000</v>
      </c>
    </row>
    <row r="22" spans="1:20" x14ac:dyDescent="0.25">
      <c r="A22" s="26" t="s">
        <v>8</v>
      </c>
      <c r="B22" s="20" t="s">
        <v>123</v>
      </c>
      <c r="C22" s="21">
        <v>1.875</v>
      </c>
      <c r="D22" s="20">
        <v>2.4300000000000002</v>
      </c>
      <c r="E22" s="20">
        <v>2.52</v>
      </c>
      <c r="F22" s="20" t="s">
        <v>0</v>
      </c>
      <c r="G22" s="20" t="s">
        <v>0</v>
      </c>
      <c r="H22" s="20" t="s">
        <v>0</v>
      </c>
      <c r="I22" s="22" t="s">
        <v>0</v>
      </c>
      <c r="J22" s="20" t="s">
        <v>0</v>
      </c>
      <c r="K22" s="20" t="s">
        <v>0</v>
      </c>
      <c r="L22" s="20" t="s">
        <v>0</v>
      </c>
      <c r="M22" s="23" t="s">
        <v>0</v>
      </c>
      <c r="N22" s="22" t="s">
        <v>0</v>
      </c>
      <c r="O22" s="22">
        <v>1.0057</v>
      </c>
      <c r="Q22" s="24" t="s">
        <v>643</v>
      </c>
      <c r="R22" s="24" t="s">
        <v>397</v>
      </c>
      <c r="S22" s="25">
        <v>100000000</v>
      </c>
      <c r="T22" s="25">
        <v>0</v>
      </c>
    </row>
    <row r="23" spans="1:20" x14ac:dyDescent="0.25">
      <c r="A23" s="26" t="s">
        <v>59</v>
      </c>
      <c r="B23" s="20" t="s">
        <v>126</v>
      </c>
      <c r="C23" s="21">
        <v>0.75</v>
      </c>
      <c r="D23" s="20">
        <v>2.4900000000000002</v>
      </c>
      <c r="E23" s="20">
        <v>2.54</v>
      </c>
      <c r="F23" s="20" t="s">
        <v>0</v>
      </c>
      <c r="G23" s="20" t="s">
        <v>0</v>
      </c>
      <c r="H23" s="20" t="s">
        <v>0</v>
      </c>
      <c r="I23" s="22" t="s">
        <v>0</v>
      </c>
      <c r="J23" s="20" t="s">
        <v>0</v>
      </c>
      <c r="K23" s="20" t="s">
        <v>0</v>
      </c>
      <c r="L23" s="20" t="s">
        <v>0</v>
      </c>
      <c r="M23" s="23" t="s">
        <v>0</v>
      </c>
      <c r="N23" s="22" t="s">
        <v>0</v>
      </c>
      <c r="O23" s="22">
        <v>1.0073000000000001</v>
      </c>
      <c r="Q23" s="26" t="s">
        <v>0</v>
      </c>
      <c r="R23" s="26" t="s">
        <v>635</v>
      </c>
      <c r="S23" s="27">
        <v>0</v>
      </c>
      <c r="T23" s="27">
        <v>100000000</v>
      </c>
    </row>
    <row r="24" spans="1:20" x14ac:dyDescent="0.25">
      <c r="A24" s="26" t="s">
        <v>281</v>
      </c>
      <c r="B24" s="20" t="s">
        <v>222</v>
      </c>
      <c r="C24" s="21">
        <v>0.25</v>
      </c>
      <c r="D24" s="20">
        <v>2.9</v>
      </c>
      <c r="E24" s="20">
        <v>2.94</v>
      </c>
      <c r="F24" s="20" t="s">
        <v>0</v>
      </c>
      <c r="G24" s="20" t="s">
        <v>0</v>
      </c>
      <c r="H24" s="20" t="s">
        <v>0</v>
      </c>
      <c r="I24" s="22" t="s">
        <v>0</v>
      </c>
      <c r="J24" s="20" t="s">
        <v>0</v>
      </c>
      <c r="K24" s="20" t="s">
        <v>0</v>
      </c>
      <c r="L24" s="20" t="s">
        <v>0</v>
      </c>
      <c r="M24" s="23" t="s">
        <v>0</v>
      </c>
      <c r="N24" s="22" t="s">
        <v>0</v>
      </c>
      <c r="O24" s="22">
        <v>1.0301</v>
      </c>
      <c r="Q24" s="47" t="s">
        <v>644</v>
      </c>
      <c r="R24" s="47" t="s">
        <v>635</v>
      </c>
      <c r="S24" s="48">
        <v>100000000</v>
      </c>
      <c r="T24" s="48">
        <v>100000000</v>
      </c>
    </row>
    <row r="25" spans="1:20" x14ac:dyDescent="0.25">
      <c r="A25" s="26" t="s">
        <v>56</v>
      </c>
      <c r="B25" s="20" t="s">
        <v>128</v>
      </c>
      <c r="C25" s="21">
        <v>0.625</v>
      </c>
      <c r="D25" s="20">
        <v>2.98</v>
      </c>
      <c r="E25" s="20">
        <v>3.05</v>
      </c>
      <c r="F25" s="20" t="s">
        <v>0</v>
      </c>
      <c r="G25" s="20" t="s">
        <v>0</v>
      </c>
      <c r="H25" s="20" t="s">
        <v>0</v>
      </c>
      <c r="I25" s="22" t="s">
        <v>0</v>
      </c>
      <c r="J25" s="20" t="s">
        <v>0</v>
      </c>
      <c r="K25" s="20" t="s">
        <v>0</v>
      </c>
      <c r="L25" s="20" t="s">
        <v>0</v>
      </c>
      <c r="M25" s="23" t="s">
        <v>0</v>
      </c>
      <c r="N25" s="22" t="s">
        <v>0</v>
      </c>
      <c r="O25" s="22">
        <v>1.0359</v>
      </c>
      <c r="S25" s="29"/>
      <c r="T25" s="29"/>
    </row>
    <row r="26" spans="1:20" x14ac:dyDescent="0.25">
      <c r="A26" s="26" t="s">
        <v>11</v>
      </c>
      <c r="B26" s="20" t="s">
        <v>127</v>
      </c>
      <c r="C26" s="21">
        <v>2.125</v>
      </c>
      <c r="D26" s="20">
        <v>3.07</v>
      </c>
      <c r="E26" s="20">
        <v>3.23</v>
      </c>
      <c r="F26" s="20" t="s">
        <v>0</v>
      </c>
      <c r="G26" s="20" t="s">
        <v>0</v>
      </c>
      <c r="H26" s="20" t="s">
        <v>0</v>
      </c>
      <c r="I26" s="22" t="s">
        <v>0</v>
      </c>
      <c r="J26" s="20" t="s">
        <v>0</v>
      </c>
      <c r="K26" s="20" t="s">
        <v>0</v>
      </c>
      <c r="L26" s="20" t="s">
        <v>0</v>
      </c>
      <c r="M26" s="23" t="s">
        <v>0</v>
      </c>
      <c r="N26" s="22" t="s">
        <v>0</v>
      </c>
      <c r="O26" s="22">
        <v>1.0441</v>
      </c>
      <c r="Q26" s="30"/>
      <c r="R26" s="30"/>
      <c r="S26" s="30"/>
      <c r="T26" s="30"/>
    </row>
    <row r="27" spans="1:20" x14ac:dyDescent="0.25">
      <c r="A27" s="26" t="s">
        <v>12</v>
      </c>
      <c r="B27" s="20" t="s">
        <v>129</v>
      </c>
      <c r="C27" s="21">
        <v>2</v>
      </c>
      <c r="D27" s="20">
        <v>3.33</v>
      </c>
      <c r="E27" s="20">
        <v>3.49</v>
      </c>
      <c r="F27" s="20" t="s">
        <v>0</v>
      </c>
      <c r="G27" s="20" t="s">
        <v>0</v>
      </c>
      <c r="H27" s="20" t="s">
        <v>0</v>
      </c>
      <c r="I27" s="22" t="s">
        <v>0</v>
      </c>
      <c r="J27" s="20" t="s">
        <v>0</v>
      </c>
      <c r="K27" s="20" t="s">
        <v>0</v>
      </c>
      <c r="L27" s="20" t="s">
        <v>0</v>
      </c>
      <c r="M27" s="23" t="s">
        <v>0</v>
      </c>
      <c r="N27" s="22" t="s">
        <v>0</v>
      </c>
      <c r="O27" s="22">
        <v>1.0566</v>
      </c>
    </row>
    <row r="28" spans="1:20" x14ac:dyDescent="0.25">
      <c r="A28" s="26" t="s">
        <v>32</v>
      </c>
      <c r="B28" s="20" t="s">
        <v>130</v>
      </c>
      <c r="C28" s="21">
        <v>1.125</v>
      </c>
      <c r="D28" s="20">
        <v>3.42</v>
      </c>
      <c r="E28" s="20">
        <v>3.53</v>
      </c>
      <c r="F28" s="20" t="s">
        <v>0</v>
      </c>
      <c r="G28" s="20" t="s">
        <v>0</v>
      </c>
      <c r="H28" s="20" t="s">
        <v>0</v>
      </c>
      <c r="I28" s="22" t="s">
        <v>0</v>
      </c>
      <c r="J28" s="20" t="s">
        <v>0</v>
      </c>
      <c r="K28" s="20" t="s">
        <v>0</v>
      </c>
      <c r="L28" s="20" t="s">
        <v>0</v>
      </c>
      <c r="M28" s="23" t="s">
        <v>0</v>
      </c>
      <c r="N28" s="22" t="s">
        <v>0</v>
      </c>
      <c r="O28" s="22">
        <v>1.0591999999999999</v>
      </c>
    </row>
    <row r="29" spans="1:20" x14ac:dyDescent="0.25">
      <c r="A29" s="26" t="s">
        <v>282</v>
      </c>
      <c r="B29" s="20" t="s">
        <v>247</v>
      </c>
      <c r="C29" s="21">
        <v>0.5</v>
      </c>
      <c r="D29" s="20">
        <v>3.44</v>
      </c>
      <c r="E29" s="20">
        <v>3.52</v>
      </c>
      <c r="F29" s="20" t="s">
        <v>0</v>
      </c>
      <c r="G29" s="20" t="s">
        <v>0</v>
      </c>
      <c r="H29" s="20" t="s">
        <v>0</v>
      </c>
      <c r="I29" s="22" t="s">
        <v>0</v>
      </c>
      <c r="J29" s="20" t="s">
        <v>0</v>
      </c>
      <c r="K29" s="20" t="s">
        <v>0</v>
      </c>
      <c r="L29" s="20" t="s">
        <v>0</v>
      </c>
      <c r="M29" s="23" t="s">
        <v>0</v>
      </c>
      <c r="N29" s="22" t="s">
        <v>0</v>
      </c>
      <c r="O29" s="22">
        <v>1.0590999999999999</v>
      </c>
    </row>
    <row r="30" spans="1:20" x14ac:dyDescent="0.25">
      <c r="A30" s="26" t="s">
        <v>263</v>
      </c>
      <c r="B30" s="20" t="s">
        <v>265</v>
      </c>
      <c r="C30" s="21">
        <v>1</v>
      </c>
      <c r="D30" s="20">
        <v>3.74</v>
      </c>
      <c r="E30" s="20">
        <v>3.84</v>
      </c>
      <c r="F30" s="20" t="s">
        <v>0</v>
      </c>
      <c r="G30" s="20" t="s">
        <v>0</v>
      </c>
      <c r="H30" s="20" t="s">
        <v>0</v>
      </c>
      <c r="I30" s="22" t="s">
        <v>0</v>
      </c>
      <c r="J30" s="20" t="s">
        <v>0</v>
      </c>
      <c r="K30" s="20" t="s">
        <v>0</v>
      </c>
      <c r="L30" s="20" t="s">
        <v>0</v>
      </c>
      <c r="M30" s="23" t="s">
        <v>0</v>
      </c>
      <c r="N30" s="22" t="s">
        <v>0</v>
      </c>
      <c r="O30" s="22">
        <v>1.0710999999999999</v>
      </c>
    </row>
    <row r="31" spans="1:20" x14ac:dyDescent="0.25">
      <c r="A31" s="26" t="s">
        <v>304</v>
      </c>
      <c r="B31" s="20" t="s">
        <v>305</v>
      </c>
      <c r="C31" s="21">
        <v>1.25</v>
      </c>
      <c r="D31" s="20">
        <v>3.92</v>
      </c>
      <c r="E31" s="20">
        <v>4.09</v>
      </c>
      <c r="F31" s="20" t="s">
        <v>0</v>
      </c>
      <c r="G31" s="20" t="s">
        <v>0</v>
      </c>
      <c r="H31" s="20" t="s">
        <v>0</v>
      </c>
      <c r="I31" s="22" t="s">
        <v>0</v>
      </c>
      <c r="J31" s="20" t="s">
        <v>0</v>
      </c>
      <c r="K31" s="20" t="s">
        <v>0</v>
      </c>
      <c r="L31" s="20" t="s">
        <v>0</v>
      </c>
      <c r="M31" s="23" t="s">
        <v>0</v>
      </c>
      <c r="N31" s="22" t="s">
        <v>0</v>
      </c>
      <c r="O31" s="22">
        <v>1.0779000000000001</v>
      </c>
    </row>
    <row r="32" spans="1:20" x14ac:dyDescent="0.25">
      <c r="A32" s="26" t="s">
        <v>13</v>
      </c>
      <c r="B32" s="20" t="s">
        <v>131</v>
      </c>
      <c r="C32" s="21">
        <v>3</v>
      </c>
      <c r="D32" s="20">
        <v>3.92</v>
      </c>
      <c r="E32" s="20">
        <v>4.24</v>
      </c>
      <c r="F32" s="20" t="s">
        <v>0</v>
      </c>
      <c r="G32" s="20" t="s">
        <v>0</v>
      </c>
      <c r="H32" s="20" t="s">
        <v>0</v>
      </c>
      <c r="I32" s="22" t="s">
        <v>0</v>
      </c>
      <c r="J32" s="20" t="s">
        <v>0</v>
      </c>
      <c r="K32" s="20" t="s">
        <v>0</v>
      </c>
      <c r="L32" s="20" t="s">
        <v>0</v>
      </c>
      <c r="M32" s="23" t="s">
        <v>0</v>
      </c>
      <c r="N32" s="22" t="s">
        <v>0</v>
      </c>
      <c r="O32" s="22">
        <v>1.0790999999999999</v>
      </c>
    </row>
    <row r="33" spans="1:15" x14ac:dyDescent="0.25">
      <c r="A33" s="26" t="s">
        <v>1</v>
      </c>
      <c r="B33" s="20" t="s">
        <v>132</v>
      </c>
      <c r="C33" s="21">
        <v>1</v>
      </c>
      <c r="D33" s="20">
        <v>3.94</v>
      </c>
      <c r="E33" s="20">
        <v>4.09</v>
      </c>
      <c r="F33" s="20" t="s">
        <v>0</v>
      </c>
      <c r="G33" s="20" t="s">
        <v>0</v>
      </c>
      <c r="H33" s="20" t="s">
        <v>0</v>
      </c>
      <c r="I33" s="22" t="s">
        <v>0</v>
      </c>
      <c r="J33" s="20" t="s">
        <v>0</v>
      </c>
      <c r="K33" s="20" t="s">
        <v>0</v>
      </c>
      <c r="L33" s="20" t="s">
        <v>0</v>
      </c>
      <c r="M33" s="23" t="s">
        <v>0</v>
      </c>
      <c r="N33" s="22" t="s">
        <v>0</v>
      </c>
      <c r="O33" s="22">
        <v>1.0779000000000001</v>
      </c>
    </row>
    <row r="34" spans="1:15" x14ac:dyDescent="0.25">
      <c r="A34" s="26" t="s">
        <v>60</v>
      </c>
      <c r="B34" s="20" t="s">
        <v>134</v>
      </c>
      <c r="C34" s="21">
        <v>1.375</v>
      </c>
      <c r="D34" s="20">
        <v>4.21</v>
      </c>
      <c r="E34" s="20">
        <v>4.3899999999999997</v>
      </c>
      <c r="F34" s="20" t="s">
        <v>0</v>
      </c>
      <c r="G34" s="20" t="s">
        <v>0</v>
      </c>
      <c r="H34" s="20" t="s">
        <v>0</v>
      </c>
      <c r="I34" s="22" t="s">
        <v>0</v>
      </c>
      <c r="J34" s="20" t="s">
        <v>0</v>
      </c>
      <c r="K34" s="20" t="s">
        <v>0</v>
      </c>
      <c r="L34" s="20" t="s">
        <v>0</v>
      </c>
      <c r="M34" s="23" t="s">
        <v>0</v>
      </c>
      <c r="N34" s="22" t="s">
        <v>0</v>
      </c>
      <c r="O34" s="22">
        <v>1.0834999999999999</v>
      </c>
    </row>
    <row r="35" spans="1:15" x14ac:dyDescent="0.25">
      <c r="A35" s="26" t="s">
        <v>14</v>
      </c>
      <c r="B35" s="20" t="s">
        <v>133</v>
      </c>
      <c r="C35" s="21">
        <v>2.5</v>
      </c>
      <c r="D35" s="20">
        <v>4.21</v>
      </c>
      <c r="E35" s="20">
        <v>4.49</v>
      </c>
      <c r="F35" s="20" t="s">
        <v>0</v>
      </c>
      <c r="G35" s="20" t="s">
        <v>0</v>
      </c>
      <c r="H35" s="20" t="s">
        <v>0</v>
      </c>
      <c r="I35" s="22" t="s">
        <v>0</v>
      </c>
      <c r="J35" s="20" t="s">
        <v>0</v>
      </c>
      <c r="K35" s="20" t="s">
        <v>0</v>
      </c>
      <c r="L35" s="20" t="s">
        <v>0</v>
      </c>
      <c r="M35" s="23" t="s">
        <v>0</v>
      </c>
      <c r="N35" s="22" t="s">
        <v>0</v>
      </c>
      <c r="O35" s="22">
        <v>1.0838000000000001</v>
      </c>
    </row>
    <row r="36" spans="1:15" x14ac:dyDescent="0.25">
      <c r="A36" s="26" t="s">
        <v>326</v>
      </c>
      <c r="B36" s="20" t="s">
        <v>325</v>
      </c>
      <c r="C36" s="21">
        <v>1</v>
      </c>
      <c r="D36" s="20">
        <v>4.26</v>
      </c>
      <c r="E36" s="20">
        <v>4.41</v>
      </c>
      <c r="F36" s="20">
        <v>1.091</v>
      </c>
      <c r="G36" s="20">
        <v>1.0900000000000001</v>
      </c>
      <c r="H36" s="20">
        <v>1.0905</v>
      </c>
      <c r="I36" s="22">
        <v>3</v>
      </c>
      <c r="J36" s="20" t="s">
        <v>0</v>
      </c>
      <c r="K36" s="20" t="s">
        <v>0</v>
      </c>
      <c r="L36" s="20" t="s">
        <v>0</v>
      </c>
      <c r="M36" s="23" t="s">
        <v>0</v>
      </c>
      <c r="N36" s="22" t="s">
        <v>0</v>
      </c>
      <c r="O36" s="22">
        <v>1.0843</v>
      </c>
    </row>
    <row r="37" spans="1:15" x14ac:dyDescent="0.25">
      <c r="A37" s="26" t="s">
        <v>35</v>
      </c>
      <c r="B37" s="20" t="s">
        <v>135</v>
      </c>
      <c r="C37" s="21">
        <v>1</v>
      </c>
      <c r="D37" s="20">
        <v>4.32</v>
      </c>
      <c r="E37" s="20">
        <v>4.47</v>
      </c>
      <c r="F37" s="20" t="s">
        <v>0</v>
      </c>
      <c r="G37" s="20" t="s">
        <v>0</v>
      </c>
      <c r="H37" s="20" t="s">
        <v>0</v>
      </c>
      <c r="I37" s="22" t="s">
        <v>0</v>
      </c>
      <c r="J37" s="20" t="s">
        <v>0</v>
      </c>
      <c r="K37" s="20" t="s">
        <v>0</v>
      </c>
      <c r="L37" s="20" t="s">
        <v>0</v>
      </c>
      <c r="M37" s="23" t="s">
        <v>0</v>
      </c>
      <c r="N37" s="22" t="s">
        <v>0</v>
      </c>
      <c r="O37" s="22">
        <v>1.0852999999999999</v>
      </c>
    </row>
    <row r="38" spans="1:15" x14ac:dyDescent="0.25">
      <c r="A38" s="26" t="s">
        <v>15</v>
      </c>
      <c r="B38" s="20" t="s">
        <v>136</v>
      </c>
      <c r="C38" s="21">
        <v>2.625</v>
      </c>
      <c r="D38" s="20">
        <v>4.6900000000000004</v>
      </c>
      <c r="E38" s="20">
        <v>4.99</v>
      </c>
      <c r="F38" s="20" t="s">
        <v>0</v>
      </c>
      <c r="G38" s="20" t="s">
        <v>0</v>
      </c>
      <c r="H38" s="20" t="s">
        <v>0</v>
      </c>
      <c r="I38" s="22" t="s">
        <v>0</v>
      </c>
      <c r="J38" s="20" t="s">
        <v>0</v>
      </c>
      <c r="K38" s="20" t="s">
        <v>0</v>
      </c>
      <c r="L38" s="20" t="s">
        <v>0</v>
      </c>
      <c r="M38" s="23" t="s">
        <v>0</v>
      </c>
      <c r="N38" s="22" t="s">
        <v>0</v>
      </c>
      <c r="O38" s="22">
        <v>1.0906</v>
      </c>
    </row>
    <row r="39" spans="1:15" x14ac:dyDescent="0.25">
      <c r="A39" s="26" t="s">
        <v>359</v>
      </c>
      <c r="B39" s="20" t="s">
        <v>360</v>
      </c>
      <c r="C39" s="21">
        <v>1</v>
      </c>
      <c r="D39" s="20">
        <v>4.6100000000000003</v>
      </c>
      <c r="E39" s="20">
        <v>4.7699999999999996</v>
      </c>
      <c r="F39" s="20" t="s">
        <v>0</v>
      </c>
      <c r="G39" s="20" t="s">
        <v>0</v>
      </c>
      <c r="H39" s="20" t="s">
        <v>0</v>
      </c>
      <c r="I39" s="22" t="s">
        <v>0</v>
      </c>
      <c r="J39" s="20" t="s">
        <v>0</v>
      </c>
      <c r="K39" s="20" t="s">
        <v>0</v>
      </c>
      <c r="L39" s="20" t="s">
        <v>0</v>
      </c>
      <c r="M39" s="23" t="s">
        <v>0</v>
      </c>
      <c r="N39" s="22" t="s">
        <v>0</v>
      </c>
      <c r="O39" s="22">
        <v>1.0895999999999999</v>
      </c>
    </row>
    <row r="40" spans="1:15" x14ac:dyDescent="0.25">
      <c r="A40" s="26" t="s">
        <v>2</v>
      </c>
      <c r="B40" s="20" t="s">
        <v>137</v>
      </c>
      <c r="C40" s="21">
        <v>0.875</v>
      </c>
      <c r="D40" s="20">
        <v>4.66</v>
      </c>
      <c r="E40" s="20">
        <v>4.8</v>
      </c>
      <c r="F40" s="20" t="s">
        <v>0</v>
      </c>
      <c r="G40" s="20" t="s">
        <v>0</v>
      </c>
      <c r="H40" s="20" t="s">
        <v>0</v>
      </c>
      <c r="I40" s="22" t="s">
        <v>0</v>
      </c>
      <c r="J40" s="20" t="s">
        <v>0</v>
      </c>
      <c r="K40" s="20" t="s">
        <v>0</v>
      </c>
      <c r="L40" s="20" t="s">
        <v>0</v>
      </c>
      <c r="M40" s="23" t="s">
        <v>0</v>
      </c>
      <c r="N40" s="22" t="s">
        <v>0</v>
      </c>
      <c r="O40" s="22">
        <v>1.0901000000000001</v>
      </c>
    </row>
    <row r="41" spans="1:15" x14ac:dyDescent="0.25">
      <c r="A41" s="26" t="s">
        <v>378</v>
      </c>
      <c r="B41" s="20" t="s">
        <v>379</v>
      </c>
      <c r="C41" s="21">
        <v>1</v>
      </c>
      <c r="D41" s="20">
        <v>4.8499999999999996</v>
      </c>
      <c r="E41" s="20">
        <v>5</v>
      </c>
      <c r="F41" s="20" t="s">
        <v>0</v>
      </c>
      <c r="G41" s="20" t="s">
        <v>0</v>
      </c>
      <c r="H41" s="20" t="s">
        <v>0</v>
      </c>
      <c r="I41" s="22" t="s">
        <v>0</v>
      </c>
      <c r="J41" s="20" t="s">
        <v>0</v>
      </c>
      <c r="K41" s="20" t="s">
        <v>0</v>
      </c>
      <c r="L41" s="20" t="s">
        <v>0</v>
      </c>
      <c r="M41" s="23" t="s">
        <v>0</v>
      </c>
      <c r="N41" s="22" t="s">
        <v>0</v>
      </c>
      <c r="O41" s="22">
        <v>1.0928</v>
      </c>
    </row>
    <row r="42" spans="1:15" x14ac:dyDescent="0.25">
      <c r="A42" s="26" t="s">
        <v>283</v>
      </c>
      <c r="B42" s="20" t="s">
        <v>223</v>
      </c>
      <c r="C42" s="21">
        <v>0.25</v>
      </c>
      <c r="D42" s="20">
        <v>4.92</v>
      </c>
      <c r="E42" s="20">
        <v>5</v>
      </c>
      <c r="F42" s="20" t="s">
        <v>0</v>
      </c>
      <c r="G42" s="20" t="s">
        <v>0</v>
      </c>
      <c r="H42" s="20" t="s">
        <v>0</v>
      </c>
      <c r="I42" s="22" t="s">
        <v>0</v>
      </c>
      <c r="J42" s="20" t="s">
        <v>0</v>
      </c>
      <c r="K42" s="20" t="s">
        <v>0</v>
      </c>
      <c r="L42" s="20" t="s">
        <v>0</v>
      </c>
      <c r="M42" s="23" t="s">
        <v>0</v>
      </c>
      <c r="N42" s="22" t="s">
        <v>0</v>
      </c>
      <c r="O42" s="22">
        <v>1.0935999999999999</v>
      </c>
    </row>
    <row r="43" spans="1:15" x14ac:dyDescent="0.25">
      <c r="A43" s="26" t="s">
        <v>28</v>
      </c>
      <c r="B43" s="20" t="s">
        <v>139</v>
      </c>
      <c r="C43" s="21">
        <v>0.875</v>
      </c>
      <c r="D43" s="20">
        <v>4.97</v>
      </c>
      <c r="E43" s="20">
        <v>5.16</v>
      </c>
      <c r="F43" s="20" t="s">
        <v>0</v>
      </c>
      <c r="G43" s="20" t="s">
        <v>0</v>
      </c>
      <c r="H43" s="20" t="s">
        <v>0</v>
      </c>
      <c r="I43" s="22" t="s">
        <v>0</v>
      </c>
      <c r="J43" s="20" t="s">
        <v>0</v>
      </c>
      <c r="K43" s="20" t="s">
        <v>0</v>
      </c>
      <c r="L43" s="20" t="s">
        <v>0</v>
      </c>
      <c r="M43" s="23" t="s">
        <v>0</v>
      </c>
      <c r="N43" s="22" t="s">
        <v>0</v>
      </c>
      <c r="O43" s="22">
        <v>1.0951</v>
      </c>
    </row>
    <row r="44" spans="1:15" x14ac:dyDescent="0.25">
      <c r="A44" s="26" t="s">
        <v>16</v>
      </c>
      <c r="B44" s="20" t="s">
        <v>138</v>
      </c>
      <c r="C44" s="21">
        <v>2.125</v>
      </c>
      <c r="D44" s="20">
        <v>5.14</v>
      </c>
      <c r="E44" s="20">
        <v>5.5</v>
      </c>
      <c r="F44" s="20" t="s">
        <v>0</v>
      </c>
      <c r="G44" s="20" t="s">
        <v>0</v>
      </c>
      <c r="H44" s="20" t="s">
        <v>0</v>
      </c>
      <c r="I44" s="22" t="s">
        <v>0</v>
      </c>
      <c r="J44" s="20" t="s">
        <v>0</v>
      </c>
      <c r="K44" s="20" t="s">
        <v>0</v>
      </c>
      <c r="L44" s="20" t="s">
        <v>0</v>
      </c>
      <c r="M44" s="23" t="s">
        <v>0</v>
      </c>
      <c r="N44" s="22" t="s">
        <v>0</v>
      </c>
      <c r="O44" s="22">
        <v>1.0986</v>
      </c>
    </row>
    <row r="45" spans="1:15" x14ac:dyDescent="0.25">
      <c r="A45" s="26" t="s">
        <v>3</v>
      </c>
      <c r="B45" s="20" t="s">
        <v>140</v>
      </c>
      <c r="C45" s="21">
        <v>0.75</v>
      </c>
      <c r="D45" s="20">
        <v>5.31</v>
      </c>
      <c r="E45" s="20">
        <v>5.49</v>
      </c>
      <c r="F45" s="20" t="s">
        <v>0</v>
      </c>
      <c r="G45" s="20" t="s">
        <v>0</v>
      </c>
      <c r="H45" s="20" t="s">
        <v>0</v>
      </c>
      <c r="I45" s="22" t="s">
        <v>0</v>
      </c>
      <c r="J45" s="20" t="s">
        <v>0</v>
      </c>
      <c r="K45" s="20" t="s">
        <v>0</v>
      </c>
      <c r="L45" s="20" t="s">
        <v>0</v>
      </c>
      <c r="M45" s="23" t="s">
        <v>0</v>
      </c>
      <c r="N45" s="22" t="s">
        <v>0</v>
      </c>
      <c r="O45" s="22">
        <v>1.1002000000000001</v>
      </c>
    </row>
    <row r="46" spans="1:15" x14ac:dyDescent="0.25">
      <c r="A46" s="26" t="s">
        <v>17</v>
      </c>
      <c r="B46" s="20" t="s">
        <v>141</v>
      </c>
      <c r="C46" s="21">
        <v>2.125</v>
      </c>
      <c r="D46" s="20">
        <v>5.62</v>
      </c>
      <c r="E46" s="20">
        <v>5.98</v>
      </c>
      <c r="F46" s="20" t="s">
        <v>0</v>
      </c>
      <c r="G46" s="20" t="s">
        <v>0</v>
      </c>
      <c r="H46" s="20" t="s">
        <v>0</v>
      </c>
      <c r="I46" s="22" t="s">
        <v>0</v>
      </c>
      <c r="J46" s="20" t="s">
        <v>0</v>
      </c>
      <c r="K46" s="20" t="s">
        <v>0</v>
      </c>
      <c r="L46" s="20" t="s">
        <v>0</v>
      </c>
      <c r="M46" s="23" t="s">
        <v>0</v>
      </c>
      <c r="N46" s="22" t="s">
        <v>0</v>
      </c>
      <c r="O46" s="22">
        <v>1.1072</v>
      </c>
    </row>
    <row r="47" spans="1:15" x14ac:dyDescent="0.25">
      <c r="A47" s="26" t="s">
        <v>4</v>
      </c>
      <c r="B47" s="20" t="s">
        <v>142</v>
      </c>
      <c r="C47" s="21">
        <v>0.625</v>
      </c>
      <c r="D47" s="20">
        <v>5.69</v>
      </c>
      <c r="E47" s="20">
        <v>5.85</v>
      </c>
      <c r="F47" s="20" t="s">
        <v>0</v>
      </c>
      <c r="G47" s="20" t="s">
        <v>0</v>
      </c>
      <c r="H47" s="20" t="s">
        <v>0</v>
      </c>
      <c r="I47" s="22" t="s">
        <v>0</v>
      </c>
      <c r="J47" s="20" t="s">
        <v>0</v>
      </c>
      <c r="K47" s="20" t="s">
        <v>0</v>
      </c>
      <c r="L47" s="20" t="s">
        <v>0</v>
      </c>
      <c r="M47" s="23" t="s">
        <v>0</v>
      </c>
      <c r="N47" s="22" t="s">
        <v>0</v>
      </c>
      <c r="O47" s="22">
        <v>1.1067</v>
      </c>
    </row>
    <row r="48" spans="1:15" x14ac:dyDescent="0.25">
      <c r="A48" s="26" t="s">
        <v>6</v>
      </c>
      <c r="B48" s="20" t="s">
        <v>144</v>
      </c>
      <c r="C48" s="21">
        <v>0.625</v>
      </c>
      <c r="D48" s="20">
        <v>5.95</v>
      </c>
      <c r="E48" s="20">
        <v>6.15</v>
      </c>
      <c r="F48" s="20" t="s">
        <v>0</v>
      </c>
      <c r="G48" s="20" t="s">
        <v>0</v>
      </c>
      <c r="H48" s="20" t="s">
        <v>0</v>
      </c>
      <c r="I48" s="22" t="s">
        <v>0</v>
      </c>
      <c r="J48" s="20" t="s">
        <v>0</v>
      </c>
      <c r="K48" s="20" t="s">
        <v>0</v>
      </c>
      <c r="L48" s="20" t="s">
        <v>0</v>
      </c>
      <c r="M48" s="23" t="s">
        <v>0</v>
      </c>
      <c r="N48" s="22" t="s">
        <v>0</v>
      </c>
      <c r="O48" s="22">
        <v>1.1125</v>
      </c>
    </row>
    <row r="49" spans="1:15" x14ac:dyDescent="0.25">
      <c r="A49" s="26" t="s">
        <v>18</v>
      </c>
      <c r="B49" s="20" t="s">
        <v>143</v>
      </c>
      <c r="C49" s="21">
        <v>1.875</v>
      </c>
      <c r="D49" s="20">
        <v>6.07</v>
      </c>
      <c r="E49" s="20">
        <v>6.51</v>
      </c>
      <c r="F49" s="20" t="s">
        <v>0</v>
      </c>
      <c r="G49" s="20" t="s">
        <v>0</v>
      </c>
      <c r="H49" s="20" t="s">
        <v>0</v>
      </c>
      <c r="I49" s="22" t="s">
        <v>0</v>
      </c>
      <c r="J49" s="20" t="s">
        <v>0</v>
      </c>
      <c r="K49" s="20" t="s">
        <v>0</v>
      </c>
      <c r="L49" s="20" t="s">
        <v>0</v>
      </c>
      <c r="M49" s="23" t="s">
        <v>0</v>
      </c>
      <c r="N49" s="22" t="s">
        <v>0</v>
      </c>
      <c r="O49" s="22">
        <v>1.1182000000000001</v>
      </c>
    </row>
    <row r="50" spans="1:15" x14ac:dyDescent="0.25">
      <c r="A50" s="26" t="s">
        <v>284</v>
      </c>
      <c r="B50" s="20" t="s">
        <v>145</v>
      </c>
      <c r="C50" s="21">
        <v>0.5</v>
      </c>
      <c r="D50" s="20">
        <v>6.32</v>
      </c>
      <c r="E50" s="20">
        <v>6.51</v>
      </c>
      <c r="F50" s="20" t="s">
        <v>0</v>
      </c>
      <c r="G50" s="20" t="s">
        <v>0</v>
      </c>
      <c r="H50" s="20" t="s">
        <v>0</v>
      </c>
      <c r="I50" s="22" t="s">
        <v>0</v>
      </c>
      <c r="J50" s="20" t="s">
        <v>0</v>
      </c>
      <c r="K50" s="20" t="s">
        <v>0</v>
      </c>
      <c r="L50" s="20" t="s">
        <v>0</v>
      </c>
      <c r="M50" s="23" t="s">
        <v>0</v>
      </c>
      <c r="N50" s="22" t="s">
        <v>0</v>
      </c>
      <c r="O50" s="22">
        <v>1.1203000000000001</v>
      </c>
    </row>
    <row r="51" spans="1:15" x14ac:dyDescent="0.25">
      <c r="A51" s="26" t="s">
        <v>19</v>
      </c>
      <c r="B51" s="20" t="s">
        <v>146</v>
      </c>
      <c r="C51" s="21">
        <v>1.75</v>
      </c>
      <c r="D51" s="20">
        <v>6.56</v>
      </c>
      <c r="E51" s="20">
        <v>6.98</v>
      </c>
      <c r="F51" s="20" t="s">
        <v>0</v>
      </c>
      <c r="G51" s="20" t="s">
        <v>0</v>
      </c>
      <c r="H51" s="20" t="s">
        <v>0</v>
      </c>
      <c r="I51" s="22" t="s">
        <v>0</v>
      </c>
      <c r="J51" s="20" t="s">
        <v>0</v>
      </c>
      <c r="K51" s="20" t="s">
        <v>0</v>
      </c>
      <c r="L51" s="20" t="s">
        <v>0</v>
      </c>
      <c r="M51" s="23" t="s">
        <v>0</v>
      </c>
      <c r="N51" s="22" t="s">
        <v>0</v>
      </c>
      <c r="O51" s="22">
        <v>1.1295999999999999</v>
      </c>
    </row>
    <row r="52" spans="1:15" x14ac:dyDescent="0.25">
      <c r="A52" s="26" t="s">
        <v>285</v>
      </c>
      <c r="B52" s="20" t="s">
        <v>149</v>
      </c>
      <c r="C52" s="21">
        <v>0.375</v>
      </c>
      <c r="D52" s="20">
        <v>6.65</v>
      </c>
      <c r="E52" s="20">
        <v>6.81</v>
      </c>
      <c r="F52" s="20" t="s">
        <v>0</v>
      </c>
      <c r="G52" s="20" t="s">
        <v>0</v>
      </c>
      <c r="H52" s="20" t="s">
        <v>0</v>
      </c>
      <c r="I52" s="22" t="s">
        <v>0</v>
      </c>
      <c r="J52" s="20" t="s">
        <v>0</v>
      </c>
      <c r="K52" s="20" t="s">
        <v>0</v>
      </c>
      <c r="L52" s="20" t="s">
        <v>0</v>
      </c>
      <c r="M52" s="23" t="s">
        <v>0</v>
      </c>
      <c r="N52" s="22" t="s">
        <v>0</v>
      </c>
      <c r="O52" s="22">
        <v>1.1277999999999999</v>
      </c>
    </row>
    <row r="53" spans="1:15" x14ac:dyDescent="0.25">
      <c r="A53" s="26" t="s">
        <v>50</v>
      </c>
      <c r="B53" s="20" t="s">
        <v>147</v>
      </c>
      <c r="C53" s="21">
        <v>2.125</v>
      </c>
      <c r="D53" s="20">
        <v>6.78</v>
      </c>
      <c r="E53" s="20">
        <v>7.4</v>
      </c>
      <c r="F53" s="20" t="s">
        <v>0</v>
      </c>
      <c r="G53" s="20" t="s">
        <v>0</v>
      </c>
      <c r="H53" s="20" t="s">
        <v>0</v>
      </c>
      <c r="I53" s="22" t="s">
        <v>0</v>
      </c>
      <c r="J53" s="20" t="s">
        <v>0</v>
      </c>
      <c r="K53" s="20" t="s">
        <v>0</v>
      </c>
      <c r="L53" s="20" t="s">
        <v>0</v>
      </c>
      <c r="M53" s="23" t="s">
        <v>0</v>
      </c>
      <c r="N53" s="22" t="s">
        <v>0</v>
      </c>
      <c r="O53" s="22">
        <v>1.1399999999999999</v>
      </c>
    </row>
    <row r="54" spans="1:15" x14ac:dyDescent="0.25">
      <c r="A54" s="26" t="s">
        <v>20</v>
      </c>
      <c r="B54" s="20" t="s">
        <v>148</v>
      </c>
      <c r="C54" s="21">
        <v>3.625</v>
      </c>
      <c r="D54" s="20">
        <v>7</v>
      </c>
      <c r="E54" s="20">
        <v>7.91</v>
      </c>
      <c r="F54" s="20" t="s">
        <v>0</v>
      </c>
      <c r="G54" s="20" t="s">
        <v>0</v>
      </c>
      <c r="H54" s="20" t="s">
        <v>0</v>
      </c>
      <c r="I54" s="22" t="s">
        <v>0</v>
      </c>
      <c r="J54" s="20" t="s">
        <v>0</v>
      </c>
      <c r="K54" s="20" t="s">
        <v>0</v>
      </c>
      <c r="L54" s="20" t="s">
        <v>0</v>
      </c>
      <c r="M54" s="23" t="s">
        <v>0</v>
      </c>
      <c r="N54" s="22" t="s">
        <v>0</v>
      </c>
      <c r="O54" s="22">
        <v>1.1506000000000001</v>
      </c>
    </row>
    <row r="55" spans="1:15" x14ac:dyDescent="0.25">
      <c r="A55" s="26" t="s">
        <v>286</v>
      </c>
      <c r="B55" s="20" t="s">
        <v>151</v>
      </c>
      <c r="C55" s="21">
        <v>0.25</v>
      </c>
      <c r="D55" s="20">
        <v>6.99</v>
      </c>
      <c r="E55" s="20">
        <v>7.15</v>
      </c>
      <c r="F55" s="20" t="s">
        <v>0</v>
      </c>
      <c r="G55" s="20" t="s">
        <v>0</v>
      </c>
      <c r="H55" s="20" t="s">
        <v>0</v>
      </c>
      <c r="I55" s="22" t="s">
        <v>0</v>
      </c>
      <c r="J55" s="20" t="s">
        <v>0</v>
      </c>
      <c r="K55" s="20" t="s">
        <v>0</v>
      </c>
      <c r="L55" s="20" t="s">
        <v>0</v>
      </c>
      <c r="M55" s="23" t="s">
        <v>0</v>
      </c>
      <c r="N55" s="22" t="s">
        <v>0</v>
      </c>
      <c r="O55" s="22">
        <v>1.137</v>
      </c>
    </row>
    <row r="56" spans="1:15" x14ac:dyDescent="0.25">
      <c r="A56" s="26" t="s">
        <v>58</v>
      </c>
      <c r="B56" s="20" t="s">
        <v>150</v>
      </c>
      <c r="C56" s="21">
        <v>1.75</v>
      </c>
      <c r="D56" s="20">
        <v>7.22</v>
      </c>
      <c r="E56" s="20">
        <v>7.77</v>
      </c>
      <c r="F56" s="20" t="s">
        <v>0</v>
      </c>
      <c r="G56" s="20" t="s">
        <v>0</v>
      </c>
      <c r="H56" s="20" t="s">
        <v>0</v>
      </c>
      <c r="I56" s="22" t="s">
        <v>0</v>
      </c>
      <c r="J56" s="20" t="s">
        <v>0</v>
      </c>
      <c r="K56" s="20" t="s">
        <v>0</v>
      </c>
      <c r="L56" s="20" t="s">
        <v>0</v>
      </c>
      <c r="M56" s="23" t="s">
        <v>0</v>
      </c>
      <c r="N56" s="22" t="s">
        <v>0</v>
      </c>
      <c r="O56" s="22">
        <v>1.1508</v>
      </c>
    </row>
    <row r="57" spans="1:15" x14ac:dyDescent="0.25">
      <c r="A57" s="26" t="s">
        <v>61</v>
      </c>
      <c r="B57" s="20" t="s">
        <v>153</v>
      </c>
      <c r="C57" s="21">
        <v>1.875</v>
      </c>
      <c r="D57" s="20">
        <v>7.38</v>
      </c>
      <c r="E57" s="20">
        <v>7.95</v>
      </c>
      <c r="F57" s="20" t="s">
        <v>0</v>
      </c>
      <c r="G57" s="20" t="s">
        <v>0</v>
      </c>
      <c r="H57" s="20" t="s">
        <v>0</v>
      </c>
      <c r="I57" s="22" t="s">
        <v>0</v>
      </c>
      <c r="J57" s="20" t="s">
        <v>0</v>
      </c>
      <c r="K57" s="20" t="s">
        <v>0</v>
      </c>
      <c r="L57" s="20" t="s">
        <v>0</v>
      </c>
      <c r="M57" s="23" t="s">
        <v>0</v>
      </c>
      <c r="N57" s="22" t="s">
        <v>0</v>
      </c>
      <c r="O57" s="22">
        <v>1.1555</v>
      </c>
    </row>
    <row r="58" spans="1:15" x14ac:dyDescent="0.25">
      <c r="A58" s="26" t="s">
        <v>287</v>
      </c>
      <c r="B58" s="20" t="s">
        <v>152</v>
      </c>
      <c r="C58" s="21">
        <v>0.25</v>
      </c>
      <c r="D58" s="20">
        <v>7.35</v>
      </c>
      <c r="E58" s="20">
        <v>7.51</v>
      </c>
      <c r="F58" s="20" t="s">
        <v>0</v>
      </c>
      <c r="G58" s="20" t="s">
        <v>0</v>
      </c>
      <c r="H58" s="20" t="s">
        <v>0</v>
      </c>
      <c r="I58" s="22" t="s">
        <v>0</v>
      </c>
      <c r="J58" s="20" t="s">
        <v>0</v>
      </c>
      <c r="K58" s="20" t="s">
        <v>0</v>
      </c>
      <c r="L58" s="20" t="s">
        <v>0</v>
      </c>
      <c r="M58" s="23" t="s">
        <v>0</v>
      </c>
      <c r="N58" s="22" t="s">
        <v>0</v>
      </c>
      <c r="O58" s="22">
        <v>1.1471</v>
      </c>
    </row>
    <row r="59" spans="1:15" x14ac:dyDescent="0.25">
      <c r="A59" s="26" t="s">
        <v>288</v>
      </c>
      <c r="B59" s="20" t="s">
        <v>212</v>
      </c>
      <c r="C59" s="21">
        <v>0.375</v>
      </c>
      <c r="D59" s="20">
        <v>7.51</v>
      </c>
      <c r="E59" s="20">
        <v>7.71</v>
      </c>
      <c r="F59" s="20" t="s">
        <v>0</v>
      </c>
      <c r="G59" s="20" t="s">
        <v>0</v>
      </c>
      <c r="H59" s="20" t="s">
        <v>0</v>
      </c>
      <c r="I59" s="22" t="s">
        <v>0</v>
      </c>
      <c r="J59" s="20" t="s">
        <v>0</v>
      </c>
      <c r="K59" s="20" t="s">
        <v>0</v>
      </c>
      <c r="L59" s="20" t="s">
        <v>0</v>
      </c>
      <c r="M59" s="23" t="s">
        <v>0</v>
      </c>
      <c r="N59" s="22" t="s">
        <v>0</v>
      </c>
      <c r="O59" s="22">
        <v>1.1526000000000001</v>
      </c>
    </row>
    <row r="60" spans="1:15" x14ac:dyDescent="0.25">
      <c r="A60" s="26" t="s">
        <v>276</v>
      </c>
      <c r="B60" s="20" t="s">
        <v>216</v>
      </c>
      <c r="C60" s="21">
        <v>0.375</v>
      </c>
      <c r="D60" s="20">
        <v>7.64</v>
      </c>
      <c r="E60" s="20">
        <v>7.84</v>
      </c>
      <c r="F60" s="20" t="s">
        <v>0</v>
      </c>
      <c r="G60" s="20" t="s">
        <v>0</v>
      </c>
      <c r="H60" s="20" t="s">
        <v>0</v>
      </c>
      <c r="I60" s="22" t="s">
        <v>0</v>
      </c>
      <c r="J60" s="20" t="s">
        <v>0</v>
      </c>
      <c r="K60" s="20" t="s">
        <v>0</v>
      </c>
      <c r="L60" s="20" t="s">
        <v>0</v>
      </c>
      <c r="M60" s="23" t="s">
        <v>0</v>
      </c>
      <c r="N60" s="22" t="s">
        <v>0</v>
      </c>
      <c r="O60" s="22">
        <v>1.1561999999999999</v>
      </c>
    </row>
    <row r="61" spans="1:15" x14ac:dyDescent="0.25">
      <c r="A61" s="26" t="s">
        <v>43</v>
      </c>
      <c r="B61" s="20" t="s">
        <v>154</v>
      </c>
      <c r="C61" s="21">
        <v>1.625</v>
      </c>
      <c r="D61" s="20">
        <v>7.78</v>
      </c>
      <c r="E61" s="20">
        <v>8.42</v>
      </c>
      <c r="F61" s="20" t="s">
        <v>0</v>
      </c>
      <c r="G61" s="20" t="s">
        <v>0</v>
      </c>
      <c r="H61" s="20" t="s">
        <v>0</v>
      </c>
      <c r="I61" s="22" t="s">
        <v>0</v>
      </c>
      <c r="J61" s="20" t="s">
        <v>0</v>
      </c>
      <c r="K61" s="20" t="s">
        <v>0</v>
      </c>
      <c r="L61" s="20" t="s">
        <v>0</v>
      </c>
      <c r="M61" s="23" t="s">
        <v>0</v>
      </c>
      <c r="N61" s="22" t="s">
        <v>0</v>
      </c>
      <c r="O61" s="22">
        <v>1.1677</v>
      </c>
    </row>
    <row r="62" spans="1:15" x14ac:dyDescent="0.25">
      <c r="A62" s="26" t="s">
        <v>289</v>
      </c>
      <c r="B62" s="20" t="s">
        <v>232</v>
      </c>
      <c r="C62" s="21">
        <v>0.5</v>
      </c>
      <c r="D62" s="20">
        <v>7.89</v>
      </c>
      <c r="E62" s="20">
        <v>8.17</v>
      </c>
      <c r="F62" s="20" t="s">
        <v>0</v>
      </c>
      <c r="G62" s="20" t="s">
        <v>0</v>
      </c>
      <c r="H62" s="20" t="s">
        <v>0</v>
      </c>
      <c r="I62" s="22" t="s">
        <v>0</v>
      </c>
      <c r="J62" s="20" t="s">
        <v>0</v>
      </c>
      <c r="K62" s="20" t="s">
        <v>0</v>
      </c>
      <c r="L62" s="20" t="s">
        <v>0</v>
      </c>
      <c r="M62" s="23" t="s">
        <v>0</v>
      </c>
      <c r="N62" s="22" t="s">
        <v>0</v>
      </c>
      <c r="O62" s="22">
        <v>1.1649</v>
      </c>
    </row>
    <row r="63" spans="1:15" x14ac:dyDescent="0.25">
      <c r="A63" s="26" t="s">
        <v>25</v>
      </c>
      <c r="B63" s="20" t="s">
        <v>155</v>
      </c>
      <c r="C63" s="21">
        <v>1.625</v>
      </c>
      <c r="D63" s="20">
        <v>7.93</v>
      </c>
      <c r="E63" s="20">
        <v>8.57</v>
      </c>
      <c r="F63" s="20" t="s">
        <v>0</v>
      </c>
      <c r="G63" s="20" t="s">
        <v>0</v>
      </c>
      <c r="H63" s="20" t="s">
        <v>0</v>
      </c>
      <c r="I63" s="22" t="s">
        <v>0</v>
      </c>
      <c r="J63" s="20" t="s">
        <v>0</v>
      </c>
      <c r="K63" s="20" t="s">
        <v>0</v>
      </c>
      <c r="L63" s="20" t="s">
        <v>0</v>
      </c>
      <c r="M63" s="23" t="s">
        <v>0</v>
      </c>
      <c r="N63" s="22" t="s">
        <v>0</v>
      </c>
      <c r="O63" s="22">
        <v>1.1711</v>
      </c>
    </row>
    <row r="64" spans="1:15" x14ac:dyDescent="0.25">
      <c r="A64" s="26" t="s">
        <v>290</v>
      </c>
      <c r="B64" s="20" t="s">
        <v>248</v>
      </c>
      <c r="C64" s="21">
        <v>0.75</v>
      </c>
      <c r="D64" s="20">
        <v>8.02</v>
      </c>
      <c r="E64" s="20">
        <v>8.39</v>
      </c>
      <c r="F64" s="20" t="s">
        <v>0</v>
      </c>
      <c r="G64" s="20" t="s">
        <v>0</v>
      </c>
      <c r="H64" s="20" t="s">
        <v>0</v>
      </c>
      <c r="I64" s="22" t="s">
        <v>0</v>
      </c>
      <c r="J64" s="20" t="s">
        <v>0</v>
      </c>
      <c r="K64" s="20" t="s">
        <v>0</v>
      </c>
      <c r="L64" s="20" t="s">
        <v>0</v>
      </c>
      <c r="M64" s="23" t="s">
        <v>0</v>
      </c>
      <c r="N64" s="22" t="s">
        <v>0</v>
      </c>
      <c r="O64" s="22">
        <v>1.1695</v>
      </c>
    </row>
    <row r="65" spans="1:15" x14ac:dyDescent="0.25">
      <c r="A65" s="26" t="s">
        <v>245</v>
      </c>
      <c r="B65" s="20" t="s">
        <v>249</v>
      </c>
      <c r="C65" s="21">
        <v>0.625</v>
      </c>
      <c r="D65" s="20">
        <v>8.17</v>
      </c>
      <c r="E65" s="20">
        <v>8.5</v>
      </c>
      <c r="F65" s="20" t="s">
        <v>0</v>
      </c>
      <c r="G65" s="20" t="s">
        <v>0</v>
      </c>
      <c r="H65" s="20" t="s">
        <v>0</v>
      </c>
      <c r="I65" s="22" t="s">
        <v>0</v>
      </c>
      <c r="J65" s="20" t="s">
        <v>0</v>
      </c>
      <c r="K65" s="20" t="s">
        <v>0</v>
      </c>
      <c r="L65" s="20" t="s">
        <v>0</v>
      </c>
      <c r="M65" s="23" t="s">
        <v>0</v>
      </c>
      <c r="N65" s="22" t="s">
        <v>0</v>
      </c>
      <c r="O65" s="22">
        <v>1.1724000000000001</v>
      </c>
    </row>
    <row r="66" spans="1:15" x14ac:dyDescent="0.25">
      <c r="A66" s="26" t="s">
        <v>29</v>
      </c>
      <c r="B66" s="20" t="s">
        <v>156</v>
      </c>
      <c r="C66" s="21">
        <v>1.5</v>
      </c>
      <c r="D66" s="20">
        <v>8.36</v>
      </c>
      <c r="E66" s="20">
        <v>8.98</v>
      </c>
      <c r="F66" s="20" t="s">
        <v>0</v>
      </c>
      <c r="G66" s="20" t="s">
        <v>0</v>
      </c>
      <c r="H66" s="20" t="s">
        <v>0</v>
      </c>
      <c r="I66" s="22" t="s">
        <v>0</v>
      </c>
      <c r="J66" s="20" t="s">
        <v>0</v>
      </c>
      <c r="K66" s="20" t="s">
        <v>0</v>
      </c>
      <c r="L66" s="20" t="s">
        <v>0</v>
      </c>
      <c r="M66" s="23" t="s">
        <v>0</v>
      </c>
      <c r="N66" s="22" t="s">
        <v>462</v>
      </c>
      <c r="O66" s="22">
        <v>1.1795</v>
      </c>
    </row>
    <row r="67" spans="1:15" x14ac:dyDescent="0.25">
      <c r="A67" s="26" t="s">
        <v>264</v>
      </c>
      <c r="B67" s="20" t="s">
        <v>266</v>
      </c>
      <c r="C67" s="21">
        <v>1.25</v>
      </c>
      <c r="D67" s="20">
        <v>8.33</v>
      </c>
      <c r="E67" s="20">
        <v>8.86</v>
      </c>
      <c r="F67" s="20">
        <v>1.19</v>
      </c>
      <c r="G67" s="20">
        <v>1.19</v>
      </c>
      <c r="H67" s="20">
        <v>1.19</v>
      </c>
      <c r="I67" s="22">
        <v>2</v>
      </c>
      <c r="J67" s="20" t="s">
        <v>0</v>
      </c>
      <c r="K67" s="20" t="s">
        <v>0</v>
      </c>
      <c r="L67" s="20" t="s">
        <v>0</v>
      </c>
      <c r="M67" s="23" t="s">
        <v>0</v>
      </c>
      <c r="N67" s="22" t="s">
        <v>0</v>
      </c>
      <c r="O67" s="22">
        <v>1.1780999999999999</v>
      </c>
    </row>
    <row r="68" spans="1:15" x14ac:dyDescent="0.25">
      <c r="A68" s="26" t="s">
        <v>313</v>
      </c>
      <c r="B68" s="20" t="s">
        <v>314</v>
      </c>
      <c r="C68" s="21">
        <v>1.75</v>
      </c>
      <c r="D68" s="20">
        <v>8.34</v>
      </c>
      <c r="E68" s="20">
        <v>9.16</v>
      </c>
      <c r="F68" s="20" t="s">
        <v>0</v>
      </c>
      <c r="G68" s="20" t="s">
        <v>0</v>
      </c>
      <c r="H68" s="20" t="s">
        <v>0</v>
      </c>
      <c r="I68" s="22" t="s">
        <v>0</v>
      </c>
      <c r="J68" s="20" t="s">
        <v>0</v>
      </c>
      <c r="K68" s="20" t="s">
        <v>0</v>
      </c>
      <c r="L68" s="20" t="s">
        <v>0</v>
      </c>
      <c r="M68" s="23" t="s">
        <v>0</v>
      </c>
      <c r="N68" s="22" t="s">
        <v>0</v>
      </c>
      <c r="O68" s="22">
        <v>1.1819999999999999</v>
      </c>
    </row>
    <row r="69" spans="1:15" x14ac:dyDescent="0.25">
      <c r="A69" s="26" t="s">
        <v>53</v>
      </c>
      <c r="B69" s="20" t="s">
        <v>159</v>
      </c>
      <c r="C69" s="21">
        <v>1.5</v>
      </c>
      <c r="D69" s="20">
        <v>8.6999999999999993</v>
      </c>
      <c r="E69" s="20">
        <v>9.44</v>
      </c>
      <c r="F69" s="20" t="s">
        <v>0</v>
      </c>
      <c r="G69" s="20" t="s">
        <v>0</v>
      </c>
      <c r="H69" s="20" t="s">
        <v>0</v>
      </c>
      <c r="I69" s="22" t="s">
        <v>0</v>
      </c>
      <c r="J69" s="20" t="s">
        <v>0</v>
      </c>
      <c r="K69" s="20" t="s">
        <v>0</v>
      </c>
      <c r="L69" s="20" t="s">
        <v>0</v>
      </c>
      <c r="M69" s="23" t="s">
        <v>0</v>
      </c>
      <c r="N69" s="22" t="s">
        <v>0</v>
      </c>
      <c r="O69" s="22">
        <v>1.1878</v>
      </c>
    </row>
    <row r="70" spans="1:15" x14ac:dyDescent="0.25">
      <c r="A70" s="26" t="s">
        <v>329</v>
      </c>
      <c r="B70" s="20" t="s">
        <v>330</v>
      </c>
      <c r="C70" s="21">
        <v>1.25</v>
      </c>
      <c r="D70" s="20">
        <v>8.75</v>
      </c>
      <c r="E70" s="20">
        <v>9.39</v>
      </c>
      <c r="F70" s="20" t="s">
        <v>0</v>
      </c>
      <c r="G70" s="20" t="s">
        <v>0</v>
      </c>
      <c r="H70" s="20" t="s">
        <v>0</v>
      </c>
      <c r="I70" s="22" t="s">
        <v>0</v>
      </c>
      <c r="J70" s="20" t="s">
        <v>0</v>
      </c>
      <c r="K70" s="20" t="s">
        <v>0</v>
      </c>
      <c r="L70" s="20" t="s">
        <v>0</v>
      </c>
      <c r="M70" s="23" t="s">
        <v>0</v>
      </c>
      <c r="N70" s="22" t="s">
        <v>0</v>
      </c>
      <c r="O70" s="22">
        <v>1.1877</v>
      </c>
    </row>
    <row r="71" spans="1:15" x14ac:dyDescent="0.25">
      <c r="A71" s="26" t="s">
        <v>62</v>
      </c>
      <c r="B71" s="20" t="s">
        <v>158</v>
      </c>
      <c r="C71" s="21">
        <v>1.75</v>
      </c>
      <c r="D71" s="20">
        <v>8.76</v>
      </c>
      <c r="E71" s="20">
        <v>9.59</v>
      </c>
      <c r="F71" s="20" t="s">
        <v>0</v>
      </c>
      <c r="G71" s="20" t="s">
        <v>0</v>
      </c>
      <c r="H71" s="20" t="s">
        <v>0</v>
      </c>
      <c r="I71" s="22" t="s">
        <v>0</v>
      </c>
      <c r="J71" s="20" t="s">
        <v>0</v>
      </c>
      <c r="K71" s="20" t="s">
        <v>0</v>
      </c>
      <c r="L71" s="20" t="s">
        <v>0</v>
      </c>
      <c r="M71" s="23" t="s">
        <v>0</v>
      </c>
      <c r="N71" s="22" t="s">
        <v>0</v>
      </c>
      <c r="O71" s="22">
        <v>1.1895</v>
      </c>
    </row>
    <row r="72" spans="1:15" x14ac:dyDescent="0.25">
      <c r="A72" s="26" t="s">
        <v>30</v>
      </c>
      <c r="B72" s="20" t="s">
        <v>160</v>
      </c>
      <c r="C72" s="21">
        <v>2</v>
      </c>
      <c r="D72" s="20">
        <v>9.02</v>
      </c>
      <c r="E72" s="20">
        <v>9.93</v>
      </c>
      <c r="F72" s="20" t="s">
        <v>0</v>
      </c>
      <c r="G72" s="20" t="s">
        <v>0</v>
      </c>
      <c r="H72" s="20" t="s">
        <v>0</v>
      </c>
      <c r="I72" s="22" t="s">
        <v>0</v>
      </c>
      <c r="J72" s="20" t="s">
        <v>0</v>
      </c>
      <c r="K72" s="20" t="s">
        <v>0</v>
      </c>
      <c r="L72" s="20" t="s">
        <v>0</v>
      </c>
      <c r="M72" s="23" t="s">
        <v>0</v>
      </c>
      <c r="N72" s="22" t="s">
        <v>0</v>
      </c>
      <c r="O72" s="22">
        <v>1.1947000000000001</v>
      </c>
    </row>
    <row r="73" spans="1:15" x14ac:dyDescent="0.25">
      <c r="A73" s="26" t="s">
        <v>327</v>
      </c>
      <c r="B73" s="20" t="s">
        <v>328</v>
      </c>
      <c r="C73" s="21">
        <v>1.125</v>
      </c>
      <c r="D73" s="20">
        <v>8.9</v>
      </c>
      <c r="E73" s="20">
        <v>9.5</v>
      </c>
      <c r="F73" s="20" t="s">
        <v>0</v>
      </c>
      <c r="G73" s="20" t="s">
        <v>0</v>
      </c>
      <c r="H73" s="20" t="s">
        <v>0</v>
      </c>
      <c r="I73" s="22" t="s">
        <v>0</v>
      </c>
      <c r="J73" s="20" t="s">
        <v>0</v>
      </c>
      <c r="K73" s="20" t="s">
        <v>0</v>
      </c>
      <c r="L73" s="20" t="s">
        <v>0</v>
      </c>
      <c r="M73" s="23" t="s">
        <v>0</v>
      </c>
      <c r="N73" s="22" t="s">
        <v>0</v>
      </c>
      <c r="O73" s="22">
        <v>1.19</v>
      </c>
    </row>
    <row r="74" spans="1:15" x14ac:dyDescent="0.25">
      <c r="A74" s="26" t="s">
        <v>377</v>
      </c>
      <c r="B74" s="20" t="s">
        <v>362</v>
      </c>
      <c r="C74" s="21">
        <v>1.125</v>
      </c>
      <c r="D74" s="20">
        <v>9.19</v>
      </c>
      <c r="E74" s="20">
        <v>9.8000000000000007</v>
      </c>
      <c r="F74" s="20">
        <v>1.1948000000000001</v>
      </c>
      <c r="G74" s="20">
        <v>1.1915</v>
      </c>
      <c r="H74" s="20">
        <v>1.1930000000000001</v>
      </c>
      <c r="I74" s="22">
        <v>3.5</v>
      </c>
      <c r="J74" s="20" t="s">
        <v>0</v>
      </c>
      <c r="K74" s="20" t="s">
        <v>0</v>
      </c>
      <c r="L74" s="20" t="s">
        <v>0</v>
      </c>
      <c r="M74" s="23" t="s">
        <v>0</v>
      </c>
      <c r="N74" s="22" t="s">
        <v>0</v>
      </c>
      <c r="O74" s="22">
        <v>1.1952</v>
      </c>
    </row>
    <row r="75" spans="1:15" x14ac:dyDescent="0.25">
      <c r="A75" s="26" t="s">
        <v>21</v>
      </c>
      <c r="B75" s="20" t="s">
        <v>157</v>
      </c>
      <c r="C75" s="21">
        <v>3.875</v>
      </c>
      <c r="D75" s="20">
        <v>9.06</v>
      </c>
      <c r="E75" s="20">
        <v>10.77</v>
      </c>
      <c r="F75" s="20" t="s">
        <v>0</v>
      </c>
      <c r="G75" s="20" t="s">
        <v>0</v>
      </c>
      <c r="H75" s="20" t="s">
        <v>0</v>
      </c>
      <c r="I75" s="22" t="s">
        <v>0</v>
      </c>
      <c r="J75" s="20" t="s">
        <v>0</v>
      </c>
      <c r="K75" s="20" t="s">
        <v>0</v>
      </c>
      <c r="L75" s="20" t="s">
        <v>0</v>
      </c>
      <c r="M75" s="23" t="s">
        <v>0</v>
      </c>
      <c r="N75" s="22" t="s">
        <v>0</v>
      </c>
      <c r="O75" s="22">
        <v>1.2036</v>
      </c>
    </row>
    <row r="76" spans="1:15" x14ac:dyDescent="0.25">
      <c r="A76" s="26" t="s">
        <v>361</v>
      </c>
      <c r="B76" s="20" t="s">
        <v>362</v>
      </c>
      <c r="C76" s="21">
        <v>1.125</v>
      </c>
      <c r="D76" s="20">
        <v>9.1999999999999993</v>
      </c>
      <c r="E76" s="20">
        <v>9.8000000000000007</v>
      </c>
      <c r="F76" s="20" t="s">
        <v>0</v>
      </c>
      <c r="G76" s="20" t="s">
        <v>0</v>
      </c>
      <c r="H76" s="20" t="s">
        <v>0</v>
      </c>
      <c r="I76" s="22" t="s">
        <v>0</v>
      </c>
      <c r="J76" s="20" t="s">
        <v>0</v>
      </c>
      <c r="K76" s="20" t="s">
        <v>0</v>
      </c>
      <c r="L76" s="20" t="s">
        <v>0</v>
      </c>
      <c r="M76" s="23" t="s">
        <v>0</v>
      </c>
      <c r="N76" s="22" t="s">
        <v>0</v>
      </c>
      <c r="O76" s="22">
        <v>1.1953</v>
      </c>
    </row>
    <row r="77" spans="1:15" x14ac:dyDescent="0.25">
      <c r="A77" s="26" t="s">
        <v>63</v>
      </c>
      <c r="B77" s="20" t="s">
        <v>161</v>
      </c>
      <c r="C77" s="21">
        <v>2</v>
      </c>
      <c r="D77" s="20">
        <v>9.36</v>
      </c>
      <c r="E77" s="20">
        <v>10.45</v>
      </c>
      <c r="F77" s="20" t="s">
        <v>0</v>
      </c>
      <c r="G77" s="20" t="s">
        <v>0</v>
      </c>
      <c r="H77" s="20" t="s">
        <v>0</v>
      </c>
      <c r="I77" s="22" t="s">
        <v>0</v>
      </c>
      <c r="J77" s="20" t="s">
        <v>0</v>
      </c>
      <c r="K77" s="20" t="s">
        <v>0</v>
      </c>
      <c r="L77" s="20" t="s">
        <v>0</v>
      </c>
      <c r="M77" s="23" t="s">
        <v>0</v>
      </c>
      <c r="N77" s="22" t="s">
        <v>0</v>
      </c>
      <c r="O77" s="22">
        <v>1.2038</v>
      </c>
    </row>
    <row r="78" spans="1:15" x14ac:dyDescent="0.25">
      <c r="A78" s="26" t="s">
        <v>65</v>
      </c>
      <c r="B78" s="20" t="s">
        <v>163</v>
      </c>
      <c r="C78" s="21">
        <v>2.125</v>
      </c>
      <c r="D78" s="20">
        <v>9.8000000000000007</v>
      </c>
      <c r="E78" s="20">
        <v>10.95</v>
      </c>
      <c r="F78" s="20" t="s">
        <v>0</v>
      </c>
      <c r="G78" s="20" t="s">
        <v>0</v>
      </c>
      <c r="H78" s="20" t="s">
        <v>0</v>
      </c>
      <c r="I78" s="22" t="s">
        <v>0</v>
      </c>
      <c r="J78" s="20" t="s">
        <v>0</v>
      </c>
      <c r="K78" s="20" t="s">
        <v>0</v>
      </c>
      <c r="L78" s="20" t="s">
        <v>0</v>
      </c>
      <c r="M78" s="23" t="s">
        <v>0</v>
      </c>
      <c r="N78" s="22" t="s">
        <v>0</v>
      </c>
      <c r="O78" s="22">
        <v>1.2126999999999999</v>
      </c>
    </row>
    <row r="79" spans="1:15" x14ac:dyDescent="0.25">
      <c r="A79" s="26" t="s">
        <v>44</v>
      </c>
      <c r="B79" s="20" t="s">
        <v>162</v>
      </c>
      <c r="C79" s="21">
        <v>1.875</v>
      </c>
      <c r="D79" s="20">
        <v>9.64</v>
      </c>
      <c r="E79" s="20">
        <v>10.68</v>
      </c>
      <c r="F79" s="20" t="s">
        <v>0</v>
      </c>
      <c r="G79" s="20" t="s">
        <v>0</v>
      </c>
      <c r="H79" s="20" t="s">
        <v>0</v>
      </c>
      <c r="I79" s="22" t="s">
        <v>0</v>
      </c>
      <c r="J79" s="20" t="s">
        <v>0</v>
      </c>
      <c r="K79" s="20" t="s">
        <v>0</v>
      </c>
      <c r="L79" s="20" t="s">
        <v>0</v>
      </c>
      <c r="M79" s="23" t="s">
        <v>0</v>
      </c>
      <c r="N79" s="22" t="s">
        <v>0</v>
      </c>
      <c r="O79" s="22">
        <v>1.2087000000000001</v>
      </c>
    </row>
    <row r="80" spans="1:15" x14ac:dyDescent="0.25">
      <c r="A80" s="26" t="s">
        <v>64</v>
      </c>
      <c r="B80" s="20" t="s">
        <v>164</v>
      </c>
      <c r="C80" s="21">
        <v>2.25</v>
      </c>
      <c r="D80" s="20">
        <v>9.73</v>
      </c>
      <c r="E80" s="20">
        <v>11.12</v>
      </c>
      <c r="F80" s="20" t="s">
        <v>0</v>
      </c>
      <c r="G80" s="20" t="s">
        <v>0</v>
      </c>
      <c r="H80" s="20" t="s">
        <v>0</v>
      </c>
      <c r="I80" s="22" t="s">
        <v>0</v>
      </c>
      <c r="J80" s="20" t="s">
        <v>0</v>
      </c>
      <c r="K80" s="20" t="s">
        <v>0</v>
      </c>
      <c r="L80" s="20" t="s">
        <v>0</v>
      </c>
      <c r="M80" s="23" t="s">
        <v>0</v>
      </c>
      <c r="N80" s="22" t="s">
        <v>0</v>
      </c>
      <c r="O80" s="22">
        <v>1.2155</v>
      </c>
    </row>
    <row r="81" spans="1:15" x14ac:dyDescent="0.25">
      <c r="A81" s="26" t="s">
        <v>26</v>
      </c>
      <c r="B81" s="20" t="s">
        <v>165</v>
      </c>
      <c r="C81" s="21">
        <v>2</v>
      </c>
      <c r="D81" s="20">
        <v>10.14</v>
      </c>
      <c r="E81" s="20">
        <v>11.43</v>
      </c>
      <c r="F81" s="20" t="s">
        <v>0</v>
      </c>
      <c r="G81" s="20" t="s">
        <v>0</v>
      </c>
      <c r="H81" s="20" t="s">
        <v>0</v>
      </c>
      <c r="I81" s="22" t="s">
        <v>0</v>
      </c>
      <c r="J81" s="20" t="s">
        <v>0</v>
      </c>
      <c r="K81" s="20" t="s">
        <v>0</v>
      </c>
      <c r="L81" s="20" t="s">
        <v>0</v>
      </c>
      <c r="M81" s="23" t="s">
        <v>0</v>
      </c>
      <c r="N81" s="22" t="s">
        <v>0</v>
      </c>
      <c r="O81" s="22">
        <v>1.2224999999999999</v>
      </c>
    </row>
    <row r="82" spans="1:15" x14ac:dyDescent="0.25">
      <c r="A82" s="26" t="s">
        <v>49</v>
      </c>
      <c r="B82" s="20" t="s">
        <v>166</v>
      </c>
      <c r="C82" s="21">
        <v>2.125</v>
      </c>
      <c r="D82" s="20">
        <v>10.31</v>
      </c>
      <c r="E82" s="20">
        <v>11.65</v>
      </c>
      <c r="F82" s="20" t="s">
        <v>0</v>
      </c>
      <c r="G82" s="20" t="s">
        <v>0</v>
      </c>
      <c r="H82" s="20" t="s">
        <v>0</v>
      </c>
      <c r="I82" s="22" t="s">
        <v>0</v>
      </c>
      <c r="J82" s="20" t="s">
        <v>0</v>
      </c>
      <c r="K82" s="20" t="s">
        <v>0</v>
      </c>
      <c r="L82" s="20" t="s">
        <v>0</v>
      </c>
      <c r="M82" s="23" t="s">
        <v>0</v>
      </c>
      <c r="N82" s="22" t="s">
        <v>0</v>
      </c>
      <c r="O82" s="22">
        <v>1.2262999999999999</v>
      </c>
    </row>
    <row r="83" spans="1:15" x14ac:dyDescent="0.25">
      <c r="A83" s="26" t="s">
        <v>54</v>
      </c>
      <c r="B83" s="20" t="s">
        <v>167</v>
      </c>
      <c r="C83" s="21">
        <v>1.75</v>
      </c>
      <c r="D83" s="20">
        <v>10.83</v>
      </c>
      <c r="E83" s="20">
        <v>12.18</v>
      </c>
      <c r="F83" s="20" t="s">
        <v>0</v>
      </c>
      <c r="G83" s="20" t="s">
        <v>0</v>
      </c>
      <c r="H83" s="20" t="s">
        <v>0</v>
      </c>
      <c r="I83" s="22" t="s">
        <v>0</v>
      </c>
      <c r="J83" s="20" t="s">
        <v>0</v>
      </c>
      <c r="K83" s="20" t="s">
        <v>0</v>
      </c>
      <c r="L83" s="20" t="s">
        <v>0</v>
      </c>
      <c r="M83" s="23" t="s">
        <v>0</v>
      </c>
      <c r="N83" s="22" t="s">
        <v>0</v>
      </c>
      <c r="O83" s="22">
        <v>1.2386999999999999</v>
      </c>
    </row>
    <row r="84" spans="1:15" x14ac:dyDescent="0.25">
      <c r="A84" s="26" t="s">
        <v>39</v>
      </c>
      <c r="B84" s="20" t="s">
        <v>168</v>
      </c>
      <c r="C84" s="21">
        <v>1.375</v>
      </c>
      <c r="D84" s="20">
        <v>11.28</v>
      </c>
      <c r="E84" s="20">
        <v>12.42</v>
      </c>
      <c r="F84" s="20" t="s">
        <v>0</v>
      </c>
      <c r="G84" s="20" t="s">
        <v>0</v>
      </c>
      <c r="H84" s="20" t="s">
        <v>0</v>
      </c>
      <c r="I84" s="22" t="s">
        <v>0</v>
      </c>
      <c r="J84" s="20" t="s">
        <v>0</v>
      </c>
      <c r="K84" s="20" t="s">
        <v>0</v>
      </c>
      <c r="L84" s="20" t="s">
        <v>0</v>
      </c>
      <c r="M84" s="23" t="s">
        <v>0</v>
      </c>
      <c r="N84" s="22" t="s">
        <v>0</v>
      </c>
      <c r="O84" s="22">
        <v>1.2454000000000001</v>
      </c>
    </row>
    <row r="85" spans="1:15" x14ac:dyDescent="0.25">
      <c r="A85" s="26" t="s">
        <v>34</v>
      </c>
      <c r="B85" s="20" t="s">
        <v>169</v>
      </c>
      <c r="C85" s="21">
        <v>1.25</v>
      </c>
      <c r="D85" s="20">
        <v>11.56</v>
      </c>
      <c r="E85" s="20">
        <v>12.64</v>
      </c>
      <c r="F85" s="20" t="s">
        <v>0</v>
      </c>
      <c r="G85" s="20" t="s">
        <v>0</v>
      </c>
      <c r="H85" s="20" t="s">
        <v>0</v>
      </c>
      <c r="I85" s="22" t="s">
        <v>0</v>
      </c>
      <c r="J85" s="20" t="s">
        <v>0</v>
      </c>
      <c r="K85" s="20" t="s">
        <v>0</v>
      </c>
      <c r="L85" s="20" t="s">
        <v>0</v>
      </c>
      <c r="M85" s="23" t="s">
        <v>0</v>
      </c>
      <c r="N85" s="22" t="s">
        <v>0</v>
      </c>
      <c r="O85" s="22">
        <v>1.2504</v>
      </c>
    </row>
    <row r="86" spans="1:15" x14ac:dyDescent="0.25">
      <c r="A86" s="26" t="s">
        <v>45</v>
      </c>
      <c r="B86" s="20" t="s">
        <v>171</v>
      </c>
      <c r="C86" s="21">
        <v>1.125</v>
      </c>
      <c r="D86" s="20">
        <v>11.92</v>
      </c>
      <c r="E86" s="20">
        <v>12.91</v>
      </c>
      <c r="F86" s="20" t="s">
        <v>0</v>
      </c>
      <c r="G86" s="20" t="s">
        <v>0</v>
      </c>
      <c r="H86" s="20" t="s">
        <v>0</v>
      </c>
      <c r="I86" s="22" t="s">
        <v>0</v>
      </c>
      <c r="J86" s="20" t="s">
        <v>0</v>
      </c>
      <c r="K86" s="20" t="s">
        <v>0</v>
      </c>
      <c r="L86" s="20" t="s">
        <v>0</v>
      </c>
      <c r="M86" s="23" t="s">
        <v>0</v>
      </c>
      <c r="N86" s="22" t="s">
        <v>0</v>
      </c>
      <c r="O86" s="22">
        <v>1.2571000000000001</v>
      </c>
    </row>
    <row r="87" spans="1:15" x14ac:dyDescent="0.25">
      <c r="A87" s="26" t="s">
        <v>36</v>
      </c>
      <c r="B87" s="20" t="s">
        <v>170</v>
      </c>
      <c r="C87" s="21">
        <v>1.75</v>
      </c>
      <c r="D87" s="20">
        <v>11.94</v>
      </c>
      <c r="E87" s="20">
        <v>13.51</v>
      </c>
      <c r="F87" s="20" t="s">
        <v>0</v>
      </c>
      <c r="G87" s="20" t="s">
        <v>0</v>
      </c>
      <c r="H87" s="20" t="s">
        <v>0</v>
      </c>
      <c r="I87" s="22" t="s">
        <v>0</v>
      </c>
      <c r="J87" s="20" t="s">
        <v>0</v>
      </c>
      <c r="K87" s="20" t="s">
        <v>0</v>
      </c>
      <c r="L87" s="20" t="s">
        <v>0</v>
      </c>
      <c r="M87" s="23" t="s">
        <v>0</v>
      </c>
      <c r="N87" s="22" t="s">
        <v>0</v>
      </c>
      <c r="O87" s="22">
        <v>1.2662</v>
      </c>
    </row>
    <row r="88" spans="1:15" x14ac:dyDescent="0.25">
      <c r="A88" s="26" t="s">
        <v>66</v>
      </c>
      <c r="B88" s="20" t="s">
        <v>172</v>
      </c>
      <c r="C88" s="21">
        <v>1.5</v>
      </c>
      <c r="D88" s="20">
        <v>12.58</v>
      </c>
      <c r="E88" s="20">
        <v>14</v>
      </c>
      <c r="F88" s="20" t="s">
        <v>0</v>
      </c>
      <c r="G88" s="20" t="s">
        <v>0</v>
      </c>
      <c r="H88" s="20" t="s">
        <v>0</v>
      </c>
      <c r="I88" s="22" t="s">
        <v>0</v>
      </c>
      <c r="J88" s="20" t="s">
        <v>0</v>
      </c>
      <c r="K88" s="20" t="s">
        <v>0</v>
      </c>
      <c r="L88" s="20" t="s">
        <v>0</v>
      </c>
      <c r="M88" s="23" t="s">
        <v>0</v>
      </c>
      <c r="N88" s="22" t="s">
        <v>0</v>
      </c>
      <c r="O88" s="22">
        <v>1.2782</v>
      </c>
    </row>
    <row r="89" spans="1:15" x14ac:dyDescent="0.25">
      <c r="A89" s="26" t="s">
        <v>67</v>
      </c>
      <c r="B89" s="20" t="s">
        <v>173</v>
      </c>
      <c r="C89" s="21">
        <v>1.375</v>
      </c>
      <c r="D89" s="20">
        <v>13.05</v>
      </c>
      <c r="E89" s="20">
        <v>14.56</v>
      </c>
      <c r="F89" s="20" t="s">
        <v>0</v>
      </c>
      <c r="G89" s="20" t="s">
        <v>0</v>
      </c>
      <c r="H89" s="20" t="s">
        <v>0</v>
      </c>
      <c r="I89" s="22" t="s">
        <v>0</v>
      </c>
      <c r="J89" s="20" t="s">
        <v>0</v>
      </c>
      <c r="K89" s="20" t="s">
        <v>0</v>
      </c>
      <c r="L89" s="20" t="s">
        <v>0</v>
      </c>
      <c r="M89" s="23" t="s">
        <v>0</v>
      </c>
      <c r="N89" s="22" t="s">
        <v>0</v>
      </c>
      <c r="O89" s="22">
        <v>1.2914000000000001</v>
      </c>
    </row>
    <row r="90" spans="1:15" x14ac:dyDescent="0.25">
      <c r="A90" s="26" t="s">
        <v>68</v>
      </c>
      <c r="B90" s="20" t="s">
        <v>175</v>
      </c>
      <c r="C90" s="21">
        <v>1.125</v>
      </c>
      <c r="D90" s="20">
        <v>13.62</v>
      </c>
      <c r="E90" s="20">
        <v>15.09</v>
      </c>
      <c r="F90" s="20" t="s">
        <v>0</v>
      </c>
      <c r="G90" s="20" t="s">
        <v>0</v>
      </c>
      <c r="H90" s="20" t="s">
        <v>0</v>
      </c>
      <c r="I90" s="22" t="s">
        <v>0</v>
      </c>
      <c r="J90" s="20" t="s">
        <v>0</v>
      </c>
      <c r="K90" s="20" t="s">
        <v>0</v>
      </c>
      <c r="L90" s="20" t="s">
        <v>0</v>
      </c>
      <c r="M90" s="23" t="s">
        <v>0</v>
      </c>
      <c r="N90" s="22" t="s">
        <v>0</v>
      </c>
      <c r="O90" s="22">
        <v>1.3048999999999999</v>
      </c>
    </row>
    <row r="91" spans="1:15" x14ac:dyDescent="0.25">
      <c r="A91" s="26" t="s">
        <v>22</v>
      </c>
      <c r="B91" s="20" t="s">
        <v>174</v>
      </c>
      <c r="C91" s="21">
        <v>2.25</v>
      </c>
      <c r="D91" s="20">
        <v>13.77</v>
      </c>
      <c r="E91" s="20">
        <v>16.440000000000001</v>
      </c>
      <c r="F91" s="20" t="s">
        <v>0</v>
      </c>
      <c r="G91" s="20" t="s">
        <v>0</v>
      </c>
      <c r="H91" s="20" t="s">
        <v>0</v>
      </c>
      <c r="I91" s="22" t="s">
        <v>0</v>
      </c>
      <c r="J91" s="20" t="s">
        <v>0</v>
      </c>
      <c r="K91" s="20" t="s">
        <v>0</v>
      </c>
      <c r="L91" s="20" t="s">
        <v>0</v>
      </c>
      <c r="M91" s="23" t="s">
        <v>0</v>
      </c>
      <c r="N91" s="22" t="s">
        <v>0</v>
      </c>
      <c r="O91" s="22">
        <v>1.3258000000000001</v>
      </c>
    </row>
    <row r="92" spans="1:15" x14ac:dyDescent="0.25">
      <c r="A92" s="26" t="s">
        <v>291</v>
      </c>
      <c r="B92" s="20" t="s">
        <v>176</v>
      </c>
      <c r="C92" s="21">
        <v>1.125</v>
      </c>
      <c r="D92" s="20">
        <v>13.96</v>
      </c>
      <c r="E92" s="20">
        <v>15.44</v>
      </c>
      <c r="F92" s="20" t="s">
        <v>0</v>
      </c>
      <c r="G92" s="20" t="s">
        <v>0</v>
      </c>
      <c r="H92" s="20" t="s">
        <v>0</v>
      </c>
      <c r="I92" s="22" t="s">
        <v>0</v>
      </c>
      <c r="J92" s="20" t="s">
        <v>0</v>
      </c>
      <c r="K92" s="20" t="s">
        <v>0</v>
      </c>
      <c r="L92" s="20" t="s">
        <v>0</v>
      </c>
      <c r="M92" s="23" t="s">
        <v>0</v>
      </c>
      <c r="N92" s="22" t="s">
        <v>0</v>
      </c>
      <c r="O92" s="22">
        <v>1.3129</v>
      </c>
    </row>
    <row r="93" spans="1:15" x14ac:dyDescent="0.25">
      <c r="A93" s="26" t="s">
        <v>292</v>
      </c>
      <c r="B93" s="20" t="s">
        <v>177</v>
      </c>
      <c r="C93" s="21">
        <v>1.125</v>
      </c>
      <c r="D93" s="20">
        <v>14.06</v>
      </c>
      <c r="E93" s="20">
        <v>15.54</v>
      </c>
      <c r="F93" s="20" t="s">
        <v>0</v>
      </c>
      <c r="G93" s="20" t="s">
        <v>0</v>
      </c>
      <c r="H93" s="20" t="s">
        <v>0</v>
      </c>
      <c r="I93" s="22" t="s">
        <v>0</v>
      </c>
      <c r="J93" s="20" t="s">
        <v>0</v>
      </c>
      <c r="K93" s="20" t="s">
        <v>0</v>
      </c>
      <c r="L93" s="20" t="s">
        <v>0</v>
      </c>
      <c r="M93" s="23" t="s">
        <v>0</v>
      </c>
      <c r="N93" s="22" t="s">
        <v>0</v>
      </c>
      <c r="O93" s="22">
        <v>1.3149999999999999</v>
      </c>
    </row>
    <row r="94" spans="1:15" x14ac:dyDescent="0.25">
      <c r="A94" s="26" t="s">
        <v>46</v>
      </c>
      <c r="B94" s="20" t="s">
        <v>178</v>
      </c>
      <c r="C94" s="21">
        <v>2.125</v>
      </c>
      <c r="D94" s="20">
        <v>14.49</v>
      </c>
      <c r="E94" s="20">
        <v>17.36</v>
      </c>
      <c r="F94" s="20" t="s">
        <v>0</v>
      </c>
      <c r="G94" s="20" t="s">
        <v>0</v>
      </c>
      <c r="H94" s="20" t="s">
        <v>0</v>
      </c>
      <c r="I94" s="22" t="s">
        <v>0</v>
      </c>
      <c r="J94" s="20" t="s">
        <v>0</v>
      </c>
      <c r="K94" s="20" t="s">
        <v>0</v>
      </c>
      <c r="L94" s="20" t="s">
        <v>0</v>
      </c>
      <c r="M94" s="23" t="s">
        <v>0</v>
      </c>
      <c r="N94" s="22" t="s">
        <v>0</v>
      </c>
      <c r="O94" s="22">
        <v>1.3466</v>
      </c>
    </row>
    <row r="95" spans="1:15" x14ac:dyDescent="0.25">
      <c r="A95" s="26" t="s">
        <v>23</v>
      </c>
      <c r="B95" s="20" t="s">
        <v>179</v>
      </c>
      <c r="C95" s="21">
        <v>2</v>
      </c>
      <c r="D95" s="20">
        <v>14.75</v>
      </c>
      <c r="E95" s="20">
        <v>17.510000000000002</v>
      </c>
      <c r="F95" s="20" t="s">
        <v>0</v>
      </c>
      <c r="G95" s="20" t="s">
        <v>0</v>
      </c>
      <c r="H95" s="20" t="s">
        <v>0</v>
      </c>
      <c r="I95" s="22" t="s">
        <v>0</v>
      </c>
      <c r="J95" s="20" t="s">
        <v>0</v>
      </c>
      <c r="K95" s="20" t="s">
        <v>0</v>
      </c>
      <c r="L95" s="20" t="s">
        <v>0</v>
      </c>
      <c r="M95" s="23" t="s">
        <v>0</v>
      </c>
      <c r="N95" s="22" t="s">
        <v>0</v>
      </c>
      <c r="O95" s="22">
        <v>1.351</v>
      </c>
    </row>
    <row r="96" spans="1:15" x14ac:dyDescent="0.25">
      <c r="A96" s="26" t="s">
        <v>40</v>
      </c>
      <c r="B96" s="20" t="s">
        <v>180</v>
      </c>
      <c r="C96" s="21">
        <v>0.75</v>
      </c>
      <c r="D96" s="20">
        <v>14.81</v>
      </c>
      <c r="E96" s="20">
        <v>16.05</v>
      </c>
      <c r="F96" s="20" t="s">
        <v>0</v>
      </c>
      <c r="G96" s="20" t="s">
        <v>0</v>
      </c>
      <c r="H96" s="20" t="s">
        <v>0</v>
      </c>
      <c r="I96" s="22" t="s">
        <v>0</v>
      </c>
      <c r="J96" s="20" t="s">
        <v>0</v>
      </c>
      <c r="K96" s="20" t="s">
        <v>0</v>
      </c>
      <c r="L96" s="20" t="s">
        <v>0</v>
      </c>
      <c r="M96" s="23" t="s">
        <v>0</v>
      </c>
      <c r="N96" s="22" t="s">
        <v>0</v>
      </c>
      <c r="O96" s="22">
        <v>1.3301000000000001</v>
      </c>
    </row>
    <row r="97" spans="1:15" x14ac:dyDescent="0.25">
      <c r="A97" s="26" t="s">
        <v>47</v>
      </c>
      <c r="B97" s="20" t="s">
        <v>181</v>
      </c>
      <c r="C97" s="21">
        <v>1.875</v>
      </c>
      <c r="D97" s="20">
        <v>15.35</v>
      </c>
      <c r="E97" s="20">
        <v>18.010000000000002</v>
      </c>
      <c r="F97" s="20" t="s">
        <v>0</v>
      </c>
      <c r="G97" s="20" t="s">
        <v>0</v>
      </c>
      <c r="H97" s="20" t="s">
        <v>0</v>
      </c>
      <c r="I97" s="22" t="s">
        <v>0</v>
      </c>
      <c r="J97" s="20" t="s">
        <v>0</v>
      </c>
      <c r="K97" s="20" t="s">
        <v>0</v>
      </c>
      <c r="L97" s="20" t="s">
        <v>0</v>
      </c>
      <c r="M97" s="23" t="s">
        <v>0</v>
      </c>
      <c r="N97" s="22" t="s">
        <v>0</v>
      </c>
      <c r="O97" s="22">
        <v>1.3631</v>
      </c>
    </row>
    <row r="98" spans="1:15" x14ac:dyDescent="0.25">
      <c r="A98" s="26" t="s">
        <v>293</v>
      </c>
      <c r="B98" s="20" t="s">
        <v>182</v>
      </c>
      <c r="C98" s="21">
        <v>0.75</v>
      </c>
      <c r="D98" s="20">
        <v>15.17</v>
      </c>
      <c r="E98" s="20">
        <v>16.41</v>
      </c>
      <c r="F98" s="20" t="s">
        <v>0</v>
      </c>
      <c r="G98" s="20" t="s">
        <v>0</v>
      </c>
      <c r="H98" s="20" t="s">
        <v>0</v>
      </c>
      <c r="I98" s="22" t="s">
        <v>0</v>
      </c>
      <c r="J98" s="20" t="s">
        <v>0</v>
      </c>
      <c r="K98" s="20" t="s">
        <v>0</v>
      </c>
      <c r="L98" s="20" t="s">
        <v>0</v>
      </c>
      <c r="M98" s="23" t="s">
        <v>0</v>
      </c>
      <c r="N98" s="22" t="s">
        <v>0</v>
      </c>
      <c r="O98" s="22">
        <v>1.3384</v>
      </c>
    </row>
    <row r="99" spans="1:15" x14ac:dyDescent="0.25">
      <c r="A99" s="26" t="s">
        <v>294</v>
      </c>
      <c r="B99" s="20" t="s">
        <v>184</v>
      </c>
      <c r="C99" s="21">
        <v>0.5</v>
      </c>
      <c r="D99" s="20">
        <v>15.62</v>
      </c>
      <c r="E99" s="20">
        <v>16.55</v>
      </c>
      <c r="F99" s="20" t="s">
        <v>0</v>
      </c>
      <c r="G99" s="20" t="s">
        <v>0</v>
      </c>
      <c r="H99" s="20" t="s">
        <v>0</v>
      </c>
      <c r="I99" s="22" t="s">
        <v>0</v>
      </c>
      <c r="J99" s="20" t="s">
        <v>0</v>
      </c>
      <c r="K99" s="20" t="s">
        <v>0</v>
      </c>
      <c r="L99" s="20" t="s">
        <v>0</v>
      </c>
      <c r="M99" s="23" t="s">
        <v>0</v>
      </c>
      <c r="N99" s="22" t="s">
        <v>0</v>
      </c>
      <c r="O99" s="22">
        <v>1.3443000000000001</v>
      </c>
    </row>
    <row r="100" spans="1:15" x14ac:dyDescent="0.25">
      <c r="A100" s="26" t="s">
        <v>24</v>
      </c>
      <c r="B100" s="20" t="s">
        <v>183</v>
      </c>
      <c r="C100" s="21">
        <v>1.75</v>
      </c>
      <c r="D100" s="20">
        <v>15.69</v>
      </c>
      <c r="E100" s="20">
        <v>18.489999999999998</v>
      </c>
      <c r="F100" s="20" t="s">
        <v>0</v>
      </c>
      <c r="G100" s="20" t="s">
        <v>0</v>
      </c>
      <c r="H100" s="20" t="s">
        <v>0</v>
      </c>
      <c r="I100" s="22" t="s">
        <v>0</v>
      </c>
      <c r="J100" s="20" t="s">
        <v>0</v>
      </c>
      <c r="K100" s="20" t="s">
        <v>0</v>
      </c>
      <c r="L100" s="20" t="s">
        <v>0</v>
      </c>
      <c r="M100" s="23" t="s">
        <v>0</v>
      </c>
      <c r="N100" s="22" t="s">
        <v>0</v>
      </c>
      <c r="O100" s="22">
        <v>1.3749</v>
      </c>
    </row>
    <row r="101" spans="1:15" x14ac:dyDescent="0.25">
      <c r="A101" s="26" t="s">
        <v>69</v>
      </c>
      <c r="B101" s="20" t="s">
        <v>185</v>
      </c>
      <c r="C101" s="21">
        <v>2.5</v>
      </c>
      <c r="D101" s="20">
        <v>16.09</v>
      </c>
      <c r="E101" s="20">
        <v>19.95</v>
      </c>
      <c r="F101" s="20" t="s">
        <v>0</v>
      </c>
      <c r="G101" s="20" t="s">
        <v>0</v>
      </c>
      <c r="H101" s="20" t="s">
        <v>0</v>
      </c>
      <c r="I101" s="22" t="s">
        <v>0</v>
      </c>
      <c r="J101" s="20" t="s">
        <v>0</v>
      </c>
      <c r="K101" s="20" t="s">
        <v>0</v>
      </c>
      <c r="L101" s="20" t="s">
        <v>0</v>
      </c>
      <c r="M101" s="23" t="s">
        <v>0</v>
      </c>
      <c r="N101" s="22" t="s">
        <v>0</v>
      </c>
      <c r="O101" s="22">
        <v>1.3982000000000001</v>
      </c>
    </row>
    <row r="102" spans="1:15" x14ac:dyDescent="0.25">
      <c r="A102" s="26" t="s">
        <v>311</v>
      </c>
      <c r="B102" s="20" t="s">
        <v>306</v>
      </c>
      <c r="C102" s="21">
        <v>1.875</v>
      </c>
      <c r="D102" s="20">
        <v>15.9</v>
      </c>
      <c r="E102" s="20">
        <v>19.11</v>
      </c>
      <c r="F102" s="20" t="s">
        <v>0</v>
      </c>
      <c r="G102" s="20" t="s">
        <v>0</v>
      </c>
      <c r="H102" s="20" t="s">
        <v>0</v>
      </c>
      <c r="I102" s="22" t="s">
        <v>0</v>
      </c>
      <c r="J102" s="20" t="s">
        <v>0</v>
      </c>
      <c r="K102" s="20" t="s">
        <v>0</v>
      </c>
      <c r="L102" s="20" t="s">
        <v>0</v>
      </c>
      <c r="M102" s="23" t="s">
        <v>0</v>
      </c>
      <c r="N102" s="22" t="s">
        <v>0</v>
      </c>
      <c r="O102" s="22">
        <v>1.3873</v>
      </c>
    </row>
    <row r="103" spans="1:15" x14ac:dyDescent="0.25">
      <c r="A103" s="26" t="s">
        <v>295</v>
      </c>
      <c r="B103" s="20" t="s">
        <v>187</v>
      </c>
      <c r="C103" s="21">
        <v>0.5</v>
      </c>
      <c r="D103" s="20">
        <v>16.04</v>
      </c>
      <c r="E103" s="20">
        <v>17.079999999999998</v>
      </c>
      <c r="F103" s="20" t="s">
        <v>0</v>
      </c>
      <c r="G103" s="20" t="s">
        <v>0</v>
      </c>
      <c r="H103" s="20" t="s">
        <v>0</v>
      </c>
      <c r="I103" s="22" t="s">
        <v>0</v>
      </c>
      <c r="J103" s="20" t="s">
        <v>0</v>
      </c>
      <c r="K103" s="20" t="s">
        <v>0</v>
      </c>
      <c r="L103" s="20" t="s">
        <v>0</v>
      </c>
      <c r="M103" s="23" t="s">
        <v>0</v>
      </c>
      <c r="N103" s="22" t="s">
        <v>0</v>
      </c>
      <c r="O103" s="22">
        <v>1.3568</v>
      </c>
    </row>
    <row r="104" spans="1:15" x14ac:dyDescent="0.25">
      <c r="A104" s="26" t="s">
        <v>70</v>
      </c>
      <c r="B104" s="20" t="s">
        <v>186</v>
      </c>
      <c r="C104" s="21">
        <v>1.625</v>
      </c>
      <c r="D104" s="20">
        <v>16.079999999999998</v>
      </c>
      <c r="E104" s="20">
        <v>19.010000000000002</v>
      </c>
      <c r="F104" s="20" t="s">
        <v>0</v>
      </c>
      <c r="G104" s="20" t="s">
        <v>0</v>
      </c>
      <c r="H104" s="20" t="s">
        <v>0</v>
      </c>
      <c r="I104" s="22" t="s">
        <v>0</v>
      </c>
      <c r="J104" s="20" t="s">
        <v>0</v>
      </c>
      <c r="K104" s="20" t="s">
        <v>0</v>
      </c>
      <c r="L104" s="20" t="s">
        <v>0</v>
      </c>
      <c r="M104" s="23" t="s">
        <v>0</v>
      </c>
      <c r="N104" s="22" t="s">
        <v>0</v>
      </c>
      <c r="O104" s="22">
        <v>1.3877999999999999</v>
      </c>
    </row>
    <row r="105" spans="1:15" x14ac:dyDescent="0.25">
      <c r="A105" s="26" t="s">
        <v>297</v>
      </c>
      <c r="B105" s="20" t="s">
        <v>193</v>
      </c>
      <c r="C105" s="21">
        <v>0.5</v>
      </c>
      <c r="D105" s="20">
        <v>16.399999999999999</v>
      </c>
      <c r="E105" s="20">
        <v>17.45</v>
      </c>
      <c r="F105" s="20" t="s">
        <v>0</v>
      </c>
      <c r="G105" s="20" t="s">
        <v>0</v>
      </c>
      <c r="H105" s="20" t="s">
        <v>0</v>
      </c>
      <c r="I105" s="22" t="s">
        <v>0</v>
      </c>
      <c r="J105" s="20" t="s">
        <v>0</v>
      </c>
      <c r="K105" s="20" t="s">
        <v>0</v>
      </c>
      <c r="L105" s="20" t="s">
        <v>0</v>
      </c>
      <c r="M105" s="23" t="s">
        <v>0</v>
      </c>
      <c r="N105" s="22" t="s">
        <v>0</v>
      </c>
      <c r="O105" s="22">
        <v>1.3653999999999999</v>
      </c>
    </row>
    <row r="106" spans="1:15" x14ac:dyDescent="0.25">
      <c r="A106" s="26" t="s">
        <v>41</v>
      </c>
      <c r="B106" s="20" t="s">
        <v>188</v>
      </c>
      <c r="C106" s="21">
        <v>1.75</v>
      </c>
      <c r="D106" s="20">
        <v>16.440000000000001</v>
      </c>
      <c r="E106" s="20">
        <v>19.52</v>
      </c>
      <c r="F106" s="20" t="s">
        <v>0</v>
      </c>
      <c r="G106" s="20" t="s">
        <v>0</v>
      </c>
      <c r="H106" s="20" t="s">
        <v>0</v>
      </c>
      <c r="I106" s="22" t="s">
        <v>0</v>
      </c>
      <c r="J106" s="20" t="s">
        <v>0</v>
      </c>
      <c r="K106" s="20" t="s">
        <v>0</v>
      </c>
      <c r="L106" s="20" t="s">
        <v>0</v>
      </c>
      <c r="M106" s="23" t="s">
        <v>0</v>
      </c>
      <c r="N106" s="22" t="s">
        <v>0</v>
      </c>
      <c r="O106" s="22">
        <v>1.3975</v>
      </c>
    </row>
    <row r="107" spans="1:15" x14ac:dyDescent="0.25">
      <c r="A107" s="26" t="s">
        <v>260</v>
      </c>
      <c r="B107" s="20" t="s">
        <v>192</v>
      </c>
      <c r="C107" s="21">
        <v>0.375</v>
      </c>
      <c r="D107" s="20">
        <v>16.5</v>
      </c>
      <c r="E107" s="20">
        <v>17.36</v>
      </c>
      <c r="F107" s="20" t="s">
        <v>0</v>
      </c>
      <c r="G107" s="20" t="s">
        <v>0</v>
      </c>
      <c r="H107" s="20" t="s">
        <v>0</v>
      </c>
      <c r="I107" s="22" t="s">
        <v>0</v>
      </c>
      <c r="J107" s="20" t="s">
        <v>0</v>
      </c>
      <c r="K107" s="20" t="s">
        <v>0</v>
      </c>
      <c r="L107" s="20" t="s">
        <v>0</v>
      </c>
      <c r="M107" s="23" t="s">
        <v>0</v>
      </c>
      <c r="N107" s="22" t="s">
        <v>0</v>
      </c>
      <c r="O107" s="22">
        <v>1.3649</v>
      </c>
    </row>
    <row r="108" spans="1:15" x14ac:dyDescent="0.25">
      <c r="A108" s="26" t="s">
        <v>256</v>
      </c>
      <c r="B108" s="20" t="s">
        <v>250</v>
      </c>
      <c r="C108" s="21">
        <v>1</v>
      </c>
      <c r="D108" s="20">
        <v>16.510000000000002</v>
      </c>
      <c r="E108" s="20">
        <v>18.420000000000002</v>
      </c>
      <c r="F108" s="20" t="s">
        <v>0</v>
      </c>
      <c r="G108" s="20" t="s">
        <v>0</v>
      </c>
      <c r="H108" s="20" t="s">
        <v>0</v>
      </c>
      <c r="I108" s="22" t="s">
        <v>0</v>
      </c>
      <c r="J108" s="20" t="s">
        <v>0</v>
      </c>
      <c r="K108" s="20" t="s">
        <v>0</v>
      </c>
      <c r="L108" s="20" t="s">
        <v>0</v>
      </c>
      <c r="M108" s="23" t="s">
        <v>0</v>
      </c>
      <c r="N108" s="22" t="s">
        <v>0</v>
      </c>
      <c r="O108" s="22">
        <v>1.3818999999999999</v>
      </c>
    </row>
    <row r="109" spans="1:15" x14ac:dyDescent="0.25">
      <c r="A109" s="26" t="s">
        <v>296</v>
      </c>
      <c r="B109" s="20" t="s">
        <v>213</v>
      </c>
      <c r="C109" s="21">
        <v>0.625</v>
      </c>
      <c r="D109" s="20">
        <v>16.52</v>
      </c>
      <c r="E109" s="20">
        <v>17.75</v>
      </c>
      <c r="F109" s="20" t="s">
        <v>0</v>
      </c>
      <c r="G109" s="20" t="s">
        <v>0</v>
      </c>
      <c r="H109" s="20" t="s">
        <v>0</v>
      </c>
      <c r="I109" s="22" t="s">
        <v>0</v>
      </c>
      <c r="J109" s="20" t="s">
        <v>0</v>
      </c>
      <c r="K109" s="20" t="s">
        <v>0</v>
      </c>
      <c r="L109" s="20" t="s">
        <v>0</v>
      </c>
      <c r="M109" s="23" t="s">
        <v>0</v>
      </c>
      <c r="N109" s="22" t="s">
        <v>0</v>
      </c>
      <c r="O109" s="22">
        <v>1.3712</v>
      </c>
    </row>
    <row r="110" spans="1:15" x14ac:dyDescent="0.25">
      <c r="A110" s="26" t="s">
        <v>72</v>
      </c>
      <c r="B110" s="20" t="s">
        <v>190</v>
      </c>
      <c r="C110" s="21">
        <v>2.25</v>
      </c>
      <c r="D110" s="20">
        <v>16.989999999999998</v>
      </c>
      <c r="E110" s="20">
        <v>20.96</v>
      </c>
      <c r="F110" s="20" t="s">
        <v>0</v>
      </c>
      <c r="G110" s="20" t="s">
        <v>0</v>
      </c>
      <c r="H110" s="20" t="s">
        <v>0</v>
      </c>
      <c r="I110" s="22" t="s">
        <v>0</v>
      </c>
      <c r="J110" s="20" t="s">
        <v>0</v>
      </c>
      <c r="K110" s="20" t="s">
        <v>0</v>
      </c>
      <c r="L110" s="20" t="s">
        <v>0</v>
      </c>
      <c r="M110" s="23" t="s">
        <v>0</v>
      </c>
      <c r="N110" s="22" t="s">
        <v>0</v>
      </c>
      <c r="O110" s="22">
        <v>1.4221999999999999</v>
      </c>
    </row>
    <row r="111" spans="1:15" x14ac:dyDescent="0.25">
      <c r="A111" s="26" t="s">
        <v>48</v>
      </c>
      <c r="B111" s="20" t="s">
        <v>189</v>
      </c>
      <c r="C111" s="21">
        <v>2.125</v>
      </c>
      <c r="D111" s="20">
        <v>16.7</v>
      </c>
      <c r="E111" s="20">
        <v>20.52</v>
      </c>
      <c r="F111" s="20" t="s">
        <v>0</v>
      </c>
      <c r="G111" s="20" t="s">
        <v>0</v>
      </c>
      <c r="H111" s="20" t="s">
        <v>0</v>
      </c>
      <c r="I111" s="22" t="s">
        <v>0</v>
      </c>
      <c r="J111" s="20" t="s">
        <v>0</v>
      </c>
      <c r="K111" s="20" t="s">
        <v>0</v>
      </c>
      <c r="L111" s="20" t="s">
        <v>0</v>
      </c>
      <c r="M111" s="23" t="s">
        <v>0</v>
      </c>
      <c r="N111" s="22" t="s">
        <v>0</v>
      </c>
      <c r="O111" s="22">
        <v>1.4145000000000001</v>
      </c>
    </row>
    <row r="112" spans="1:15" x14ac:dyDescent="0.25">
      <c r="A112" s="26" t="s">
        <v>259</v>
      </c>
      <c r="B112" s="20" t="s">
        <v>251</v>
      </c>
      <c r="C112" s="21">
        <v>0.875</v>
      </c>
      <c r="D112" s="20">
        <v>16.809999999999999</v>
      </c>
      <c r="E112" s="20">
        <v>18.54</v>
      </c>
      <c r="F112" s="20" t="s">
        <v>0</v>
      </c>
      <c r="G112" s="20" t="s">
        <v>0</v>
      </c>
      <c r="H112" s="20" t="s">
        <v>0</v>
      </c>
      <c r="I112" s="22" t="s">
        <v>0</v>
      </c>
      <c r="J112" s="20" t="s">
        <v>0</v>
      </c>
      <c r="K112" s="20" t="s">
        <v>0</v>
      </c>
      <c r="L112" s="20" t="s">
        <v>0</v>
      </c>
      <c r="M112" s="23" t="s">
        <v>0</v>
      </c>
      <c r="N112" s="22" t="s">
        <v>0</v>
      </c>
      <c r="O112" s="22">
        <v>1.3863000000000001</v>
      </c>
    </row>
    <row r="113" spans="1:15" x14ac:dyDescent="0.25">
      <c r="A113" s="26" t="s">
        <v>298</v>
      </c>
      <c r="B113" s="20" t="s">
        <v>233</v>
      </c>
      <c r="C113" s="21">
        <v>0.625</v>
      </c>
      <c r="D113" s="20">
        <v>16.87</v>
      </c>
      <c r="E113" s="20">
        <v>18.23</v>
      </c>
      <c r="F113" s="20" t="s">
        <v>0</v>
      </c>
      <c r="G113" s="20" t="s">
        <v>0</v>
      </c>
      <c r="H113" s="20" t="s">
        <v>0</v>
      </c>
      <c r="I113" s="22" t="s">
        <v>0</v>
      </c>
      <c r="J113" s="20" t="s">
        <v>0</v>
      </c>
      <c r="K113" s="20" t="s">
        <v>0</v>
      </c>
      <c r="L113" s="20" t="s">
        <v>0</v>
      </c>
      <c r="M113" s="23" t="s">
        <v>0</v>
      </c>
      <c r="N113" s="22" t="s">
        <v>0</v>
      </c>
      <c r="O113" s="22">
        <v>1.3824000000000001</v>
      </c>
    </row>
    <row r="114" spans="1:15" x14ac:dyDescent="0.25">
      <c r="A114" s="26" t="s">
        <v>331</v>
      </c>
      <c r="B114" s="20" t="s">
        <v>332</v>
      </c>
      <c r="C114" s="21">
        <v>1.375</v>
      </c>
      <c r="D114" s="20">
        <v>16.91</v>
      </c>
      <c r="E114" s="20">
        <v>19.54</v>
      </c>
      <c r="F114" s="20">
        <v>1.3859999999999999</v>
      </c>
      <c r="G114" s="20">
        <v>1.3859999999999999</v>
      </c>
      <c r="H114" s="20">
        <v>1.3859999999999999</v>
      </c>
      <c r="I114" s="22">
        <v>1.5</v>
      </c>
      <c r="J114" s="20">
        <v>1.385</v>
      </c>
      <c r="K114" s="20">
        <v>1.385</v>
      </c>
      <c r="L114" s="20">
        <v>1.385</v>
      </c>
      <c r="M114" s="23">
        <v>2</v>
      </c>
      <c r="N114" s="22">
        <v>1.5</v>
      </c>
      <c r="O114" s="22">
        <v>1.4026000000000001</v>
      </c>
    </row>
    <row r="115" spans="1:15" x14ac:dyDescent="0.25">
      <c r="A115" s="26" t="s">
        <v>299</v>
      </c>
      <c r="B115" s="20" t="s">
        <v>224</v>
      </c>
      <c r="C115" s="21">
        <v>0.5</v>
      </c>
      <c r="D115" s="20">
        <v>16.95</v>
      </c>
      <c r="E115" s="20">
        <v>18.11</v>
      </c>
      <c r="F115" s="20" t="s">
        <v>0</v>
      </c>
      <c r="G115" s="20" t="s">
        <v>0</v>
      </c>
      <c r="H115" s="20" t="s">
        <v>0</v>
      </c>
      <c r="I115" s="22" t="s">
        <v>0</v>
      </c>
      <c r="J115" s="20" t="s">
        <v>0</v>
      </c>
      <c r="K115" s="20" t="s">
        <v>0</v>
      </c>
      <c r="L115" s="20" t="s">
        <v>0</v>
      </c>
      <c r="M115" s="23" t="s">
        <v>0</v>
      </c>
      <c r="N115" s="22" t="s">
        <v>0</v>
      </c>
      <c r="O115" s="22">
        <v>1.3812</v>
      </c>
    </row>
    <row r="116" spans="1:15" x14ac:dyDescent="0.25">
      <c r="A116" s="26" t="s">
        <v>71</v>
      </c>
      <c r="B116" s="20" t="s">
        <v>195</v>
      </c>
      <c r="C116" s="21">
        <v>2.25</v>
      </c>
      <c r="D116" s="20">
        <v>16.97</v>
      </c>
      <c r="E116" s="20">
        <v>21.27</v>
      </c>
      <c r="F116" s="20" t="s">
        <v>0</v>
      </c>
      <c r="G116" s="20" t="s">
        <v>0</v>
      </c>
      <c r="H116" s="20" t="s">
        <v>0</v>
      </c>
      <c r="I116" s="22" t="s">
        <v>0</v>
      </c>
      <c r="J116" s="20" t="s">
        <v>0</v>
      </c>
      <c r="K116" s="20" t="s">
        <v>0</v>
      </c>
      <c r="L116" s="20" t="s">
        <v>0</v>
      </c>
      <c r="M116" s="23" t="s">
        <v>0</v>
      </c>
      <c r="N116" s="22" t="s">
        <v>0</v>
      </c>
      <c r="O116" s="22">
        <v>1.4287000000000001</v>
      </c>
    </row>
    <row r="117" spans="1:15" x14ac:dyDescent="0.25">
      <c r="A117" s="26" t="s">
        <v>55</v>
      </c>
      <c r="B117" s="20" t="s">
        <v>191</v>
      </c>
      <c r="C117" s="21">
        <v>2.375</v>
      </c>
      <c r="D117" s="20">
        <v>17.04</v>
      </c>
      <c r="E117" s="20">
        <v>21.49</v>
      </c>
      <c r="F117" s="20" t="s">
        <v>0</v>
      </c>
      <c r="G117" s="20" t="s">
        <v>0</v>
      </c>
      <c r="H117" s="20" t="s">
        <v>0</v>
      </c>
      <c r="I117" s="22" t="s">
        <v>0</v>
      </c>
      <c r="J117" s="20" t="s">
        <v>0</v>
      </c>
      <c r="K117" s="20" t="s">
        <v>0</v>
      </c>
      <c r="L117" s="20" t="s">
        <v>0</v>
      </c>
      <c r="M117" s="23" t="s">
        <v>0</v>
      </c>
      <c r="N117" s="22" t="s">
        <v>0</v>
      </c>
      <c r="O117" s="22">
        <v>1.4316</v>
      </c>
    </row>
    <row r="118" spans="1:15" x14ac:dyDescent="0.25">
      <c r="A118" s="26" t="s">
        <v>73</v>
      </c>
      <c r="B118" s="20" t="s">
        <v>194</v>
      </c>
      <c r="C118" s="21">
        <v>2</v>
      </c>
      <c r="D118" s="20">
        <v>17.09</v>
      </c>
      <c r="E118" s="20">
        <v>20.77</v>
      </c>
      <c r="F118" s="20" t="s">
        <v>0</v>
      </c>
      <c r="G118" s="20" t="s">
        <v>0</v>
      </c>
      <c r="H118" s="20" t="s">
        <v>0</v>
      </c>
      <c r="I118" s="22" t="s">
        <v>0</v>
      </c>
      <c r="J118" s="20" t="s">
        <v>0</v>
      </c>
      <c r="K118" s="20" t="s">
        <v>0</v>
      </c>
      <c r="L118" s="20" t="s">
        <v>0</v>
      </c>
      <c r="M118" s="23" t="s">
        <v>0</v>
      </c>
      <c r="N118" s="22" t="s">
        <v>0</v>
      </c>
      <c r="O118" s="22">
        <v>1.4214</v>
      </c>
    </row>
    <row r="119" spans="1:15" x14ac:dyDescent="0.25">
      <c r="A119" s="26" t="s">
        <v>380</v>
      </c>
      <c r="B119" s="20" t="s">
        <v>381</v>
      </c>
      <c r="C119" s="21">
        <v>1.375</v>
      </c>
      <c r="D119" s="20">
        <v>17.37</v>
      </c>
      <c r="E119" s="20">
        <v>20</v>
      </c>
      <c r="F119" s="20" t="s">
        <v>0</v>
      </c>
      <c r="G119" s="20" t="s">
        <v>0</v>
      </c>
      <c r="H119" s="20" t="s">
        <v>0</v>
      </c>
      <c r="I119" s="22" t="s">
        <v>0</v>
      </c>
      <c r="J119" s="20" t="s">
        <v>0</v>
      </c>
      <c r="K119" s="20" t="s">
        <v>0</v>
      </c>
      <c r="L119" s="20" t="s">
        <v>0</v>
      </c>
      <c r="M119" s="23" t="s">
        <v>0</v>
      </c>
      <c r="N119" s="22" t="s">
        <v>0</v>
      </c>
      <c r="O119" s="22">
        <v>1.4131</v>
      </c>
    </row>
    <row r="120" spans="1:15" x14ac:dyDescent="0.25">
      <c r="A120" s="26" t="s">
        <v>74</v>
      </c>
      <c r="B120" s="20" t="s">
        <v>196</v>
      </c>
      <c r="C120" s="21">
        <v>2.375</v>
      </c>
      <c r="D120" s="20">
        <v>17.29</v>
      </c>
      <c r="E120" s="20">
        <v>21.74</v>
      </c>
      <c r="F120" s="20" t="s">
        <v>0</v>
      </c>
      <c r="G120" s="20" t="s">
        <v>0</v>
      </c>
      <c r="H120" s="20" t="s">
        <v>0</v>
      </c>
      <c r="I120" s="22" t="s">
        <v>0</v>
      </c>
      <c r="J120" s="20" t="s">
        <v>0</v>
      </c>
      <c r="K120" s="20" t="s">
        <v>0</v>
      </c>
      <c r="L120" s="20" t="s">
        <v>0</v>
      </c>
      <c r="M120" s="23" t="s">
        <v>0</v>
      </c>
      <c r="N120" s="22" t="s">
        <v>0</v>
      </c>
      <c r="O120" s="22">
        <v>1.4368000000000001</v>
      </c>
    </row>
    <row r="121" spans="1:15" x14ac:dyDescent="0.25">
      <c r="A121" s="26" t="s">
        <v>75</v>
      </c>
      <c r="B121" s="20" t="s">
        <v>197</v>
      </c>
      <c r="C121" s="21">
        <v>2.25</v>
      </c>
      <c r="D121" s="20">
        <v>17.66</v>
      </c>
      <c r="E121" s="20">
        <v>21.97</v>
      </c>
      <c r="F121" s="20" t="s">
        <v>0</v>
      </c>
      <c r="G121" s="20" t="s">
        <v>0</v>
      </c>
      <c r="H121" s="20" t="s">
        <v>0</v>
      </c>
      <c r="I121" s="22" t="s">
        <v>0</v>
      </c>
      <c r="J121" s="20" t="s">
        <v>0</v>
      </c>
      <c r="K121" s="20" t="s">
        <v>0</v>
      </c>
      <c r="L121" s="20" t="s">
        <v>0</v>
      </c>
      <c r="M121" s="23" t="s">
        <v>0</v>
      </c>
      <c r="N121" s="22" t="s">
        <v>0</v>
      </c>
      <c r="O121" s="22">
        <v>1.4434</v>
      </c>
    </row>
    <row r="122" spans="1:15" x14ac:dyDescent="0.25">
      <c r="A122" s="26" t="s">
        <v>76</v>
      </c>
      <c r="B122" s="20" t="s">
        <v>198</v>
      </c>
      <c r="C122" s="21">
        <v>2</v>
      </c>
      <c r="D122" s="20">
        <v>18.55</v>
      </c>
      <c r="E122" s="20">
        <v>23.27</v>
      </c>
      <c r="F122" s="20" t="s">
        <v>0</v>
      </c>
      <c r="G122" s="20" t="s">
        <v>0</v>
      </c>
      <c r="H122" s="20" t="s">
        <v>0</v>
      </c>
      <c r="I122" s="22" t="s">
        <v>0</v>
      </c>
      <c r="J122" s="20" t="s">
        <v>0</v>
      </c>
      <c r="K122" s="20" t="s">
        <v>0</v>
      </c>
      <c r="L122" s="20" t="s">
        <v>0</v>
      </c>
      <c r="M122" s="23" t="s">
        <v>0</v>
      </c>
      <c r="N122" s="22" t="s">
        <v>0</v>
      </c>
      <c r="O122" s="22">
        <v>1.4738</v>
      </c>
    </row>
    <row r="123" spans="1:15" x14ac:dyDescent="0.25">
      <c r="A123" s="26" t="s">
        <v>77</v>
      </c>
      <c r="B123" s="20" t="s">
        <v>199</v>
      </c>
      <c r="C123" s="21">
        <v>1.625</v>
      </c>
      <c r="D123" s="20">
        <v>18.899999999999999</v>
      </c>
      <c r="E123" s="20">
        <v>22.75</v>
      </c>
      <c r="F123" s="20" t="s">
        <v>0</v>
      </c>
      <c r="G123" s="20" t="s">
        <v>0</v>
      </c>
      <c r="H123" s="20" t="s">
        <v>0</v>
      </c>
      <c r="I123" s="22" t="s">
        <v>0</v>
      </c>
      <c r="J123" s="20" t="s">
        <v>0</v>
      </c>
      <c r="K123" s="20" t="s">
        <v>0</v>
      </c>
      <c r="L123" s="20" t="s">
        <v>0</v>
      </c>
      <c r="M123" s="23" t="s">
        <v>0</v>
      </c>
      <c r="N123" s="22" t="s">
        <v>0</v>
      </c>
      <c r="O123" s="22">
        <v>1.4691000000000001</v>
      </c>
    </row>
    <row r="124" spans="1:15" x14ac:dyDescent="0.25">
      <c r="A124" s="26" t="s">
        <v>78</v>
      </c>
      <c r="B124" s="20" t="s">
        <v>200</v>
      </c>
      <c r="C124" s="21">
        <v>1.875</v>
      </c>
      <c r="D124" s="20">
        <v>19.21</v>
      </c>
      <c r="E124" s="20">
        <v>23.77</v>
      </c>
      <c r="F124" s="20" t="s">
        <v>0</v>
      </c>
      <c r="G124" s="20" t="s">
        <v>0</v>
      </c>
      <c r="H124" s="20" t="s">
        <v>0</v>
      </c>
      <c r="I124" s="22" t="s">
        <v>0</v>
      </c>
      <c r="J124" s="20" t="s">
        <v>0</v>
      </c>
      <c r="K124" s="20" t="s">
        <v>0</v>
      </c>
      <c r="L124" s="20" t="s">
        <v>0</v>
      </c>
      <c r="M124" s="23" t="s">
        <v>0</v>
      </c>
      <c r="N124" s="22" t="s">
        <v>0</v>
      </c>
      <c r="O124" s="22">
        <v>1.4862</v>
      </c>
    </row>
    <row r="125" spans="1:15" x14ac:dyDescent="0.25">
      <c r="A125" s="26" t="s">
        <v>79</v>
      </c>
      <c r="B125" s="20" t="s">
        <v>201</v>
      </c>
      <c r="C125" s="21">
        <v>1.375</v>
      </c>
      <c r="D125" s="20">
        <v>19.5</v>
      </c>
      <c r="E125" s="20">
        <v>22.96</v>
      </c>
      <c r="F125" s="20" t="s">
        <v>0</v>
      </c>
      <c r="G125" s="20" t="s">
        <v>0</v>
      </c>
      <c r="H125" s="20" t="s">
        <v>0</v>
      </c>
      <c r="I125" s="22" t="s">
        <v>0</v>
      </c>
      <c r="J125" s="20" t="s">
        <v>0</v>
      </c>
      <c r="K125" s="20" t="s">
        <v>0</v>
      </c>
      <c r="L125" s="20" t="s">
        <v>0</v>
      </c>
      <c r="M125" s="23" t="s">
        <v>0</v>
      </c>
      <c r="N125" s="22" t="s">
        <v>0</v>
      </c>
      <c r="O125" s="22">
        <v>1.478</v>
      </c>
    </row>
    <row r="126" spans="1:15" x14ac:dyDescent="0.25">
      <c r="A126" s="26" t="s">
        <v>80</v>
      </c>
      <c r="B126" s="20" t="s">
        <v>202</v>
      </c>
      <c r="C126" s="21">
        <v>1.625</v>
      </c>
      <c r="D126" s="20">
        <v>19.77</v>
      </c>
      <c r="E126" s="20">
        <v>24.26</v>
      </c>
      <c r="F126" s="20" t="s">
        <v>0</v>
      </c>
      <c r="G126" s="20" t="s">
        <v>0</v>
      </c>
      <c r="H126" s="20" t="s">
        <v>0</v>
      </c>
      <c r="I126" s="22" t="s">
        <v>0</v>
      </c>
      <c r="J126" s="20" t="s">
        <v>0</v>
      </c>
      <c r="K126" s="20" t="s">
        <v>0</v>
      </c>
      <c r="L126" s="20" t="s">
        <v>0</v>
      </c>
      <c r="M126" s="23" t="s">
        <v>0</v>
      </c>
      <c r="N126" s="22" t="s">
        <v>0</v>
      </c>
      <c r="O126" s="22">
        <v>1.5008999999999999</v>
      </c>
    </row>
    <row r="127" spans="1:15" x14ac:dyDescent="0.25">
      <c r="A127" s="26" t="s">
        <v>81</v>
      </c>
      <c r="B127" s="20" t="s">
        <v>203</v>
      </c>
      <c r="C127" s="21">
        <v>1.5</v>
      </c>
      <c r="D127" s="20">
        <v>20.45</v>
      </c>
      <c r="E127" s="20">
        <v>24.75</v>
      </c>
      <c r="F127" s="20" t="s">
        <v>0</v>
      </c>
      <c r="G127" s="20" t="s">
        <v>0</v>
      </c>
      <c r="H127" s="20" t="s">
        <v>0</v>
      </c>
      <c r="I127" s="22" t="s">
        <v>0</v>
      </c>
      <c r="J127" s="20" t="s">
        <v>0</v>
      </c>
      <c r="K127" s="20" t="s">
        <v>0</v>
      </c>
      <c r="L127" s="20" t="s">
        <v>0</v>
      </c>
      <c r="M127" s="23" t="s">
        <v>0</v>
      </c>
      <c r="N127" s="22" t="s">
        <v>0</v>
      </c>
      <c r="O127" s="22">
        <v>1.5133000000000001</v>
      </c>
    </row>
    <row r="128" spans="1:15" x14ac:dyDescent="0.25">
      <c r="A128" s="26" t="s">
        <v>57</v>
      </c>
      <c r="B128" s="20" t="s">
        <v>204</v>
      </c>
      <c r="C128" s="21">
        <v>1.375</v>
      </c>
      <c r="D128" s="20">
        <v>20.85</v>
      </c>
      <c r="E128" s="20">
        <v>25.22</v>
      </c>
      <c r="F128" s="20" t="s">
        <v>0</v>
      </c>
      <c r="G128" s="20" t="s">
        <v>0</v>
      </c>
      <c r="H128" s="20" t="s">
        <v>0</v>
      </c>
      <c r="I128" s="22" t="s">
        <v>0</v>
      </c>
      <c r="J128" s="20" t="s">
        <v>0</v>
      </c>
      <c r="K128" s="20" t="s">
        <v>0</v>
      </c>
      <c r="L128" s="20" t="s">
        <v>0</v>
      </c>
      <c r="M128" s="23" t="s">
        <v>0</v>
      </c>
      <c r="N128" s="22" t="s">
        <v>0</v>
      </c>
      <c r="O128" s="22">
        <v>1.5259</v>
      </c>
    </row>
    <row r="129" spans="1:15" x14ac:dyDescent="0.25">
      <c r="A129" s="26" t="s">
        <v>320</v>
      </c>
      <c r="B129" s="20" t="s">
        <v>315</v>
      </c>
      <c r="C129" s="21">
        <v>2.375</v>
      </c>
      <c r="D129" s="20">
        <v>21.45</v>
      </c>
      <c r="E129" s="20">
        <v>29.23</v>
      </c>
      <c r="F129" s="20" t="s">
        <v>0</v>
      </c>
      <c r="G129" s="20" t="s">
        <v>0</v>
      </c>
      <c r="H129" s="20" t="s">
        <v>0</v>
      </c>
      <c r="I129" s="22" t="s">
        <v>0</v>
      </c>
      <c r="J129" s="20" t="s">
        <v>0</v>
      </c>
      <c r="K129" s="20" t="s">
        <v>0</v>
      </c>
      <c r="L129" s="20" t="s">
        <v>0</v>
      </c>
      <c r="M129" s="23" t="s">
        <v>0</v>
      </c>
      <c r="N129" s="22" t="s">
        <v>0</v>
      </c>
      <c r="O129" s="22">
        <v>1.581</v>
      </c>
    </row>
    <row r="130" spans="1:15" x14ac:dyDescent="0.25">
      <c r="A130" s="26" t="s">
        <v>84</v>
      </c>
      <c r="B130" s="20" t="s">
        <v>205</v>
      </c>
      <c r="C130" s="21">
        <v>1.125</v>
      </c>
      <c r="D130" s="20">
        <v>21.89</v>
      </c>
      <c r="E130" s="20">
        <v>25.74</v>
      </c>
      <c r="F130" s="20" t="s">
        <v>0</v>
      </c>
      <c r="G130" s="20" t="s">
        <v>0</v>
      </c>
      <c r="H130" s="20" t="s">
        <v>0</v>
      </c>
      <c r="I130" s="22" t="s">
        <v>0</v>
      </c>
      <c r="J130" s="20" t="s">
        <v>0</v>
      </c>
      <c r="K130" s="20" t="s">
        <v>0</v>
      </c>
      <c r="L130" s="20" t="s">
        <v>0</v>
      </c>
      <c r="M130" s="23" t="s">
        <v>0</v>
      </c>
      <c r="N130" s="22" t="s">
        <v>0</v>
      </c>
      <c r="O130" s="22">
        <v>1.5423</v>
      </c>
    </row>
    <row r="131" spans="1:15" x14ac:dyDescent="0.25">
      <c r="A131" s="26" t="s">
        <v>268</v>
      </c>
      <c r="B131" s="20" t="s">
        <v>267</v>
      </c>
      <c r="C131" s="21">
        <v>2</v>
      </c>
      <c r="D131" s="20">
        <v>22.03</v>
      </c>
      <c r="E131" s="20">
        <v>28.75</v>
      </c>
      <c r="F131" s="20" t="s">
        <v>0</v>
      </c>
      <c r="G131" s="20" t="s">
        <v>0</v>
      </c>
      <c r="H131" s="20" t="s">
        <v>0</v>
      </c>
      <c r="I131" s="22" t="s">
        <v>0</v>
      </c>
      <c r="J131" s="20" t="s">
        <v>0</v>
      </c>
      <c r="K131" s="20" t="s">
        <v>0</v>
      </c>
      <c r="L131" s="20" t="s">
        <v>0</v>
      </c>
      <c r="M131" s="23" t="s">
        <v>0</v>
      </c>
      <c r="N131" s="22" t="s">
        <v>0</v>
      </c>
      <c r="O131" s="22">
        <v>1.5808</v>
      </c>
    </row>
    <row r="132" spans="1:15" x14ac:dyDescent="0.25">
      <c r="A132" s="26" t="s">
        <v>51</v>
      </c>
      <c r="B132" s="20" t="s">
        <v>206</v>
      </c>
      <c r="C132" s="21">
        <v>1</v>
      </c>
      <c r="D132" s="20">
        <v>22.39</v>
      </c>
      <c r="E132" s="20">
        <v>26.22</v>
      </c>
      <c r="F132" s="20" t="s">
        <v>0</v>
      </c>
      <c r="G132" s="20" t="s">
        <v>0</v>
      </c>
      <c r="H132" s="20" t="s">
        <v>0</v>
      </c>
      <c r="I132" s="22" t="s">
        <v>0</v>
      </c>
      <c r="J132" s="20" t="s">
        <v>0</v>
      </c>
      <c r="K132" s="20" t="s">
        <v>0</v>
      </c>
      <c r="L132" s="20" t="s">
        <v>0</v>
      </c>
      <c r="M132" s="23" t="s">
        <v>0</v>
      </c>
      <c r="N132" s="22" t="s">
        <v>0</v>
      </c>
      <c r="O132" s="22">
        <v>1.5555000000000001</v>
      </c>
    </row>
    <row r="133" spans="1:15" x14ac:dyDescent="0.25">
      <c r="A133" s="26" t="s">
        <v>300</v>
      </c>
      <c r="B133" s="20" t="s">
        <v>207</v>
      </c>
      <c r="C133" s="21">
        <v>0.75</v>
      </c>
      <c r="D133" s="20">
        <v>23.56</v>
      </c>
      <c r="E133" s="20">
        <v>26.73</v>
      </c>
      <c r="F133" s="20" t="s">
        <v>0</v>
      </c>
      <c r="G133" s="20" t="s">
        <v>0</v>
      </c>
      <c r="H133" s="20" t="s">
        <v>0</v>
      </c>
      <c r="I133" s="22" t="s">
        <v>0</v>
      </c>
      <c r="J133" s="20" t="s">
        <v>0</v>
      </c>
      <c r="K133" s="20" t="s">
        <v>0</v>
      </c>
      <c r="L133" s="20" t="s">
        <v>0</v>
      </c>
      <c r="M133" s="23" t="s">
        <v>0</v>
      </c>
      <c r="N133" s="22" t="s">
        <v>0</v>
      </c>
      <c r="O133" s="22">
        <v>1.5729</v>
      </c>
    </row>
    <row r="134" spans="1:15" x14ac:dyDescent="0.25">
      <c r="A134" s="26" t="s">
        <v>301</v>
      </c>
      <c r="B134" s="20" t="s">
        <v>238</v>
      </c>
      <c r="C134" s="21">
        <v>1.125</v>
      </c>
      <c r="D134" s="20">
        <v>23.56</v>
      </c>
      <c r="E134" s="20">
        <v>28.34</v>
      </c>
      <c r="F134" s="20" t="s">
        <v>0</v>
      </c>
      <c r="G134" s="20" t="s">
        <v>0</v>
      </c>
      <c r="H134" s="20" t="s">
        <v>0</v>
      </c>
      <c r="I134" s="22" t="s">
        <v>0</v>
      </c>
      <c r="J134" s="20" t="s">
        <v>0</v>
      </c>
      <c r="K134" s="20" t="s">
        <v>0</v>
      </c>
      <c r="L134" s="20" t="s">
        <v>0</v>
      </c>
      <c r="M134" s="23" t="s">
        <v>0</v>
      </c>
      <c r="N134" s="22" t="s">
        <v>0</v>
      </c>
      <c r="O134" s="22">
        <v>1.5953999999999999</v>
      </c>
    </row>
    <row r="135" spans="1:15" x14ac:dyDescent="0.25">
      <c r="A135" s="26" t="s">
        <v>363</v>
      </c>
      <c r="B135" s="20" t="s">
        <v>364</v>
      </c>
      <c r="C135" s="21">
        <v>1.5</v>
      </c>
      <c r="D135" s="20">
        <v>23.63</v>
      </c>
      <c r="E135" s="20">
        <v>29.73</v>
      </c>
      <c r="F135" s="20" t="s">
        <v>0</v>
      </c>
      <c r="G135" s="20" t="s">
        <v>0</v>
      </c>
      <c r="H135" s="20" t="s">
        <v>0</v>
      </c>
      <c r="I135" s="22" t="s">
        <v>0</v>
      </c>
      <c r="J135" s="20" t="s">
        <v>0</v>
      </c>
      <c r="K135" s="20" t="s">
        <v>0</v>
      </c>
      <c r="L135" s="20" t="s">
        <v>0</v>
      </c>
      <c r="M135" s="23" t="s">
        <v>0</v>
      </c>
      <c r="N135" s="22" t="s">
        <v>0</v>
      </c>
      <c r="O135" s="22">
        <v>1.6112</v>
      </c>
    </row>
    <row r="136" spans="1:15" x14ac:dyDescent="0.25">
      <c r="A136" s="26" t="s">
        <v>302</v>
      </c>
      <c r="B136" s="20" t="s">
        <v>209</v>
      </c>
      <c r="C136" s="21">
        <v>0.625</v>
      </c>
      <c r="D136" s="20">
        <v>24.52</v>
      </c>
      <c r="E136" s="20">
        <v>27.52</v>
      </c>
      <c r="F136" s="20" t="s">
        <v>0</v>
      </c>
      <c r="G136" s="20" t="s">
        <v>0</v>
      </c>
      <c r="H136" s="20" t="s">
        <v>0</v>
      </c>
      <c r="I136" s="22" t="s">
        <v>0</v>
      </c>
      <c r="J136" s="20" t="s">
        <v>0</v>
      </c>
      <c r="K136" s="20" t="s">
        <v>0</v>
      </c>
      <c r="L136" s="20" t="s">
        <v>0</v>
      </c>
      <c r="M136" s="23" t="s">
        <v>0</v>
      </c>
      <c r="N136" s="22" t="s">
        <v>0</v>
      </c>
      <c r="O136" s="22">
        <v>1.5934999999999999</v>
      </c>
    </row>
    <row r="137" spans="1:15" x14ac:dyDescent="0.25">
      <c r="A137" s="32" t="s">
        <v>303</v>
      </c>
      <c r="B137" s="20" t="s">
        <v>208</v>
      </c>
      <c r="C137" s="21">
        <v>0.375</v>
      </c>
      <c r="D137" s="20">
        <v>25.18</v>
      </c>
      <c r="E137" s="20">
        <v>27.27</v>
      </c>
      <c r="F137" s="20" t="s">
        <v>0</v>
      </c>
      <c r="G137" s="20" t="s">
        <v>0</v>
      </c>
      <c r="H137" s="20" t="s">
        <v>0</v>
      </c>
      <c r="I137" s="22" t="s">
        <v>0</v>
      </c>
      <c r="J137" s="20" t="s">
        <v>0</v>
      </c>
      <c r="K137" s="20" t="s">
        <v>0</v>
      </c>
      <c r="L137" s="20" t="s">
        <v>0</v>
      </c>
      <c r="M137" s="23" t="s">
        <v>0</v>
      </c>
      <c r="N137" s="22" t="s">
        <v>0</v>
      </c>
      <c r="O137" s="22">
        <v>1.5962000000000001</v>
      </c>
    </row>
    <row r="138" spans="1:15" x14ac:dyDescent="0.25">
      <c r="A138" s="26" t="s">
        <v>433</v>
      </c>
      <c r="B138" s="34" t="s">
        <v>437</v>
      </c>
      <c r="C138" s="40">
        <v>3.79</v>
      </c>
      <c r="D138" s="40">
        <v>4.01</v>
      </c>
      <c r="E138" s="20"/>
      <c r="F138" s="20">
        <v>1.5629999999999999</v>
      </c>
      <c r="G138" s="20">
        <v>1.56</v>
      </c>
      <c r="H138" s="20">
        <v>1.5615000000000001</v>
      </c>
      <c r="I138" s="22">
        <v>2</v>
      </c>
      <c r="J138" s="20" t="s">
        <v>0</v>
      </c>
      <c r="K138" s="20" t="s">
        <v>0</v>
      </c>
      <c r="L138" s="20" t="s">
        <v>0</v>
      </c>
      <c r="M138" s="23" t="s">
        <v>0</v>
      </c>
      <c r="N138" s="22" t="s">
        <v>0</v>
      </c>
      <c r="O138" s="22" t="e">
        <v>#N/A</v>
      </c>
    </row>
    <row r="139" spans="1:15" x14ac:dyDescent="0.25">
      <c r="A139" s="26" t="s">
        <v>641</v>
      </c>
      <c r="B139" s="34" t="s">
        <v>645</v>
      </c>
      <c r="C139" s="40">
        <v>8.19</v>
      </c>
      <c r="D139" s="40">
        <v>9.17</v>
      </c>
      <c r="E139" s="20"/>
      <c r="F139" s="20">
        <v>1.76</v>
      </c>
      <c r="G139" s="20">
        <v>1.76</v>
      </c>
      <c r="H139" s="20">
        <v>1.76</v>
      </c>
      <c r="I139" s="22">
        <v>4</v>
      </c>
      <c r="J139" s="20" t="s">
        <v>0</v>
      </c>
      <c r="K139" s="20" t="s">
        <v>0</v>
      </c>
      <c r="L139" s="20" t="s">
        <v>0</v>
      </c>
      <c r="M139" s="23" t="s">
        <v>0</v>
      </c>
      <c r="N139" s="22" t="s">
        <v>0</v>
      </c>
      <c r="O139" s="22" t="e">
        <v>#N/A</v>
      </c>
    </row>
    <row r="140" spans="1:15" x14ac:dyDescent="0.25">
      <c r="A140" s="26" t="s">
        <v>508</v>
      </c>
      <c r="B140" s="34" t="s">
        <v>509</v>
      </c>
      <c r="C140" s="40">
        <v>2.78</v>
      </c>
      <c r="D140" s="40">
        <v>2.88</v>
      </c>
      <c r="E140" s="20"/>
      <c r="F140" s="20">
        <v>1.4850000000000001</v>
      </c>
      <c r="G140" s="20">
        <v>1.4850000000000001</v>
      </c>
      <c r="H140" s="20">
        <v>1.4850000000000001</v>
      </c>
      <c r="I140" s="22">
        <v>2</v>
      </c>
      <c r="J140" s="20" t="s">
        <v>0</v>
      </c>
      <c r="K140" s="20" t="s">
        <v>0</v>
      </c>
      <c r="L140" s="20" t="s">
        <v>0</v>
      </c>
      <c r="M140" s="23" t="s">
        <v>0</v>
      </c>
      <c r="N140" s="22" t="s">
        <v>0</v>
      </c>
      <c r="O140" s="22" t="e">
        <v>#N/A</v>
      </c>
    </row>
    <row r="141" spans="1:15" x14ac:dyDescent="0.25">
      <c r="A141" s="26" t="s">
        <v>643</v>
      </c>
      <c r="B141" s="34" t="s">
        <v>646</v>
      </c>
      <c r="C141" s="40">
        <v>2.72</v>
      </c>
      <c r="D141" s="40">
        <v>2.81</v>
      </c>
      <c r="E141" s="20"/>
      <c r="F141" s="20">
        <v>1.52</v>
      </c>
      <c r="G141" s="20">
        <v>1.52</v>
      </c>
      <c r="H141" s="20">
        <v>1.52</v>
      </c>
      <c r="I141" s="22">
        <v>1</v>
      </c>
      <c r="J141" s="20" t="s">
        <v>0</v>
      </c>
      <c r="K141" s="20" t="s">
        <v>0</v>
      </c>
      <c r="L141" s="20" t="s">
        <v>0</v>
      </c>
      <c r="M141" s="23" t="s">
        <v>0</v>
      </c>
      <c r="N141" s="22" t="s">
        <v>0</v>
      </c>
      <c r="O141" s="22" t="e">
        <v>#N/A</v>
      </c>
    </row>
    <row r="142" spans="1:15" x14ac:dyDescent="0.25">
      <c r="A142" s="26" t="s">
        <v>644</v>
      </c>
      <c r="B142" s="34" t="s">
        <v>647</v>
      </c>
      <c r="C142" s="26" t="s">
        <v>321</v>
      </c>
      <c r="D142" s="35">
        <v>5.8</v>
      </c>
      <c r="E142" s="35">
        <v>6.1</v>
      </c>
      <c r="F142" s="20">
        <v>1.899</v>
      </c>
      <c r="G142" s="20">
        <v>1.899</v>
      </c>
      <c r="H142" s="20">
        <v>1.899</v>
      </c>
      <c r="I142" s="22">
        <v>1</v>
      </c>
      <c r="J142" s="20">
        <v>1.9</v>
      </c>
      <c r="K142" s="20">
        <v>1.88</v>
      </c>
      <c r="L142" s="20">
        <v>1.89</v>
      </c>
      <c r="M142" s="23">
        <v>2</v>
      </c>
      <c r="N142" s="22">
        <v>2</v>
      </c>
      <c r="O142" s="22" t="e">
        <v>#N/A</v>
      </c>
    </row>
    <row r="143" spans="1:15" x14ac:dyDescent="0.25">
      <c r="A143" s="26" t="s">
        <v>567</v>
      </c>
      <c r="B143" s="34" t="s">
        <v>575</v>
      </c>
      <c r="C143" s="26" t="s">
        <v>321</v>
      </c>
      <c r="D143" s="35">
        <v>4.76</v>
      </c>
      <c r="E143" s="35">
        <v>4.99</v>
      </c>
      <c r="F143" s="20">
        <v>1.61</v>
      </c>
      <c r="G143" s="20">
        <v>1.61</v>
      </c>
      <c r="H143" s="20">
        <v>1.61</v>
      </c>
      <c r="I143" s="22">
        <v>1</v>
      </c>
      <c r="J143" s="20">
        <v>1.605</v>
      </c>
      <c r="K143" s="20">
        <v>1.605</v>
      </c>
      <c r="L143" s="20">
        <v>1.605</v>
      </c>
      <c r="M143" s="23">
        <v>1</v>
      </c>
      <c r="N143" s="22">
        <v>1</v>
      </c>
      <c r="O143" s="22" t="e">
        <v>#N/A</v>
      </c>
    </row>
    <row r="144" spans="1:15" x14ac:dyDescent="0.25">
      <c r="A144" s="26" t="s">
        <v>648</v>
      </c>
      <c r="B144" s="34" t="s">
        <v>649</v>
      </c>
      <c r="C144" s="26" t="s">
        <v>321</v>
      </c>
      <c r="D144" s="35">
        <v>7.76</v>
      </c>
      <c r="E144" s="35">
        <v>8.9600000000000009</v>
      </c>
      <c r="F144" s="20" t="s">
        <v>0</v>
      </c>
      <c r="G144" s="20" t="s">
        <v>0</v>
      </c>
      <c r="H144" s="20" t="s">
        <v>0</v>
      </c>
      <c r="I144" s="22" t="s">
        <v>0</v>
      </c>
      <c r="J144" s="20">
        <v>1.67</v>
      </c>
      <c r="K144" s="20">
        <v>1.667</v>
      </c>
      <c r="L144" s="20">
        <v>1.6679999999999999</v>
      </c>
      <c r="M144" s="23">
        <v>3</v>
      </c>
      <c r="N144" s="22">
        <v>6</v>
      </c>
      <c r="O144" s="22" t="e">
        <v>#N/A</v>
      </c>
    </row>
    <row r="145" spans="1:15" x14ac:dyDescent="0.25">
      <c r="A145" s="26" t="s">
        <v>650</v>
      </c>
      <c r="B145" s="34" t="s">
        <v>651</v>
      </c>
      <c r="C145" s="26" t="s">
        <v>321</v>
      </c>
      <c r="D145" s="35">
        <v>8.23</v>
      </c>
      <c r="E145" s="35">
        <v>8.99</v>
      </c>
      <c r="F145" s="20" t="s">
        <v>0</v>
      </c>
      <c r="G145" s="20" t="s">
        <v>0</v>
      </c>
      <c r="H145" s="20" t="s">
        <v>0</v>
      </c>
      <c r="I145" s="22" t="s">
        <v>0</v>
      </c>
      <c r="J145" s="20">
        <v>1.71</v>
      </c>
      <c r="K145" s="20">
        <v>1.708</v>
      </c>
      <c r="L145" s="20">
        <v>1.7090000000000001</v>
      </c>
      <c r="M145" s="23">
        <v>2</v>
      </c>
      <c r="N145" s="22">
        <v>4</v>
      </c>
      <c r="O145" s="22" t="e">
        <v>#N/A</v>
      </c>
    </row>
    <row r="146" spans="1:15" x14ac:dyDescent="0.25">
      <c r="A146" s="26" t="s">
        <v>577</v>
      </c>
      <c r="B146" s="34" t="s">
        <v>578</v>
      </c>
      <c r="C146" s="26" t="s">
        <v>321</v>
      </c>
      <c r="D146" s="35">
        <v>4.76</v>
      </c>
      <c r="E146" s="35">
        <v>4.99</v>
      </c>
      <c r="F146" s="20" t="s">
        <v>0</v>
      </c>
      <c r="G146" s="20" t="s">
        <v>0</v>
      </c>
      <c r="H146" s="20" t="s">
        <v>0</v>
      </c>
      <c r="I146" s="22" t="s">
        <v>0</v>
      </c>
      <c r="J146" s="20">
        <v>1.57</v>
      </c>
      <c r="K146" s="20">
        <v>1.57</v>
      </c>
      <c r="L146" s="20">
        <v>1.57</v>
      </c>
      <c r="M146" s="23">
        <v>1</v>
      </c>
      <c r="N146" s="22">
        <v>5</v>
      </c>
      <c r="O146" s="22" t="e">
        <v>#N/A</v>
      </c>
    </row>
    <row r="147" spans="1:15" x14ac:dyDescent="0.25">
      <c r="A147" s="26" t="s">
        <v>581</v>
      </c>
      <c r="B147" s="34" t="s">
        <v>582</v>
      </c>
      <c r="C147" s="26" t="s">
        <v>321</v>
      </c>
      <c r="D147" s="35">
        <v>9.11</v>
      </c>
      <c r="E147" s="35">
        <v>9.99</v>
      </c>
      <c r="F147" s="20" t="s">
        <v>0</v>
      </c>
      <c r="G147" s="20" t="s">
        <v>0</v>
      </c>
      <c r="H147" s="20" t="s">
        <v>0</v>
      </c>
      <c r="I147" s="22" t="s">
        <v>0</v>
      </c>
      <c r="J147" s="20">
        <v>1.72</v>
      </c>
      <c r="K147" s="20">
        <v>1.72</v>
      </c>
      <c r="L147" s="20">
        <v>1.72</v>
      </c>
      <c r="M147" s="23">
        <v>1</v>
      </c>
      <c r="N147" s="22">
        <v>2</v>
      </c>
      <c r="O147" s="22" t="e">
        <v>#N/A</v>
      </c>
    </row>
    <row r="148" spans="1:15" x14ac:dyDescent="0.25">
      <c r="A148" s="26" t="s">
        <v>652</v>
      </c>
      <c r="B148" s="34" t="s">
        <v>653</v>
      </c>
      <c r="C148" s="26" t="s">
        <v>321</v>
      </c>
      <c r="D148" s="35">
        <v>3.95</v>
      </c>
      <c r="E148" s="35">
        <v>4.08</v>
      </c>
      <c r="F148" s="20" t="s">
        <v>0</v>
      </c>
      <c r="G148" s="20" t="s">
        <v>0</v>
      </c>
      <c r="H148" s="20" t="s">
        <v>0</v>
      </c>
      <c r="I148" s="22" t="s">
        <v>0</v>
      </c>
      <c r="J148" s="20">
        <v>1.605</v>
      </c>
      <c r="K148" s="20">
        <v>1.6</v>
      </c>
      <c r="L148" s="20">
        <v>1.6015999999999999</v>
      </c>
      <c r="M148" s="23">
        <v>3</v>
      </c>
      <c r="N148" s="22">
        <v>9</v>
      </c>
      <c r="O148" s="22" t="e">
        <v>#N/A</v>
      </c>
    </row>
    <row r="149" spans="1:15" x14ac:dyDescent="0.25">
      <c r="A149" s="26" t="s">
        <v>654</v>
      </c>
      <c r="B149" s="34" t="s">
        <v>655</v>
      </c>
      <c r="C149" s="26" t="s">
        <v>321</v>
      </c>
      <c r="D149" s="35">
        <v>4.5999999999999996</v>
      </c>
      <c r="E149" s="35">
        <v>4.82</v>
      </c>
      <c r="F149" s="20" t="s">
        <v>0</v>
      </c>
      <c r="G149" s="20" t="s">
        <v>0</v>
      </c>
      <c r="H149" s="20" t="s">
        <v>0</v>
      </c>
      <c r="I149" s="22" t="s">
        <v>0</v>
      </c>
      <c r="J149" s="20">
        <v>1.6</v>
      </c>
      <c r="K149" s="20">
        <v>1.6</v>
      </c>
      <c r="L149" s="20">
        <v>1.6</v>
      </c>
      <c r="M149" s="23">
        <v>1</v>
      </c>
      <c r="N149" s="22">
        <v>1</v>
      </c>
      <c r="O149" s="22" t="e">
        <v>#N/A</v>
      </c>
    </row>
    <row r="150" spans="1:15" x14ac:dyDescent="0.25">
      <c r="A150" s="26" t="s">
        <v>374</v>
      </c>
      <c r="B150" s="34" t="s">
        <v>375</v>
      </c>
      <c r="C150" s="26" t="s">
        <v>376</v>
      </c>
      <c r="D150" s="35">
        <v>0</v>
      </c>
      <c r="E150" s="35">
        <v>0.84</v>
      </c>
      <c r="F150" s="20" t="s">
        <v>0</v>
      </c>
      <c r="G150" s="20" t="s">
        <v>0</v>
      </c>
      <c r="H150" s="20" t="s">
        <v>0</v>
      </c>
      <c r="I150" s="22" t="s">
        <v>0</v>
      </c>
      <c r="J150" s="20" t="s">
        <v>358</v>
      </c>
      <c r="K150" s="20" t="s">
        <v>358</v>
      </c>
      <c r="L150" s="20" t="s">
        <v>358</v>
      </c>
      <c r="M150" s="23">
        <v>2</v>
      </c>
      <c r="N150" s="22">
        <v>8.0000000000000004E-4</v>
      </c>
      <c r="O150" s="22" t="e">
        <v>#N/A</v>
      </c>
    </row>
    <row r="151" spans="1:15" x14ac:dyDescent="0.25">
      <c r="M151" s="33"/>
    </row>
    <row r="152" spans="1:15" x14ac:dyDescent="0.25">
      <c r="M152" s="33"/>
    </row>
    <row r="153" spans="1:15" x14ac:dyDescent="0.25">
      <c r="M153" s="33"/>
    </row>
    <row r="154" spans="1:15" x14ac:dyDescent="0.25">
      <c r="M154" s="33"/>
    </row>
    <row r="155" spans="1:15" x14ac:dyDescent="0.25">
      <c r="M155" s="33"/>
    </row>
    <row r="156" spans="1:15" x14ac:dyDescent="0.25">
      <c r="M156" s="33"/>
    </row>
    <row r="157" spans="1:15" x14ac:dyDescent="0.25">
      <c r="M157" s="33"/>
    </row>
    <row r="158" spans="1:15" x14ac:dyDescent="0.25">
      <c r="M158" s="33"/>
    </row>
    <row r="159" spans="1:15" x14ac:dyDescent="0.25">
      <c r="M159" s="33"/>
    </row>
    <row r="160" spans="1:15" x14ac:dyDescent="0.25">
      <c r="M160" s="33"/>
    </row>
    <row r="161" spans="13:13" x14ac:dyDescent="0.25">
      <c r="M161" s="33"/>
    </row>
    <row r="162" spans="13:13" x14ac:dyDescent="0.25">
      <c r="M162" s="33"/>
    </row>
    <row r="163" spans="13:13" x14ac:dyDescent="0.25">
      <c r="M163" s="33"/>
    </row>
    <row r="164" spans="13:13" x14ac:dyDescent="0.25">
      <c r="M164" s="33"/>
    </row>
    <row r="165" spans="13:13" x14ac:dyDescent="0.25">
      <c r="M165" s="33"/>
    </row>
    <row r="166" spans="13:13" x14ac:dyDescent="0.25">
      <c r="M166" s="33"/>
    </row>
    <row r="167" spans="13:13" x14ac:dyDescent="0.25">
      <c r="M167" s="33"/>
    </row>
    <row r="168" spans="13:13" x14ac:dyDescent="0.25">
      <c r="M168" s="33"/>
    </row>
    <row r="169" spans="13:13" x14ac:dyDescent="0.25">
      <c r="M169" s="33"/>
    </row>
    <row r="170" spans="13:13" x14ac:dyDescent="0.25">
      <c r="M170" s="33"/>
    </row>
    <row r="171" spans="13:13" x14ac:dyDescent="0.25">
      <c r="M171" s="33"/>
    </row>
    <row r="172" spans="13:13" x14ac:dyDescent="0.25">
      <c r="M172" s="33"/>
    </row>
    <row r="173" spans="13:13" x14ac:dyDescent="0.25">
      <c r="M173" s="33"/>
    </row>
    <row r="174" spans="13:13" x14ac:dyDescent="0.25">
      <c r="M174" s="33"/>
    </row>
    <row r="175" spans="13:13" x14ac:dyDescent="0.25">
      <c r="M175" s="33"/>
    </row>
    <row r="176" spans="13:13" x14ac:dyDescent="0.25">
      <c r="M176" s="33"/>
    </row>
    <row r="177" spans="13:13" x14ac:dyDescent="0.25">
      <c r="M177" s="33"/>
    </row>
    <row r="178" spans="13:13" x14ac:dyDescent="0.25">
      <c r="M178" s="33"/>
    </row>
    <row r="179" spans="13:13" x14ac:dyDescent="0.25">
      <c r="M179" s="33"/>
    </row>
    <row r="180" spans="13:13" x14ac:dyDescent="0.25">
      <c r="M180" s="33"/>
    </row>
    <row r="181" spans="13:13" x14ac:dyDescent="0.25">
      <c r="M181" s="33"/>
    </row>
    <row r="182" spans="13:13" x14ac:dyDescent="0.25">
      <c r="M182" s="33"/>
    </row>
    <row r="183" spans="13:13" x14ac:dyDescent="0.25">
      <c r="M183" s="33"/>
    </row>
    <row r="184" spans="13:13" x14ac:dyDescent="0.25">
      <c r="M184" s="33"/>
    </row>
    <row r="185" spans="13:13" x14ac:dyDescent="0.25">
      <c r="M185" s="33"/>
    </row>
    <row r="186" spans="13:13" x14ac:dyDescent="0.25">
      <c r="M186" s="33"/>
    </row>
    <row r="187" spans="13:13" x14ac:dyDescent="0.25">
      <c r="M187" s="33"/>
    </row>
    <row r="188" spans="13:13" x14ac:dyDescent="0.25">
      <c r="M188" s="33"/>
    </row>
    <row r="189" spans="13:13" x14ac:dyDescent="0.25">
      <c r="M189" s="33"/>
    </row>
    <row r="190" spans="13:13" x14ac:dyDescent="0.25">
      <c r="M190" s="33"/>
    </row>
    <row r="191" spans="13:13" x14ac:dyDescent="0.25">
      <c r="M191" s="33"/>
    </row>
    <row r="192" spans="13:13" x14ac:dyDescent="0.25">
      <c r="M192" s="33"/>
    </row>
    <row r="193" spans="13:13" x14ac:dyDescent="0.25">
      <c r="M193" s="33"/>
    </row>
    <row r="194" spans="13:13" x14ac:dyDescent="0.25">
      <c r="M194" s="33"/>
    </row>
    <row r="195" spans="13:13" x14ac:dyDescent="0.25">
      <c r="M195" s="33"/>
    </row>
    <row r="196" spans="13:13" x14ac:dyDescent="0.25">
      <c r="M196" s="33"/>
    </row>
    <row r="197" spans="13:13" x14ac:dyDescent="0.25">
      <c r="M197" s="33"/>
    </row>
    <row r="198" spans="13:13" x14ac:dyDescent="0.25">
      <c r="M198" s="33"/>
    </row>
    <row r="199" spans="13:13" x14ac:dyDescent="0.25">
      <c r="M199" s="33"/>
    </row>
    <row r="200" spans="13:13" x14ac:dyDescent="0.25">
      <c r="M200" s="33"/>
    </row>
    <row r="201" spans="13:13" x14ac:dyDescent="0.25">
      <c r="M201" s="33"/>
    </row>
    <row r="202" spans="13:13" x14ac:dyDescent="0.25">
      <c r="M202" s="33"/>
    </row>
    <row r="203" spans="13:13" x14ac:dyDescent="0.25">
      <c r="M203" s="33"/>
    </row>
    <row r="204" spans="13:13" x14ac:dyDescent="0.25">
      <c r="M204" s="33"/>
    </row>
    <row r="205" spans="13:13" x14ac:dyDescent="0.25">
      <c r="M205" s="33"/>
    </row>
    <row r="206" spans="13:13" x14ac:dyDescent="0.25">
      <c r="M206" s="33"/>
    </row>
    <row r="207" spans="13:13" x14ac:dyDescent="0.25">
      <c r="M207" s="33"/>
    </row>
    <row r="208" spans="13:13" x14ac:dyDescent="0.25">
      <c r="M208" s="33"/>
    </row>
    <row r="209" spans="13:13" x14ac:dyDescent="0.25">
      <c r="M209" s="33"/>
    </row>
    <row r="210" spans="13:13" x14ac:dyDescent="0.25">
      <c r="M210" s="33"/>
    </row>
    <row r="211" spans="13:13" x14ac:dyDescent="0.25">
      <c r="M211" s="33"/>
    </row>
    <row r="212" spans="13:13" x14ac:dyDescent="0.25">
      <c r="M212" s="33"/>
    </row>
    <row r="213" spans="13:13" x14ac:dyDescent="0.25">
      <c r="M213" s="33"/>
    </row>
    <row r="214" spans="13:13" x14ac:dyDescent="0.25">
      <c r="M214" s="33"/>
    </row>
    <row r="215" spans="13:13" x14ac:dyDescent="0.25">
      <c r="M215" s="33"/>
    </row>
    <row r="216" spans="13:13" x14ac:dyDescent="0.25">
      <c r="M216" s="33"/>
    </row>
    <row r="217" spans="13:13" x14ac:dyDescent="0.25">
      <c r="M217" s="33"/>
    </row>
    <row r="218" spans="13:13" x14ac:dyDescent="0.25">
      <c r="M218" s="33"/>
    </row>
    <row r="219" spans="13:13" x14ac:dyDescent="0.25">
      <c r="M219" s="33"/>
    </row>
    <row r="220" spans="13:13" x14ac:dyDescent="0.25">
      <c r="M220" s="33"/>
    </row>
    <row r="221" spans="13:13" x14ac:dyDescent="0.25">
      <c r="M221" s="33"/>
    </row>
    <row r="222" spans="13:13" x14ac:dyDescent="0.25">
      <c r="M222" s="33"/>
    </row>
    <row r="223" spans="13:13" x14ac:dyDescent="0.25">
      <c r="M223" s="33"/>
    </row>
    <row r="224" spans="13:13" x14ac:dyDescent="0.25">
      <c r="M224" s="33"/>
    </row>
    <row r="225" spans="13:13" x14ac:dyDescent="0.25">
      <c r="M225" s="33"/>
    </row>
    <row r="226" spans="13:13" x14ac:dyDescent="0.25">
      <c r="M226" s="33"/>
    </row>
    <row r="227" spans="13:13" x14ac:dyDescent="0.25">
      <c r="M227" s="33"/>
    </row>
    <row r="228" spans="13:13" x14ac:dyDescent="0.25">
      <c r="M228" s="33"/>
    </row>
    <row r="229" spans="13:13" x14ac:dyDescent="0.25">
      <c r="M229" s="33"/>
    </row>
    <row r="230" spans="13:13" x14ac:dyDescent="0.25">
      <c r="M230" s="33"/>
    </row>
    <row r="231" spans="13:13" x14ac:dyDescent="0.25">
      <c r="M231" s="33"/>
    </row>
    <row r="232" spans="13:13" x14ac:dyDescent="0.25">
      <c r="M232" s="33"/>
    </row>
    <row r="233" spans="13:13" x14ac:dyDescent="0.25">
      <c r="M233" s="33"/>
    </row>
    <row r="234" spans="13:13" x14ac:dyDescent="0.25">
      <c r="M234" s="33"/>
    </row>
    <row r="235" spans="13:13" x14ac:dyDescent="0.25">
      <c r="M235" s="33"/>
    </row>
    <row r="236" spans="13:13" x14ac:dyDescent="0.25">
      <c r="M236" s="33"/>
    </row>
    <row r="237" spans="13:13" x14ac:dyDescent="0.25">
      <c r="M237" s="33"/>
    </row>
    <row r="238" spans="13:13" x14ac:dyDescent="0.25">
      <c r="M238" s="33"/>
    </row>
    <row r="239" spans="13:13" x14ac:dyDescent="0.25">
      <c r="M239" s="33"/>
    </row>
    <row r="240" spans="13:13" x14ac:dyDescent="0.25">
      <c r="M240" s="33"/>
    </row>
    <row r="241" spans="13:13" x14ac:dyDescent="0.25">
      <c r="M241" s="33"/>
    </row>
    <row r="242" spans="13:13" x14ac:dyDescent="0.25">
      <c r="M242" s="33"/>
    </row>
    <row r="243" spans="13:13" x14ac:dyDescent="0.25">
      <c r="M243" s="33"/>
    </row>
    <row r="244" spans="13:13" x14ac:dyDescent="0.25">
      <c r="M244" s="33"/>
    </row>
    <row r="245" spans="13:13" x14ac:dyDescent="0.25">
      <c r="M245" s="33"/>
    </row>
    <row r="246" spans="13:13" x14ac:dyDescent="0.25">
      <c r="M246" s="33"/>
    </row>
    <row r="247" spans="13:13" x14ac:dyDescent="0.25">
      <c r="M247" s="33"/>
    </row>
    <row r="248" spans="13:13" x14ac:dyDescent="0.25">
      <c r="M248" s="33"/>
    </row>
    <row r="249" spans="13:13" x14ac:dyDescent="0.25">
      <c r="M249" s="33"/>
    </row>
    <row r="250" spans="13:13" x14ac:dyDescent="0.25">
      <c r="M250" s="33"/>
    </row>
    <row r="251" spans="13:13" x14ac:dyDescent="0.25">
      <c r="M251" s="33"/>
    </row>
    <row r="252" spans="13:13" x14ac:dyDescent="0.25">
      <c r="M252" s="33"/>
    </row>
    <row r="253" spans="13:13" x14ac:dyDescent="0.25">
      <c r="M253" s="33"/>
    </row>
    <row r="254" spans="13:13" x14ac:dyDescent="0.25">
      <c r="M254" s="33"/>
    </row>
    <row r="255" spans="13:13" x14ac:dyDescent="0.25">
      <c r="M255" s="33"/>
    </row>
    <row r="256" spans="13:13" x14ac:dyDescent="0.25">
      <c r="M256" s="33"/>
    </row>
    <row r="257" spans="13:13" x14ac:dyDescent="0.25">
      <c r="M257" s="33"/>
    </row>
    <row r="258" spans="13:13" x14ac:dyDescent="0.25">
      <c r="M258" s="33"/>
    </row>
    <row r="259" spans="13:13" x14ac:dyDescent="0.25">
      <c r="M259" s="33"/>
    </row>
    <row r="260" spans="13:13" x14ac:dyDescent="0.25">
      <c r="M260" s="33"/>
    </row>
    <row r="261" spans="13:13" x14ac:dyDescent="0.25">
      <c r="M261" s="33"/>
    </row>
    <row r="262" spans="13:13" x14ac:dyDescent="0.25">
      <c r="M262" s="33"/>
    </row>
    <row r="263" spans="13:13" x14ac:dyDescent="0.25">
      <c r="M263" s="33"/>
    </row>
    <row r="264" spans="13:13" x14ac:dyDescent="0.25">
      <c r="M264" s="33"/>
    </row>
    <row r="265" spans="13:13" x14ac:dyDescent="0.25">
      <c r="M265" s="33"/>
    </row>
    <row r="266" spans="13:13" x14ac:dyDescent="0.25">
      <c r="M266" s="33"/>
    </row>
    <row r="267" spans="13:13" x14ac:dyDescent="0.25">
      <c r="M267" s="33"/>
    </row>
    <row r="268" spans="13:13" x14ac:dyDescent="0.25">
      <c r="M268" s="33"/>
    </row>
    <row r="269" spans="13:13" x14ac:dyDescent="0.25">
      <c r="M269" s="33"/>
    </row>
    <row r="270" spans="13:13" x14ac:dyDescent="0.25">
      <c r="M270" s="33"/>
    </row>
    <row r="271" spans="13:13" x14ac:dyDescent="0.25">
      <c r="M271" s="33"/>
    </row>
    <row r="272" spans="13:13" x14ac:dyDescent="0.25">
      <c r="M272" s="33"/>
    </row>
    <row r="273" spans="13:13" x14ac:dyDescent="0.25">
      <c r="M273" s="33"/>
    </row>
    <row r="274" spans="13:13" x14ac:dyDescent="0.25">
      <c r="M274" s="33"/>
    </row>
    <row r="275" spans="13:13" x14ac:dyDescent="0.25">
      <c r="M275" s="33"/>
    </row>
    <row r="276" spans="13:13" x14ac:dyDescent="0.25">
      <c r="M276" s="33"/>
    </row>
    <row r="277" spans="13:13" x14ac:dyDescent="0.25">
      <c r="M277" s="33"/>
    </row>
    <row r="278" spans="13:13" x14ac:dyDescent="0.25">
      <c r="M278" s="33"/>
    </row>
    <row r="279" spans="13:13" x14ac:dyDescent="0.25">
      <c r="M279" s="33"/>
    </row>
    <row r="280" spans="13:13" x14ac:dyDescent="0.25">
      <c r="M280" s="33"/>
    </row>
    <row r="281" spans="13:13" x14ac:dyDescent="0.25">
      <c r="M281" s="33"/>
    </row>
    <row r="282" spans="13:13" x14ac:dyDescent="0.25">
      <c r="M282" s="33"/>
    </row>
    <row r="283" spans="13:13" x14ac:dyDescent="0.25">
      <c r="M283" s="33"/>
    </row>
    <row r="284" spans="13:13" x14ac:dyDescent="0.25">
      <c r="M284" s="33"/>
    </row>
    <row r="285" spans="13:13" x14ac:dyDescent="0.25">
      <c r="M285" s="33"/>
    </row>
    <row r="286" spans="13:13" x14ac:dyDescent="0.25">
      <c r="M286" s="33"/>
    </row>
    <row r="287" spans="13:13" x14ac:dyDescent="0.25">
      <c r="M287" s="33"/>
    </row>
    <row r="288" spans="13:13" x14ac:dyDescent="0.25">
      <c r="M288" s="33"/>
    </row>
    <row r="289" spans="13:13" x14ac:dyDescent="0.25">
      <c r="M289" s="33"/>
    </row>
    <row r="290" spans="13:13" x14ac:dyDescent="0.25">
      <c r="M290" s="33"/>
    </row>
    <row r="291" spans="13:13" x14ac:dyDescent="0.25">
      <c r="M291" s="33"/>
    </row>
    <row r="292" spans="13:13" x14ac:dyDescent="0.25">
      <c r="M292" s="33"/>
    </row>
    <row r="293" spans="13:13" x14ac:dyDescent="0.25">
      <c r="M293" s="33"/>
    </row>
    <row r="294" spans="13:13" x14ac:dyDescent="0.25">
      <c r="M294" s="33"/>
    </row>
    <row r="295" spans="13:13" x14ac:dyDescent="0.25">
      <c r="M295" s="33"/>
    </row>
    <row r="296" spans="13:13" x14ac:dyDescent="0.25">
      <c r="M296" s="33"/>
    </row>
    <row r="297" spans="13:13" x14ac:dyDescent="0.25">
      <c r="M297" s="33"/>
    </row>
    <row r="298" spans="13:13" x14ac:dyDescent="0.25">
      <c r="M298" s="33"/>
    </row>
    <row r="299" spans="13:13" x14ac:dyDescent="0.25">
      <c r="M299" s="33"/>
    </row>
    <row r="300" spans="13:13" x14ac:dyDescent="0.25">
      <c r="M300" s="33"/>
    </row>
    <row r="301" spans="13:13" x14ac:dyDescent="0.25">
      <c r="M301" s="33"/>
    </row>
    <row r="302" spans="13:13" x14ac:dyDescent="0.25">
      <c r="M302" s="33"/>
    </row>
    <row r="303" spans="13:13" x14ac:dyDescent="0.25">
      <c r="M303" s="33"/>
    </row>
    <row r="304" spans="13:13" x14ac:dyDescent="0.25">
      <c r="M304" s="33"/>
    </row>
    <row r="305" spans="13:13" x14ac:dyDescent="0.25">
      <c r="M305" s="33"/>
    </row>
    <row r="306" spans="13:13" x14ac:dyDescent="0.25">
      <c r="M306" s="33"/>
    </row>
    <row r="307" spans="13:13" x14ac:dyDescent="0.25">
      <c r="M307" s="33"/>
    </row>
    <row r="308" spans="13:13" x14ac:dyDescent="0.25">
      <c r="M308" s="33"/>
    </row>
    <row r="309" spans="13:13" x14ac:dyDescent="0.25">
      <c r="M309" s="33"/>
    </row>
    <row r="310" spans="13:13" x14ac:dyDescent="0.25">
      <c r="M310" s="33"/>
    </row>
    <row r="311" spans="13:13" x14ac:dyDescent="0.25">
      <c r="M311" s="33"/>
    </row>
    <row r="312" spans="13:13" x14ac:dyDescent="0.25">
      <c r="M312" s="33"/>
    </row>
    <row r="313" spans="13:13" x14ac:dyDescent="0.25">
      <c r="M313" s="33"/>
    </row>
    <row r="314" spans="13:13" x14ac:dyDescent="0.25">
      <c r="M314" s="33"/>
    </row>
    <row r="315" spans="13:13" x14ac:dyDescent="0.25">
      <c r="M315" s="33"/>
    </row>
    <row r="316" spans="13:13" x14ac:dyDescent="0.25">
      <c r="M316" s="33"/>
    </row>
    <row r="317" spans="13:13" x14ac:dyDescent="0.25">
      <c r="M317" s="33"/>
    </row>
    <row r="318" spans="13:13" x14ac:dyDescent="0.25">
      <c r="M318" s="33"/>
    </row>
    <row r="319" spans="13:13" x14ac:dyDescent="0.25">
      <c r="M319" s="33"/>
    </row>
    <row r="320" spans="13:13" x14ac:dyDescent="0.25">
      <c r="M320" s="33"/>
    </row>
    <row r="321" spans="13:13" x14ac:dyDescent="0.25">
      <c r="M321" s="33"/>
    </row>
    <row r="322" spans="13:13" x14ac:dyDescent="0.25">
      <c r="M322" s="33"/>
    </row>
    <row r="323" spans="13:13" x14ac:dyDescent="0.25">
      <c r="M323" s="33"/>
    </row>
    <row r="324" spans="13:13" x14ac:dyDescent="0.25">
      <c r="M324" s="33"/>
    </row>
    <row r="325" spans="13:13" x14ac:dyDescent="0.25">
      <c r="M325" s="33"/>
    </row>
    <row r="326" spans="13:13" x14ac:dyDescent="0.25">
      <c r="M326" s="33"/>
    </row>
    <row r="327" spans="13:13" x14ac:dyDescent="0.25">
      <c r="M327" s="33"/>
    </row>
    <row r="328" spans="13:13" x14ac:dyDescent="0.25">
      <c r="M328" s="33"/>
    </row>
    <row r="329" spans="13:13" x14ac:dyDescent="0.25">
      <c r="M329" s="33"/>
    </row>
    <row r="330" spans="13:13" x14ac:dyDescent="0.25">
      <c r="M330" s="33"/>
    </row>
    <row r="331" spans="13:13" x14ac:dyDescent="0.25">
      <c r="M331" s="33"/>
    </row>
    <row r="332" spans="13:13" x14ac:dyDescent="0.25">
      <c r="M332" s="33"/>
    </row>
    <row r="333" spans="13:13" x14ac:dyDescent="0.25">
      <c r="M333" s="33"/>
    </row>
    <row r="334" spans="13:13" x14ac:dyDescent="0.25">
      <c r="M334" s="33"/>
    </row>
    <row r="335" spans="13:13" x14ac:dyDescent="0.25">
      <c r="M335" s="33"/>
    </row>
    <row r="336" spans="13:13" x14ac:dyDescent="0.25">
      <c r="M336" s="33"/>
    </row>
    <row r="337" spans="13:13" x14ac:dyDescent="0.25">
      <c r="M337" s="33"/>
    </row>
    <row r="338" spans="13:13" x14ac:dyDescent="0.25">
      <c r="M338" s="33"/>
    </row>
    <row r="339" spans="13:13" x14ac:dyDescent="0.25">
      <c r="M339" s="33"/>
    </row>
    <row r="340" spans="13:13" x14ac:dyDescent="0.25">
      <c r="M340" s="33"/>
    </row>
    <row r="341" spans="13:13" x14ac:dyDescent="0.25">
      <c r="M341" s="33"/>
    </row>
    <row r="342" spans="13:13" x14ac:dyDescent="0.25">
      <c r="M342" s="33"/>
    </row>
    <row r="343" spans="13:13" x14ac:dyDescent="0.25">
      <c r="M343" s="33"/>
    </row>
    <row r="344" spans="13:13" x14ac:dyDescent="0.25">
      <c r="M344" s="33"/>
    </row>
    <row r="345" spans="13:13" x14ac:dyDescent="0.25">
      <c r="M345" s="33"/>
    </row>
    <row r="346" spans="13:13" x14ac:dyDescent="0.25">
      <c r="M346" s="33"/>
    </row>
    <row r="347" spans="13:13" x14ac:dyDescent="0.25">
      <c r="M347" s="33"/>
    </row>
    <row r="348" spans="13:13" x14ac:dyDescent="0.25">
      <c r="M348" s="33"/>
    </row>
    <row r="349" spans="13:13" x14ac:dyDescent="0.25">
      <c r="M349" s="33"/>
    </row>
    <row r="350" spans="13:13" x14ac:dyDescent="0.25">
      <c r="M350" s="33"/>
    </row>
    <row r="351" spans="13:13" x14ac:dyDescent="0.25">
      <c r="M351" s="33"/>
    </row>
    <row r="352" spans="13:13" x14ac:dyDescent="0.25">
      <c r="M352" s="33"/>
    </row>
    <row r="353" spans="13:13" x14ac:dyDescent="0.25">
      <c r="M353" s="33"/>
    </row>
    <row r="354" spans="13:13" x14ac:dyDescent="0.25">
      <c r="M354" s="33"/>
    </row>
    <row r="355" spans="13:13" x14ac:dyDescent="0.25">
      <c r="M355" s="33"/>
    </row>
    <row r="356" spans="13:13" x14ac:dyDescent="0.25">
      <c r="M356" s="33"/>
    </row>
    <row r="357" spans="13:13" x14ac:dyDescent="0.25">
      <c r="M357" s="33"/>
    </row>
    <row r="358" spans="13:13" x14ac:dyDescent="0.25">
      <c r="M358" s="33"/>
    </row>
    <row r="359" spans="13:13" x14ac:dyDescent="0.25">
      <c r="M359" s="33"/>
    </row>
    <row r="360" spans="13:13" x14ac:dyDescent="0.25">
      <c r="M360" s="33"/>
    </row>
    <row r="361" spans="13:13" x14ac:dyDescent="0.25">
      <c r="M361" s="33"/>
    </row>
    <row r="362" spans="13:13" x14ac:dyDescent="0.25">
      <c r="M362" s="33"/>
    </row>
    <row r="363" spans="13:13" x14ac:dyDescent="0.25">
      <c r="M363" s="33"/>
    </row>
    <row r="364" spans="13:13" x14ac:dyDescent="0.25">
      <c r="M364" s="33"/>
    </row>
    <row r="365" spans="13:13" x14ac:dyDescent="0.25">
      <c r="M365" s="33"/>
    </row>
  </sheetData>
  <mergeCells count="6">
    <mergeCell ref="F1:I1"/>
    <mergeCell ref="J1:N1"/>
    <mergeCell ref="Q1:T1"/>
    <mergeCell ref="F2:H2"/>
    <mergeCell ref="J2:L2"/>
    <mergeCell ref="O2:O3"/>
  </mergeCells>
  <phoneticPr fontId="1" type="noConversion"/>
  <printOptions gridLines="1"/>
  <pageMargins left="0.17" right="0.16" top="0.28999999999999998" bottom="0.2" header="0.5" footer="0.5"/>
  <pageSetup paperSize="9" scale="33" orientation="portrait" r:id="rId1"/>
  <headerFooter alignWithMargins="0">
    <oddFooter>&amp;C&amp;"Times New Roman,標準"&amp;P&amp;R&amp;"Times New Roman,標準"&amp;A</oddFoot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7"/>
  <dimension ref="A1:J139"/>
  <sheetViews>
    <sheetView tabSelected="1" zoomScaleNormal="100" workbookViewId="0">
      <pane xSplit="4" ySplit="4" topLeftCell="E5" activePane="bottomRight" state="frozen"/>
      <selection pane="topRight" activeCell="C1" sqref="C1"/>
      <selection pane="bottomLeft" activeCell="A5" sqref="A5"/>
      <selection pane="bottomRight" activeCell="G15" sqref="G15"/>
    </sheetView>
  </sheetViews>
  <sheetFormatPr defaultRowHeight="16.5" x14ac:dyDescent="0.25"/>
  <cols>
    <col min="1" max="1" width="10.625" style="2" customWidth="1"/>
    <col min="2" max="2" width="9" style="5" customWidth="1"/>
    <col min="3" max="3" width="9" style="5" hidden="1" customWidth="1"/>
    <col min="4" max="4" width="11.875" style="5" customWidth="1"/>
    <col min="5" max="8" width="8.625" style="5" customWidth="1"/>
    <col min="9" max="9" width="8.75" style="5" customWidth="1"/>
    <col min="10" max="10" width="8.875" style="2" customWidth="1"/>
    <col min="11" max="16384" width="9" style="2"/>
  </cols>
  <sheetData>
    <row r="1" spans="1:10" x14ac:dyDescent="0.25">
      <c r="E1" s="2">
        <f>(E2-F2)*100</f>
        <v>-0.73000000000000842</v>
      </c>
      <c r="F1" s="2">
        <f>(F2-G2)*100</f>
        <v>1.2800000000000145</v>
      </c>
      <c r="G1" s="2">
        <f>(G2-H2)*100</f>
        <v>-0.9000000000000119</v>
      </c>
      <c r="H1" s="2">
        <f>(H2-I2)*100</f>
        <v>0.50000000000001155</v>
      </c>
      <c r="I1" s="2">
        <f>(I2-J2)*100</f>
        <v>0.49999999999998934</v>
      </c>
    </row>
    <row r="2" spans="1:10" x14ac:dyDescent="0.25">
      <c r="A2" s="2" t="s">
        <v>85</v>
      </c>
      <c r="E2" s="2">
        <f>VLOOKUP(E$4,[8]台灣10yr!$A$1:$E$3922,3,FALSE)</f>
        <v>1.1915</v>
      </c>
      <c r="F2" s="2">
        <f>VLOOKUP(F$4,[8]台灣10yr!$A$1:$E$3922,3,FALSE)</f>
        <v>1.1988000000000001</v>
      </c>
      <c r="G2" s="2">
        <f>VLOOKUP(G$4,[8]台灣10yr!$A$1:$E$3922,3,FALSE)</f>
        <v>1.1859999999999999</v>
      </c>
      <c r="H2" s="2">
        <f>VLOOKUP(H$4,[8]台灣10yr!$A$1:$E$3922,3,FALSE)</f>
        <v>1.1950000000000001</v>
      </c>
      <c r="I2" s="2">
        <f>VLOOKUP(I$4,[8]台灣10yr!$A$1:$E$3922,3,FALSE)</f>
        <v>1.19</v>
      </c>
      <c r="J2" s="2">
        <f>VLOOKUP(J$4,[8]台灣10yr!$A$1:$E$3922,3,FALSE)</f>
        <v>1.1850000000000001</v>
      </c>
    </row>
    <row r="4" spans="1:10" x14ac:dyDescent="0.25">
      <c r="B4" s="5" t="s">
        <v>87</v>
      </c>
      <c r="C4" s="5" t="s">
        <v>227</v>
      </c>
      <c r="D4" s="5" t="s">
        <v>86</v>
      </c>
      <c r="E4" s="1">
        <v>45156</v>
      </c>
      <c r="F4" s="1">
        <v>45155</v>
      </c>
      <c r="G4" s="1">
        <v>45154</v>
      </c>
      <c r="H4" s="1">
        <v>45153</v>
      </c>
      <c r="I4" s="1">
        <v>45152</v>
      </c>
      <c r="J4" s="1">
        <v>45149</v>
      </c>
    </row>
    <row r="5" spans="1:10" x14ac:dyDescent="0.25">
      <c r="A5" s="3" t="s">
        <v>230</v>
      </c>
      <c r="B5" s="5">
        <f>VLOOKUP($A5,'[13]0818'!$A$4:$O$321,4,FALSE)</f>
        <v>0.01</v>
      </c>
      <c r="C5" s="5">
        <f>VLOOKUP($A5,'[10]0808'!$A$4:$O$321,5,FALSE)</f>
        <v>0.04</v>
      </c>
      <c r="D5" s="5">
        <f>VLOOKUP($A5,'[13]0818'!$A$4:$O$321,15,FALSE)</f>
        <v>1.0725</v>
      </c>
      <c r="E5" s="4">
        <f>IF(VLOOKUP($A5,'[13]0818'!$A$4:$O$150,8,FALSE)="",VLOOKUP($A5,'[13]0818'!$A$4:$O$150,12,FALSE),VLOOKUP($A5,'[13]0818'!$A$4:$O$150,8,FALSE))</f>
        <v>0.7</v>
      </c>
      <c r="F5" s="4" t="str">
        <f>IF(VLOOKUP($A5,'[9]0817'!$A$4:$O$150,8,FALSE)="",VLOOKUP($A5,'[9]0817'!$A$4:$O$150,12,FALSE),VLOOKUP($A5,'[9]0817'!$A$4:$O$150,8,FALSE))</f>
        <v/>
      </c>
      <c r="G5" s="4">
        <f>IF(VLOOKUP($A5,'[11]0816'!$A$4:$O$150,8,FALSE)="",VLOOKUP($A5,'[11]0816'!$A$4:$O$150,12,FALSE),VLOOKUP($A5,'[11]0816'!$A$4:$O$150,8,FALSE))</f>
        <v>0.71</v>
      </c>
      <c r="J5" s="4" t="str">
        <f>IF(VLOOKUP($A5,'[12]0811'!$A$4:$O$150,8,FALSE)="",VLOOKUP($A5,'[12]0811'!$A$4:$O$150,12,FALSE),VLOOKUP($A5,'[12]0811'!$A$4:$O$150,8,FALSE))</f>
        <v/>
      </c>
    </row>
    <row r="6" spans="1:10" x14ac:dyDescent="0.25">
      <c r="A6" s="3" t="s">
        <v>312</v>
      </c>
      <c r="B6" s="5">
        <f>VLOOKUP($A6,'[13]0818'!$A$4:$O$321,4,FALSE)</f>
        <v>7.0000000000000007E-2</v>
      </c>
      <c r="C6" s="5">
        <f>VLOOKUP($A6,'[10]0808'!$A$4:$O$321,5,FALSE)</f>
        <v>0.11</v>
      </c>
      <c r="D6" s="5">
        <f>VLOOKUP($A6,'[13]0818'!$A$4:$O$321,15,FALSE)</f>
        <v>0.94579999999999997</v>
      </c>
      <c r="E6" s="4" t="str">
        <f>IF(VLOOKUP($A6,'[13]0818'!$A$4:$O$150,8,FALSE)="",VLOOKUP($A6,'[13]0818'!$A$4:$O$150,12,FALSE),VLOOKUP($A6,'[13]0818'!$A$4:$O$150,8,FALSE))</f>
        <v/>
      </c>
      <c r="F6" s="4" t="str">
        <f>IF(VLOOKUP($A6,'[9]0817'!$A$4:$O$150,8,FALSE)="",VLOOKUP($A6,'[9]0817'!$A$4:$O$150,12,FALSE),VLOOKUP($A6,'[9]0817'!$A$4:$O$150,8,FALSE))</f>
        <v/>
      </c>
      <c r="G6" s="4" t="str">
        <f>IF(VLOOKUP($A6,'[11]0816'!$A$4:$O$150,8,FALSE)="",VLOOKUP($A6,'[11]0816'!$A$4:$O$150,12,FALSE),VLOOKUP($A6,'[11]0816'!$A$4:$O$150,8,FALSE))</f>
        <v/>
      </c>
      <c r="J6" s="4" t="str">
        <f>IF(VLOOKUP($A6,'[12]0811'!$A$4:$O$150,8,FALSE)="",VLOOKUP($A6,'[12]0811'!$A$4:$O$150,12,FALSE),VLOOKUP($A6,'[12]0811'!$A$4:$O$150,8,FALSE))</f>
        <v/>
      </c>
    </row>
    <row r="7" spans="1:10" x14ac:dyDescent="0.25">
      <c r="A7" s="3" t="s">
        <v>37</v>
      </c>
      <c r="B7" s="5">
        <f>VLOOKUP($A7,'[13]0818'!$A$4:$O$321,4,FALSE)</f>
        <v>0.25</v>
      </c>
      <c r="C7" s="5">
        <f>VLOOKUP($A7,'[10]0808'!$A$4:$O$321,5,FALSE)</f>
        <v>0.28999999999999998</v>
      </c>
      <c r="D7" s="5">
        <f>VLOOKUP($A7,'[13]0818'!$A$4:$O$321,15,FALSE)</f>
        <v>0.9355</v>
      </c>
      <c r="E7" s="4" t="str">
        <f>IF(VLOOKUP($A7,'[13]0818'!$A$4:$O$150,8,FALSE)="",VLOOKUP($A7,'[13]0818'!$A$4:$O$150,12,FALSE),VLOOKUP($A7,'[13]0818'!$A$4:$O$150,8,FALSE))</f>
        <v/>
      </c>
      <c r="F7" s="4" t="str">
        <f>IF(VLOOKUP($A7,'[9]0817'!$A$4:$O$150,8,FALSE)="",VLOOKUP($A7,'[9]0817'!$A$4:$O$150,12,FALSE),VLOOKUP($A7,'[9]0817'!$A$4:$O$150,8,FALSE))</f>
        <v/>
      </c>
      <c r="G7" s="4" t="str">
        <f>IF(VLOOKUP($A7,'[11]0816'!$A$4:$O$150,8,FALSE)="",VLOOKUP($A7,'[11]0816'!$A$4:$O$150,12,FALSE),VLOOKUP($A7,'[11]0816'!$A$4:$O$150,8,FALSE))</f>
        <v/>
      </c>
      <c r="J7" s="4" t="str">
        <f>IF(VLOOKUP($A7,'[12]0811'!$A$4:$O$150,8,FALSE)="",VLOOKUP($A7,'[12]0811'!$A$4:$O$150,12,FALSE),VLOOKUP($A7,'[12]0811'!$A$4:$O$150,8,FALSE))</f>
        <v/>
      </c>
    </row>
    <row r="8" spans="1:10" x14ac:dyDescent="0.25">
      <c r="A8" s="3" t="s">
        <v>27</v>
      </c>
      <c r="B8" s="5">
        <f>VLOOKUP($A8,'[13]0818'!$A$4:$O$321,4,FALSE)</f>
        <v>0.39</v>
      </c>
      <c r="C8" s="5">
        <f>VLOOKUP($A8,'[10]0808'!$A$4:$O$321,5,FALSE)</f>
        <v>0.43</v>
      </c>
      <c r="D8" s="5">
        <f>VLOOKUP($A8,'[13]0818'!$A$4:$O$321,15,FALSE)</f>
        <v>0.93799999999999994</v>
      </c>
      <c r="E8" s="4" t="str">
        <f>IF(VLOOKUP($A8,'[13]0818'!$A$4:$O$150,8,FALSE)="",VLOOKUP($A8,'[13]0818'!$A$4:$O$150,12,FALSE),VLOOKUP($A8,'[13]0818'!$A$4:$O$150,8,FALSE))</f>
        <v/>
      </c>
      <c r="F8" s="4" t="str">
        <f>IF(VLOOKUP($A8,'[9]0817'!$A$4:$O$150,8,FALSE)="",VLOOKUP($A8,'[9]0817'!$A$4:$O$150,12,FALSE),VLOOKUP($A8,'[9]0817'!$A$4:$O$150,8,FALSE))</f>
        <v/>
      </c>
      <c r="G8" s="4" t="str">
        <f>IF(VLOOKUP($A8,'[11]0816'!$A$4:$O$150,8,FALSE)="",VLOOKUP($A8,'[11]0816'!$A$4:$O$150,12,FALSE),VLOOKUP($A8,'[11]0816'!$A$4:$O$150,8,FALSE))</f>
        <v/>
      </c>
      <c r="J8" s="4" t="str">
        <f>IF(VLOOKUP($A8,'[12]0811'!$A$4:$O$150,8,FALSE)="",VLOOKUP($A8,'[12]0811'!$A$4:$O$150,12,FALSE),VLOOKUP($A8,'[12]0811'!$A$4:$O$150,8,FALSE))</f>
        <v/>
      </c>
    </row>
    <row r="9" spans="1:10" ht="16.5" customHeight="1" x14ac:dyDescent="0.25">
      <c r="A9" s="3" t="s">
        <v>9</v>
      </c>
      <c r="B9" s="5">
        <f>VLOOKUP($A9,'[13]0818'!$A$4:$O$321,4,FALSE)</f>
        <v>0.47</v>
      </c>
      <c r="C9" s="5">
        <f>VLOOKUP($A9,'[10]0808'!$A$4:$O$321,5,FALSE)</f>
        <v>0.5</v>
      </c>
      <c r="D9" s="5">
        <f>VLOOKUP($A9,'[13]0818'!$A$4:$O$321,15,FALSE)</f>
        <v>0.93979999999999997</v>
      </c>
      <c r="E9" s="4">
        <f>IF(VLOOKUP($A9,'[13]0818'!$A$4:$O$150,8,FALSE)="",VLOOKUP($A9,'[13]0818'!$A$4:$O$150,12,FALSE),VLOOKUP($A9,'[13]0818'!$A$4:$O$150,8,FALSE))</f>
        <v>0.93500000000000005</v>
      </c>
      <c r="F9" s="4" t="str">
        <f>IF(VLOOKUP($A9,'[9]0817'!$A$4:$O$150,8,FALSE)="",VLOOKUP($A9,'[9]0817'!$A$4:$O$150,12,FALSE),VLOOKUP($A9,'[9]0817'!$A$4:$O$150,8,FALSE))</f>
        <v/>
      </c>
      <c r="G9" s="4" t="str">
        <f>IF(VLOOKUP($A9,'[11]0816'!$A$4:$O$150,8,FALSE)="",VLOOKUP($A9,'[11]0816'!$A$4:$O$150,12,FALSE),VLOOKUP($A9,'[11]0816'!$A$4:$O$150,8,FALSE))</f>
        <v/>
      </c>
      <c r="J9" s="4" t="str">
        <f>IF(VLOOKUP($A9,'[12]0811'!$A$4:$O$150,8,FALSE)="",VLOOKUP($A9,'[12]0811'!$A$4:$O$150,12,FALSE),VLOOKUP($A9,'[12]0811'!$A$4:$O$150,8,FALSE))</f>
        <v/>
      </c>
    </row>
    <row r="10" spans="1:10" x14ac:dyDescent="0.25">
      <c r="A10" s="3" t="s">
        <v>52</v>
      </c>
      <c r="B10" s="5">
        <f>VLOOKUP($A10,'[13]0818'!$A$4:$O$321,4,FALSE)</f>
        <v>0.53</v>
      </c>
      <c r="C10" s="5">
        <f>VLOOKUP($A10,'[10]0808'!$A$4:$O$321,5,FALSE)</f>
        <v>0.56000000000000005</v>
      </c>
      <c r="D10" s="5">
        <f>VLOOKUP($A10,'[13]0818'!$A$4:$O$321,15,FALSE)</f>
        <v>0.94130000000000003</v>
      </c>
      <c r="E10" s="4" t="str">
        <f>IF(VLOOKUP($A10,'[13]0818'!$A$4:$O$150,8,FALSE)="",VLOOKUP($A10,'[13]0818'!$A$4:$O$150,12,FALSE),VLOOKUP($A10,'[13]0818'!$A$4:$O$150,8,FALSE))</f>
        <v/>
      </c>
      <c r="F10" s="4" t="str">
        <f>IF(VLOOKUP($A10,'[9]0817'!$A$4:$O$150,8,FALSE)="",VLOOKUP($A10,'[9]0817'!$A$4:$O$150,12,FALSE),VLOOKUP($A10,'[9]0817'!$A$4:$O$150,8,FALSE))</f>
        <v/>
      </c>
      <c r="G10" s="4" t="str">
        <f>IF(VLOOKUP($A10,'[11]0816'!$A$4:$O$150,8,FALSE)="",VLOOKUP($A10,'[11]0816'!$A$4:$O$150,12,FALSE),VLOOKUP($A10,'[11]0816'!$A$4:$O$150,8,FALSE))</f>
        <v/>
      </c>
      <c r="J10" s="4" t="str">
        <f>IF(VLOOKUP($A10,'[12]0811'!$A$4:$O$150,8,FALSE)="",VLOOKUP($A10,'[12]0811'!$A$4:$O$150,12,FALSE),VLOOKUP($A10,'[12]0811'!$A$4:$O$150,8,FALSE))</f>
        <v/>
      </c>
    </row>
    <row r="11" spans="1:10" x14ac:dyDescent="0.25">
      <c r="A11" s="3" t="s">
        <v>261</v>
      </c>
      <c r="B11" s="5">
        <f>VLOOKUP($A11,'[13]0818'!$A$4:$O$321,4,FALSE)</f>
        <v>0.6</v>
      </c>
      <c r="C11" s="5">
        <f>VLOOKUP($A11,'[10]0808'!$A$4:$O$321,5,FALSE)</f>
        <v>0.64</v>
      </c>
      <c r="D11" s="5">
        <f>VLOOKUP($A11,'[13]0818'!$A$4:$O$321,15,FALSE)</f>
        <v>0.94340000000000002</v>
      </c>
      <c r="E11" s="4" t="str">
        <f>IF(VLOOKUP($A11,'[13]0818'!$A$4:$O$150,8,FALSE)="",VLOOKUP($A11,'[13]0818'!$A$4:$O$150,12,FALSE),VLOOKUP($A11,'[13]0818'!$A$4:$O$150,8,FALSE))</f>
        <v/>
      </c>
      <c r="F11" s="4" t="str">
        <f>IF(VLOOKUP($A11,'[9]0817'!$A$4:$O$150,8,FALSE)="",VLOOKUP($A11,'[9]0817'!$A$4:$O$150,12,FALSE),VLOOKUP($A11,'[9]0817'!$A$4:$O$150,8,FALSE))</f>
        <v/>
      </c>
      <c r="G11" s="4" t="str">
        <f>IF(VLOOKUP($A11,'[11]0816'!$A$4:$O$150,8,FALSE)="",VLOOKUP($A11,'[11]0816'!$A$4:$O$150,12,FALSE),VLOOKUP($A11,'[11]0816'!$A$4:$O$150,8,FALSE))</f>
        <v/>
      </c>
      <c r="J11" s="4" t="str">
        <f>IF(VLOOKUP($A11,'[12]0811'!$A$4:$O$150,8,FALSE)="",VLOOKUP($A11,'[12]0811'!$A$4:$O$150,12,FALSE),VLOOKUP($A11,'[12]0811'!$A$4:$O$150,8,FALSE))</f>
        <v/>
      </c>
    </row>
    <row r="12" spans="1:10" x14ac:dyDescent="0.25">
      <c r="A12" s="3" t="s">
        <v>5</v>
      </c>
      <c r="B12" s="5">
        <f>VLOOKUP($A12,'[13]0818'!$A$4:$O$321,4,FALSE)</f>
        <v>0.89</v>
      </c>
      <c r="C12" s="5">
        <f>VLOOKUP($A12,'[10]0808'!$A$4:$O$321,5,FALSE)</f>
        <v>0.94</v>
      </c>
      <c r="D12" s="5">
        <f>VLOOKUP($A12,'[13]0818'!$A$4:$O$321,15,FALSE)</f>
        <v>0.95099999999999996</v>
      </c>
      <c r="E12" s="4" t="str">
        <f>IF(VLOOKUP($A12,'[13]0818'!$A$4:$O$150,8,FALSE)="",VLOOKUP($A12,'[13]0818'!$A$4:$O$150,12,FALSE),VLOOKUP($A12,'[13]0818'!$A$4:$O$150,8,FALSE))</f>
        <v/>
      </c>
      <c r="F12" s="4" t="str">
        <f>IF(VLOOKUP($A12,'[9]0817'!$A$4:$O$150,8,FALSE)="",VLOOKUP($A12,'[9]0817'!$A$4:$O$150,12,FALSE),VLOOKUP($A12,'[9]0817'!$A$4:$O$150,8,FALSE))</f>
        <v/>
      </c>
      <c r="G12" s="4" t="str">
        <f>IF(VLOOKUP($A12,'[11]0816'!$A$4:$O$150,8,FALSE)="",VLOOKUP($A12,'[11]0816'!$A$4:$O$150,12,FALSE),VLOOKUP($A12,'[11]0816'!$A$4:$O$150,8,FALSE))</f>
        <v/>
      </c>
      <c r="J12" s="4" t="str">
        <f>IF(VLOOKUP($A12,'[12]0811'!$A$4:$O$150,8,FALSE)="",VLOOKUP($A12,'[12]0811'!$A$4:$O$150,12,FALSE),VLOOKUP($A12,'[12]0811'!$A$4:$O$150,8,FALSE))</f>
        <v/>
      </c>
    </row>
    <row r="13" spans="1:10" x14ac:dyDescent="0.25">
      <c r="A13" s="3" t="s">
        <v>42</v>
      </c>
      <c r="B13" s="5">
        <f>VLOOKUP($A13,'[13]0818'!$A$4:$O$321,4,FALSE)</f>
        <v>1.07</v>
      </c>
      <c r="C13" s="5">
        <f>VLOOKUP($A13,'[10]0808'!$A$4:$O$321,5,FALSE)</f>
        <v>1.1299999999999999</v>
      </c>
      <c r="D13" s="5">
        <f>VLOOKUP($A13,'[13]0818'!$A$4:$O$321,15,FALSE)</f>
        <v>0.9556</v>
      </c>
      <c r="E13" s="4" t="str">
        <f>IF(VLOOKUP($A13,'[13]0818'!$A$4:$O$150,8,FALSE)="",VLOOKUP($A13,'[13]0818'!$A$4:$O$150,12,FALSE),VLOOKUP($A13,'[13]0818'!$A$4:$O$150,8,FALSE))</f>
        <v/>
      </c>
      <c r="F13" s="4" t="str">
        <f>IF(VLOOKUP($A13,'[9]0817'!$A$4:$O$150,8,FALSE)="",VLOOKUP($A13,'[9]0817'!$A$4:$O$150,12,FALSE),VLOOKUP($A13,'[9]0817'!$A$4:$O$150,8,FALSE))</f>
        <v/>
      </c>
      <c r="G13" s="4" t="str">
        <f>IF(VLOOKUP($A13,'[11]0816'!$A$4:$O$150,8,FALSE)="",VLOOKUP($A13,'[11]0816'!$A$4:$O$150,12,FALSE),VLOOKUP($A13,'[11]0816'!$A$4:$O$150,8,FALSE))</f>
        <v/>
      </c>
      <c r="J13" s="4" t="str">
        <f>IF(VLOOKUP($A13,'[12]0811'!$A$4:$O$150,8,FALSE)="",VLOOKUP($A13,'[12]0811'!$A$4:$O$150,12,FALSE),VLOOKUP($A13,'[12]0811'!$A$4:$O$150,8,FALSE))</f>
        <v/>
      </c>
    </row>
    <row r="14" spans="1:10" ht="16.5" customHeight="1" x14ac:dyDescent="0.25">
      <c r="A14" s="3" t="s">
        <v>10</v>
      </c>
      <c r="B14" s="5">
        <f>VLOOKUP($A14,'[13]0818'!$A$4:$O$321,4,FALSE)</f>
        <v>1.2</v>
      </c>
      <c r="C14" s="5">
        <f>VLOOKUP($A14,'[10]0808'!$A$4:$O$321,5,FALSE)</f>
        <v>1.28</v>
      </c>
      <c r="D14" s="5">
        <f>VLOOKUP($A14,'[13]0818'!$A$4:$O$321,15,FALSE)</f>
        <v>0.95889999999999997</v>
      </c>
      <c r="E14" s="4" t="str">
        <f>IF(VLOOKUP($A14,'[13]0818'!$A$4:$O$150,8,FALSE)="",VLOOKUP($A14,'[13]0818'!$A$4:$O$150,12,FALSE),VLOOKUP($A14,'[13]0818'!$A$4:$O$150,8,FALSE))</f>
        <v/>
      </c>
      <c r="F14" s="4" t="str">
        <f>IF(VLOOKUP($A14,'[9]0817'!$A$4:$O$150,8,FALSE)="",VLOOKUP($A14,'[9]0817'!$A$4:$O$150,12,FALSE),VLOOKUP($A14,'[9]0817'!$A$4:$O$150,8,FALSE))</f>
        <v/>
      </c>
      <c r="G14" s="4" t="str">
        <f>IF(VLOOKUP($A14,'[11]0816'!$A$4:$O$150,8,FALSE)="",VLOOKUP($A14,'[11]0816'!$A$4:$O$150,12,FALSE),VLOOKUP($A14,'[11]0816'!$A$4:$O$150,8,FALSE))</f>
        <v/>
      </c>
      <c r="J14" s="4" t="str">
        <f>IF(VLOOKUP($A14,'[12]0811'!$A$4:$O$150,8,FALSE)="",VLOOKUP($A14,'[12]0811'!$A$4:$O$150,12,FALSE),VLOOKUP($A14,'[12]0811'!$A$4:$O$150,8,FALSE))</f>
        <v/>
      </c>
    </row>
    <row r="15" spans="1:10" x14ac:dyDescent="0.25">
      <c r="A15" s="3" t="s">
        <v>89</v>
      </c>
      <c r="B15" s="5">
        <f>VLOOKUP($A15,'[13]0818'!$A$4:$O$321,4,FALSE)</f>
        <v>1.37</v>
      </c>
      <c r="C15" s="5">
        <f>VLOOKUP($A15,'[10]0808'!$A$4:$O$321,5,FALSE)</f>
        <v>1.42</v>
      </c>
      <c r="D15" s="5">
        <f>VLOOKUP($A15,'[13]0818'!$A$4:$O$321,15,FALSE)</f>
        <v>0.96260000000000001</v>
      </c>
      <c r="E15" s="4" t="str">
        <f>IF(VLOOKUP($A15,'[13]0818'!$A$4:$O$150,8,FALSE)="",VLOOKUP($A15,'[13]0818'!$A$4:$O$150,12,FALSE),VLOOKUP($A15,'[13]0818'!$A$4:$O$150,8,FALSE))</f>
        <v/>
      </c>
      <c r="F15" s="4" t="str">
        <f>IF(VLOOKUP($A15,'[9]0817'!$A$4:$O$150,8,FALSE)="",VLOOKUP($A15,'[9]0817'!$A$4:$O$150,12,FALSE),VLOOKUP($A15,'[9]0817'!$A$4:$O$150,8,FALSE))</f>
        <v/>
      </c>
      <c r="G15" s="4">
        <f>IF(VLOOKUP($A15,'[11]0816'!$A$4:$O$150,8,FALSE)="",VLOOKUP($A15,'[11]0816'!$A$4:$O$150,12,FALSE),VLOOKUP($A15,'[11]0816'!$A$4:$O$150,8,FALSE))</f>
        <v>0.9506</v>
      </c>
      <c r="I15" s="5">
        <v>0.98750000000000004</v>
      </c>
      <c r="J15" s="4" t="str">
        <f>IF(VLOOKUP($A15,'[12]0811'!$A$4:$O$150,8,FALSE)="",VLOOKUP($A15,'[12]0811'!$A$4:$O$150,12,FALSE),VLOOKUP($A15,'[12]0811'!$A$4:$O$150,8,FALSE))</f>
        <v/>
      </c>
    </row>
    <row r="16" spans="1:10" ht="16.5" customHeight="1" x14ac:dyDescent="0.25">
      <c r="A16" s="3" t="s">
        <v>7</v>
      </c>
      <c r="B16" s="5">
        <f>VLOOKUP($A16,'[13]0818'!$A$4:$O$321,4,FALSE)</f>
        <v>1.48</v>
      </c>
      <c r="C16" s="5">
        <f>VLOOKUP($A16,'[10]0808'!$A$4:$O$321,5,FALSE)</f>
        <v>1.55</v>
      </c>
      <c r="D16" s="5">
        <f>VLOOKUP($A16,'[13]0818'!$A$4:$O$321,15,FALSE)</f>
        <v>0.96579999999999999</v>
      </c>
      <c r="E16" s="4" t="str">
        <f>IF(VLOOKUP($A16,'[13]0818'!$A$4:$O$150,8,FALSE)="",VLOOKUP($A16,'[13]0818'!$A$4:$O$150,12,FALSE),VLOOKUP($A16,'[13]0818'!$A$4:$O$150,8,FALSE))</f>
        <v/>
      </c>
      <c r="F16" s="4" t="str">
        <f>IF(VLOOKUP($A16,'[9]0817'!$A$4:$O$150,8,FALSE)="",VLOOKUP($A16,'[9]0817'!$A$4:$O$150,12,FALSE),VLOOKUP($A16,'[9]0817'!$A$4:$O$150,8,FALSE))</f>
        <v/>
      </c>
      <c r="G16" s="4" t="str">
        <f>IF(VLOOKUP($A16,'[11]0816'!$A$4:$O$150,8,FALSE)="",VLOOKUP($A16,'[11]0816'!$A$4:$O$150,12,FALSE),VLOOKUP($A16,'[11]0816'!$A$4:$O$150,8,FALSE))</f>
        <v/>
      </c>
      <c r="J16" s="4" t="str">
        <f>IF(VLOOKUP($A16,'[12]0811'!$A$4:$O$150,8,FALSE)="",VLOOKUP($A16,'[12]0811'!$A$4:$O$150,12,FALSE),VLOOKUP($A16,'[12]0811'!$A$4:$O$150,8,FALSE))</f>
        <v/>
      </c>
    </row>
    <row r="17" spans="1:10" x14ac:dyDescent="0.25">
      <c r="A17" s="3" t="s">
        <v>333</v>
      </c>
      <c r="B17" s="5">
        <f>VLOOKUP($A17,'[13]0818'!$A$4:$O$321,4,FALSE)</f>
        <v>1.48</v>
      </c>
      <c r="C17" s="5">
        <f>VLOOKUP($A17,'[10]0808'!$A$4:$O$321,5,FALSE)</f>
        <v>1.54</v>
      </c>
      <c r="D17" s="5">
        <f>VLOOKUP($A17,'[13]0818'!$A$4:$O$321,15,FALSE)</f>
        <v>0.9657</v>
      </c>
      <c r="E17" s="4" t="str">
        <f>IF(VLOOKUP($A17,'[13]0818'!$A$4:$O$150,8,FALSE)="",VLOOKUP($A17,'[13]0818'!$A$4:$O$150,12,FALSE),VLOOKUP($A17,'[13]0818'!$A$4:$O$150,8,FALSE))</f>
        <v/>
      </c>
      <c r="F17" s="4" t="str">
        <f>IF(VLOOKUP($A17,'[9]0817'!$A$4:$O$150,8,FALSE)="",VLOOKUP($A17,'[9]0817'!$A$4:$O$150,12,FALSE),VLOOKUP($A17,'[9]0817'!$A$4:$O$150,8,FALSE))</f>
        <v/>
      </c>
      <c r="G17" s="4" t="str">
        <f>IF(VLOOKUP($A17,'[11]0816'!$A$4:$O$150,8,FALSE)="",VLOOKUP($A17,'[11]0816'!$A$4:$O$150,12,FALSE),VLOOKUP($A17,'[11]0816'!$A$4:$O$150,8,FALSE))</f>
        <v/>
      </c>
      <c r="J17" s="4" t="str">
        <f>IF(VLOOKUP($A17,'[12]0811'!$A$4:$O$150,8,FALSE)="",VLOOKUP($A17,'[12]0811'!$A$4:$O$150,12,FALSE),VLOOKUP($A17,'[12]0811'!$A$4:$O$150,8,FALSE))</f>
        <v/>
      </c>
    </row>
    <row r="18" spans="1:10" x14ac:dyDescent="0.25">
      <c r="A18" s="3" t="s">
        <v>31</v>
      </c>
      <c r="B18" s="5">
        <f>VLOOKUP($A18,'[13]0818'!$A$4:$O$321,4,FALSE)</f>
        <v>1.53</v>
      </c>
      <c r="C18" s="5">
        <f>VLOOKUP($A18,'[10]0808'!$A$4:$O$321,5,FALSE)</f>
        <v>1.59</v>
      </c>
      <c r="D18" s="5">
        <f>VLOOKUP($A18,'[13]0818'!$A$4:$O$321,15,FALSE)</f>
        <v>0.96709999999999996</v>
      </c>
      <c r="E18" s="4" t="str">
        <f>IF(VLOOKUP($A18,'[13]0818'!$A$4:$O$150,8,FALSE)="",VLOOKUP($A18,'[13]0818'!$A$4:$O$150,12,FALSE),VLOOKUP($A18,'[13]0818'!$A$4:$O$150,8,FALSE))</f>
        <v/>
      </c>
      <c r="F18" s="4" t="str">
        <f>IF(VLOOKUP($A18,'[9]0817'!$A$4:$O$150,8,FALSE)="",VLOOKUP($A18,'[9]0817'!$A$4:$O$150,12,FALSE),VLOOKUP($A18,'[9]0817'!$A$4:$O$150,8,FALSE))</f>
        <v/>
      </c>
      <c r="G18" s="4" t="str">
        <f>IF(VLOOKUP($A18,'[11]0816'!$A$4:$O$150,8,FALSE)="",VLOOKUP($A18,'[11]0816'!$A$4:$O$150,12,FALSE),VLOOKUP($A18,'[11]0816'!$A$4:$O$150,8,FALSE))</f>
        <v/>
      </c>
      <c r="J18" s="4" t="str">
        <f>IF(VLOOKUP($A18,'[12]0811'!$A$4:$O$150,8,FALSE)="",VLOOKUP($A18,'[12]0811'!$A$4:$O$150,12,FALSE),VLOOKUP($A18,'[12]0811'!$A$4:$O$150,8,FALSE))</f>
        <v/>
      </c>
    </row>
    <row r="19" spans="1:10" x14ac:dyDescent="0.25">
      <c r="A19" s="3" t="s">
        <v>94</v>
      </c>
      <c r="B19" s="5">
        <f>VLOOKUP($A19,'[13]0818'!$A$4:$O$321,4,FALSE)</f>
        <v>1.88</v>
      </c>
      <c r="C19" s="5">
        <f>VLOOKUP($A19,'[10]0808'!$A$4:$O$321,5,FALSE)</f>
        <v>1.94</v>
      </c>
      <c r="D19" s="5">
        <f>VLOOKUP($A19,'[13]0818'!$A$4:$O$321,15,FALSE)</f>
        <v>0.97860000000000003</v>
      </c>
      <c r="E19" s="4" t="str">
        <f>IF(VLOOKUP($A19,'[13]0818'!$A$4:$O$150,8,FALSE)="",VLOOKUP($A19,'[13]0818'!$A$4:$O$150,12,FALSE),VLOOKUP($A19,'[13]0818'!$A$4:$O$150,8,FALSE))</f>
        <v/>
      </c>
      <c r="F19" s="4" t="str">
        <f>IF(VLOOKUP($A19,'[9]0817'!$A$4:$O$150,8,FALSE)="",VLOOKUP($A19,'[9]0817'!$A$4:$O$150,12,FALSE),VLOOKUP($A19,'[9]0817'!$A$4:$O$150,8,FALSE))</f>
        <v/>
      </c>
      <c r="G19" s="4" t="str">
        <f>IF(VLOOKUP($A19,'[11]0816'!$A$4:$O$150,8,FALSE)="",VLOOKUP($A19,'[11]0816'!$A$4:$O$150,12,FALSE),VLOOKUP($A19,'[11]0816'!$A$4:$O$150,8,FALSE))</f>
        <v/>
      </c>
      <c r="J19" s="4" t="str">
        <f>IF(VLOOKUP($A19,'[12]0811'!$A$4:$O$150,8,FALSE)="",VLOOKUP($A19,'[12]0811'!$A$4:$O$150,12,FALSE),VLOOKUP($A19,'[12]0811'!$A$4:$O$150,8,FALSE))</f>
        <v/>
      </c>
    </row>
    <row r="20" spans="1:10" x14ac:dyDescent="0.25">
      <c r="A20" s="3" t="s">
        <v>38</v>
      </c>
      <c r="B20" s="5">
        <f>VLOOKUP($A20,'[13]0818'!$A$4:$O$321,4,FALSE)</f>
        <v>2</v>
      </c>
      <c r="C20" s="5">
        <f>VLOOKUP($A20,'[10]0808'!$A$4:$O$321,5,FALSE)</f>
        <v>2.09</v>
      </c>
      <c r="D20" s="5">
        <f>VLOOKUP($A20,'[13]0818'!$A$4:$O$321,15,FALSE)</f>
        <v>0.98440000000000005</v>
      </c>
      <c r="E20" s="4" t="str">
        <f>IF(VLOOKUP($A20,'[13]0818'!$A$4:$O$150,8,FALSE)="",VLOOKUP($A20,'[13]0818'!$A$4:$O$150,12,FALSE),VLOOKUP($A20,'[13]0818'!$A$4:$O$150,8,FALSE))</f>
        <v/>
      </c>
      <c r="F20" s="4" t="str">
        <f>IF(VLOOKUP($A20,'[9]0817'!$A$4:$O$150,8,FALSE)="",VLOOKUP($A20,'[9]0817'!$A$4:$O$150,12,FALSE),VLOOKUP($A20,'[9]0817'!$A$4:$O$150,8,FALSE))</f>
        <v/>
      </c>
      <c r="G20" s="4" t="str">
        <f>IF(VLOOKUP($A20,'[11]0816'!$A$4:$O$150,8,FALSE)="",VLOOKUP($A20,'[11]0816'!$A$4:$O$150,12,FALSE),VLOOKUP($A20,'[11]0816'!$A$4:$O$150,8,FALSE))</f>
        <v/>
      </c>
      <c r="J20" s="4" t="str">
        <f>IF(VLOOKUP($A20,'[12]0811'!$A$4:$O$150,8,FALSE)="",VLOOKUP($A20,'[12]0811'!$A$4:$O$150,12,FALSE),VLOOKUP($A20,'[12]0811'!$A$4:$O$150,8,FALSE))</f>
        <v/>
      </c>
    </row>
    <row r="21" spans="1:10" x14ac:dyDescent="0.25">
      <c r="A21" s="3" t="s">
        <v>98</v>
      </c>
      <c r="B21" s="5">
        <f>VLOOKUP($A21,'[13]0818'!$A$4:$O$321,4,FALSE)</f>
        <v>2.27</v>
      </c>
      <c r="C21" s="5">
        <f>VLOOKUP($A21,'[10]0808'!$A$4:$O$321,5,FALSE)</f>
        <v>2.33</v>
      </c>
      <c r="D21" s="5">
        <f>VLOOKUP($A21,'[13]0818'!$A$4:$O$321,15,FALSE)</f>
        <v>0.99539999999999995</v>
      </c>
      <c r="E21" s="4" t="str">
        <f>IF(VLOOKUP($A21,'[13]0818'!$A$4:$O$150,8,FALSE)="",VLOOKUP($A21,'[13]0818'!$A$4:$O$150,12,FALSE),VLOOKUP($A21,'[13]0818'!$A$4:$O$150,8,FALSE))</f>
        <v/>
      </c>
      <c r="F21" s="4" t="str">
        <f>IF(VLOOKUP($A21,'[9]0817'!$A$4:$O$150,8,FALSE)="",VLOOKUP($A21,'[9]0817'!$A$4:$O$150,12,FALSE),VLOOKUP($A21,'[9]0817'!$A$4:$O$150,8,FALSE))</f>
        <v/>
      </c>
      <c r="G21" s="4" t="str">
        <f>IF(VLOOKUP($A21,'[11]0816'!$A$4:$O$150,8,FALSE)="",VLOOKUP($A21,'[11]0816'!$A$4:$O$150,12,FALSE),VLOOKUP($A21,'[11]0816'!$A$4:$O$150,8,FALSE))</f>
        <v/>
      </c>
      <c r="J21" s="4" t="str">
        <f>IF(VLOOKUP($A21,'[12]0811'!$A$4:$O$150,8,FALSE)="",VLOOKUP($A21,'[12]0811'!$A$4:$O$150,12,FALSE),VLOOKUP($A21,'[12]0811'!$A$4:$O$150,8,FALSE))</f>
        <v/>
      </c>
    </row>
    <row r="22" spans="1:10" x14ac:dyDescent="0.25">
      <c r="A22" s="3" t="s">
        <v>100</v>
      </c>
      <c r="B22" s="5">
        <f>VLOOKUP($A22,'[13]0818'!$A$4:$O$321,4,FALSE)</f>
        <v>2.36</v>
      </c>
      <c r="C22" s="5">
        <f>VLOOKUP($A22,'[10]0808'!$A$4:$O$321,5,FALSE)</f>
        <v>2.4300000000000002</v>
      </c>
      <c r="D22" s="5">
        <f>VLOOKUP($A22,'[13]0818'!$A$4:$O$321,15,FALSE)</f>
        <v>1.0002</v>
      </c>
      <c r="E22" s="4" t="str">
        <f>IF(VLOOKUP($A22,'[13]0818'!$A$4:$O$150,8,FALSE)="",VLOOKUP($A22,'[13]0818'!$A$4:$O$150,12,FALSE),VLOOKUP($A22,'[13]0818'!$A$4:$O$150,8,FALSE))</f>
        <v/>
      </c>
      <c r="F22" s="4" t="str">
        <f>IF(VLOOKUP($A22,'[9]0817'!$A$4:$O$150,8,FALSE)="",VLOOKUP($A22,'[9]0817'!$A$4:$O$150,12,FALSE),VLOOKUP($A22,'[9]0817'!$A$4:$O$150,8,FALSE))</f>
        <v/>
      </c>
      <c r="G22" s="4" t="str">
        <f>IF(VLOOKUP($A22,'[11]0816'!$A$4:$O$150,8,FALSE)="",VLOOKUP($A22,'[11]0816'!$A$4:$O$150,12,FALSE),VLOOKUP($A22,'[11]0816'!$A$4:$O$150,8,FALSE))</f>
        <v/>
      </c>
      <c r="J22" s="4" t="str">
        <f>IF(VLOOKUP($A22,'[12]0811'!$A$4:$O$150,8,FALSE)="",VLOOKUP($A22,'[12]0811'!$A$4:$O$150,12,FALSE),VLOOKUP($A22,'[12]0811'!$A$4:$O$150,8,FALSE))</f>
        <v/>
      </c>
    </row>
    <row r="23" spans="1:10" ht="16.5" customHeight="1" x14ac:dyDescent="0.25">
      <c r="A23" s="3" t="s">
        <v>8</v>
      </c>
      <c r="B23" s="5">
        <f>VLOOKUP($A23,'[13]0818'!$A$4:$O$321,4,FALSE)</f>
        <v>2.4300000000000002</v>
      </c>
      <c r="C23" s="5">
        <f>VLOOKUP($A23,'[10]0808'!$A$4:$O$321,5,FALSE)</f>
        <v>2.54</v>
      </c>
      <c r="D23" s="5">
        <f>VLOOKUP($A23,'[13]0818'!$A$4:$O$321,15,FALSE)</f>
        <v>1.0057</v>
      </c>
      <c r="E23" s="4" t="str">
        <f>IF(VLOOKUP($A23,'[13]0818'!$A$4:$O$150,8,FALSE)="",VLOOKUP($A23,'[13]0818'!$A$4:$O$150,12,FALSE),VLOOKUP($A23,'[13]0818'!$A$4:$O$150,8,FALSE))</f>
        <v/>
      </c>
      <c r="F23" s="4" t="str">
        <f>IF(VLOOKUP($A23,'[9]0817'!$A$4:$O$150,8,FALSE)="",VLOOKUP($A23,'[9]0817'!$A$4:$O$150,12,FALSE),VLOOKUP($A23,'[9]0817'!$A$4:$O$150,8,FALSE))</f>
        <v/>
      </c>
      <c r="G23" s="4" t="str">
        <f>IF(VLOOKUP($A23,'[11]0816'!$A$4:$O$150,8,FALSE)="",VLOOKUP($A23,'[11]0816'!$A$4:$O$150,12,FALSE),VLOOKUP($A23,'[11]0816'!$A$4:$O$150,8,FALSE))</f>
        <v/>
      </c>
      <c r="H23" s="5">
        <v>1.0505</v>
      </c>
      <c r="J23" s="4" t="str">
        <f>IF(VLOOKUP($A23,'[12]0811'!$A$4:$O$150,8,FALSE)="",VLOOKUP($A23,'[12]0811'!$A$4:$O$150,12,FALSE),VLOOKUP($A23,'[12]0811'!$A$4:$O$150,8,FALSE))</f>
        <v/>
      </c>
    </row>
    <row r="24" spans="1:10" x14ac:dyDescent="0.25">
      <c r="A24" s="3" t="s">
        <v>59</v>
      </c>
      <c r="B24" s="5">
        <f>VLOOKUP($A24,'[13]0818'!$A$4:$O$321,4,FALSE)</f>
        <v>2.4900000000000002</v>
      </c>
      <c r="C24" s="5">
        <f>VLOOKUP($A24,'[10]0808'!$A$4:$O$321,5,FALSE)</f>
        <v>2.57</v>
      </c>
      <c r="D24" s="5">
        <f>VLOOKUP($A24,'[13]0818'!$A$4:$O$321,15,FALSE)</f>
        <v>1.0073000000000001</v>
      </c>
      <c r="E24" s="4" t="str">
        <f>IF(VLOOKUP($A24,'[13]0818'!$A$4:$O$150,8,FALSE)="",VLOOKUP($A24,'[13]0818'!$A$4:$O$150,12,FALSE),VLOOKUP($A24,'[13]0818'!$A$4:$O$150,8,FALSE))</f>
        <v/>
      </c>
      <c r="F24" s="4" t="str">
        <f>IF(VLOOKUP($A24,'[9]0817'!$A$4:$O$150,8,FALSE)="",VLOOKUP($A24,'[9]0817'!$A$4:$O$150,12,FALSE),VLOOKUP($A24,'[9]0817'!$A$4:$O$150,8,FALSE))</f>
        <v/>
      </c>
      <c r="G24" s="4" t="str">
        <f>IF(VLOOKUP($A24,'[11]0816'!$A$4:$O$150,8,FALSE)="",VLOOKUP($A24,'[11]0816'!$A$4:$O$150,12,FALSE),VLOOKUP($A24,'[11]0816'!$A$4:$O$150,8,FALSE))</f>
        <v/>
      </c>
      <c r="J24" s="4" t="str">
        <f>IF(VLOOKUP($A24,'[12]0811'!$A$4:$O$150,8,FALSE)="",VLOOKUP($A24,'[12]0811'!$A$4:$O$150,12,FALSE),VLOOKUP($A24,'[12]0811'!$A$4:$O$150,8,FALSE))</f>
        <v/>
      </c>
    </row>
    <row r="25" spans="1:10" x14ac:dyDescent="0.25">
      <c r="A25" s="3" t="s">
        <v>225</v>
      </c>
      <c r="B25" s="5">
        <f>VLOOKUP($A25,'[13]0818'!$A$4:$O$321,4,FALSE)</f>
        <v>2.9</v>
      </c>
      <c r="C25" s="5">
        <f>VLOOKUP($A25,'[10]0808'!$A$4:$O$321,5,FALSE)</f>
        <v>2.97</v>
      </c>
      <c r="D25" s="5">
        <f>VLOOKUP($A25,'[13]0818'!$A$4:$O$321,15,FALSE)</f>
        <v>1.0301</v>
      </c>
      <c r="E25" s="4" t="str">
        <f>IF(VLOOKUP($A25,'[13]0818'!$A$4:$O$150,8,FALSE)="",VLOOKUP($A25,'[13]0818'!$A$4:$O$150,12,FALSE),VLOOKUP($A25,'[13]0818'!$A$4:$O$150,8,FALSE))</f>
        <v/>
      </c>
      <c r="F25" s="4" t="str">
        <f>IF(VLOOKUP($A25,'[9]0817'!$A$4:$O$150,8,FALSE)="",VLOOKUP($A25,'[9]0817'!$A$4:$O$150,12,FALSE),VLOOKUP($A25,'[9]0817'!$A$4:$O$150,8,FALSE))</f>
        <v/>
      </c>
      <c r="G25" s="4" t="str">
        <f>IF(VLOOKUP($A25,'[11]0816'!$A$4:$O$150,8,FALSE)="",VLOOKUP($A25,'[11]0816'!$A$4:$O$150,12,FALSE),VLOOKUP($A25,'[11]0816'!$A$4:$O$150,8,FALSE))</f>
        <v/>
      </c>
      <c r="J25" s="4" t="str">
        <f>IF(VLOOKUP($A25,'[12]0811'!$A$4:$O$150,8,FALSE)="",VLOOKUP($A25,'[12]0811'!$A$4:$O$150,12,FALSE),VLOOKUP($A25,'[12]0811'!$A$4:$O$150,8,FALSE))</f>
        <v/>
      </c>
    </row>
    <row r="26" spans="1:10" x14ac:dyDescent="0.25">
      <c r="A26" s="3" t="s">
        <v>56</v>
      </c>
      <c r="B26" s="5">
        <f>VLOOKUP($A26,'[13]0818'!$A$4:$O$321,4,FALSE)</f>
        <v>2.98</v>
      </c>
      <c r="C26" s="5">
        <f>VLOOKUP($A26,'[10]0808'!$A$4:$O$321,5,FALSE)</f>
        <v>3.08</v>
      </c>
      <c r="D26" s="5">
        <f>VLOOKUP($A26,'[13]0818'!$A$4:$O$321,15,FALSE)</f>
        <v>1.0359</v>
      </c>
      <c r="E26" s="4" t="str">
        <f>IF(VLOOKUP($A26,'[13]0818'!$A$4:$O$150,8,FALSE)="",VLOOKUP($A26,'[13]0818'!$A$4:$O$150,12,FALSE),VLOOKUP($A26,'[13]0818'!$A$4:$O$150,8,FALSE))</f>
        <v/>
      </c>
      <c r="F26" s="4" t="str">
        <f>IF(VLOOKUP($A26,'[9]0817'!$A$4:$O$150,8,FALSE)="",VLOOKUP($A26,'[9]0817'!$A$4:$O$150,12,FALSE),VLOOKUP($A26,'[9]0817'!$A$4:$O$150,8,FALSE))</f>
        <v/>
      </c>
      <c r="G26" s="4" t="str">
        <f>IF(VLOOKUP($A26,'[11]0816'!$A$4:$O$150,8,FALSE)="",VLOOKUP($A26,'[11]0816'!$A$4:$O$150,12,FALSE),VLOOKUP($A26,'[11]0816'!$A$4:$O$150,8,FALSE))</f>
        <v/>
      </c>
      <c r="J26" s="4" t="str">
        <f>IF(VLOOKUP($A26,'[12]0811'!$A$4:$O$150,8,FALSE)="",VLOOKUP($A26,'[12]0811'!$A$4:$O$150,12,FALSE),VLOOKUP($A26,'[12]0811'!$A$4:$O$150,8,FALSE))</f>
        <v/>
      </c>
    </row>
    <row r="27" spans="1:10" ht="16.5" customHeight="1" x14ac:dyDescent="0.25">
      <c r="A27" s="3" t="s">
        <v>11</v>
      </c>
      <c r="B27" s="5">
        <f>VLOOKUP($A27,'[13]0818'!$A$4:$O$321,4,FALSE)</f>
        <v>3.07</v>
      </c>
      <c r="C27" s="5">
        <f>VLOOKUP($A27,'[10]0808'!$A$4:$O$321,5,FALSE)</f>
        <v>3.25</v>
      </c>
      <c r="D27" s="5">
        <f>VLOOKUP($A27,'[13]0818'!$A$4:$O$321,15,FALSE)</f>
        <v>1.0441</v>
      </c>
      <c r="E27" s="4" t="str">
        <f>IF(VLOOKUP($A27,'[13]0818'!$A$4:$O$150,8,FALSE)="",VLOOKUP($A27,'[13]0818'!$A$4:$O$150,12,FALSE),VLOOKUP($A27,'[13]0818'!$A$4:$O$150,8,FALSE))</f>
        <v/>
      </c>
      <c r="F27" s="4" t="str">
        <f>IF(VLOOKUP($A27,'[9]0817'!$A$4:$O$150,8,FALSE)="",VLOOKUP($A27,'[9]0817'!$A$4:$O$150,12,FALSE),VLOOKUP($A27,'[9]0817'!$A$4:$O$150,8,FALSE))</f>
        <v/>
      </c>
      <c r="G27" s="4" t="str">
        <f>IF(VLOOKUP($A27,'[11]0816'!$A$4:$O$150,8,FALSE)="",VLOOKUP($A27,'[11]0816'!$A$4:$O$150,12,FALSE),VLOOKUP($A27,'[11]0816'!$A$4:$O$150,8,FALSE))</f>
        <v/>
      </c>
      <c r="J27" s="4" t="str">
        <f>IF(VLOOKUP($A27,'[12]0811'!$A$4:$O$150,8,FALSE)="",VLOOKUP($A27,'[12]0811'!$A$4:$O$150,12,FALSE),VLOOKUP($A27,'[12]0811'!$A$4:$O$150,8,FALSE))</f>
        <v/>
      </c>
    </row>
    <row r="28" spans="1:10" ht="16.5" customHeight="1" x14ac:dyDescent="0.25">
      <c r="A28" s="3" t="s">
        <v>12</v>
      </c>
      <c r="B28" s="5">
        <f>VLOOKUP($A28,'[13]0818'!$A$4:$O$321,4,FALSE)</f>
        <v>3.33</v>
      </c>
      <c r="C28" s="5">
        <f>VLOOKUP($A28,'[10]0808'!$A$4:$O$321,5,FALSE)</f>
        <v>3.52</v>
      </c>
      <c r="D28" s="5">
        <f>VLOOKUP($A28,'[13]0818'!$A$4:$O$321,15,FALSE)</f>
        <v>1.0566</v>
      </c>
      <c r="E28" s="4" t="str">
        <f>IF(VLOOKUP($A28,'[13]0818'!$A$4:$O$150,8,FALSE)="",VLOOKUP($A28,'[13]0818'!$A$4:$O$150,12,FALSE),VLOOKUP($A28,'[13]0818'!$A$4:$O$150,8,FALSE))</f>
        <v/>
      </c>
      <c r="F28" s="4" t="str">
        <f>IF(VLOOKUP($A28,'[9]0817'!$A$4:$O$150,8,FALSE)="",VLOOKUP($A28,'[9]0817'!$A$4:$O$150,12,FALSE),VLOOKUP($A28,'[9]0817'!$A$4:$O$150,8,FALSE))</f>
        <v/>
      </c>
      <c r="G28" s="4" t="str">
        <f>IF(VLOOKUP($A28,'[11]0816'!$A$4:$O$150,8,FALSE)="",VLOOKUP($A28,'[11]0816'!$A$4:$O$150,12,FALSE),VLOOKUP($A28,'[11]0816'!$A$4:$O$150,8,FALSE))</f>
        <v/>
      </c>
      <c r="J28" s="4" t="str">
        <f>IF(VLOOKUP($A28,'[12]0811'!$A$4:$O$150,8,FALSE)="",VLOOKUP($A28,'[12]0811'!$A$4:$O$150,12,FALSE),VLOOKUP($A28,'[12]0811'!$A$4:$O$150,8,FALSE))</f>
        <v/>
      </c>
    </row>
    <row r="29" spans="1:10" x14ac:dyDescent="0.25">
      <c r="A29" s="3" t="s">
        <v>32</v>
      </c>
      <c r="B29" s="5">
        <f>VLOOKUP($A29,'[13]0818'!$A$4:$O$321,4,FALSE)</f>
        <v>3.42</v>
      </c>
      <c r="C29" s="5">
        <f>VLOOKUP($A29,'[10]0808'!$A$4:$O$321,5,FALSE)</f>
        <v>3.56</v>
      </c>
      <c r="D29" s="5">
        <f>VLOOKUP($A29,'[13]0818'!$A$4:$O$321,15,FALSE)</f>
        <v>1.0591999999999999</v>
      </c>
      <c r="E29" s="4" t="str">
        <f>IF(VLOOKUP($A29,'[13]0818'!$A$4:$O$150,8,FALSE)="",VLOOKUP($A29,'[13]0818'!$A$4:$O$150,12,FALSE),VLOOKUP($A29,'[13]0818'!$A$4:$O$150,8,FALSE))</f>
        <v/>
      </c>
      <c r="F29" s="4">
        <f>IF(VLOOKUP($A29,'[9]0817'!$A$4:$O$150,8,FALSE)="",VLOOKUP($A29,'[9]0817'!$A$4:$O$150,12,FALSE),VLOOKUP($A29,'[9]0817'!$A$4:$O$150,8,FALSE))</f>
        <v>1.0649999999999999</v>
      </c>
      <c r="G29" s="4" t="str">
        <f>IF(VLOOKUP($A29,'[11]0816'!$A$4:$O$150,8,FALSE)="",VLOOKUP($A29,'[11]0816'!$A$4:$O$150,12,FALSE),VLOOKUP($A29,'[11]0816'!$A$4:$O$150,8,FALSE))</f>
        <v/>
      </c>
      <c r="J29" s="4" t="str">
        <f>IF(VLOOKUP($A29,'[12]0811'!$A$4:$O$150,8,FALSE)="",VLOOKUP($A29,'[12]0811'!$A$4:$O$150,12,FALSE),VLOOKUP($A29,'[12]0811'!$A$4:$O$150,8,FALSE))</f>
        <v/>
      </c>
    </row>
    <row r="30" spans="1:10" x14ac:dyDescent="0.25">
      <c r="A30" s="3" t="s">
        <v>257</v>
      </c>
      <c r="B30" s="5">
        <f>VLOOKUP($A30,'[13]0818'!$A$4:$O$321,4,FALSE)</f>
        <v>3.44</v>
      </c>
      <c r="C30" s="5">
        <f>VLOOKUP($A30,'[10]0808'!$A$4:$O$321,5,FALSE)</f>
        <v>3.54</v>
      </c>
      <c r="D30" s="5">
        <f>VLOOKUP($A30,'[13]0818'!$A$4:$O$321,15,FALSE)</f>
        <v>1.0590999999999999</v>
      </c>
      <c r="E30" s="4" t="str">
        <f>IF(VLOOKUP($A30,'[13]0818'!$A$4:$O$150,8,FALSE)="",VLOOKUP($A30,'[13]0818'!$A$4:$O$150,12,FALSE),VLOOKUP($A30,'[13]0818'!$A$4:$O$150,8,FALSE))</f>
        <v/>
      </c>
      <c r="F30" s="4" t="str">
        <f>IF(VLOOKUP($A30,'[9]0817'!$A$4:$O$150,8,FALSE)="",VLOOKUP($A30,'[9]0817'!$A$4:$O$150,12,FALSE),VLOOKUP($A30,'[9]0817'!$A$4:$O$150,8,FALSE))</f>
        <v/>
      </c>
      <c r="G30" s="4" t="str">
        <f>IF(VLOOKUP($A30,'[11]0816'!$A$4:$O$150,8,FALSE)="",VLOOKUP($A30,'[11]0816'!$A$4:$O$150,12,FALSE),VLOOKUP($A30,'[11]0816'!$A$4:$O$150,8,FALSE))</f>
        <v/>
      </c>
      <c r="J30" s="4" t="str">
        <f>IF(VLOOKUP($A30,'[12]0811'!$A$4:$O$150,8,FALSE)="",VLOOKUP($A30,'[12]0811'!$A$4:$O$150,12,FALSE),VLOOKUP($A30,'[12]0811'!$A$4:$O$150,8,FALSE))</f>
        <v/>
      </c>
    </row>
    <row r="31" spans="1:10" x14ac:dyDescent="0.25">
      <c r="A31" s="3" t="s">
        <v>269</v>
      </c>
      <c r="B31" s="5">
        <f>VLOOKUP($A31,'[13]0818'!$A$4:$O$321,4,FALSE)</f>
        <v>3.74</v>
      </c>
      <c r="C31" s="5">
        <f>VLOOKUP($A31,'[10]0808'!$A$4:$O$321,5,FALSE)</f>
        <v>3.87</v>
      </c>
      <c r="D31" s="5">
        <f>VLOOKUP($A31,'[13]0818'!$A$4:$O$321,15,FALSE)</f>
        <v>1.0710999999999999</v>
      </c>
      <c r="E31" s="4" t="str">
        <f>IF(VLOOKUP($A31,'[13]0818'!$A$4:$O$150,8,FALSE)="",VLOOKUP($A31,'[13]0818'!$A$4:$O$150,12,FALSE),VLOOKUP($A31,'[13]0818'!$A$4:$O$150,8,FALSE))</f>
        <v/>
      </c>
      <c r="F31" s="4" t="str">
        <f>IF(VLOOKUP($A31,'[9]0817'!$A$4:$O$150,8,FALSE)="",VLOOKUP($A31,'[9]0817'!$A$4:$O$150,12,FALSE),VLOOKUP($A31,'[9]0817'!$A$4:$O$150,8,FALSE))</f>
        <v/>
      </c>
      <c r="G31" s="4" t="str">
        <f>IF(VLOOKUP($A31,'[11]0816'!$A$4:$O$150,8,FALSE)="",VLOOKUP($A31,'[11]0816'!$A$4:$O$150,12,FALSE),VLOOKUP($A31,'[11]0816'!$A$4:$O$150,8,FALSE))</f>
        <v/>
      </c>
      <c r="J31" s="4" t="str">
        <f>IF(VLOOKUP($A31,'[12]0811'!$A$4:$O$150,8,FALSE)="",VLOOKUP($A31,'[12]0811'!$A$4:$O$150,12,FALSE),VLOOKUP($A31,'[12]0811'!$A$4:$O$150,8,FALSE))</f>
        <v/>
      </c>
    </row>
    <row r="32" spans="1:10" x14ac:dyDescent="0.25">
      <c r="A32" s="3" t="s">
        <v>307</v>
      </c>
      <c r="B32" s="5">
        <f>VLOOKUP($A32,'[13]0818'!$A$4:$O$321,4,FALSE)</f>
        <v>3.92</v>
      </c>
      <c r="C32" s="5">
        <f>VLOOKUP($A32,'[10]0808'!$A$4:$O$321,5,FALSE)</f>
        <v>4.12</v>
      </c>
      <c r="D32" s="5">
        <f>VLOOKUP($A32,'[13]0818'!$A$4:$O$321,15,FALSE)</f>
        <v>1.0779000000000001</v>
      </c>
      <c r="E32" s="4" t="str">
        <f>IF(VLOOKUP($A32,'[13]0818'!$A$4:$O$150,8,FALSE)="",VLOOKUP($A32,'[13]0818'!$A$4:$O$150,12,FALSE),VLOOKUP($A32,'[13]0818'!$A$4:$O$150,8,FALSE))</f>
        <v/>
      </c>
      <c r="F32" s="4" t="str">
        <f>IF(VLOOKUP($A32,'[9]0817'!$A$4:$O$150,8,FALSE)="",VLOOKUP($A32,'[9]0817'!$A$4:$O$150,12,FALSE),VLOOKUP($A32,'[9]0817'!$A$4:$O$150,8,FALSE))</f>
        <v/>
      </c>
      <c r="G32" s="4" t="str">
        <f>IF(VLOOKUP($A32,'[11]0816'!$A$4:$O$150,8,FALSE)="",VLOOKUP($A32,'[11]0816'!$A$4:$O$150,12,FALSE),VLOOKUP($A32,'[11]0816'!$A$4:$O$150,8,FALSE))</f>
        <v/>
      </c>
      <c r="J32" s="4" t="str">
        <f>IF(VLOOKUP($A32,'[12]0811'!$A$4:$O$150,8,FALSE)="",VLOOKUP($A32,'[12]0811'!$A$4:$O$150,12,FALSE),VLOOKUP($A32,'[12]0811'!$A$4:$O$150,8,FALSE))</f>
        <v/>
      </c>
    </row>
    <row r="33" spans="1:10" x14ac:dyDescent="0.25">
      <c r="A33" s="3" t="s">
        <v>13</v>
      </c>
      <c r="B33" s="5">
        <f>VLOOKUP($A33,'[13]0818'!$A$4:$O$321,4,FALSE)</f>
        <v>3.92</v>
      </c>
      <c r="C33" s="5">
        <f>VLOOKUP($A33,'[10]0808'!$A$4:$O$321,5,FALSE)</f>
        <v>4.2699999999999996</v>
      </c>
      <c r="D33" s="5">
        <f>VLOOKUP($A33,'[13]0818'!$A$4:$O$321,15,FALSE)</f>
        <v>1.0790999999999999</v>
      </c>
      <c r="E33" s="4" t="str">
        <f>IF(VLOOKUP($A33,'[13]0818'!$A$4:$O$150,8,FALSE)="",VLOOKUP($A33,'[13]0818'!$A$4:$O$150,12,FALSE),VLOOKUP($A33,'[13]0818'!$A$4:$O$150,8,FALSE))</f>
        <v/>
      </c>
      <c r="F33" s="4" t="str">
        <f>IF(VLOOKUP($A33,'[9]0817'!$A$4:$O$150,8,FALSE)="",VLOOKUP($A33,'[9]0817'!$A$4:$O$150,12,FALSE),VLOOKUP($A33,'[9]0817'!$A$4:$O$150,8,FALSE))</f>
        <v/>
      </c>
      <c r="G33" s="4" t="str">
        <f>IF(VLOOKUP($A33,'[11]0816'!$A$4:$O$150,8,FALSE)="",VLOOKUP($A33,'[11]0816'!$A$4:$O$150,12,FALSE),VLOOKUP($A33,'[11]0816'!$A$4:$O$150,8,FALSE))</f>
        <v/>
      </c>
      <c r="J33" s="4" t="str">
        <f>IF(VLOOKUP($A33,'[12]0811'!$A$4:$O$150,8,FALSE)="",VLOOKUP($A33,'[12]0811'!$A$4:$O$150,12,FALSE),VLOOKUP($A33,'[12]0811'!$A$4:$O$150,8,FALSE))</f>
        <v/>
      </c>
    </row>
    <row r="34" spans="1:10" x14ac:dyDescent="0.25">
      <c r="A34" s="3" t="s">
        <v>1</v>
      </c>
      <c r="B34" s="5">
        <f>VLOOKUP($A34,'[13]0818'!$A$4:$O$321,4,FALSE)</f>
        <v>3.94</v>
      </c>
      <c r="C34" s="5">
        <f>VLOOKUP($A34,'[10]0808'!$A$4:$O$321,5,FALSE)</f>
        <v>4.1100000000000003</v>
      </c>
      <c r="D34" s="5">
        <f>VLOOKUP($A34,'[13]0818'!$A$4:$O$321,15,FALSE)</f>
        <v>1.0779000000000001</v>
      </c>
      <c r="E34" s="4" t="str">
        <f>IF(VLOOKUP($A34,'[13]0818'!$A$4:$O$150,8,FALSE)="",VLOOKUP($A34,'[13]0818'!$A$4:$O$150,12,FALSE),VLOOKUP($A34,'[13]0818'!$A$4:$O$150,8,FALSE))</f>
        <v/>
      </c>
      <c r="F34" s="4" t="str">
        <f>IF(VLOOKUP($A34,'[9]0817'!$A$4:$O$150,8,FALSE)="",VLOOKUP($A34,'[9]0817'!$A$4:$O$150,12,FALSE),VLOOKUP($A34,'[9]0817'!$A$4:$O$150,8,FALSE))</f>
        <v/>
      </c>
      <c r="G34" s="4" t="str">
        <f>IF(VLOOKUP($A34,'[11]0816'!$A$4:$O$150,8,FALSE)="",VLOOKUP($A34,'[11]0816'!$A$4:$O$150,12,FALSE),VLOOKUP($A34,'[11]0816'!$A$4:$O$150,8,FALSE))</f>
        <v/>
      </c>
      <c r="J34" s="4" t="str">
        <f>IF(VLOOKUP($A34,'[12]0811'!$A$4:$O$150,8,FALSE)="",VLOOKUP($A34,'[12]0811'!$A$4:$O$150,12,FALSE),VLOOKUP($A34,'[12]0811'!$A$4:$O$150,8,FALSE))</f>
        <v/>
      </c>
    </row>
    <row r="35" spans="1:10" x14ac:dyDescent="0.25">
      <c r="A35" s="3" t="s">
        <v>60</v>
      </c>
      <c r="B35" s="5">
        <f>VLOOKUP($A35,'[13]0818'!$A$4:$O$321,4,FALSE)</f>
        <v>4.21</v>
      </c>
      <c r="C35" s="5">
        <f>VLOOKUP($A35,'[10]0808'!$A$4:$O$321,5,FALSE)</f>
        <v>4.42</v>
      </c>
      <c r="D35" s="5">
        <f>VLOOKUP($A35,'[13]0818'!$A$4:$O$321,15,FALSE)</f>
        <v>1.0834999999999999</v>
      </c>
      <c r="E35" s="4" t="str">
        <f>IF(VLOOKUP($A35,'[13]0818'!$A$4:$O$150,8,FALSE)="",VLOOKUP($A35,'[13]0818'!$A$4:$O$150,12,FALSE),VLOOKUP($A35,'[13]0818'!$A$4:$O$150,8,FALSE))</f>
        <v/>
      </c>
      <c r="F35" s="4" t="str">
        <f>IF(VLOOKUP($A35,'[9]0817'!$A$4:$O$150,8,FALSE)="",VLOOKUP($A35,'[9]0817'!$A$4:$O$150,12,FALSE),VLOOKUP($A35,'[9]0817'!$A$4:$O$150,8,FALSE))</f>
        <v/>
      </c>
      <c r="G35" s="4" t="str">
        <f>IF(VLOOKUP($A35,'[11]0816'!$A$4:$O$150,8,FALSE)="",VLOOKUP($A35,'[11]0816'!$A$4:$O$150,12,FALSE),VLOOKUP($A35,'[11]0816'!$A$4:$O$150,8,FALSE))</f>
        <v/>
      </c>
      <c r="J35" s="4" t="str">
        <f>IF(VLOOKUP($A35,'[12]0811'!$A$4:$O$150,8,FALSE)="",VLOOKUP($A35,'[12]0811'!$A$4:$O$150,12,FALSE),VLOOKUP($A35,'[12]0811'!$A$4:$O$150,8,FALSE))</f>
        <v/>
      </c>
    </row>
    <row r="36" spans="1:10" x14ac:dyDescent="0.25">
      <c r="A36" s="3" t="s">
        <v>14</v>
      </c>
      <c r="B36" s="5">
        <f>VLOOKUP($A36,'[13]0818'!$A$4:$O$321,4,FALSE)</f>
        <v>4.21</v>
      </c>
      <c r="C36" s="5">
        <f>VLOOKUP($A36,'[10]0808'!$A$4:$O$321,5,FALSE)</f>
        <v>4.5199999999999996</v>
      </c>
      <c r="D36" s="5">
        <f>VLOOKUP($A36,'[13]0818'!$A$4:$O$321,15,FALSE)</f>
        <v>1.0838000000000001</v>
      </c>
      <c r="E36" s="4" t="str">
        <f>IF(VLOOKUP($A36,'[13]0818'!$A$4:$O$150,8,FALSE)="",VLOOKUP($A36,'[13]0818'!$A$4:$O$150,12,FALSE),VLOOKUP($A36,'[13]0818'!$A$4:$O$150,8,FALSE))</f>
        <v/>
      </c>
      <c r="F36" s="4" t="str">
        <f>IF(VLOOKUP($A36,'[9]0817'!$A$4:$O$150,8,FALSE)="",VLOOKUP($A36,'[9]0817'!$A$4:$O$150,12,FALSE),VLOOKUP($A36,'[9]0817'!$A$4:$O$150,8,FALSE))</f>
        <v/>
      </c>
      <c r="G36" s="4" t="str">
        <f>IF(VLOOKUP($A36,'[11]0816'!$A$4:$O$150,8,FALSE)="",VLOOKUP($A36,'[11]0816'!$A$4:$O$150,12,FALSE),VLOOKUP($A36,'[11]0816'!$A$4:$O$150,8,FALSE))</f>
        <v/>
      </c>
      <c r="J36" s="4" t="str">
        <f>IF(VLOOKUP($A36,'[12]0811'!$A$4:$O$150,8,FALSE)="",VLOOKUP($A36,'[12]0811'!$A$4:$O$150,12,FALSE),VLOOKUP($A36,'[12]0811'!$A$4:$O$150,8,FALSE))</f>
        <v/>
      </c>
    </row>
    <row r="37" spans="1:10" x14ac:dyDescent="0.25">
      <c r="A37" s="3" t="s">
        <v>335</v>
      </c>
      <c r="B37" s="5">
        <f>VLOOKUP($A37,'[13]0818'!$A$4:$O$321,4,FALSE)</f>
        <v>4.26</v>
      </c>
      <c r="C37" s="5">
        <f>VLOOKUP($A37,'[10]0808'!$A$4:$O$321,5,FALSE)</f>
        <v>4.4400000000000004</v>
      </c>
      <c r="D37" s="5">
        <f>VLOOKUP($A37,'[13]0818'!$A$4:$O$321,15,FALSE)</f>
        <v>1.0843</v>
      </c>
      <c r="E37" s="4">
        <f>IF(VLOOKUP($A37,'[13]0818'!$A$4:$O$150,8,FALSE)="",VLOOKUP($A37,'[13]0818'!$A$4:$O$150,12,FALSE),VLOOKUP($A37,'[13]0818'!$A$4:$O$150,8,FALSE))</f>
        <v>1.0905</v>
      </c>
      <c r="F37" s="4" t="str">
        <f>IF(VLOOKUP($A37,'[9]0817'!$A$4:$O$150,8,FALSE)="",VLOOKUP($A37,'[9]0817'!$A$4:$O$150,12,FALSE),VLOOKUP($A37,'[9]0817'!$A$4:$O$150,8,FALSE))</f>
        <v/>
      </c>
      <c r="G37" s="4" t="str">
        <f>IF(VLOOKUP($A37,'[11]0816'!$A$4:$O$150,8,FALSE)="",VLOOKUP($A37,'[11]0816'!$A$4:$O$150,12,FALSE),VLOOKUP($A37,'[11]0816'!$A$4:$O$150,8,FALSE))</f>
        <v/>
      </c>
      <c r="J37" s="4" t="str">
        <f>IF(VLOOKUP($A37,'[12]0811'!$A$4:$O$150,8,FALSE)="",VLOOKUP($A37,'[12]0811'!$A$4:$O$150,12,FALSE),VLOOKUP($A37,'[12]0811'!$A$4:$O$150,8,FALSE))</f>
        <v/>
      </c>
    </row>
    <row r="38" spans="1:10" x14ac:dyDescent="0.25">
      <c r="A38" s="3" t="s">
        <v>35</v>
      </c>
      <c r="B38" s="5">
        <f>VLOOKUP($A38,'[13]0818'!$A$4:$O$321,4,FALSE)</f>
        <v>4.32</v>
      </c>
      <c r="C38" s="5">
        <f>VLOOKUP($A38,'[10]0808'!$A$4:$O$321,5,FALSE)</f>
        <v>4.5</v>
      </c>
      <c r="D38" s="5">
        <f>VLOOKUP($A38,'[13]0818'!$A$4:$O$321,15,FALSE)</f>
        <v>1.0852999999999999</v>
      </c>
      <c r="E38" s="4" t="str">
        <f>IF(VLOOKUP($A38,'[13]0818'!$A$4:$O$150,8,FALSE)="",VLOOKUP($A38,'[13]0818'!$A$4:$O$150,12,FALSE),VLOOKUP($A38,'[13]0818'!$A$4:$O$150,8,FALSE))</f>
        <v/>
      </c>
      <c r="F38" s="4" t="str">
        <f>IF(VLOOKUP($A38,'[9]0817'!$A$4:$O$150,8,FALSE)="",VLOOKUP($A38,'[9]0817'!$A$4:$O$150,12,FALSE),VLOOKUP($A38,'[9]0817'!$A$4:$O$150,8,FALSE))</f>
        <v/>
      </c>
      <c r="G38" s="4" t="str">
        <f>IF(VLOOKUP($A38,'[11]0816'!$A$4:$O$150,8,FALSE)="",VLOOKUP($A38,'[11]0816'!$A$4:$O$150,12,FALSE),VLOOKUP($A38,'[11]0816'!$A$4:$O$150,8,FALSE))</f>
        <v/>
      </c>
      <c r="J38" s="4" t="str">
        <f>IF(VLOOKUP($A38,'[12]0811'!$A$4:$O$150,8,FALSE)="",VLOOKUP($A38,'[12]0811'!$A$4:$O$150,12,FALSE),VLOOKUP($A38,'[12]0811'!$A$4:$O$150,8,FALSE))</f>
        <v/>
      </c>
    </row>
    <row r="39" spans="1:10" x14ac:dyDescent="0.25">
      <c r="A39" s="3" t="s">
        <v>15</v>
      </c>
      <c r="B39" s="5">
        <f>VLOOKUP($A39,'[13]0818'!$A$4:$O$321,4,FALSE)</f>
        <v>4.6900000000000004</v>
      </c>
      <c r="C39" s="5">
        <f>VLOOKUP($A39,'[10]0808'!$A$4:$O$321,5,FALSE)</f>
        <v>5.01</v>
      </c>
      <c r="D39" s="5">
        <f>VLOOKUP($A39,'[13]0818'!$A$4:$O$321,15,FALSE)</f>
        <v>1.0906</v>
      </c>
      <c r="E39" s="4" t="str">
        <f>IF(VLOOKUP($A39,'[13]0818'!$A$4:$O$150,8,FALSE)="",VLOOKUP($A39,'[13]0818'!$A$4:$O$150,12,FALSE),VLOOKUP($A39,'[13]0818'!$A$4:$O$150,8,FALSE))</f>
        <v/>
      </c>
      <c r="F39" s="4" t="str">
        <f>IF(VLOOKUP($A39,'[9]0817'!$A$4:$O$150,8,FALSE)="",VLOOKUP($A39,'[9]0817'!$A$4:$O$150,12,FALSE),VLOOKUP($A39,'[9]0817'!$A$4:$O$150,8,FALSE))</f>
        <v/>
      </c>
      <c r="G39" s="4" t="str">
        <f>IF(VLOOKUP($A39,'[11]0816'!$A$4:$O$150,8,FALSE)="",VLOOKUP($A39,'[11]0816'!$A$4:$O$150,12,FALSE),VLOOKUP($A39,'[11]0816'!$A$4:$O$150,8,FALSE))</f>
        <v/>
      </c>
      <c r="J39" s="4" t="str">
        <f>IF(VLOOKUP($A39,'[12]0811'!$A$4:$O$150,8,FALSE)="",VLOOKUP($A39,'[12]0811'!$A$4:$O$150,12,FALSE),VLOOKUP($A39,'[12]0811'!$A$4:$O$150,8,FALSE))</f>
        <v/>
      </c>
    </row>
    <row r="40" spans="1:10" x14ac:dyDescent="0.25">
      <c r="A40" s="3" t="s">
        <v>365</v>
      </c>
      <c r="B40" s="5">
        <f>VLOOKUP($A40,'[13]0818'!$A$4:$O$321,4,FALSE)</f>
        <v>4.6100000000000003</v>
      </c>
      <c r="C40" s="5">
        <f>VLOOKUP($A40,'[10]0808'!$A$4:$O$321,5,FALSE)</f>
        <v>4.79</v>
      </c>
      <c r="D40" s="5">
        <f>VLOOKUP($A40,'[13]0818'!$A$4:$O$321,15,FALSE)</f>
        <v>1.0895999999999999</v>
      </c>
      <c r="E40" s="4" t="str">
        <f>IF(VLOOKUP($A40,'[13]0818'!$A$4:$O$150,8,FALSE)="",VLOOKUP($A40,'[13]0818'!$A$4:$O$150,12,FALSE),VLOOKUP($A40,'[13]0818'!$A$4:$O$150,8,FALSE))</f>
        <v/>
      </c>
      <c r="F40" s="4">
        <f>IF(VLOOKUP($A40,'[9]0817'!$A$4:$O$150,8,FALSE)="",VLOOKUP($A40,'[9]0817'!$A$4:$O$150,12,FALSE),VLOOKUP($A40,'[9]0817'!$A$4:$O$150,8,FALSE))</f>
        <v>1.0974999999999999</v>
      </c>
      <c r="G40" s="4" t="str">
        <f>IF(VLOOKUP($A40,'[11]0816'!$A$4:$O$150,8,FALSE)="",VLOOKUP($A40,'[11]0816'!$A$4:$O$150,12,FALSE),VLOOKUP($A40,'[11]0816'!$A$4:$O$150,8,FALSE))</f>
        <v/>
      </c>
      <c r="I40" s="5">
        <v>1.091</v>
      </c>
      <c r="J40" s="4" t="str">
        <f>IF(VLOOKUP($A40,'[12]0811'!$A$4:$O$150,8,FALSE)="",VLOOKUP($A40,'[12]0811'!$A$4:$O$150,12,FALSE),VLOOKUP($A40,'[12]0811'!$A$4:$O$150,8,FALSE))</f>
        <v/>
      </c>
    </row>
    <row r="41" spans="1:10" x14ac:dyDescent="0.25">
      <c r="A41" s="3" t="s">
        <v>2</v>
      </c>
      <c r="B41" s="5">
        <f>VLOOKUP($A41,'[13]0818'!$A$4:$O$321,4,FALSE)</f>
        <v>4.66</v>
      </c>
      <c r="C41" s="5">
        <f>VLOOKUP($A41,'[10]0808'!$A$4:$O$321,5,FALSE)</f>
        <v>4.83</v>
      </c>
      <c r="D41" s="5">
        <f>VLOOKUP($A41,'[13]0818'!$A$4:$O$321,15,FALSE)</f>
        <v>1.0901000000000001</v>
      </c>
      <c r="E41" s="4" t="str">
        <f>IF(VLOOKUP($A41,'[13]0818'!$A$4:$O$150,8,FALSE)="",VLOOKUP($A41,'[13]0818'!$A$4:$O$150,12,FALSE),VLOOKUP($A41,'[13]0818'!$A$4:$O$150,8,FALSE))</f>
        <v/>
      </c>
      <c r="F41" s="4" t="str">
        <f>IF(VLOOKUP($A41,'[9]0817'!$A$4:$O$150,8,FALSE)="",VLOOKUP($A41,'[9]0817'!$A$4:$O$150,12,FALSE),VLOOKUP($A41,'[9]0817'!$A$4:$O$150,8,FALSE))</f>
        <v/>
      </c>
      <c r="G41" s="4" t="str">
        <f>IF(VLOOKUP($A41,'[11]0816'!$A$4:$O$150,8,FALSE)="",VLOOKUP($A41,'[11]0816'!$A$4:$O$150,12,FALSE),VLOOKUP($A41,'[11]0816'!$A$4:$O$150,8,FALSE))</f>
        <v/>
      </c>
      <c r="J41" s="4" t="str">
        <f>IF(VLOOKUP($A41,'[12]0811'!$A$4:$O$150,8,FALSE)="",VLOOKUP($A41,'[12]0811'!$A$4:$O$150,12,FALSE),VLOOKUP($A41,'[12]0811'!$A$4:$O$150,8,FALSE))</f>
        <v/>
      </c>
    </row>
    <row r="42" spans="1:10" x14ac:dyDescent="0.25">
      <c r="A42" s="3" t="s">
        <v>382</v>
      </c>
      <c r="B42" s="5">
        <f>VLOOKUP($A42,'[13]0818'!$A$4:$O$321,4,FALSE)</f>
        <v>4.8499999999999996</v>
      </c>
      <c r="C42" s="5">
        <f>VLOOKUP($A42,'[10]0808'!$A$4:$O$321,5,FALSE)</f>
        <v>5</v>
      </c>
      <c r="D42" s="5">
        <f>VLOOKUP($A42,'[13]0818'!$A$4:$O$321,15,FALSE)</f>
        <v>1.0928</v>
      </c>
      <c r="E42" s="4" t="str">
        <f>IF(VLOOKUP($A42,'[13]0818'!$A$4:$O$150,8,FALSE)="",VLOOKUP($A42,'[13]0818'!$A$4:$O$150,12,FALSE),VLOOKUP($A42,'[13]0818'!$A$4:$O$150,8,FALSE))</f>
        <v/>
      </c>
      <c r="F42" s="4">
        <f>IF(VLOOKUP($A42,'[9]0817'!$A$4:$O$150,8,FALSE)="",VLOOKUP($A42,'[9]0817'!$A$4:$O$150,12,FALSE),VLOOKUP($A42,'[9]0817'!$A$4:$O$150,8,FALSE))</f>
        <v>1.1000000000000001</v>
      </c>
      <c r="G42" s="4">
        <f>IF(VLOOKUP($A42,'[11]0816'!$A$4:$O$150,8,FALSE)="",VLOOKUP($A42,'[11]0816'!$A$4:$O$150,12,FALSE),VLOOKUP($A42,'[11]0816'!$A$4:$O$150,8,FALSE))</f>
        <v>1.0934999999999999</v>
      </c>
      <c r="J42" s="4" t="str">
        <f>IF(VLOOKUP($A42,'[12]0811'!$A$4:$O$150,8,FALSE)="",VLOOKUP($A42,'[12]0811'!$A$4:$O$150,12,FALSE),VLOOKUP($A42,'[12]0811'!$A$4:$O$150,8,FALSE))</f>
        <v/>
      </c>
    </row>
    <row r="43" spans="1:10" ht="16.5" customHeight="1" x14ac:dyDescent="0.25">
      <c r="A43" s="3" t="s">
        <v>228</v>
      </c>
      <c r="B43" s="5">
        <f>VLOOKUP($A43,'[13]0818'!$A$4:$O$321,4,FALSE)</f>
        <v>4.92</v>
      </c>
      <c r="C43" s="5">
        <f>VLOOKUP($A43,'[10]0808'!$A$4:$O$321,5,FALSE)</f>
        <v>5.03</v>
      </c>
      <c r="D43" s="5">
        <f>VLOOKUP($A43,'[13]0818'!$A$4:$O$321,15,FALSE)</f>
        <v>1.0935999999999999</v>
      </c>
      <c r="E43" s="4" t="str">
        <f>IF(VLOOKUP($A43,'[13]0818'!$A$4:$O$150,8,FALSE)="",VLOOKUP($A43,'[13]0818'!$A$4:$O$150,12,FALSE),VLOOKUP($A43,'[13]0818'!$A$4:$O$150,8,FALSE))</f>
        <v/>
      </c>
      <c r="F43" s="4" t="str">
        <f>IF(VLOOKUP($A43,'[9]0817'!$A$4:$O$150,8,FALSE)="",VLOOKUP($A43,'[9]0817'!$A$4:$O$150,12,FALSE),VLOOKUP($A43,'[9]0817'!$A$4:$O$150,8,FALSE))</f>
        <v/>
      </c>
      <c r="G43" s="4" t="str">
        <f>IF(VLOOKUP($A43,'[11]0816'!$A$4:$O$150,8,FALSE)="",VLOOKUP($A43,'[11]0816'!$A$4:$O$150,12,FALSE),VLOOKUP($A43,'[11]0816'!$A$4:$O$150,8,FALSE))</f>
        <v/>
      </c>
      <c r="J43" s="4" t="str">
        <f>IF(VLOOKUP($A43,'[12]0811'!$A$4:$O$150,8,FALSE)="",VLOOKUP($A43,'[12]0811'!$A$4:$O$150,12,FALSE),VLOOKUP($A43,'[12]0811'!$A$4:$O$150,8,FALSE))</f>
        <v/>
      </c>
    </row>
    <row r="44" spans="1:10" ht="18.75" customHeight="1" x14ac:dyDescent="0.25">
      <c r="A44" s="3" t="s">
        <v>28</v>
      </c>
      <c r="B44" s="5">
        <f>VLOOKUP($A44,'[13]0818'!$A$4:$O$321,4,FALSE)</f>
        <v>4.97</v>
      </c>
      <c r="C44" s="5">
        <f>VLOOKUP($A44,'[10]0808'!$A$4:$O$321,5,FALSE)</f>
        <v>5.19</v>
      </c>
      <c r="D44" s="5">
        <f>VLOOKUP($A44,'[13]0818'!$A$4:$O$321,15,FALSE)</f>
        <v>1.0951</v>
      </c>
      <c r="E44" s="4" t="str">
        <f>IF(VLOOKUP($A44,'[13]0818'!$A$4:$O$150,8,FALSE)="",VLOOKUP($A44,'[13]0818'!$A$4:$O$150,12,FALSE),VLOOKUP($A44,'[13]0818'!$A$4:$O$150,8,FALSE))</f>
        <v/>
      </c>
      <c r="F44" s="4" t="str">
        <f>IF(VLOOKUP($A44,'[9]0817'!$A$4:$O$150,8,FALSE)="",VLOOKUP($A44,'[9]0817'!$A$4:$O$150,12,FALSE),VLOOKUP($A44,'[9]0817'!$A$4:$O$150,8,FALSE))</f>
        <v/>
      </c>
      <c r="G44" s="4" t="str">
        <f>IF(VLOOKUP($A44,'[11]0816'!$A$4:$O$150,8,FALSE)="",VLOOKUP($A44,'[11]0816'!$A$4:$O$150,12,FALSE),VLOOKUP($A44,'[11]0816'!$A$4:$O$150,8,FALSE))</f>
        <v/>
      </c>
      <c r="J44" s="4" t="str">
        <f>IF(VLOOKUP($A44,'[12]0811'!$A$4:$O$150,8,FALSE)="",VLOOKUP($A44,'[12]0811'!$A$4:$O$150,12,FALSE),VLOOKUP($A44,'[12]0811'!$A$4:$O$150,8,FALSE))</f>
        <v/>
      </c>
    </row>
    <row r="45" spans="1:10" ht="16.5" customHeight="1" x14ac:dyDescent="0.25">
      <c r="A45" s="3" t="s">
        <v>16</v>
      </c>
      <c r="B45" s="5">
        <f>VLOOKUP($A45,'[13]0818'!$A$4:$O$321,4,FALSE)</f>
        <v>5.14</v>
      </c>
      <c r="C45" s="5">
        <f>VLOOKUP($A45,'[10]0808'!$A$4:$O$321,5,FALSE)</f>
        <v>5.52</v>
      </c>
      <c r="D45" s="5">
        <f>VLOOKUP($A45,'[13]0818'!$A$4:$O$321,15,FALSE)</f>
        <v>1.0986</v>
      </c>
      <c r="E45" s="4" t="str">
        <f>IF(VLOOKUP($A45,'[13]0818'!$A$4:$O$150,8,FALSE)="",VLOOKUP($A45,'[13]0818'!$A$4:$O$150,12,FALSE),VLOOKUP($A45,'[13]0818'!$A$4:$O$150,8,FALSE))</f>
        <v/>
      </c>
      <c r="F45" s="4" t="str">
        <f>IF(VLOOKUP($A45,'[9]0817'!$A$4:$O$150,8,FALSE)="",VLOOKUP($A45,'[9]0817'!$A$4:$O$150,12,FALSE),VLOOKUP($A45,'[9]0817'!$A$4:$O$150,8,FALSE))</f>
        <v/>
      </c>
      <c r="G45" s="4" t="str">
        <f>IF(VLOOKUP($A45,'[11]0816'!$A$4:$O$150,8,FALSE)="",VLOOKUP($A45,'[11]0816'!$A$4:$O$150,12,FALSE),VLOOKUP($A45,'[11]0816'!$A$4:$O$150,8,FALSE))</f>
        <v/>
      </c>
      <c r="J45" s="4" t="str">
        <f>IF(VLOOKUP($A45,'[12]0811'!$A$4:$O$150,8,FALSE)="",VLOOKUP($A45,'[12]0811'!$A$4:$O$150,12,FALSE),VLOOKUP($A45,'[12]0811'!$A$4:$O$150,8,FALSE))</f>
        <v/>
      </c>
    </row>
    <row r="46" spans="1:10" x14ac:dyDescent="0.25">
      <c r="A46" s="3" t="s">
        <v>3</v>
      </c>
      <c r="B46" s="5">
        <f>VLOOKUP($A46,'[13]0818'!$A$4:$O$321,4,FALSE)</f>
        <v>5.31</v>
      </c>
      <c r="C46" s="5">
        <f>VLOOKUP($A46,'[10]0808'!$A$4:$O$321,5,FALSE)</f>
        <v>5.51</v>
      </c>
      <c r="D46" s="5">
        <f>VLOOKUP($A46,'[13]0818'!$A$4:$O$321,15,FALSE)</f>
        <v>1.1002000000000001</v>
      </c>
      <c r="E46" s="4" t="str">
        <f>IF(VLOOKUP($A46,'[13]0818'!$A$4:$O$150,8,FALSE)="",VLOOKUP($A46,'[13]0818'!$A$4:$O$150,12,FALSE),VLOOKUP($A46,'[13]0818'!$A$4:$O$150,8,FALSE))</f>
        <v/>
      </c>
      <c r="F46" s="4" t="str">
        <f>IF(VLOOKUP($A46,'[9]0817'!$A$4:$O$150,8,FALSE)="",VLOOKUP($A46,'[9]0817'!$A$4:$O$150,12,FALSE),VLOOKUP($A46,'[9]0817'!$A$4:$O$150,8,FALSE))</f>
        <v/>
      </c>
      <c r="G46" s="4" t="str">
        <f>IF(VLOOKUP($A46,'[11]0816'!$A$4:$O$150,8,FALSE)="",VLOOKUP($A46,'[11]0816'!$A$4:$O$150,12,FALSE),VLOOKUP($A46,'[11]0816'!$A$4:$O$150,8,FALSE))</f>
        <v/>
      </c>
      <c r="J46" s="4" t="str">
        <f>IF(VLOOKUP($A46,'[12]0811'!$A$4:$O$150,8,FALSE)="",VLOOKUP($A46,'[12]0811'!$A$4:$O$150,12,FALSE),VLOOKUP($A46,'[12]0811'!$A$4:$O$150,8,FALSE))</f>
        <v/>
      </c>
    </row>
    <row r="47" spans="1:10" x14ac:dyDescent="0.25">
      <c r="A47" s="3" t="s">
        <v>17</v>
      </c>
      <c r="B47" s="5">
        <f>VLOOKUP($A47,'[13]0818'!$A$4:$O$321,4,FALSE)</f>
        <v>5.62</v>
      </c>
      <c r="C47" s="5">
        <f>VLOOKUP($A47,'[10]0808'!$A$4:$O$321,5,FALSE)</f>
        <v>6.01</v>
      </c>
      <c r="D47" s="5">
        <f>VLOOKUP($A47,'[13]0818'!$A$4:$O$321,15,FALSE)</f>
        <v>1.1072</v>
      </c>
      <c r="E47" s="4" t="str">
        <f>IF(VLOOKUP($A47,'[13]0818'!$A$4:$O$150,8,FALSE)="",VLOOKUP($A47,'[13]0818'!$A$4:$O$150,12,FALSE),VLOOKUP($A47,'[13]0818'!$A$4:$O$150,8,FALSE))</f>
        <v/>
      </c>
      <c r="F47" s="4" t="str">
        <f>IF(VLOOKUP($A47,'[9]0817'!$A$4:$O$150,8,FALSE)="",VLOOKUP($A47,'[9]0817'!$A$4:$O$150,12,FALSE),VLOOKUP($A47,'[9]0817'!$A$4:$O$150,8,FALSE))</f>
        <v/>
      </c>
      <c r="G47" s="4" t="str">
        <f>IF(VLOOKUP($A47,'[11]0816'!$A$4:$O$150,8,FALSE)="",VLOOKUP($A47,'[11]0816'!$A$4:$O$150,12,FALSE),VLOOKUP($A47,'[11]0816'!$A$4:$O$150,8,FALSE))</f>
        <v/>
      </c>
      <c r="J47" s="4" t="str">
        <f>IF(VLOOKUP($A47,'[12]0811'!$A$4:$O$150,8,FALSE)="",VLOOKUP($A47,'[12]0811'!$A$4:$O$150,12,FALSE),VLOOKUP($A47,'[12]0811'!$A$4:$O$150,8,FALSE))</f>
        <v/>
      </c>
    </row>
    <row r="48" spans="1:10" x14ac:dyDescent="0.25">
      <c r="A48" s="3" t="s">
        <v>4</v>
      </c>
      <c r="B48" s="5">
        <f>VLOOKUP($A48,'[13]0818'!$A$4:$O$321,4,FALSE)</f>
        <v>5.69</v>
      </c>
      <c r="C48" s="5">
        <f>VLOOKUP($A48,'[10]0808'!$A$4:$O$321,5,FALSE)</f>
        <v>5.88</v>
      </c>
      <c r="D48" s="5">
        <f>VLOOKUP($A48,'[13]0818'!$A$4:$O$321,15,FALSE)</f>
        <v>1.1067</v>
      </c>
      <c r="E48" s="4" t="str">
        <f>IF(VLOOKUP($A48,'[13]0818'!$A$4:$O$150,8,FALSE)="",VLOOKUP($A48,'[13]0818'!$A$4:$O$150,12,FALSE),VLOOKUP($A48,'[13]0818'!$A$4:$O$150,8,FALSE))</f>
        <v/>
      </c>
      <c r="F48" s="4" t="str">
        <f>IF(VLOOKUP($A48,'[9]0817'!$A$4:$O$150,8,FALSE)="",VLOOKUP($A48,'[9]0817'!$A$4:$O$150,12,FALSE),VLOOKUP($A48,'[9]0817'!$A$4:$O$150,8,FALSE))</f>
        <v/>
      </c>
      <c r="G48" s="4" t="str">
        <f>IF(VLOOKUP($A48,'[11]0816'!$A$4:$O$150,8,FALSE)="",VLOOKUP($A48,'[11]0816'!$A$4:$O$150,12,FALSE),VLOOKUP($A48,'[11]0816'!$A$4:$O$150,8,FALSE))</f>
        <v/>
      </c>
      <c r="J48" s="4" t="str">
        <f>IF(VLOOKUP($A48,'[12]0811'!$A$4:$O$150,8,FALSE)="",VLOOKUP($A48,'[12]0811'!$A$4:$O$150,12,FALSE),VLOOKUP($A48,'[12]0811'!$A$4:$O$150,8,FALSE))</f>
        <v/>
      </c>
    </row>
    <row r="49" spans="1:10" x14ac:dyDescent="0.25">
      <c r="A49" s="3" t="s">
        <v>6</v>
      </c>
      <c r="B49" s="5">
        <f>VLOOKUP($A49,'[13]0818'!$A$4:$O$321,4,FALSE)</f>
        <v>5.95</v>
      </c>
      <c r="C49" s="5">
        <f>VLOOKUP($A49,'[10]0808'!$A$4:$O$321,5,FALSE)</f>
        <v>6.18</v>
      </c>
      <c r="D49" s="5">
        <f>VLOOKUP($A49,'[13]0818'!$A$4:$O$321,15,FALSE)</f>
        <v>1.1125</v>
      </c>
      <c r="E49" s="4" t="str">
        <f>IF(VLOOKUP($A49,'[13]0818'!$A$4:$O$150,8,FALSE)="",VLOOKUP($A49,'[13]0818'!$A$4:$O$150,12,FALSE),VLOOKUP($A49,'[13]0818'!$A$4:$O$150,8,FALSE))</f>
        <v/>
      </c>
      <c r="F49" s="4" t="str">
        <f>IF(VLOOKUP($A49,'[9]0817'!$A$4:$O$150,8,FALSE)="",VLOOKUP($A49,'[9]0817'!$A$4:$O$150,12,FALSE),VLOOKUP($A49,'[9]0817'!$A$4:$O$150,8,FALSE))</f>
        <v/>
      </c>
      <c r="G49" s="4" t="str">
        <f>IF(VLOOKUP($A49,'[11]0816'!$A$4:$O$150,8,FALSE)="",VLOOKUP($A49,'[11]0816'!$A$4:$O$150,12,FALSE),VLOOKUP($A49,'[11]0816'!$A$4:$O$150,8,FALSE))</f>
        <v/>
      </c>
      <c r="J49" s="4" t="str">
        <f>IF(VLOOKUP($A49,'[12]0811'!$A$4:$O$150,8,FALSE)="",VLOOKUP($A49,'[12]0811'!$A$4:$O$150,12,FALSE),VLOOKUP($A49,'[12]0811'!$A$4:$O$150,8,FALSE))</f>
        <v/>
      </c>
    </row>
    <row r="50" spans="1:10" x14ac:dyDescent="0.25">
      <c r="A50" s="3" t="s">
        <v>18</v>
      </c>
      <c r="B50" s="5">
        <f>VLOOKUP($A50,'[13]0818'!$A$4:$O$321,4,FALSE)</f>
        <v>6.07</v>
      </c>
      <c r="C50" s="5">
        <f>VLOOKUP($A50,'[10]0808'!$A$4:$O$321,5,FALSE)</f>
        <v>6.54</v>
      </c>
      <c r="D50" s="5">
        <f>VLOOKUP($A50,'[13]0818'!$A$4:$O$321,15,FALSE)</f>
        <v>1.1182000000000001</v>
      </c>
      <c r="E50" s="4" t="str">
        <f>IF(VLOOKUP($A50,'[13]0818'!$A$4:$O$150,8,FALSE)="",VLOOKUP($A50,'[13]0818'!$A$4:$O$150,12,FALSE),VLOOKUP($A50,'[13]0818'!$A$4:$O$150,8,FALSE))</f>
        <v/>
      </c>
      <c r="F50" s="4" t="str">
        <f>IF(VLOOKUP($A50,'[9]0817'!$A$4:$O$150,8,FALSE)="",VLOOKUP($A50,'[9]0817'!$A$4:$O$150,12,FALSE),VLOOKUP($A50,'[9]0817'!$A$4:$O$150,8,FALSE))</f>
        <v/>
      </c>
      <c r="G50" s="4" t="str">
        <f>IF(VLOOKUP($A50,'[11]0816'!$A$4:$O$150,8,FALSE)="",VLOOKUP($A50,'[11]0816'!$A$4:$O$150,12,FALSE),VLOOKUP($A50,'[11]0816'!$A$4:$O$150,8,FALSE))</f>
        <v/>
      </c>
      <c r="J50" s="4" t="str">
        <f>IF(VLOOKUP($A50,'[12]0811'!$A$4:$O$150,8,FALSE)="",VLOOKUP($A50,'[12]0811'!$A$4:$O$150,12,FALSE),VLOOKUP($A50,'[12]0811'!$A$4:$O$150,8,FALSE))</f>
        <v/>
      </c>
    </row>
    <row r="51" spans="1:10" x14ac:dyDescent="0.25">
      <c r="A51" s="3" t="s">
        <v>90</v>
      </c>
      <c r="B51" s="5">
        <f>VLOOKUP($A51,'[13]0818'!$A$4:$O$321,4,FALSE)</f>
        <v>6.32</v>
      </c>
      <c r="C51" s="5">
        <f>VLOOKUP($A51,'[10]0808'!$A$4:$O$321,5,FALSE)</f>
        <v>6.54</v>
      </c>
      <c r="D51" s="5">
        <f>VLOOKUP($A51,'[13]0818'!$A$4:$O$321,15,FALSE)</f>
        <v>1.1203000000000001</v>
      </c>
      <c r="E51" s="4" t="str">
        <f>IF(VLOOKUP($A51,'[13]0818'!$A$4:$O$150,8,FALSE)="",VLOOKUP($A51,'[13]0818'!$A$4:$O$150,12,FALSE),VLOOKUP($A51,'[13]0818'!$A$4:$O$150,8,FALSE))</f>
        <v/>
      </c>
      <c r="F51" s="4" t="str">
        <f>IF(VLOOKUP($A51,'[9]0817'!$A$4:$O$150,8,FALSE)="",VLOOKUP($A51,'[9]0817'!$A$4:$O$150,12,FALSE),VLOOKUP($A51,'[9]0817'!$A$4:$O$150,8,FALSE))</f>
        <v/>
      </c>
      <c r="G51" s="4" t="str">
        <f>IF(VLOOKUP($A51,'[11]0816'!$A$4:$O$150,8,FALSE)="",VLOOKUP($A51,'[11]0816'!$A$4:$O$150,12,FALSE),VLOOKUP($A51,'[11]0816'!$A$4:$O$150,8,FALSE))</f>
        <v/>
      </c>
      <c r="J51" s="4" t="str">
        <f>IF(VLOOKUP($A51,'[12]0811'!$A$4:$O$150,8,FALSE)="",VLOOKUP($A51,'[12]0811'!$A$4:$O$150,12,FALSE),VLOOKUP($A51,'[12]0811'!$A$4:$O$150,8,FALSE))</f>
        <v/>
      </c>
    </row>
    <row r="52" spans="1:10" x14ac:dyDescent="0.25">
      <c r="A52" s="3" t="s">
        <v>19</v>
      </c>
      <c r="B52" s="5">
        <f>VLOOKUP($A52,'[13]0818'!$A$4:$O$321,4,FALSE)</f>
        <v>6.56</v>
      </c>
      <c r="C52" s="5">
        <f>VLOOKUP($A52,'[10]0808'!$A$4:$O$321,5,FALSE)</f>
        <v>7.01</v>
      </c>
      <c r="D52" s="5">
        <f>VLOOKUP($A52,'[13]0818'!$A$4:$O$321,15,FALSE)</f>
        <v>1.1295999999999999</v>
      </c>
      <c r="E52" s="4" t="str">
        <f>IF(VLOOKUP($A52,'[13]0818'!$A$4:$O$150,8,FALSE)="",VLOOKUP($A52,'[13]0818'!$A$4:$O$150,12,FALSE),VLOOKUP($A52,'[13]0818'!$A$4:$O$150,8,FALSE))</f>
        <v/>
      </c>
      <c r="F52" s="4" t="str">
        <f>IF(VLOOKUP($A52,'[9]0817'!$A$4:$O$150,8,FALSE)="",VLOOKUP($A52,'[9]0817'!$A$4:$O$150,12,FALSE),VLOOKUP($A52,'[9]0817'!$A$4:$O$150,8,FALSE))</f>
        <v/>
      </c>
      <c r="G52" s="4" t="str">
        <f>IF(VLOOKUP($A52,'[11]0816'!$A$4:$O$150,8,FALSE)="",VLOOKUP($A52,'[11]0816'!$A$4:$O$150,12,FALSE),VLOOKUP($A52,'[11]0816'!$A$4:$O$150,8,FALSE))</f>
        <v/>
      </c>
      <c r="J52" s="4" t="str">
        <f>IF(VLOOKUP($A52,'[12]0811'!$A$4:$O$150,8,FALSE)="",VLOOKUP($A52,'[12]0811'!$A$4:$O$150,12,FALSE),VLOOKUP($A52,'[12]0811'!$A$4:$O$150,8,FALSE))</f>
        <v/>
      </c>
    </row>
    <row r="53" spans="1:10" x14ac:dyDescent="0.25">
      <c r="A53" s="3" t="s">
        <v>93</v>
      </c>
      <c r="B53" s="5">
        <f>VLOOKUP($A53,'[13]0818'!$A$4:$O$321,4,FALSE)</f>
        <v>6.65</v>
      </c>
      <c r="C53" s="5">
        <f>VLOOKUP($A53,'[10]0808'!$A$4:$O$321,5,FALSE)</f>
        <v>6.84</v>
      </c>
      <c r="D53" s="5">
        <f>VLOOKUP($A53,'[13]0818'!$A$4:$O$321,15,FALSE)</f>
        <v>1.1277999999999999</v>
      </c>
      <c r="E53" s="4" t="str">
        <f>IF(VLOOKUP($A53,'[13]0818'!$A$4:$O$150,8,FALSE)="",VLOOKUP($A53,'[13]0818'!$A$4:$O$150,12,FALSE),VLOOKUP($A53,'[13]0818'!$A$4:$O$150,8,FALSE))</f>
        <v/>
      </c>
      <c r="F53" s="4" t="str">
        <f>IF(VLOOKUP($A53,'[9]0817'!$A$4:$O$150,8,FALSE)="",VLOOKUP($A53,'[9]0817'!$A$4:$O$150,12,FALSE),VLOOKUP($A53,'[9]0817'!$A$4:$O$150,8,FALSE))</f>
        <v/>
      </c>
      <c r="G53" s="4" t="str">
        <f>IF(VLOOKUP($A53,'[11]0816'!$A$4:$O$150,8,FALSE)="",VLOOKUP($A53,'[11]0816'!$A$4:$O$150,12,FALSE),VLOOKUP($A53,'[11]0816'!$A$4:$O$150,8,FALSE))</f>
        <v/>
      </c>
      <c r="J53" s="4" t="str">
        <f>IF(VLOOKUP($A53,'[12]0811'!$A$4:$O$150,8,FALSE)="",VLOOKUP($A53,'[12]0811'!$A$4:$O$150,12,FALSE),VLOOKUP($A53,'[12]0811'!$A$4:$O$150,8,FALSE))</f>
        <v/>
      </c>
    </row>
    <row r="54" spans="1:10" x14ac:dyDescent="0.25">
      <c r="A54" s="3" t="s">
        <v>50</v>
      </c>
      <c r="B54" s="5">
        <f>VLOOKUP($A54,'[13]0818'!$A$4:$O$321,4,FALSE)</f>
        <v>6.78</v>
      </c>
      <c r="C54" s="5">
        <f>VLOOKUP($A54,'[10]0808'!$A$4:$O$321,5,FALSE)</f>
        <v>7.43</v>
      </c>
      <c r="D54" s="5">
        <f>VLOOKUP($A54,'[13]0818'!$A$4:$O$321,15,FALSE)</f>
        <v>1.1399999999999999</v>
      </c>
      <c r="E54" s="4" t="str">
        <f>IF(VLOOKUP($A54,'[13]0818'!$A$4:$O$150,8,FALSE)="",VLOOKUP($A54,'[13]0818'!$A$4:$O$150,12,FALSE),VLOOKUP($A54,'[13]0818'!$A$4:$O$150,8,FALSE))</f>
        <v/>
      </c>
      <c r="F54" s="4" t="str">
        <f>IF(VLOOKUP($A54,'[9]0817'!$A$4:$O$150,8,FALSE)="",VLOOKUP($A54,'[9]0817'!$A$4:$O$150,12,FALSE),VLOOKUP($A54,'[9]0817'!$A$4:$O$150,8,FALSE))</f>
        <v/>
      </c>
      <c r="G54" s="4" t="str">
        <f>IF(VLOOKUP($A54,'[11]0816'!$A$4:$O$150,8,FALSE)="",VLOOKUP($A54,'[11]0816'!$A$4:$O$150,12,FALSE),VLOOKUP($A54,'[11]0816'!$A$4:$O$150,8,FALSE))</f>
        <v/>
      </c>
      <c r="J54" s="4" t="str">
        <f>IF(VLOOKUP($A54,'[12]0811'!$A$4:$O$150,8,FALSE)="",VLOOKUP($A54,'[12]0811'!$A$4:$O$150,12,FALSE),VLOOKUP($A54,'[12]0811'!$A$4:$O$150,8,FALSE))</f>
        <v/>
      </c>
    </row>
    <row r="55" spans="1:10" x14ac:dyDescent="0.25">
      <c r="A55" s="3" t="s">
        <v>96</v>
      </c>
      <c r="B55" s="5">
        <f>VLOOKUP($A55,'[13]0818'!$A$4:$O$321,4,FALSE)</f>
        <v>6.99</v>
      </c>
      <c r="C55" s="5">
        <f>VLOOKUP($A55,'[10]0808'!$A$4:$O$321,5,FALSE)</f>
        <v>7.18</v>
      </c>
      <c r="D55" s="5">
        <f>VLOOKUP($A55,'[13]0818'!$A$4:$O$321,15,FALSE)</f>
        <v>1.137</v>
      </c>
      <c r="E55" s="4" t="str">
        <f>IF(VLOOKUP($A55,'[13]0818'!$A$4:$O$150,8,FALSE)="",VLOOKUP($A55,'[13]0818'!$A$4:$O$150,12,FALSE),VLOOKUP($A55,'[13]0818'!$A$4:$O$150,8,FALSE))</f>
        <v/>
      </c>
      <c r="F55" s="4" t="str">
        <f>IF(VLOOKUP($A55,'[9]0817'!$A$4:$O$150,8,FALSE)="",VLOOKUP($A55,'[9]0817'!$A$4:$O$150,12,FALSE),VLOOKUP($A55,'[9]0817'!$A$4:$O$150,8,FALSE))</f>
        <v/>
      </c>
      <c r="G55" s="4" t="str">
        <f>IF(VLOOKUP($A55,'[11]0816'!$A$4:$O$150,8,FALSE)="",VLOOKUP($A55,'[11]0816'!$A$4:$O$150,12,FALSE),VLOOKUP($A55,'[11]0816'!$A$4:$O$150,8,FALSE))</f>
        <v/>
      </c>
      <c r="J55" s="4" t="str">
        <f>IF(VLOOKUP($A55,'[12]0811'!$A$4:$O$150,8,FALSE)="",VLOOKUP($A55,'[12]0811'!$A$4:$O$150,12,FALSE),VLOOKUP($A55,'[12]0811'!$A$4:$O$150,8,FALSE))</f>
        <v/>
      </c>
    </row>
    <row r="56" spans="1:10" x14ac:dyDescent="0.25">
      <c r="A56" s="3" t="s">
        <v>20</v>
      </c>
      <c r="B56" s="5">
        <f>VLOOKUP($A56,'[13]0818'!$A$4:$O$321,4,FALSE)</f>
        <v>7</v>
      </c>
      <c r="C56" s="5">
        <f>VLOOKUP($A56,'[10]0808'!$A$4:$O$321,5,FALSE)</f>
        <v>7.93</v>
      </c>
      <c r="D56" s="5">
        <f>VLOOKUP($A56,'[13]0818'!$A$4:$O$321,15,FALSE)</f>
        <v>1.1506000000000001</v>
      </c>
      <c r="E56" s="4" t="str">
        <f>IF(VLOOKUP($A56,'[13]0818'!$A$4:$O$150,8,FALSE)="",VLOOKUP($A56,'[13]0818'!$A$4:$O$150,12,FALSE),VLOOKUP($A56,'[13]0818'!$A$4:$O$150,8,FALSE))</f>
        <v/>
      </c>
      <c r="F56" s="4" t="str">
        <f>IF(VLOOKUP($A56,'[9]0817'!$A$4:$O$150,8,FALSE)="",VLOOKUP($A56,'[9]0817'!$A$4:$O$150,12,FALSE),VLOOKUP($A56,'[9]0817'!$A$4:$O$150,8,FALSE))</f>
        <v/>
      </c>
      <c r="G56" s="4" t="str">
        <f>IF(VLOOKUP($A56,'[11]0816'!$A$4:$O$150,8,FALSE)="",VLOOKUP($A56,'[11]0816'!$A$4:$O$150,12,FALSE),VLOOKUP($A56,'[11]0816'!$A$4:$O$150,8,FALSE))</f>
        <v/>
      </c>
      <c r="J56" s="4" t="str">
        <f>IF(VLOOKUP($A56,'[12]0811'!$A$4:$O$150,8,FALSE)="",VLOOKUP($A56,'[12]0811'!$A$4:$O$150,12,FALSE),VLOOKUP($A56,'[12]0811'!$A$4:$O$150,8,FALSE))</f>
        <v/>
      </c>
    </row>
    <row r="57" spans="1:10" x14ac:dyDescent="0.25">
      <c r="A57" s="3" t="s">
        <v>58</v>
      </c>
      <c r="B57" s="5">
        <f>VLOOKUP($A57,'[13]0818'!$A$4:$O$321,4,FALSE)</f>
        <v>7.22</v>
      </c>
      <c r="C57" s="5">
        <f>VLOOKUP($A57,'[10]0808'!$A$4:$O$321,5,FALSE)</f>
        <v>7.79</v>
      </c>
      <c r="D57" s="5">
        <f>VLOOKUP($A57,'[13]0818'!$A$4:$O$321,15,FALSE)</f>
        <v>1.1508</v>
      </c>
      <c r="E57" s="4" t="str">
        <f>IF(VLOOKUP($A57,'[13]0818'!$A$4:$O$150,8,FALSE)="",VLOOKUP($A57,'[13]0818'!$A$4:$O$150,12,FALSE),VLOOKUP($A57,'[13]0818'!$A$4:$O$150,8,FALSE))</f>
        <v/>
      </c>
      <c r="F57" s="4" t="str">
        <f>IF(VLOOKUP($A57,'[9]0817'!$A$4:$O$150,8,FALSE)="",VLOOKUP($A57,'[9]0817'!$A$4:$O$150,12,FALSE),VLOOKUP($A57,'[9]0817'!$A$4:$O$150,8,FALSE))</f>
        <v/>
      </c>
      <c r="G57" s="4" t="str">
        <f>IF(VLOOKUP($A57,'[11]0816'!$A$4:$O$150,8,FALSE)="",VLOOKUP($A57,'[11]0816'!$A$4:$O$150,12,FALSE),VLOOKUP($A57,'[11]0816'!$A$4:$O$150,8,FALSE))</f>
        <v/>
      </c>
      <c r="J57" s="4" t="str">
        <f>IF(VLOOKUP($A57,'[12]0811'!$A$4:$O$150,8,FALSE)="",VLOOKUP($A57,'[12]0811'!$A$4:$O$150,12,FALSE),VLOOKUP($A57,'[12]0811'!$A$4:$O$150,8,FALSE))</f>
        <v/>
      </c>
    </row>
    <row r="58" spans="1:10" x14ac:dyDescent="0.25">
      <c r="A58" s="3" t="s">
        <v>61</v>
      </c>
      <c r="B58" s="5">
        <f>VLOOKUP($A58,'[13]0818'!$A$4:$O$321,4,FALSE)</f>
        <v>7.38</v>
      </c>
      <c r="C58" s="5">
        <f>VLOOKUP($A58,'[10]0808'!$A$4:$O$321,5,FALSE)</f>
        <v>7.98</v>
      </c>
      <c r="D58" s="5">
        <f>VLOOKUP($A58,'[13]0818'!$A$4:$O$321,15,FALSE)</f>
        <v>1.1555</v>
      </c>
      <c r="E58" s="4" t="str">
        <f>IF(VLOOKUP($A58,'[13]0818'!$A$4:$O$150,8,FALSE)="",VLOOKUP($A58,'[13]0818'!$A$4:$O$150,12,FALSE),VLOOKUP($A58,'[13]0818'!$A$4:$O$150,8,FALSE))</f>
        <v/>
      </c>
      <c r="F58" s="4" t="str">
        <f>IF(VLOOKUP($A58,'[9]0817'!$A$4:$O$150,8,FALSE)="",VLOOKUP($A58,'[9]0817'!$A$4:$O$150,12,FALSE),VLOOKUP($A58,'[9]0817'!$A$4:$O$150,8,FALSE))</f>
        <v/>
      </c>
      <c r="G58" s="4" t="str">
        <f>IF(VLOOKUP($A58,'[11]0816'!$A$4:$O$150,8,FALSE)="",VLOOKUP($A58,'[11]0816'!$A$4:$O$150,12,FALSE),VLOOKUP($A58,'[11]0816'!$A$4:$O$150,8,FALSE))</f>
        <v/>
      </c>
      <c r="J58" s="4" t="str">
        <f>IF(VLOOKUP($A58,'[12]0811'!$A$4:$O$150,8,FALSE)="",VLOOKUP($A58,'[12]0811'!$A$4:$O$150,12,FALSE),VLOOKUP($A58,'[12]0811'!$A$4:$O$150,8,FALSE))</f>
        <v/>
      </c>
    </row>
    <row r="59" spans="1:10" x14ac:dyDescent="0.25">
      <c r="A59" s="3" t="s">
        <v>103</v>
      </c>
      <c r="B59" s="5">
        <f>VLOOKUP($A59,'[13]0818'!$A$4:$O$321,4,FALSE)</f>
        <v>7.35</v>
      </c>
      <c r="C59" s="5">
        <f>VLOOKUP($A59,'[10]0808'!$A$4:$O$321,5,FALSE)</f>
        <v>7.54</v>
      </c>
      <c r="D59" s="5">
        <f>VLOOKUP($A59,'[13]0818'!$A$4:$O$321,15,FALSE)</f>
        <v>1.1471</v>
      </c>
      <c r="E59" s="4" t="str">
        <f>IF(VLOOKUP($A59,'[13]0818'!$A$4:$O$150,8,FALSE)="",VLOOKUP($A59,'[13]0818'!$A$4:$O$150,12,FALSE),VLOOKUP($A59,'[13]0818'!$A$4:$O$150,8,FALSE))</f>
        <v/>
      </c>
      <c r="F59" s="4" t="str">
        <f>IF(VLOOKUP($A59,'[9]0817'!$A$4:$O$150,8,FALSE)="",VLOOKUP($A59,'[9]0817'!$A$4:$O$150,12,FALSE),VLOOKUP($A59,'[9]0817'!$A$4:$O$150,8,FALSE))</f>
        <v/>
      </c>
      <c r="G59" s="4" t="str">
        <f>IF(VLOOKUP($A59,'[11]0816'!$A$4:$O$150,8,FALSE)="",VLOOKUP($A59,'[11]0816'!$A$4:$O$150,12,FALSE),VLOOKUP($A59,'[11]0816'!$A$4:$O$150,8,FALSE))</f>
        <v/>
      </c>
      <c r="J59" s="4" t="str">
        <f>IF(VLOOKUP($A59,'[12]0811'!$A$4:$O$150,8,FALSE)="",VLOOKUP($A59,'[12]0811'!$A$4:$O$150,12,FALSE),VLOOKUP($A59,'[12]0811'!$A$4:$O$150,8,FALSE))</f>
        <v/>
      </c>
    </row>
    <row r="60" spans="1:10" x14ac:dyDescent="0.25">
      <c r="A60" s="3" t="s">
        <v>217</v>
      </c>
      <c r="B60" s="5">
        <f>VLOOKUP($A60,'[13]0818'!$A$4:$O$321,4,FALSE)</f>
        <v>7.51</v>
      </c>
      <c r="C60" s="5">
        <f>VLOOKUP($A60,'[10]0808'!$A$4:$O$321,5,FALSE)</f>
        <v>7.74</v>
      </c>
      <c r="D60" s="5">
        <f>VLOOKUP($A60,'[13]0818'!$A$4:$O$321,15,FALSE)</f>
        <v>1.1526000000000001</v>
      </c>
      <c r="E60" s="4" t="str">
        <f>IF(VLOOKUP($A60,'[13]0818'!$A$4:$O$150,8,FALSE)="",VLOOKUP($A60,'[13]0818'!$A$4:$O$150,12,FALSE),VLOOKUP($A60,'[13]0818'!$A$4:$O$150,8,FALSE))</f>
        <v/>
      </c>
      <c r="F60" s="4" t="str">
        <f>IF(VLOOKUP($A60,'[9]0817'!$A$4:$O$150,8,FALSE)="",VLOOKUP($A60,'[9]0817'!$A$4:$O$150,12,FALSE),VLOOKUP($A60,'[9]0817'!$A$4:$O$150,8,FALSE))</f>
        <v/>
      </c>
      <c r="G60" s="4" t="str">
        <f>IF(VLOOKUP($A60,'[11]0816'!$A$4:$O$150,8,FALSE)="",VLOOKUP($A60,'[11]0816'!$A$4:$O$150,12,FALSE),VLOOKUP($A60,'[11]0816'!$A$4:$O$150,8,FALSE))</f>
        <v/>
      </c>
      <c r="J60" s="4" t="str">
        <f>IF(VLOOKUP($A60,'[12]0811'!$A$4:$O$150,8,FALSE)="",VLOOKUP($A60,'[12]0811'!$A$4:$O$150,12,FALSE),VLOOKUP($A60,'[12]0811'!$A$4:$O$150,8,FALSE))</f>
        <v/>
      </c>
    </row>
    <row r="61" spans="1:10" x14ac:dyDescent="0.25">
      <c r="A61" s="3" t="s">
        <v>218</v>
      </c>
      <c r="B61" s="5">
        <f>VLOOKUP($A61,'[13]0818'!$A$4:$O$321,4,FALSE)</f>
        <v>7.64</v>
      </c>
      <c r="C61" s="5">
        <f>VLOOKUP($A61,'[10]0808'!$A$4:$O$321,5,FALSE)</f>
        <v>7.87</v>
      </c>
      <c r="D61" s="5">
        <f>VLOOKUP($A61,'[13]0818'!$A$4:$O$321,15,FALSE)</f>
        <v>1.1561999999999999</v>
      </c>
      <c r="E61" s="4" t="str">
        <f>IF(VLOOKUP($A61,'[13]0818'!$A$4:$O$150,8,FALSE)="",VLOOKUP($A61,'[13]0818'!$A$4:$O$150,12,FALSE),VLOOKUP($A61,'[13]0818'!$A$4:$O$150,8,FALSE))</f>
        <v/>
      </c>
      <c r="F61" s="4" t="str">
        <f>IF(VLOOKUP($A61,'[9]0817'!$A$4:$O$150,8,FALSE)="",VLOOKUP($A61,'[9]0817'!$A$4:$O$150,12,FALSE),VLOOKUP($A61,'[9]0817'!$A$4:$O$150,8,FALSE))</f>
        <v/>
      </c>
      <c r="G61" s="4" t="str">
        <f>IF(VLOOKUP($A61,'[11]0816'!$A$4:$O$150,8,FALSE)="",VLOOKUP($A61,'[11]0816'!$A$4:$O$150,12,FALSE),VLOOKUP($A61,'[11]0816'!$A$4:$O$150,8,FALSE))</f>
        <v/>
      </c>
      <c r="J61" s="4" t="str">
        <f>IF(VLOOKUP($A61,'[12]0811'!$A$4:$O$150,8,FALSE)="",VLOOKUP($A61,'[12]0811'!$A$4:$O$150,12,FALSE),VLOOKUP($A61,'[12]0811'!$A$4:$O$150,8,FALSE))</f>
        <v/>
      </c>
    </row>
    <row r="62" spans="1:10" x14ac:dyDescent="0.25">
      <c r="A62" s="3" t="s">
        <v>43</v>
      </c>
      <c r="B62" s="5">
        <f>VLOOKUP($A62,'[13]0818'!$A$4:$O$321,4,FALSE)</f>
        <v>7.78</v>
      </c>
      <c r="C62" s="5">
        <f>VLOOKUP($A62,'[10]0808'!$A$4:$O$321,5,FALSE)</f>
        <v>8.4499999999999993</v>
      </c>
      <c r="D62" s="5">
        <f>VLOOKUP($A62,'[13]0818'!$A$4:$O$321,15,FALSE)</f>
        <v>1.1677</v>
      </c>
      <c r="E62" s="4" t="str">
        <f>IF(VLOOKUP($A62,'[13]0818'!$A$4:$O$150,8,FALSE)="",VLOOKUP($A62,'[13]0818'!$A$4:$O$150,12,FALSE),VLOOKUP($A62,'[13]0818'!$A$4:$O$150,8,FALSE))</f>
        <v/>
      </c>
      <c r="F62" s="4" t="str">
        <f>IF(VLOOKUP($A62,'[9]0817'!$A$4:$O$150,8,FALSE)="",VLOOKUP($A62,'[9]0817'!$A$4:$O$150,12,FALSE),VLOOKUP($A62,'[9]0817'!$A$4:$O$150,8,FALSE))</f>
        <v/>
      </c>
      <c r="G62" s="4" t="str">
        <f>IF(VLOOKUP($A62,'[11]0816'!$A$4:$O$150,8,FALSE)="",VLOOKUP($A62,'[11]0816'!$A$4:$O$150,12,FALSE),VLOOKUP($A62,'[11]0816'!$A$4:$O$150,8,FALSE))</f>
        <v/>
      </c>
      <c r="J62" s="4" t="str">
        <f>IF(VLOOKUP($A62,'[12]0811'!$A$4:$O$150,8,FALSE)="",VLOOKUP($A62,'[12]0811'!$A$4:$O$150,12,FALSE),VLOOKUP($A62,'[12]0811'!$A$4:$O$150,8,FALSE))</f>
        <v/>
      </c>
    </row>
    <row r="63" spans="1:10" x14ac:dyDescent="0.25">
      <c r="A63" s="3" t="s">
        <v>234</v>
      </c>
      <c r="B63" s="5">
        <f>VLOOKUP($A63,'[13]0818'!$A$4:$O$321,4,FALSE)</f>
        <v>7.89</v>
      </c>
      <c r="C63" s="5">
        <f>VLOOKUP($A63,'[10]0808'!$A$4:$O$321,5,FALSE)</f>
        <v>8.1999999999999993</v>
      </c>
      <c r="D63" s="5">
        <f>VLOOKUP($A63,'[13]0818'!$A$4:$O$321,15,FALSE)</f>
        <v>1.1649</v>
      </c>
      <c r="E63" s="4" t="str">
        <f>IF(VLOOKUP($A63,'[13]0818'!$A$4:$O$150,8,FALSE)="",VLOOKUP($A63,'[13]0818'!$A$4:$O$150,12,FALSE),VLOOKUP($A63,'[13]0818'!$A$4:$O$150,8,FALSE))</f>
        <v/>
      </c>
      <c r="F63" s="4" t="str">
        <f>IF(VLOOKUP($A63,'[9]0817'!$A$4:$O$150,8,FALSE)="",VLOOKUP($A63,'[9]0817'!$A$4:$O$150,12,FALSE),VLOOKUP($A63,'[9]0817'!$A$4:$O$150,8,FALSE))</f>
        <v/>
      </c>
      <c r="G63" s="4" t="str">
        <f>IF(VLOOKUP($A63,'[11]0816'!$A$4:$O$150,8,FALSE)="",VLOOKUP($A63,'[11]0816'!$A$4:$O$150,12,FALSE),VLOOKUP($A63,'[11]0816'!$A$4:$O$150,8,FALSE))</f>
        <v/>
      </c>
      <c r="J63" s="4" t="str">
        <f>IF(VLOOKUP($A63,'[12]0811'!$A$4:$O$150,8,FALSE)="",VLOOKUP($A63,'[12]0811'!$A$4:$O$150,12,FALSE),VLOOKUP($A63,'[12]0811'!$A$4:$O$150,8,FALSE))</f>
        <v/>
      </c>
    </row>
    <row r="64" spans="1:10" x14ac:dyDescent="0.25">
      <c r="A64" s="3" t="s">
        <v>25</v>
      </c>
      <c r="B64" s="5">
        <f>VLOOKUP($A64,'[13]0818'!$A$4:$O$321,4,FALSE)</f>
        <v>7.93</v>
      </c>
      <c r="C64" s="5">
        <f>VLOOKUP($A64,'[10]0808'!$A$4:$O$321,5,FALSE)</f>
        <v>8.6</v>
      </c>
      <c r="D64" s="5">
        <f>VLOOKUP($A64,'[13]0818'!$A$4:$O$321,15,FALSE)</f>
        <v>1.1711</v>
      </c>
      <c r="E64" s="4" t="str">
        <f>IF(VLOOKUP($A64,'[13]0818'!$A$4:$O$150,8,FALSE)="",VLOOKUP($A64,'[13]0818'!$A$4:$O$150,12,FALSE),VLOOKUP($A64,'[13]0818'!$A$4:$O$150,8,FALSE))</f>
        <v/>
      </c>
      <c r="F64" s="4" t="str">
        <f>IF(VLOOKUP($A64,'[9]0817'!$A$4:$O$150,8,FALSE)="",VLOOKUP($A64,'[9]0817'!$A$4:$O$150,12,FALSE),VLOOKUP($A64,'[9]0817'!$A$4:$O$150,8,FALSE))</f>
        <v/>
      </c>
      <c r="G64" s="4" t="str">
        <f>IF(VLOOKUP($A64,'[11]0816'!$A$4:$O$150,8,FALSE)="",VLOOKUP($A64,'[11]0816'!$A$4:$O$150,12,FALSE),VLOOKUP($A64,'[11]0816'!$A$4:$O$150,8,FALSE))</f>
        <v/>
      </c>
      <c r="J64" s="4" t="str">
        <f>IF(VLOOKUP($A64,'[12]0811'!$A$4:$O$150,8,FALSE)="",VLOOKUP($A64,'[12]0811'!$A$4:$O$150,12,FALSE),VLOOKUP($A64,'[12]0811'!$A$4:$O$150,8,FALSE))</f>
        <v/>
      </c>
    </row>
    <row r="65" spans="1:10" x14ac:dyDescent="0.25">
      <c r="A65" s="3" t="s">
        <v>252</v>
      </c>
      <c r="B65" s="5">
        <f>VLOOKUP($A65,'[13]0818'!$A$4:$O$321,4,FALSE)</f>
        <v>8.02</v>
      </c>
      <c r="C65" s="5">
        <f>VLOOKUP($A65,'[10]0808'!$A$4:$O$321,5,FALSE)</f>
        <v>8.42</v>
      </c>
      <c r="D65" s="5">
        <f>VLOOKUP($A65,'[13]0818'!$A$4:$O$321,15,FALSE)</f>
        <v>1.1695</v>
      </c>
      <c r="E65" s="4" t="str">
        <f>IF(VLOOKUP($A65,'[13]0818'!$A$4:$O$150,8,FALSE)="",VLOOKUP($A65,'[13]0818'!$A$4:$O$150,12,FALSE),VLOOKUP($A65,'[13]0818'!$A$4:$O$150,8,FALSE))</f>
        <v/>
      </c>
      <c r="F65" s="4" t="str">
        <f>IF(VLOOKUP($A65,'[9]0817'!$A$4:$O$150,8,FALSE)="",VLOOKUP($A65,'[9]0817'!$A$4:$O$150,12,FALSE),VLOOKUP($A65,'[9]0817'!$A$4:$O$150,8,FALSE))</f>
        <v/>
      </c>
      <c r="G65" s="4" t="str">
        <f>IF(VLOOKUP($A65,'[11]0816'!$A$4:$O$150,8,FALSE)="",VLOOKUP($A65,'[11]0816'!$A$4:$O$150,12,FALSE),VLOOKUP($A65,'[11]0816'!$A$4:$O$150,8,FALSE))</f>
        <v/>
      </c>
      <c r="J65" s="4" t="str">
        <f>IF(VLOOKUP($A65,'[12]0811'!$A$4:$O$150,8,FALSE)="",VLOOKUP($A65,'[12]0811'!$A$4:$O$150,12,FALSE),VLOOKUP($A65,'[12]0811'!$A$4:$O$150,8,FALSE))</f>
        <v/>
      </c>
    </row>
    <row r="66" spans="1:10" x14ac:dyDescent="0.25">
      <c r="A66" s="3" t="s">
        <v>254</v>
      </c>
      <c r="B66" s="5">
        <f>VLOOKUP($A66,'[13]0818'!$A$4:$O$321,4,FALSE)</f>
        <v>8.17</v>
      </c>
      <c r="C66" s="5">
        <f>VLOOKUP($A66,'[10]0808'!$A$4:$O$321,5,FALSE)</f>
        <v>8.5299999999999994</v>
      </c>
      <c r="D66" s="5">
        <f>VLOOKUP($A66,'[13]0818'!$A$4:$O$321,15,FALSE)</f>
        <v>1.1724000000000001</v>
      </c>
      <c r="E66" s="4" t="str">
        <f>IF(VLOOKUP($A66,'[13]0818'!$A$4:$O$150,8,FALSE)="",VLOOKUP($A66,'[13]0818'!$A$4:$O$150,12,FALSE),VLOOKUP($A66,'[13]0818'!$A$4:$O$150,8,FALSE))</f>
        <v/>
      </c>
      <c r="F66" s="4" t="str">
        <f>IF(VLOOKUP($A66,'[9]0817'!$A$4:$O$150,8,FALSE)="",VLOOKUP($A66,'[9]0817'!$A$4:$O$150,12,FALSE),VLOOKUP($A66,'[9]0817'!$A$4:$O$150,8,FALSE))</f>
        <v/>
      </c>
      <c r="G66" s="4" t="str">
        <f>IF(VLOOKUP($A66,'[11]0816'!$A$4:$O$150,8,FALSE)="",VLOOKUP($A66,'[11]0816'!$A$4:$O$150,12,FALSE),VLOOKUP($A66,'[11]0816'!$A$4:$O$150,8,FALSE))</f>
        <v/>
      </c>
      <c r="J66" s="4" t="str">
        <f>IF(VLOOKUP($A66,'[12]0811'!$A$4:$O$150,8,FALSE)="",VLOOKUP($A66,'[12]0811'!$A$4:$O$150,12,FALSE),VLOOKUP($A66,'[12]0811'!$A$4:$O$150,8,FALSE))</f>
        <v/>
      </c>
    </row>
    <row r="67" spans="1:10" ht="17.25" customHeight="1" x14ac:dyDescent="0.25">
      <c r="A67" s="3" t="s">
        <v>29</v>
      </c>
      <c r="B67" s="5">
        <f>VLOOKUP($A67,'[13]0818'!$A$4:$O$321,4,FALSE)</f>
        <v>8.36</v>
      </c>
      <c r="C67" s="5">
        <f>VLOOKUP($A67,'[10]0808'!$A$4:$O$321,5,FALSE)</f>
        <v>9</v>
      </c>
      <c r="D67" s="5">
        <f>VLOOKUP($A67,'[13]0818'!$A$4:$O$321,15,FALSE)</f>
        <v>1.1795</v>
      </c>
      <c r="E67" s="4" t="str">
        <f>IF(VLOOKUP($A67,'[13]0818'!$A$4:$O$150,8,FALSE)="",VLOOKUP($A67,'[13]0818'!$A$4:$O$150,12,FALSE),VLOOKUP($A67,'[13]0818'!$A$4:$O$150,8,FALSE))</f>
        <v/>
      </c>
      <c r="F67" s="4" t="str">
        <f>IF(VLOOKUP($A67,'[9]0817'!$A$4:$O$150,8,FALSE)="",VLOOKUP($A67,'[9]0817'!$A$4:$O$150,12,FALSE),VLOOKUP($A67,'[9]0817'!$A$4:$O$150,8,FALSE))</f>
        <v/>
      </c>
      <c r="G67" s="4" t="str">
        <f>IF(VLOOKUP($A67,'[11]0816'!$A$4:$O$150,8,FALSE)="",VLOOKUP($A67,'[11]0816'!$A$4:$O$150,12,FALSE),VLOOKUP($A67,'[11]0816'!$A$4:$O$150,8,FALSE))</f>
        <v/>
      </c>
      <c r="J67" s="4" t="str">
        <f>IF(VLOOKUP($A67,'[12]0811'!$A$4:$O$150,8,FALSE)="",VLOOKUP($A67,'[12]0811'!$A$4:$O$150,12,FALSE),VLOOKUP($A67,'[12]0811'!$A$4:$O$150,8,FALSE))</f>
        <v/>
      </c>
    </row>
    <row r="68" spans="1:10" x14ac:dyDescent="0.25">
      <c r="A68" s="3" t="s">
        <v>271</v>
      </c>
      <c r="B68" s="5">
        <f>VLOOKUP($A68,'[13]0818'!$A$4:$O$321,4,FALSE)</f>
        <v>8.33</v>
      </c>
      <c r="C68" s="5">
        <f>VLOOKUP($A75,'[10]0808'!$A$4:$O$321,5,FALSE)</f>
        <v>10.8</v>
      </c>
      <c r="D68" s="5">
        <f>VLOOKUP($A68,'[13]0818'!$A$4:$O$321,15,FALSE)</f>
        <v>1.1780999999999999</v>
      </c>
      <c r="E68" s="4">
        <f>IF(VLOOKUP($A68,'[13]0818'!$A$4:$O$150,8,FALSE)="",VLOOKUP($A68,'[13]0818'!$A$4:$O$150,12,FALSE),VLOOKUP($A68,'[13]0818'!$A$4:$O$150,8,FALSE))</f>
        <v>1.19</v>
      </c>
      <c r="F68" s="4" t="str">
        <f>IF(VLOOKUP($A68,'[9]0817'!$A$4:$O$150,8,FALSE)="",VLOOKUP($A68,'[9]0817'!$A$4:$O$150,12,FALSE),VLOOKUP($A68,'[9]0817'!$A$4:$O$150,8,FALSE))</f>
        <v/>
      </c>
      <c r="G68" s="4" t="str">
        <f>IF(VLOOKUP($A68,'[11]0816'!$A$4:$O$150,8,FALSE)="",VLOOKUP($A68,'[11]0816'!$A$4:$O$150,12,FALSE),VLOOKUP($A68,'[11]0816'!$A$4:$O$150,8,FALSE))</f>
        <v/>
      </c>
      <c r="J68" s="4" t="str">
        <f>IF(VLOOKUP($A68,'[12]0811'!$A$4:$O$150,8,FALSE)="",VLOOKUP($A68,'[12]0811'!$A$4:$O$150,12,FALSE),VLOOKUP($A68,'[12]0811'!$A$4:$O$150,8,FALSE))</f>
        <v/>
      </c>
    </row>
    <row r="69" spans="1:10" x14ac:dyDescent="0.25">
      <c r="A69" s="3" t="s">
        <v>316</v>
      </c>
      <c r="B69" s="5">
        <f>VLOOKUP($A69,'[13]0818'!$A$4:$O$321,4,FALSE)</f>
        <v>8.34</v>
      </c>
      <c r="C69" s="5">
        <f>VLOOKUP($A68,'[10]0808'!$A$4:$O$321,5,FALSE)</f>
        <v>8.89</v>
      </c>
      <c r="D69" s="5">
        <f>VLOOKUP($A69,'[13]0818'!$A$4:$O$321,15,FALSE)</f>
        <v>1.1819999999999999</v>
      </c>
      <c r="E69" s="4" t="str">
        <f>IF(VLOOKUP($A69,'[13]0818'!$A$4:$O$150,8,FALSE)="",VLOOKUP($A69,'[13]0818'!$A$4:$O$150,12,FALSE),VLOOKUP($A69,'[13]0818'!$A$4:$O$150,8,FALSE))</f>
        <v/>
      </c>
      <c r="F69" s="4" t="str">
        <f>IF(VLOOKUP($A69,'[9]0817'!$A$4:$O$150,8,FALSE)="",VLOOKUP($A69,'[9]0817'!$A$4:$O$150,12,FALSE),VLOOKUP($A69,'[9]0817'!$A$4:$O$150,8,FALSE))</f>
        <v/>
      </c>
      <c r="G69" s="4" t="str">
        <f>IF(VLOOKUP($A69,'[11]0816'!$A$4:$O$150,8,FALSE)="",VLOOKUP($A69,'[11]0816'!$A$4:$O$150,12,FALSE),VLOOKUP($A69,'[11]0816'!$A$4:$O$150,8,FALSE))</f>
        <v/>
      </c>
      <c r="H69" s="5">
        <v>1.1830000000000001</v>
      </c>
      <c r="J69" s="4" t="str">
        <f>IF(VLOOKUP($A69,'[12]0811'!$A$4:$O$150,8,FALSE)="",VLOOKUP($A69,'[12]0811'!$A$4:$O$150,12,FALSE),VLOOKUP($A69,'[12]0811'!$A$4:$O$150,8,FALSE))</f>
        <v/>
      </c>
    </row>
    <row r="70" spans="1:10" x14ac:dyDescent="0.25">
      <c r="A70" s="3" t="s">
        <v>53</v>
      </c>
      <c r="B70" s="5">
        <f>VLOOKUP($A70,'[13]0818'!$A$4:$O$321,4,FALSE)</f>
        <v>8.6999999999999993</v>
      </c>
      <c r="C70" s="5">
        <f>VLOOKUP($A69,'[10]0808'!$A$4:$O$321,5,FALSE)</f>
        <v>9.19</v>
      </c>
      <c r="D70" s="5">
        <f>VLOOKUP($A70,'[13]0818'!$A$4:$O$321,15,FALSE)</f>
        <v>1.1878</v>
      </c>
      <c r="E70" s="4" t="str">
        <f>IF(VLOOKUP($A70,'[13]0818'!$A$4:$O$150,8,FALSE)="",VLOOKUP($A70,'[13]0818'!$A$4:$O$150,12,FALSE),VLOOKUP($A70,'[13]0818'!$A$4:$O$150,8,FALSE))</f>
        <v/>
      </c>
      <c r="F70" s="4" t="str">
        <f>IF(VLOOKUP($A70,'[9]0817'!$A$4:$O$150,8,FALSE)="",VLOOKUP($A70,'[9]0817'!$A$4:$O$150,12,FALSE),VLOOKUP($A70,'[9]0817'!$A$4:$O$150,8,FALSE))</f>
        <v/>
      </c>
      <c r="G70" s="4" t="str">
        <f>IF(VLOOKUP($A70,'[11]0816'!$A$4:$O$150,8,FALSE)="",VLOOKUP($A70,'[11]0816'!$A$4:$O$150,12,FALSE),VLOOKUP($A70,'[11]0816'!$A$4:$O$150,8,FALSE))</f>
        <v/>
      </c>
      <c r="J70" s="4" t="str">
        <f>IF(VLOOKUP($A70,'[12]0811'!$A$4:$O$150,8,FALSE)="",VLOOKUP($A70,'[12]0811'!$A$4:$O$150,12,FALSE),VLOOKUP($A70,'[12]0811'!$A$4:$O$150,8,FALSE))</f>
        <v/>
      </c>
    </row>
    <row r="71" spans="1:10" x14ac:dyDescent="0.25">
      <c r="A71" s="3" t="s">
        <v>337</v>
      </c>
      <c r="B71" s="5">
        <f>VLOOKUP($A71,'[13]0818'!$A$4:$O$321,4,FALSE)</f>
        <v>8.75</v>
      </c>
      <c r="C71" s="5">
        <f>VLOOKUP($A71,'[10]0808'!$A$4:$O$321,5,FALSE)</f>
        <v>9.42</v>
      </c>
      <c r="D71" s="5">
        <f>VLOOKUP($A71,'[13]0818'!$A$4:$O$321,15,FALSE)</f>
        <v>1.1877</v>
      </c>
      <c r="E71" s="4" t="str">
        <f>IF(VLOOKUP($A71,'[13]0818'!$A$4:$O$150,8,FALSE)="",VLOOKUP($A71,'[13]0818'!$A$4:$O$150,12,FALSE),VLOOKUP($A71,'[13]0818'!$A$4:$O$150,8,FALSE))</f>
        <v/>
      </c>
      <c r="F71" s="4" t="str">
        <f>IF(VLOOKUP($A71,'[9]0817'!$A$4:$O$150,8,FALSE)="",VLOOKUP($A71,'[9]0817'!$A$4:$O$150,12,FALSE),VLOOKUP($A71,'[9]0817'!$A$4:$O$150,8,FALSE))</f>
        <v/>
      </c>
      <c r="G71" s="4" t="str">
        <f>IF(VLOOKUP($A71,'[11]0816'!$A$4:$O$150,8,FALSE)="",VLOOKUP($A71,'[11]0816'!$A$4:$O$150,12,FALSE),VLOOKUP($A71,'[11]0816'!$A$4:$O$150,8,FALSE))</f>
        <v/>
      </c>
      <c r="J71" s="4" t="str">
        <f>IF(VLOOKUP($A71,'[12]0811'!$A$4:$O$150,8,FALSE)="",VLOOKUP($A71,'[12]0811'!$A$4:$O$150,12,FALSE),VLOOKUP($A71,'[12]0811'!$A$4:$O$150,8,FALSE))</f>
        <v/>
      </c>
    </row>
    <row r="72" spans="1:10" x14ac:dyDescent="0.25">
      <c r="A72" s="3" t="s">
        <v>62</v>
      </c>
      <c r="B72" s="5">
        <f>VLOOKUP($A72,'[13]0818'!$A$4:$O$321,4,FALSE)</f>
        <v>8.76</v>
      </c>
      <c r="C72" s="5">
        <f>VLOOKUP($A72,'[10]0808'!$A$4:$O$321,5,FALSE)</f>
        <v>9.61</v>
      </c>
      <c r="D72" s="5">
        <f>VLOOKUP($A72,'[13]0818'!$A$4:$O$321,15,FALSE)</f>
        <v>1.1895</v>
      </c>
      <c r="E72" s="4" t="str">
        <f>IF(VLOOKUP($A72,'[13]0818'!$A$4:$O$150,8,FALSE)="",VLOOKUP($A72,'[13]0818'!$A$4:$O$150,12,FALSE),VLOOKUP($A72,'[13]0818'!$A$4:$O$150,8,FALSE))</f>
        <v/>
      </c>
      <c r="F72" s="4" t="str">
        <f>IF(VLOOKUP($A72,'[9]0817'!$A$4:$O$150,8,FALSE)="",VLOOKUP($A72,'[9]0817'!$A$4:$O$150,12,FALSE),VLOOKUP($A72,'[9]0817'!$A$4:$O$150,8,FALSE))</f>
        <v/>
      </c>
      <c r="G72" s="4" t="str">
        <f>IF(VLOOKUP($A72,'[11]0816'!$A$4:$O$150,8,FALSE)="",VLOOKUP($A72,'[11]0816'!$A$4:$O$150,12,FALSE),VLOOKUP($A72,'[11]0816'!$A$4:$O$150,8,FALSE))</f>
        <v/>
      </c>
      <c r="J72" s="4" t="str">
        <f>IF(VLOOKUP($A72,'[12]0811'!$A$4:$O$150,8,FALSE)="",VLOOKUP($A72,'[12]0811'!$A$4:$O$150,12,FALSE),VLOOKUP($A72,'[12]0811'!$A$4:$O$150,8,FALSE))</f>
        <v/>
      </c>
    </row>
    <row r="73" spans="1:10" x14ac:dyDescent="0.25">
      <c r="A73" s="3" t="s">
        <v>30</v>
      </c>
      <c r="B73" s="5">
        <f>VLOOKUP($A73,'[13]0818'!$A$4:$O$321,4,FALSE)</f>
        <v>9.02</v>
      </c>
      <c r="C73" s="5">
        <f>VLOOKUP($A73,'[10]0808'!$A$4:$O$321,5,FALSE)</f>
        <v>9.9600000000000009</v>
      </c>
      <c r="D73" s="5">
        <f>VLOOKUP($A73,'[13]0818'!$A$4:$O$321,15,FALSE)</f>
        <v>1.1947000000000001</v>
      </c>
      <c r="E73" s="4" t="str">
        <f>IF(VLOOKUP($A73,'[13]0818'!$A$4:$O$150,8,FALSE)="",VLOOKUP($A73,'[13]0818'!$A$4:$O$150,12,FALSE),VLOOKUP($A73,'[13]0818'!$A$4:$O$150,8,FALSE))</f>
        <v/>
      </c>
      <c r="F73" s="4" t="str">
        <f>IF(VLOOKUP($A73,'[9]0817'!$A$4:$O$150,8,FALSE)="",VLOOKUP($A73,'[9]0817'!$A$4:$O$150,12,FALSE),VLOOKUP($A73,'[9]0817'!$A$4:$O$150,8,FALSE))</f>
        <v/>
      </c>
      <c r="G73" s="4" t="str">
        <f>IF(VLOOKUP($A73,'[11]0816'!$A$4:$O$150,8,FALSE)="",VLOOKUP($A73,'[11]0816'!$A$4:$O$150,12,FALSE),VLOOKUP($A73,'[11]0816'!$A$4:$O$150,8,FALSE))</f>
        <v/>
      </c>
      <c r="J73" s="4" t="str">
        <f>IF(VLOOKUP($A73,'[12]0811'!$A$4:$O$150,8,FALSE)="",VLOOKUP($A73,'[12]0811'!$A$4:$O$150,12,FALSE),VLOOKUP($A73,'[12]0811'!$A$4:$O$150,8,FALSE))</f>
        <v/>
      </c>
    </row>
    <row r="74" spans="1:10" x14ac:dyDescent="0.25">
      <c r="A74" s="3" t="s">
        <v>338</v>
      </c>
      <c r="B74" s="5">
        <f>VLOOKUP($A74,'[13]0818'!$A$4:$O$321,4,FALSE)</f>
        <v>8.9</v>
      </c>
      <c r="C74" s="5">
        <f>VLOOKUP($A74,'[10]0808'!$A$4:$O$321,5,FALSE)</f>
        <v>9.5299999999999994</v>
      </c>
      <c r="D74" s="5">
        <f>VLOOKUP($A74,'[13]0818'!$A$4:$O$321,15,FALSE)</f>
        <v>1.19</v>
      </c>
      <c r="E74" s="4" t="str">
        <f>IF(VLOOKUP($A74,'[13]0818'!$A$4:$O$150,8,FALSE)="",VLOOKUP($A74,'[13]0818'!$A$4:$O$150,12,FALSE),VLOOKUP($A74,'[13]0818'!$A$4:$O$150,8,FALSE))</f>
        <v/>
      </c>
      <c r="F74" s="4">
        <f>IF(VLOOKUP($A74,'[9]0817'!$A$4:$O$150,8,FALSE)="",VLOOKUP($A74,'[9]0817'!$A$4:$O$150,12,FALSE),VLOOKUP($A74,'[9]0817'!$A$4:$O$150,8,FALSE))</f>
        <v>1.1906000000000001</v>
      </c>
      <c r="G74" s="4" t="str">
        <f>IF(VLOOKUP($A74,'[11]0816'!$A$4:$O$150,8,FALSE)="",VLOOKUP($A74,'[11]0816'!$A$4:$O$150,12,FALSE),VLOOKUP($A74,'[11]0816'!$A$4:$O$150,8,FALSE))</f>
        <v/>
      </c>
      <c r="J74" s="4">
        <f>IF(VLOOKUP($A74,'[12]0811'!$A$4:$O$150,8,FALSE)="",VLOOKUP($A74,'[12]0811'!$A$4:$O$150,12,FALSE),VLOOKUP($A74,'[12]0811'!$A$4:$O$150,8,FALSE))</f>
        <v>1.1845000000000001</v>
      </c>
    </row>
    <row r="75" spans="1:10" x14ac:dyDescent="0.25">
      <c r="A75" s="3" t="s">
        <v>21</v>
      </c>
      <c r="B75" s="5">
        <f>VLOOKUP($A75,'[13]0818'!$A$4:$O$321,4,FALSE)</f>
        <v>9.06</v>
      </c>
      <c r="C75" s="5">
        <f>VLOOKUP($A70,'[10]0808'!$A$4:$O$321,5,FALSE)</f>
        <v>9.4700000000000006</v>
      </c>
      <c r="D75" s="5">
        <f>VLOOKUP($A75,'[13]0818'!$A$4:$O$321,15,FALSE)</f>
        <v>1.2036</v>
      </c>
      <c r="E75" s="4" t="str">
        <f>IF(VLOOKUP($A75,'[13]0818'!$A$4:$O$150,8,FALSE)="",VLOOKUP($A75,'[13]0818'!$A$4:$O$150,12,FALSE),VLOOKUP($A75,'[13]0818'!$A$4:$O$150,8,FALSE))</f>
        <v/>
      </c>
      <c r="F75" s="4" t="str">
        <f>IF(VLOOKUP($A75,'[9]0817'!$A$4:$O$150,8,FALSE)="",VLOOKUP($A75,'[9]0817'!$A$4:$O$150,12,FALSE),VLOOKUP($A75,'[9]0817'!$A$4:$O$150,8,FALSE))</f>
        <v/>
      </c>
      <c r="G75" s="4" t="str">
        <f>IF(VLOOKUP($A75,'[11]0816'!$A$4:$O$150,8,FALSE)="",VLOOKUP($A75,'[11]0816'!$A$4:$O$150,12,FALSE),VLOOKUP($A75,'[11]0816'!$A$4:$O$150,8,FALSE))</f>
        <v/>
      </c>
      <c r="J75" s="4" t="str">
        <f>IF(VLOOKUP($A75,'[12]0811'!$A$4:$O$150,8,FALSE)="",VLOOKUP($A75,'[12]0811'!$A$4:$O$150,12,FALSE),VLOOKUP($A75,'[12]0811'!$A$4:$O$150,8,FALSE))</f>
        <v/>
      </c>
    </row>
    <row r="76" spans="1:10" x14ac:dyDescent="0.25">
      <c r="A76" s="3" t="s">
        <v>369</v>
      </c>
      <c r="B76" s="5">
        <f>VLOOKUP($A76,'[13]0818'!$A$4:$O$321,4,FALSE)</f>
        <v>9.1999999999999993</v>
      </c>
      <c r="C76" s="5">
        <f>VLOOKUP($A76,'[10]0808'!$A$4:$O$321,5,FALSE)</f>
        <v>9.83</v>
      </c>
      <c r="D76" s="5">
        <f>VLOOKUP($A76,'[13]0818'!$A$4:$O$321,15,FALSE)</f>
        <v>1.1953</v>
      </c>
      <c r="E76" s="4" t="str">
        <f>IF(VLOOKUP($A76,'[13]0818'!$A$4:$O$150,8,FALSE)="",VLOOKUP($A76,'[13]0818'!$A$4:$O$150,12,FALSE),VLOOKUP($A76,'[13]0818'!$A$4:$O$150,8,FALSE))</f>
        <v/>
      </c>
      <c r="F76" s="4" t="str">
        <f>IF(VLOOKUP($A76,'[9]0817'!$A$4:$O$150,8,FALSE)="",VLOOKUP($A76,'[9]0817'!$A$4:$O$150,12,FALSE),VLOOKUP($A76,'[9]0817'!$A$4:$O$150,8,FALSE))</f>
        <v/>
      </c>
      <c r="G76" s="4" t="str">
        <f>IF(VLOOKUP($A76,'[11]0816'!$A$4:$O$150,8,FALSE)="",VLOOKUP($A76,'[11]0816'!$A$4:$O$150,12,FALSE),VLOOKUP($A76,'[11]0816'!$A$4:$O$150,8,FALSE))</f>
        <v/>
      </c>
      <c r="J76" s="4" t="str">
        <f>IF(VLOOKUP($A76,'[12]0811'!$A$4:$O$150,8,FALSE)="",VLOOKUP($A76,'[12]0811'!$A$4:$O$150,12,FALSE),VLOOKUP($A76,'[12]0811'!$A$4:$O$150,8,FALSE))</f>
        <v/>
      </c>
    </row>
    <row r="77" spans="1:10" x14ac:dyDescent="0.25">
      <c r="A77" s="3" t="s">
        <v>384</v>
      </c>
      <c r="B77" s="5">
        <f>VLOOKUP($A77,'[13]0818'!$A$4:$O$321,4,FALSE)</f>
        <v>9.19</v>
      </c>
      <c r="C77" s="5">
        <f>VLOOKUP($A77,'[10]0808'!$A$4:$O$321,5,FALSE)</f>
        <v>9.83</v>
      </c>
      <c r="D77" s="5">
        <f>VLOOKUP($A77,'[13]0818'!$A$4:$O$321,15,FALSE)</f>
        <v>1.1952</v>
      </c>
      <c r="E77" s="4">
        <f>IF(VLOOKUP($A77,'[13]0818'!$A$4:$O$150,8,FALSE)="",VLOOKUP($A77,'[13]0818'!$A$4:$O$150,12,FALSE),VLOOKUP($A77,'[13]0818'!$A$4:$O$150,8,FALSE))</f>
        <v>1.1930000000000001</v>
      </c>
      <c r="F77" s="4">
        <f>IF(VLOOKUP($A77,'[9]0817'!$A$4:$O$150,8,FALSE)="",VLOOKUP($A77,'[9]0817'!$A$4:$O$150,12,FALSE),VLOOKUP($A77,'[9]0817'!$A$4:$O$150,8,FALSE))</f>
        <v>1.1962999999999999</v>
      </c>
      <c r="G77" s="4">
        <f>IF(VLOOKUP($A77,'[11]0816'!$A$4:$O$150,8,FALSE)="",VLOOKUP($A77,'[11]0816'!$A$4:$O$150,12,FALSE),VLOOKUP($A77,'[11]0816'!$A$4:$O$150,8,FALSE))</f>
        <v>1.1880999999999999</v>
      </c>
      <c r="H77" s="5">
        <v>1.1927000000000001</v>
      </c>
      <c r="I77" s="5">
        <v>1.19</v>
      </c>
      <c r="J77" s="4" t="str">
        <f>IF(VLOOKUP($A77,'[12]0811'!$A$4:$O$150,8,FALSE)="",VLOOKUP($A77,'[12]0811'!$A$4:$O$150,12,FALSE),VLOOKUP($A77,'[12]0811'!$A$4:$O$150,8,FALSE))</f>
        <v/>
      </c>
    </row>
    <row r="78" spans="1:10" x14ac:dyDescent="0.25">
      <c r="A78" s="3" t="s">
        <v>63</v>
      </c>
      <c r="B78" s="5">
        <f>VLOOKUP($A78,'[13]0818'!$A$4:$O$321,4,FALSE)</f>
        <v>9.36</v>
      </c>
      <c r="C78" s="5">
        <f>VLOOKUP($A78,'[10]0808'!$A$4:$O$321,5,FALSE)</f>
        <v>10.47</v>
      </c>
      <c r="D78" s="5">
        <f>VLOOKUP($A78,'[13]0818'!$A$4:$O$321,15,FALSE)</f>
        <v>1.2038</v>
      </c>
      <c r="E78" s="4" t="str">
        <f>IF(VLOOKUP($A78,'[13]0818'!$A$4:$O$150,8,FALSE)="",VLOOKUP($A78,'[13]0818'!$A$4:$O$150,12,FALSE),VLOOKUP($A78,'[13]0818'!$A$4:$O$150,8,FALSE))</f>
        <v/>
      </c>
      <c r="F78" s="4" t="str">
        <f>IF(VLOOKUP($A78,'[9]0817'!$A$4:$O$150,8,FALSE)="",VLOOKUP($A78,'[9]0817'!$A$4:$O$150,12,FALSE),VLOOKUP($A78,'[9]0817'!$A$4:$O$150,8,FALSE))</f>
        <v/>
      </c>
      <c r="G78" s="4" t="str">
        <f>IF(VLOOKUP($A78,'[11]0816'!$A$4:$O$150,8,FALSE)="",VLOOKUP($A78,'[11]0816'!$A$4:$O$150,12,FALSE),VLOOKUP($A78,'[11]0816'!$A$4:$O$150,8,FALSE))</f>
        <v/>
      </c>
      <c r="J78" s="4" t="str">
        <f>IF(VLOOKUP($A78,'[12]0811'!$A$4:$O$150,8,FALSE)="",VLOOKUP($A78,'[12]0811'!$A$4:$O$150,12,FALSE),VLOOKUP($A78,'[12]0811'!$A$4:$O$150,8,FALSE))</f>
        <v/>
      </c>
    </row>
    <row r="79" spans="1:10" x14ac:dyDescent="0.25">
      <c r="A79" s="3" t="s">
        <v>65</v>
      </c>
      <c r="B79" s="5">
        <f>VLOOKUP($A79,'[13]0818'!$A$4:$O$321,4,FALSE)</f>
        <v>9.8000000000000007</v>
      </c>
      <c r="C79" s="5">
        <f>VLOOKUP($A79,'[10]0808'!$A$4:$O$321,5,FALSE)</f>
        <v>10.97</v>
      </c>
      <c r="D79" s="5">
        <f>VLOOKUP($A79,'[13]0818'!$A$4:$O$321,15,FALSE)</f>
        <v>1.2126999999999999</v>
      </c>
      <c r="E79" s="4" t="str">
        <f>IF(VLOOKUP($A79,'[13]0818'!$A$4:$O$150,8,FALSE)="",VLOOKUP($A79,'[13]0818'!$A$4:$O$150,12,FALSE),VLOOKUP($A79,'[13]0818'!$A$4:$O$150,8,FALSE))</f>
        <v/>
      </c>
      <c r="F79" s="4" t="str">
        <f>IF(VLOOKUP($A79,'[9]0817'!$A$4:$O$150,8,FALSE)="",VLOOKUP($A79,'[9]0817'!$A$4:$O$150,12,FALSE),VLOOKUP($A79,'[9]0817'!$A$4:$O$150,8,FALSE))</f>
        <v/>
      </c>
      <c r="G79" s="4" t="str">
        <f>IF(VLOOKUP($A79,'[11]0816'!$A$4:$O$150,8,FALSE)="",VLOOKUP($A79,'[11]0816'!$A$4:$O$150,12,FALSE),VLOOKUP($A79,'[11]0816'!$A$4:$O$150,8,FALSE))</f>
        <v/>
      </c>
      <c r="J79" s="4" t="str">
        <f>IF(VLOOKUP($A79,'[12]0811'!$A$4:$O$150,8,FALSE)="",VLOOKUP($A79,'[12]0811'!$A$4:$O$150,12,FALSE),VLOOKUP($A79,'[12]0811'!$A$4:$O$150,8,FALSE))</f>
        <v/>
      </c>
    </row>
    <row r="80" spans="1:10" x14ac:dyDescent="0.25">
      <c r="A80" s="3" t="s">
        <v>44</v>
      </c>
      <c r="B80" s="5">
        <f>VLOOKUP($A80,'[13]0818'!$A$4:$O$321,4,FALSE)</f>
        <v>9.64</v>
      </c>
      <c r="C80" s="5">
        <f>VLOOKUP($A80,'[10]0808'!$A$4:$O$321,5,FALSE)</f>
        <v>10.71</v>
      </c>
      <c r="D80" s="5">
        <f>VLOOKUP($A80,'[13]0818'!$A$4:$O$321,15,FALSE)</f>
        <v>1.2087000000000001</v>
      </c>
      <c r="E80" s="4" t="str">
        <f>IF(VLOOKUP($A80,'[13]0818'!$A$4:$O$150,8,FALSE)="",VLOOKUP($A80,'[13]0818'!$A$4:$O$150,12,FALSE),VLOOKUP($A80,'[13]0818'!$A$4:$O$150,8,FALSE))</f>
        <v/>
      </c>
      <c r="F80" s="4" t="str">
        <f>IF(VLOOKUP($A80,'[9]0817'!$A$4:$O$150,8,FALSE)="",VLOOKUP($A80,'[9]0817'!$A$4:$O$150,12,FALSE),VLOOKUP($A80,'[9]0817'!$A$4:$O$150,8,FALSE))</f>
        <v/>
      </c>
      <c r="G80" s="4" t="str">
        <f>IF(VLOOKUP($A80,'[11]0816'!$A$4:$O$150,8,FALSE)="",VLOOKUP($A80,'[11]0816'!$A$4:$O$150,12,FALSE),VLOOKUP($A80,'[11]0816'!$A$4:$O$150,8,FALSE))</f>
        <v/>
      </c>
      <c r="J80" s="4" t="str">
        <f>IF(VLOOKUP($A80,'[12]0811'!$A$4:$O$150,8,FALSE)="",VLOOKUP($A80,'[12]0811'!$A$4:$O$150,12,FALSE),VLOOKUP($A80,'[12]0811'!$A$4:$O$150,8,FALSE))</f>
        <v/>
      </c>
    </row>
    <row r="81" spans="1:10" x14ac:dyDescent="0.25">
      <c r="A81" s="3" t="s">
        <v>64</v>
      </c>
      <c r="B81" s="5">
        <f>VLOOKUP($A81,'[13]0818'!$A$4:$O$321,4,FALSE)</f>
        <v>9.73</v>
      </c>
      <c r="C81" s="5">
        <f>VLOOKUP($A81,'[10]0808'!$A$4:$O$321,5,FALSE)</f>
        <v>11.15</v>
      </c>
      <c r="D81" s="5">
        <f>VLOOKUP($A81,'[13]0818'!$A$4:$O$321,15,FALSE)</f>
        <v>1.2155</v>
      </c>
      <c r="E81" s="4" t="str">
        <f>IF(VLOOKUP($A81,'[13]0818'!$A$4:$O$150,8,FALSE)="",VLOOKUP($A81,'[13]0818'!$A$4:$O$150,12,FALSE),VLOOKUP($A81,'[13]0818'!$A$4:$O$150,8,FALSE))</f>
        <v/>
      </c>
      <c r="F81" s="4" t="str">
        <f>IF(VLOOKUP($A81,'[9]0817'!$A$4:$O$150,8,FALSE)="",VLOOKUP($A81,'[9]0817'!$A$4:$O$150,12,FALSE),VLOOKUP($A81,'[9]0817'!$A$4:$O$150,8,FALSE))</f>
        <v/>
      </c>
      <c r="G81" s="4" t="str">
        <f>IF(VLOOKUP($A81,'[11]0816'!$A$4:$O$150,8,FALSE)="",VLOOKUP($A81,'[11]0816'!$A$4:$O$150,12,FALSE),VLOOKUP($A81,'[11]0816'!$A$4:$O$150,8,FALSE))</f>
        <v/>
      </c>
      <c r="J81" s="4" t="str">
        <f>IF(VLOOKUP($A81,'[12]0811'!$A$4:$O$150,8,FALSE)="",VLOOKUP($A81,'[12]0811'!$A$4:$O$150,12,FALSE),VLOOKUP($A81,'[12]0811'!$A$4:$O$150,8,FALSE))</f>
        <v/>
      </c>
    </row>
    <row r="82" spans="1:10" x14ac:dyDescent="0.25">
      <c r="A82" s="3" t="s">
        <v>26</v>
      </c>
      <c r="B82" s="5">
        <f>VLOOKUP($A82,'[13]0818'!$A$4:$O$321,4,FALSE)</f>
        <v>10.14</v>
      </c>
      <c r="C82" s="5">
        <f>VLOOKUP($A82,'[10]0808'!$A$4:$O$321,5,FALSE)</f>
        <v>11.46</v>
      </c>
      <c r="D82" s="5">
        <f>VLOOKUP($A82,'[13]0818'!$A$4:$O$321,15,FALSE)</f>
        <v>1.2224999999999999</v>
      </c>
      <c r="E82" s="4" t="str">
        <f>IF(VLOOKUP($A82,'[13]0818'!$A$4:$O$150,8,FALSE)="",VLOOKUP($A82,'[13]0818'!$A$4:$O$150,12,FALSE),VLOOKUP($A82,'[13]0818'!$A$4:$O$150,8,FALSE))</f>
        <v/>
      </c>
      <c r="F82" s="4" t="str">
        <f>IF(VLOOKUP($A82,'[9]0817'!$A$4:$O$150,8,FALSE)="",VLOOKUP($A82,'[9]0817'!$A$4:$O$150,12,FALSE),VLOOKUP($A82,'[9]0817'!$A$4:$O$150,8,FALSE))</f>
        <v/>
      </c>
      <c r="G82" s="4" t="str">
        <f>IF(VLOOKUP($A82,'[11]0816'!$A$4:$O$150,8,FALSE)="",VLOOKUP($A82,'[11]0816'!$A$4:$O$150,12,FALSE),VLOOKUP($A82,'[11]0816'!$A$4:$O$150,8,FALSE))</f>
        <v/>
      </c>
      <c r="J82" s="4" t="str">
        <f>IF(VLOOKUP($A82,'[12]0811'!$A$4:$O$150,8,FALSE)="",VLOOKUP($A82,'[12]0811'!$A$4:$O$150,12,FALSE),VLOOKUP($A82,'[12]0811'!$A$4:$O$150,8,FALSE))</f>
        <v/>
      </c>
    </row>
    <row r="83" spans="1:10" x14ac:dyDescent="0.25">
      <c r="A83" s="3" t="s">
        <v>49</v>
      </c>
      <c r="B83" s="5">
        <f>VLOOKUP($A83,'[13]0818'!$A$4:$O$321,4,FALSE)</f>
        <v>10.31</v>
      </c>
      <c r="C83" s="5">
        <f>VLOOKUP($A83,'[10]0808'!$A$4:$O$321,5,FALSE)</f>
        <v>11.68</v>
      </c>
      <c r="D83" s="5">
        <f>VLOOKUP($A83,'[13]0818'!$A$4:$O$321,15,FALSE)</f>
        <v>1.2262999999999999</v>
      </c>
      <c r="E83" s="4" t="str">
        <f>IF(VLOOKUP($A83,'[13]0818'!$A$4:$O$150,8,FALSE)="",VLOOKUP($A83,'[13]0818'!$A$4:$O$150,12,FALSE),VLOOKUP($A83,'[13]0818'!$A$4:$O$150,8,FALSE))</f>
        <v/>
      </c>
      <c r="F83" s="4" t="str">
        <f>IF(VLOOKUP($A83,'[9]0817'!$A$4:$O$150,8,FALSE)="",VLOOKUP($A83,'[9]0817'!$A$4:$O$150,12,FALSE),VLOOKUP($A83,'[9]0817'!$A$4:$O$150,8,FALSE))</f>
        <v/>
      </c>
      <c r="G83" s="4" t="str">
        <f>IF(VLOOKUP($A83,'[11]0816'!$A$4:$O$150,8,FALSE)="",VLOOKUP($A83,'[11]0816'!$A$4:$O$150,12,FALSE),VLOOKUP($A83,'[11]0816'!$A$4:$O$150,8,FALSE))</f>
        <v/>
      </c>
      <c r="J83" s="4" t="str">
        <f>IF(VLOOKUP($A83,'[12]0811'!$A$4:$O$150,8,FALSE)="",VLOOKUP($A83,'[12]0811'!$A$4:$O$150,12,FALSE),VLOOKUP($A83,'[12]0811'!$A$4:$O$150,8,FALSE))</f>
        <v/>
      </c>
    </row>
    <row r="84" spans="1:10" x14ac:dyDescent="0.25">
      <c r="A84" s="3" t="s">
        <v>54</v>
      </c>
      <c r="B84" s="5">
        <f>VLOOKUP($A84,'[13]0818'!$A$4:$O$321,4,FALSE)</f>
        <v>10.83</v>
      </c>
      <c r="C84" s="5">
        <f>VLOOKUP($A84,'[10]0808'!$A$4:$O$321,5,FALSE)</f>
        <v>12.21</v>
      </c>
      <c r="D84" s="5">
        <f>VLOOKUP($A84,'[13]0818'!$A$4:$O$321,15,FALSE)</f>
        <v>1.2386999999999999</v>
      </c>
      <c r="E84" s="4" t="str">
        <f>IF(VLOOKUP($A84,'[13]0818'!$A$4:$O$150,8,FALSE)="",VLOOKUP($A84,'[13]0818'!$A$4:$O$150,12,FALSE),VLOOKUP($A84,'[13]0818'!$A$4:$O$150,8,FALSE))</f>
        <v/>
      </c>
      <c r="F84" s="4" t="str">
        <f>IF(VLOOKUP($A84,'[9]0817'!$A$4:$O$150,8,FALSE)="",VLOOKUP($A84,'[9]0817'!$A$4:$O$150,12,FALSE),VLOOKUP($A84,'[9]0817'!$A$4:$O$150,8,FALSE))</f>
        <v/>
      </c>
      <c r="G84" s="4" t="str">
        <f>IF(VLOOKUP($A84,'[11]0816'!$A$4:$O$150,8,FALSE)="",VLOOKUP($A84,'[11]0816'!$A$4:$O$150,12,FALSE),VLOOKUP($A84,'[11]0816'!$A$4:$O$150,8,FALSE))</f>
        <v/>
      </c>
      <c r="J84" s="4" t="str">
        <f>IF(VLOOKUP($A84,'[12]0811'!$A$4:$O$150,8,FALSE)="",VLOOKUP($A84,'[12]0811'!$A$4:$O$150,12,FALSE),VLOOKUP($A84,'[12]0811'!$A$4:$O$150,8,FALSE))</f>
        <v/>
      </c>
    </row>
    <row r="85" spans="1:10" x14ac:dyDescent="0.25">
      <c r="A85" s="3" t="s">
        <v>39</v>
      </c>
      <c r="B85" s="5">
        <f>VLOOKUP($A85,'[13]0818'!$A$4:$O$321,4,FALSE)</f>
        <v>11.28</v>
      </c>
      <c r="C85" s="5">
        <f>VLOOKUP($A85,'[10]0808'!$A$4:$O$321,5,FALSE)</f>
        <v>12.45</v>
      </c>
      <c r="D85" s="5">
        <f>VLOOKUP($A85,'[13]0818'!$A$4:$O$321,15,FALSE)</f>
        <v>1.2454000000000001</v>
      </c>
      <c r="E85" s="4" t="str">
        <f>IF(VLOOKUP($A85,'[13]0818'!$A$4:$O$150,8,FALSE)="",VLOOKUP($A85,'[13]0818'!$A$4:$O$150,12,FALSE),VLOOKUP($A85,'[13]0818'!$A$4:$O$150,8,FALSE))</f>
        <v/>
      </c>
      <c r="F85" s="4" t="str">
        <f>IF(VLOOKUP($A85,'[9]0817'!$A$4:$O$150,8,FALSE)="",VLOOKUP($A85,'[9]0817'!$A$4:$O$150,12,FALSE),VLOOKUP($A85,'[9]0817'!$A$4:$O$150,8,FALSE))</f>
        <v/>
      </c>
      <c r="G85" s="4" t="str">
        <f>IF(VLOOKUP($A85,'[11]0816'!$A$4:$O$150,8,FALSE)="",VLOOKUP($A85,'[11]0816'!$A$4:$O$150,12,FALSE),VLOOKUP($A85,'[11]0816'!$A$4:$O$150,8,FALSE))</f>
        <v/>
      </c>
      <c r="J85" s="4" t="str">
        <f>IF(VLOOKUP($A85,'[12]0811'!$A$4:$O$150,8,FALSE)="",VLOOKUP($A85,'[12]0811'!$A$4:$O$150,12,FALSE),VLOOKUP($A85,'[12]0811'!$A$4:$O$150,8,FALSE))</f>
        <v/>
      </c>
    </row>
    <row r="86" spans="1:10" x14ac:dyDescent="0.25">
      <c r="A86" s="3" t="s">
        <v>34</v>
      </c>
      <c r="B86" s="5">
        <f>VLOOKUP($A86,'[13]0818'!$A$4:$O$321,4,FALSE)</f>
        <v>11.56</v>
      </c>
      <c r="C86" s="5">
        <f>VLOOKUP($A86,'[10]0808'!$A$4:$O$321,5,FALSE)</f>
        <v>12.66</v>
      </c>
      <c r="D86" s="5">
        <f>VLOOKUP($A86,'[13]0818'!$A$4:$O$321,15,FALSE)</f>
        <v>1.2504</v>
      </c>
      <c r="E86" s="4" t="str">
        <f>IF(VLOOKUP($A86,'[13]0818'!$A$4:$O$150,8,FALSE)="",VLOOKUP($A86,'[13]0818'!$A$4:$O$150,12,FALSE),VLOOKUP($A86,'[13]0818'!$A$4:$O$150,8,FALSE))</f>
        <v/>
      </c>
      <c r="F86" s="4" t="str">
        <f>IF(VLOOKUP($A86,'[9]0817'!$A$4:$O$150,8,FALSE)="",VLOOKUP($A86,'[9]0817'!$A$4:$O$150,12,FALSE),VLOOKUP($A86,'[9]0817'!$A$4:$O$150,8,FALSE))</f>
        <v/>
      </c>
      <c r="G86" s="4" t="str">
        <f>IF(VLOOKUP($A86,'[11]0816'!$A$4:$O$150,8,FALSE)="",VLOOKUP($A86,'[11]0816'!$A$4:$O$150,12,FALSE),VLOOKUP($A86,'[11]0816'!$A$4:$O$150,8,FALSE))</f>
        <v/>
      </c>
      <c r="J86" s="4" t="str">
        <f>IF(VLOOKUP($A86,'[12]0811'!$A$4:$O$150,8,FALSE)="",VLOOKUP($A86,'[12]0811'!$A$4:$O$150,12,FALSE),VLOOKUP($A86,'[12]0811'!$A$4:$O$150,8,FALSE))</f>
        <v/>
      </c>
    </row>
    <row r="87" spans="1:10" x14ac:dyDescent="0.25">
      <c r="A87" s="3" t="s">
        <v>45</v>
      </c>
      <c r="B87" s="5">
        <f>VLOOKUP($A87,'[13]0818'!$A$4:$O$321,4,FALSE)</f>
        <v>11.92</v>
      </c>
      <c r="C87" s="5">
        <f>VLOOKUP($A87,'[10]0808'!$A$4:$O$321,5,FALSE)</f>
        <v>12.94</v>
      </c>
      <c r="D87" s="5">
        <f>VLOOKUP($A87,'[13]0818'!$A$4:$O$321,15,FALSE)</f>
        <v>1.2571000000000001</v>
      </c>
      <c r="E87" s="4" t="str">
        <f>IF(VLOOKUP($A87,'[13]0818'!$A$4:$O$150,8,FALSE)="",VLOOKUP($A87,'[13]0818'!$A$4:$O$150,12,FALSE),VLOOKUP($A87,'[13]0818'!$A$4:$O$150,8,FALSE))</f>
        <v/>
      </c>
      <c r="F87" s="4" t="str">
        <f>IF(VLOOKUP($A87,'[9]0817'!$A$4:$O$150,8,FALSE)="",VLOOKUP($A87,'[9]0817'!$A$4:$O$150,12,FALSE),VLOOKUP($A87,'[9]0817'!$A$4:$O$150,8,FALSE))</f>
        <v/>
      </c>
      <c r="G87" s="4" t="str">
        <f>IF(VLOOKUP($A87,'[11]0816'!$A$4:$O$150,8,FALSE)="",VLOOKUP($A87,'[11]0816'!$A$4:$O$150,12,FALSE),VLOOKUP($A87,'[11]0816'!$A$4:$O$150,8,FALSE))</f>
        <v/>
      </c>
      <c r="J87" s="4" t="str">
        <f>IF(VLOOKUP($A87,'[12]0811'!$A$4:$O$150,8,FALSE)="",VLOOKUP($A87,'[12]0811'!$A$4:$O$150,12,FALSE),VLOOKUP($A87,'[12]0811'!$A$4:$O$150,8,FALSE))</f>
        <v/>
      </c>
    </row>
    <row r="88" spans="1:10" x14ac:dyDescent="0.25">
      <c r="A88" s="3" t="s">
        <v>36</v>
      </c>
      <c r="B88" s="5">
        <f>VLOOKUP($A88,'[13]0818'!$A$4:$O$321,4,FALSE)</f>
        <v>11.94</v>
      </c>
      <c r="C88" s="5">
        <f>VLOOKUP($A88,'[10]0808'!$A$4:$O$321,5,FALSE)</f>
        <v>13.53</v>
      </c>
      <c r="D88" s="5">
        <f>VLOOKUP($A88,'[13]0818'!$A$4:$O$321,15,FALSE)</f>
        <v>1.2662</v>
      </c>
      <c r="E88" s="4" t="str">
        <f>IF(VLOOKUP($A88,'[13]0818'!$A$4:$O$150,8,FALSE)="",VLOOKUP($A88,'[13]0818'!$A$4:$O$150,12,FALSE),VLOOKUP($A88,'[13]0818'!$A$4:$O$150,8,FALSE))</f>
        <v/>
      </c>
      <c r="F88" s="4" t="str">
        <f>IF(VLOOKUP($A88,'[9]0817'!$A$4:$O$150,8,FALSE)="",VLOOKUP($A88,'[9]0817'!$A$4:$O$150,12,FALSE),VLOOKUP($A88,'[9]0817'!$A$4:$O$150,8,FALSE))</f>
        <v/>
      </c>
      <c r="G88" s="4" t="str">
        <f>IF(VLOOKUP($A88,'[11]0816'!$A$4:$O$150,8,FALSE)="",VLOOKUP($A88,'[11]0816'!$A$4:$O$150,12,FALSE),VLOOKUP($A88,'[11]0816'!$A$4:$O$150,8,FALSE))</f>
        <v/>
      </c>
      <c r="J88" s="4" t="str">
        <f>IF(VLOOKUP($A88,'[12]0811'!$A$4:$O$150,8,FALSE)="",VLOOKUP($A88,'[12]0811'!$A$4:$O$150,12,FALSE),VLOOKUP($A88,'[12]0811'!$A$4:$O$150,8,FALSE))</f>
        <v/>
      </c>
    </row>
    <row r="89" spans="1:10" x14ac:dyDescent="0.25">
      <c r="A89" s="3" t="s">
        <v>66</v>
      </c>
      <c r="B89" s="5">
        <f>VLOOKUP($A89,'[13]0818'!$A$4:$O$321,4,FALSE)</f>
        <v>12.58</v>
      </c>
      <c r="C89" s="5">
        <f>VLOOKUP($A89,'[10]0808'!$A$4:$O$321,5,FALSE)</f>
        <v>14.02</v>
      </c>
      <c r="D89" s="5">
        <f>VLOOKUP($A89,'[13]0818'!$A$4:$O$321,15,FALSE)</f>
        <v>1.2782</v>
      </c>
      <c r="E89" s="4" t="str">
        <f>IF(VLOOKUP($A89,'[13]0818'!$A$4:$O$150,8,FALSE)="",VLOOKUP($A89,'[13]0818'!$A$4:$O$150,12,FALSE),VLOOKUP($A89,'[13]0818'!$A$4:$O$150,8,FALSE))</f>
        <v/>
      </c>
      <c r="F89" s="4" t="str">
        <f>IF(VLOOKUP($A89,'[9]0817'!$A$4:$O$150,8,FALSE)="",VLOOKUP($A89,'[9]0817'!$A$4:$O$150,12,FALSE),VLOOKUP($A89,'[9]0817'!$A$4:$O$150,8,FALSE))</f>
        <v/>
      </c>
      <c r="G89" s="4" t="str">
        <f>IF(VLOOKUP($A89,'[11]0816'!$A$4:$O$150,8,FALSE)="",VLOOKUP($A89,'[11]0816'!$A$4:$O$150,12,FALSE),VLOOKUP($A89,'[11]0816'!$A$4:$O$150,8,FALSE))</f>
        <v/>
      </c>
      <c r="J89" s="4" t="str">
        <f>IF(VLOOKUP($A89,'[12]0811'!$A$4:$O$150,8,FALSE)="",VLOOKUP($A89,'[12]0811'!$A$4:$O$150,12,FALSE),VLOOKUP($A89,'[12]0811'!$A$4:$O$150,8,FALSE))</f>
        <v/>
      </c>
    </row>
    <row r="90" spans="1:10" x14ac:dyDescent="0.25">
      <c r="A90" s="3" t="s">
        <v>67</v>
      </c>
      <c r="B90" s="5">
        <f>VLOOKUP($A90,'[13]0818'!$A$4:$O$321,4,FALSE)</f>
        <v>13.05</v>
      </c>
      <c r="C90" s="5">
        <f>VLOOKUP($A90,'[10]0808'!$A$4:$O$321,5,FALSE)</f>
        <v>14.59</v>
      </c>
      <c r="D90" s="5">
        <f>VLOOKUP($A90,'[13]0818'!$A$4:$O$321,15,FALSE)</f>
        <v>1.2914000000000001</v>
      </c>
      <c r="E90" s="4" t="str">
        <f>IF(VLOOKUP($A90,'[13]0818'!$A$4:$O$150,8,FALSE)="",VLOOKUP($A90,'[13]0818'!$A$4:$O$150,12,FALSE),VLOOKUP($A90,'[13]0818'!$A$4:$O$150,8,FALSE))</f>
        <v/>
      </c>
      <c r="F90" s="4" t="str">
        <f>IF(VLOOKUP($A90,'[9]0817'!$A$4:$O$150,8,FALSE)="",VLOOKUP($A90,'[9]0817'!$A$4:$O$150,12,FALSE),VLOOKUP($A90,'[9]0817'!$A$4:$O$150,8,FALSE))</f>
        <v/>
      </c>
      <c r="G90" s="4" t="str">
        <f>IF(VLOOKUP($A90,'[11]0816'!$A$4:$O$150,8,FALSE)="",VLOOKUP($A90,'[11]0816'!$A$4:$O$150,12,FALSE),VLOOKUP($A90,'[11]0816'!$A$4:$O$150,8,FALSE))</f>
        <v/>
      </c>
      <c r="J90" s="4" t="str">
        <f>IF(VLOOKUP($A90,'[12]0811'!$A$4:$O$150,8,FALSE)="",VLOOKUP($A90,'[12]0811'!$A$4:$O$150,12,FALSE),VLOOKUP($A90,'[12]0811'!$A$4:$O$150,8,FALSE))</f>
        <v/>
      </c>
    </row>
    <row r="91" spans="1:10" x14ac:dyDescent="0.25">
      <c r="A91" s="3" t="s">
        <v>68</v>
      </c>
      <c r="B91" s="5">
        <f>VLOOKUP($A91,'[13]0818'!$A$4:$O$321,4,FALSE)</f>
        <v>13.62</v>
      </c>
      <c r="C91" s="5">
        <f>VLOOKUP($A91,'[10]0808'!$A$4:$O$321,5,FALSE)</f>
        <v>15.12</v>
      </c>
      <c r="D91" s="5">
        <f>VLOOKUP($A91,'[13]0818'!$A$4:$O$321,15,FALSE)</f>
        <v>1.3048999999999999</v>
      </c>
      <c r="E91" s="4" t="str">
        <f>IF(VLOOKUP($A91,'[13]0818'!$A$4:$O$150,8,FALSE)="",VLOOKUP($A91,'[13]0818'!$A$4:$O$150,12,FALSE),VLOOKUP($A91,'[13]0818'!$A$4:$O$150,8,FALSE))</f>
        <v/>
      </c>
      <c r="F91" s="4" t="str">
        <f>IF(VLOOKUP($A91,'[9]0817'!$A$4:$O$150,8,FALSE)="",VLOOKUP($A91,'[9]0817'!$A$4:$O$150,12,FALSE),VLOOKUP($A91,'[9]0817'!$A$4:$O$150,8,FALSE))</f>
        <v/>
      </c>
      <c r="G91" s="4" t="str">
        <f>IF(VLOOKUP($A91,'[11]0816'!$A$4:$O$150,8,FALSE)="",VLOOKUP($A91,'[11]0816'!$A$4:$O$150,12,FALSE),VLOOKUP($A91,'[11]0816'!$A$4:$O$150,8,FALSE))</f>
        <v/>
      </c>
      <c r="J91" s="4" t="str">
        <f>IF(VLOOKUP($A91,'[12]0811'!$A$4:$O$150,8,FALSE)="",VLOOKUP($A91,'[12]0811'!$A$4:$O$150,12,FALSE),VLOOKUP($A91,'[12]0811'!$A$4:$O$150,8,FALSE))</f>
        <v/>
      </c>
    </row>
    <row r="92" spans="1:10" x14ac:dyDescent="0.25">
      <c r="A92" s="3" t="s">
        <v>22</v>
      </c>
      <c r="B92" s="5">
        <f>VLOOKUP($A92,'[13]0818'!$A$4:$O$321,4,FALSE)</f>
        <v>13.77</v>
      </c>
      <c r="C92" s="5">
        <f>VLOOKUP($A92,'[10]0808'!$A$4:$O$321,5,FALSE)</f>
        <v>16.47</v>
      </c>
      <c r="D92" s="5">
        <f>VLOOKUP($A92,'[13]0818'!$A$4:$O$321,15,FALSE)</f>
        <v>1.3258000000000001</v>
      </c>
      <c r="E92" s="4" t="str">
        <f>IF(VLOOKUP($A92,'[13]0818'!$A$4:$O$150,8,FALSE)="",VLOOKUP($A92,'[13]0818'!$A$4:$O$150,12,FALSE),VLOOKUP($A92,'[13]0818'!$A$4:$O$150,8,FALSE))</f>
        <v/>
      </c>
      <c r="F92" s="4" t="str">
        <f>IF(VLOOKUP($A92,'[9]0817'!$A$4:$O$150,8,FALSE)="",VLOOKUP($A92,'[9]0817'!$A$4:$O$150,12,FALSE),VLOOKUP($A92,'[9]0817'!$A$4:$O$150,8,FALSE))</f>
        <v/>
      </c>
      <c r="G92" s="4" t="str">
        <f>IF(VLOOKUP($A92,'[11]0816'!$A$4:$O$150,8,FALSE)="",VLOOKUP($A92,'[11]0816'!$A$4:$O$150,12,FALSE),VLOOKUP($A92,'[11]0816'!$A$4:$O$150,8,FALSE))</f>
        <v/>
      </c>
      <c r="J92" s="4" t="str">
        <f>IF(VLOOKUP($A92,'[12]0811'!$A$4:$O$150,8,FALSE)="",VLOOKUP($A92,'[12]0811'!$A$4:$O$150,12,FALSE),VLOOKUP($A92,'[12]0811'!$A$4:$O$150,8,FALSE))</f>
        <v/>
      </c>
    </row>
    <row r="93" spans="1:10" x14ac:dyDescent="0.25">
      <c r="A93" s="3" t="s">
        <v>241</v>
      </c>
      <c r="B93" s="5">
        <f>VLOOKUP($A93,'[13]0818'!$A$4:$O$321,4,FALSE)</f>
        <v>13.96</v>
      </c>
      <c r="C93" s="5">
        <f>VLOOKUP($A93,'[10]0808'!$A$4:$O$321,5,FALSE)</f>
        <v>15.47</v>
      </c>
      <c r="D93" s="5">
        <f>VLOOKUP($A93,'[13]0818'!$A$4:$O$321,15,FALSE)</f>
        <v>1.3129</v>
      </c>
      <c r="E93" s="4" t="str">
        <f>IF(VLOOKUP($A93,'[13]0818'!$A$4:$O$150,8,FALSE)="",VLOOKUP($A93,'[13]0818'!$A$4:$O$150,12,FALSE),VLOOKUP($A93,'[13]0818'!$A$4:$O$150,8,FALSE))</f>
        <v/>
      </c>
      <c r="F93" s="4" t="str">
        <f>IF(VLOOKUP($A93,'[9]0817'!$A$4:$O$150,8,FALSE)="",VLOOKUP($A93,'[9]0817'!$A$4:$O$150,12,FALSE),VLOOKUP($A93,'[9]0817'!$A$4:$O$150,8,FALSE))</f>
        <v/>
      </c>
      <c r="G93" s="4" t="str">
        <f>IF(VLOOKUP($A93,'[11]0816'!$A$4:$O$150,8,FALSE)="",VLOOKUP($A93,'[11]0816'!$A$4:$O$150,12,FALSE),VLOOKUP($A93,'[11]0816'!$A$4:$O$150,8,FALSE))</f>
        <v/>
      </c>
      <c r="J93" s="4" t="str">
        <f>IF(VLOOKUP($A93,'[12]0811'!$A$4:$O$150,8,FALSE)="",VLOOKUP($A93,'[12]0811'!$A$4:$O$150,12,FALSE),VLOOKUP($A93,'[12]0811'!$A$4:$O$150,8,FALSE))</f>
        <v/>
      </c>
    </row>
    <row r="94" spans="1:10" x14ac:dyDescent="0.25">
      <c r="A94" s="3" t="s">
        <v>242</v>
      </c>
      <c r="B94" s="5">
        <f>VLOOKUP($A94,'[13]0818'!$A$4:$O$321,4,FALSE)</f>
        <v>14.06</v>
      </c>
      <c r="C94" s="5">
        <f>VLOOKUP($A94,'[10]0808'!$A$4:$O$321,5,FALSE)</f>
        <v>15.57</v>
      </c>
      <c r="D94" s="5">
        <f>VLOOKUP($A94,'[13]0818'!$A$4:$O$321,15,FALSE)</f>
        <v>1.3149999999999999</v>
      </c>
      <c r="E94" s="4" t="str">
        <f>IF(VLOOKUP($A94,'[13]0818'!$A$4:$O$150,8,FALSE)="",VLOOKUP($A94,'[13]0818'!$A$4:$O$150,12,FALSE),VLOOKUP($A94,'[13]0818'!$A$4:$O$150,8,FALSE))</f>
        <v/>
      </c>
      <c r="F94" s="4" t="str">
        <f>IF(VLOOKUP($A94,'[9]0817'!$A$4:$O$150,8,FALSE)="",VLOOKUP($A94,'[9]0817'!$A$4:$O$150,12,FALSE),VLOOKUP($A94,'[9]0817'!$A$4:$O$150,8,FALSE))</f>
        <v/>
      </c>
      <c r="G94" s="4" t="str">
        <f>IF(VLOOKUP($A94,'[11]0816'!$A$4:$O$150,8,FALSE)="",VLOOKUP($A94,'[11]0816'!$A$4:$O$150,12,FALSE),VLOOKUP($A94,'[11]0816'!$A$4:$O$150,8,FALSE))</f>
        <v/>
      </c>
      <c r="J94" s="4" t="str">
        <f>IF(VLOOKUP($A94,'[12]0811'!$A$4:$O$150,8,FALSE)="",VLOOKUP($A94,'[12]0811'!$A$4:$O$150,12,FALSE),VLOOKUP($A94,'[12]0811'!$A$4:$O$150,8,FALSE))</f>
        <v/>
      </c>
    </row>
    <row r="95" spans="1:10" x14ac:dyDescent="0.25">
      <c r="A95" s="3" t="s">
        <v>46</v>
      </c>
      <c r="B95" s="5">
        <f>VLOOKUP($A95,'[13]0818'!$A$4:$O$321,4,FALSE)</f>
        <v>14.49</v>
      </c>
      <c r="C95" s="5">
        <f>VLOOKUP($A95,'[10]0808'!$A$4:$O$321,5,FALSE)</f>
        <v>17.39</v>
      </c>
      <c r="D95" s="5">
        <f>VLOOKUP($A95,'[13]0818'!$A$4:$O$321,15,FALSE)</f>
        <v>1.3466</v>
      </c>
      <c r="E95" s="4" t="str">
        <f>IF(VLOOKUP($A95,'[13]0818'!$A$4:$O$150,8,FALSE)="",VLOOKUP($A95,'[13]0818'!$A$4:$O$150,12,FALSE),VLOOKUP($A95,'[13]0818'!$A$4:$O$150,8,FALSE))</f>
        <v/>
      </c>
      <c r="F95" s="4">
        <f>IF(VLOOKUP($A95,'[9]0817'!$A$4:$O$150,8,FALSE)="",VLOOKUP($A95,'[9]0817'!$A$4:$O$150,12,FALSE),VLOOKUP($A95,'[9]0817'!$A$4:$O$150,8,FALSE))</f>
        <v>1.345</v>
      </c>
      <c r="G95" s="4" t="str">
        <f>IF(VLOOKUP($A95,'[11]0816'!$A$4:$O$150,8,FALSE)="",VLOOKUP($A95,'[11]0816'!$A$4:$O$150,12,FALSE),VLOOKUP($A95,'[11]0816'!$A$4:$O$150,8,FALSE))</f>
        <v/>
      </c>
      <c r="J95" s="4" t="str">
        <f>IF(VLOOKUP($A95,'[12]0811'!$A$4:$O$150,8,FALSE)="",VLOOKUP($A95,'[12]0811'!$A$4:$O$150,12,FALSE),VLOOKUP($A95,'[12]0811'!$A$4:$O$150,8,FALSE))</f>
        <v/>
      </c>
    </row>
    <row r="96" spans="1:10" x14ac:dyDescent="0.25">
      <c r="A96" s="3" t="s">
        <v>23</v>
      </c>
      <c r="B96" s="5">
        <f>VLOOKUP($A96,'[13]0818'!$A$4:$O$321,4,FALSE)</f>
        <v>14.75</v>
      </c>
      <c r="C96" s="5">
        <f>VLOOKUP($A96,'[10]0808'!$A$4:$O$321,5,FALSE)</f>
        <v>17.54</v>
      </c>
      <c r="D96" s="5">
        <f>VLOOKUP($A96,'[13]0818'!$A$4:$O$321,15,FALSE)</f>
        <v>1.351</v>
      </c>
      <c r="E96" s="4" t="str">
        <f>IF(VLOOKUP($A96,'[13]0818'!$A$4:$O$150,8,FALSE)="",VLOOKUP($A96,'[13]0818'!$A$4:$O$150,12,FALSE),VLOOKUP($A96,'[13]0818'!$A$4:$O$150,8,FALSE))</f>
        <v/>
      </c>
      <c r="F96" s="4" t="str">
        <f>IF(VLOOKUP($A96,'[9]0817'!$A$4:$O$150,8,FALSE)="",VLOOKUP($A96,'[9]0817'!$A$4:$O$150,12,FALSE),VLOOKUP($A96,'[9]0817'!$A$4:$O$150,8,FALSE))</f>
        <v/>
      </c>
      <c r="G96" s="4" t="str">
        <f>IF(VLOOKUP($A96,'[11]0816'!$A$4:$O$150,8,FALSE)="",VLOOKUP($A96,'[11]0816'!$A$4:$O$150,12,FALSE),VLOOKUP($A96,'[11]0816'!$A$4:$O$150,8,FALSE))</f>
        <v/>
      </c>
      <c r="J96" s="4" t="str">
        <f>IF(VLOOKUP($A96,'[12]0811'!$A$4:$O$150,8,FALSE)="",VLOOKUP($A96,'[12]0811'!$A$4:$O$150,12,FALSE),VLOOKUP($A96,'[12]0811'!$A$4:$O$150,8,FALSE))</f>
        <v/>
      </c>
    </row>
    <row r="97" spans="1:10" x14ac:dyDescent="0.25">
      <c r="A97" s="3" t="s">
        <v>40</v>
      </c>
      <c r="B97" s="5">
        <f>VLOOKUP($A97,'[13]0818'!$A$4:$O$321,4,FALSE)</f>
        <v>14.81</v>
      </c>
      <c r="C97" s="5">
        <f>VLOOKUP($A97,'[10]0808'!$A$4:$O$321,5,FALSE)</f>
        <v>16.07</v>
      </c>
      <c r="D97" s="5">
        <f>VLOOKUP($A97,'[13]0818'!$A$4:$O$321,15,FALSE)</f>
        <v>1.3301000000000001</v>
      </c>
      <c r="E97" s="4" t="str">
        <f>IF(VLOOKUP($A97,'[13]0818'!$A$4:$O$150,8,FALSE)="",VLOOKUP($A97,'[13]0818'!$A$4:$O$150,12,FALSE),VLOOKUP($A97,'[13]0818'!$A$4:$O$150,8,FALSE))</f>
        <v/>
      </c>
      <c r="F97" s="4" t="str">
        <f>IF(VLOOKUP($A97,'[9]0817'!$A$4:$O$150,8,FALSE)="",VLOOKUP($A97,'[9]0817'!$A$4:$O$150,12,FALSE),VLOOKUP($A97,'[9]0817'!$A$4:$O$150,8,FALSE))</f>
        <v/>
      </c>
      <c r="G97" s="4" t="str">
        <f>IF(VLOOKUP($A97,'[11]0816'!$A$4:$O$150,8,FALSE)="",VLOOKUP($A97,'[11]0816'!$A$4:$O$150,12,FALSE),VLOOKUP($A97,'[11]0816'!$A$4:$O$150,8,FALSE))</f>
        <v/>
      </c>
      <c r="J97" s="4" t="str">
        <f>IF(VLOOKUP($A97,'[12]0811'!$A$4:$O$150,8,FALSE)="",VLOOKUP($A97,'[12]0811'!$A$4:$O$150,12,FALSE),VLOOKUP($A97,'[12]0811'!$A$4:$O$150,8,FALSE))</f>
        <v/>
      </c>
    </row>
    <row r="98" spans="1:10" x14ac:dyDescent="0.25">
      <c r="A98" s="3" t="s">
        <v>47</v>
      </c>
      <c r="B98" s="5">
        <f>VLOOKUP($A98,'[13]0818'!$A$4:$O$321,4,FALSE)</f>
        <v>15.35</v>
      </c>
      <c r="C98" s="5">
        <f>VLOOKUP($A98,'[10]0808'!$A$4:$O$321,5,FALSE)</f>
        <v>18.03</v>
      </c>
      <c r="D98" s="5">
        <f>VLOOKUP($A98,'[13]0818'!$A$4:$O$321,15,FALSE)</f>
        <v>1.3631</v>
      </c>
      <c r="E98" s="4" t="str">
        <f>IF(VLOOKUP($A98,'[13]0818'!$A$4:$O$150,8,FALSE)="",VLOOKUP($A98,'[13]0818'!$A$4:$O$150,12,FALSE),VLOOKUP($A98,'[13]0818'!$A$4:$O$150,8,FALSE))</f>
        <v/>
      </c>
      <c r="F98" s="4" t="str">
        <f>IF(VLOOKUP($A98,'[9]0817'!$A$4:$O$150,8,FALSE)="",VLOOKUP($A98,'[9]0817'!$A$4:$O$150,12,FALSE),VLOOKUP($A98,'[9]0817'!$A$4:$O$150,8,FALSE))</f>
        <v/>
      </c>
      <c r="G98" s="4" t="str">
        <f>IF(VLOOKUP($A98,'[11]0816'!$A$4:$O$150,8,FALSE)="",VLOOKUP($A98,'[11]0816'!$A$4:$O$150,12,FALSE),VLOOKUP($A98,'[11]0816'!$A$4:$O$150,8,FALSE))</f>
        <v/>
      </c>
      <c r="J98" s="4" t="str">
        <f>IF(VLOOKUP($A98,'[12]0811'!$A$4:$O$150,8,FALSE)="",VLOOKUP($A98,'[12]0811'!$A$4:$O$150,12,FALSE),VLOOKUP($A98,'[12]0811'!$A$4:$O$150,8,FALSE))</f>
        <v/>
      </c>
    </row>
    <row r="99" spans="1:10" x14ac:dyDescent="0.25">
      <c r="A99" s="3" t="s">
        <v>88</v>
      </c>
      <c r="B99" s="5">
        <f>VLOOKUP($A99,'[13]0818'!$A$4:$O$321,4,FALSE)</f>
        <v>15.17</v>
      </c>
      <c r="C99" s="5">
        <f>VLOOKUP($A99,'[10]0808'!$A$4:$O$321,5,FALSE)</f>
        <v>16.440000000000001</v>
      </c>
      <c r="D99" s="5">
        <f>VLOOKUP($A99,'[13]0818'!$A$4:$O$321,15,FALSE)</f>
        <v>1.3384</v>
      </c>
      <c r="E99" s="4" t="str">
        <f>IF(VLOOKUP($A99,'[13]0818'!$A$4:$O$150,8,FALSE)="",VLOOKUP($A99,'[13]0818'!$A$4:$O$150,12,FALSE),VLOOKUP($A99,'[13]0818'!$A$4:$O$150,8,FALSE))</f>
        <v/>
      </c>
      <c r="F99" s="4" t="str">
        <f>IF(VLOOKUP($A99,'[9]0817'!$A$4:$O$150,8,FALSE)="",VLOOKUP($A99,'[9]0817'!$A$4:$O$150,12,FALSE),VLOOKUP($A99,'[9]0817'!$A$4:$O$150,8,FALSE))</f>
        <v/>
      </c>
      <c r="G99" s="4" t="str">
        <f>IF(VLOOKUP($A99,'[11]0816'!$A$4:$O$150,8,FALSE)="",VLOOKUP($A99,'[11]0816'!$A$4:$O$150,12,FALSE),VLOOKUP($A99,'[11]0816'!$A$4:$O$150,8,FALSE))</f>
        <v/>
      </c>
      <c r="J99" s="4" t="str">
        <f>IF(VLOOKUP($A99,'[12]0811'!$A$4:$O$150,8,FALSE)="",VLOOKUP($A99,'[12]0811'!$A$4:$O$150,12,FALSE),VLOOKUP($A99,'[12]0811'!$A$4:$O$150,8,FALSE))</f>
        <v/>
      </c>
    </row>
    <row r="100" spans="1:10" x14ac:dyDescent="0.25">
      <c r="A100" s="3" t="s">
        <v>91</v>
      </c>
      <c r="B100" s="5">
        <f>VLOOKUP($A100,'[13]0818'!$A$4:$O$321,4,FALSE)</f>
        <v>15.62</v>
      </c>
      <c r="C100" s="5">
        <f>VLOOKUP($A100,'[10]0808'!$A$4:$O$321,5,FALSE)</f>
        <v>16.579999999999998</v>
      </c>
      <c r="D100" s="5">
        <f>VLOOKUP($A100,'[13]0818'!$A$4:$O$321,15,FALSE)</f>
        <v>1.3443000000000001</v>
      </c>
      <c r="E100" s="4" t="str">
        <f>IF(VLOOKUP($A100,'[13]0818'!$A$4:$O$150,8,FALSE)="",VLOOKUP($A100,'[13]0818'!$A$4:$O$150,12,FALSE),VLOOKUP($A100,'[13]0818'!$A$4:$O$150,8,FALSE))</f>
        <v/>
      </c>
      <c r="F100" s="4" t="str">
        <f>IF(VLOOKUP($A100,'[9]0817'!$A$4:$O$150,8,FALSE)="",VLOOKUP($A100,'[9]0817'!$A$4:$O$150,12,FALSE),VLOOKUP($A100,'[9]0817'!$A$4:$O$150,8,FALSE))</f>
        <v/>
      </c>
      <c r="G100" s="4" t="str">
        <f>IF(VLOOKUP($A100,'[11]0816'!$A$4:$O$150,8,FALSE)="",VLOOKUP($A100,'[11]0816'!$A$4:$O$150,12,FALSE),VLOOKUP($A100,'[11]0816'!$A$4:$O$150,8,FALSE))</f>
        <v/>
      </c>
      <c r="J100" s="4" t="str">
        <f>IF(VLOOKUP($A100,'[12]0811'!$A$4:$O$150,8,FALSE)="",VLOOKUP($A100,'[12]0811'!$A$4:$O$150,12,FALSE),VLOOKUP($A100,'[12]0811'!$A$4:$O$150,8,FALSE))</f>
        <v/>
      </c>
    </row>
    <row r="101" spans="1:10" x14ac:dyDescent="0.25">
      <c r="A101" s="3" t="s">
        <v>24</v>
      </c>
      <c r="B101" s="5">
        <f>VLOOKUP($A101,'[13]0818'!$A$4:$O$321,4,FALSE)</f>
        <v>15.69</v>
      </c>
      <c r="C101" s="5">
        <f>VLOOKUP($A101,'[10]0808'!$A$4:$O$321,5,FALSE)</f>
        <v>18.510000000000002</v>
      </c>
      <c r="D101" s="5">
        <f>VLOOKUP($A101,'[13]0818'!$A$4:$O$321,15,FALSE)</f>
        <v>1.3749</v>
      </c>
      <c r="E101" s="4" t="str">
        <f>IF(VLOOKUP($A101,'[13]0818'!$A$4:$O$150,8,FALSE)="",VLOOKUP($A101,'[13]0818'!$A$4:$O$150,12,FALSE),VLOOKUP($A101,'[13]0818'!$A$4:$O$150,8,FALSE))</f>
        <v/>
      </c>
      <c r="F101" s="4" t="str">
        <f>IF(VLOOKUP($A101,'[9]0817'!$A$4:$O$150,8,FALSE)="",VLOOKUP($A101,'[9]0817'!$A$4:$O$150,12,FALSE),VLOOKUP($A101,'[9]0817'!$A$4:$O$150,8,FALSE))</f>
        <v/>
      </c>
      <c r="G101" s="4" t="str">
        <f>IF(VLOOKUP($A101,'[11]0816'!$A$4:$O$150,8,FALSE)="",VLOOKUP($A101,'[11]0816'!$A$4:$O$150,12,FALSE),VLOOKUP($A101,'[11]0816'!$A$4:$O$150,8,FALSE))</f>
        <v/>
      </c>
      <c r="J101" s="4" t="str">
        <f>IF(VLOOKUP($A101,'[12]0811'!$A$4:$O$150,8,FALSE)="",VLOOKUP($A101,'[12]0811'!$A$4:$O$150,12,FALSE),VLOOKUP($A101,'[12]0811'!$A$4:$O$150,8,FALSE))</f>
        <v/>
      </c>
    </row>
    <row r="102" spans="1:10" x14ac:dyDescent="0.25">
      <c r="A102" s="3" t="s">
        <v>69</v>
      </c>
      <c r="B102" s="5">
        <f>VLOOKUP($A102,'[13]0818'!$A$4:$O$321,4,FALSE)</f>
        <v>16.09</v>
      </c>
      <c r="C102" s="5">
        <f>VLOOKUP($A102,'[10]0808'!$A$4:$O$321,5,FALSE)</f>
        <v>19.98</v>
      </c>
      <c r="D102" s="5">
        <f>VLOOKUP($A102,'[13]0818'!$A$4:$O$321,15,FALSE)</f>
        <v>1.3982000000000001</v>
      </c>
      <c r="E102" s="4" t="str">
        <f>IF(VLOOKUP($A102,'[13]0818'!$A$4:$O$150,8,FALSE)="",VLOOKUP($A102,'[13]0818'!$A$4:$O$150,12,FALSE),VLOOKUP($A102,'[13]0818'!$A$4:$O$150,8,FALSE))</f>
        <v/>
      </c>
      <c r="F102" s="4">
        <f>IF(VLOOKUP($A102,'[9]0817'!$A$4:$O$150,8,FALSE)="",VLOOKUP($A102,'[9]0817'!$A$4:$O$150,12,FALSE),VLOOKUP($A102,'[9]0817'!$A$4:$O$150,8,FALSE))</f>
        <v>1.3856999999999999</v>
      </c>
      <c r="G102" s="4" t="str">
        <f>IF(VLOOKUP($A102,'[11]0816'!$A$4:$O$150,8,FALSE)="",VLOOKUP($A102,'[11]0816'!$A$4:$O$150,12,FALSE),VLOOKUP($A102,'[11]0816'!$A$4:$O$150,8,FALSE))</f>
        <v/>
      </c>
      <c r="J102" s="4" t="str">
        <f>IF(VLOOKUP($A102,'[12]0811'!$A$4:$O$150,8,FALSE)="",VLOOKUP($A102,'[12]0811'!$A$4:$O$150,12,FALSE),VLOOKUP($A102,'[12]0811'!$A$4:$O$150,8,FALSE))</f>
        <v/>
      </c>
    </row>
    <row r="103" spans="1:10" x14ac:dyDescent="0.25">
      <c r="A103" s="3" t="s">
        <v>309</v>
      </c>
      <c r="B103" s="5">
        <f>VLOOKUP($A103,'[13]0818'!$A$4:$O$321,4,FALSE)</f>
        <v>15.9</v>
      </c>
      <c r="C103" s="5">
        <f>VLOOKUP($A103,'[10]0808'!$A$4:$O$321,5,FALSE)</f>
        <v>19.14</v>
      </c>
      <c r="D103" s="5">
        <f>VLOOKUP($A103,'[13]0818'!$A$4:$O$321,15,FALSE)</f>
        <v>1.3873</v>
      </c>
      <c r="E103" s="4" t="str">
        <f>IF(VLOOKUP($A103,'[13]0818'!$A$4:$O$150,8,FALSE)="",VLOOKUP($A103,'[13]0818'!$A$4:$O$150,12,FALSE),VLOOKUP($A103,'[13]0818'!$A$4:$O$150,8,FALSE))</f>
        <v/>
      </c>
      <c r="F103" s="4" t="str">
        <f>IF(VLOOKUP($A103,'[9]0817'!$A$4:$O$150,8,FALSE)="",VLOOKUP($A103,'[9]0817'!$A$4:$O$150,12,FALSE),VLOOKUP($A103,'[9]0817'!$A$4:$O$150,8,FALSE))</f>
        <v/>
      </c>
      <c r="G103" s="4" t="str">
        <f>IF(VLOOKUP($A103,'[11]0816'!$A$4:$O$150,8,FALSE)="",VLOOKUP($A103,'[11]0816'!$A$4:$O$150,12,FALSE),VLOOKUP($A103,'[11]0816'!$A$4:$O$150,8,FALSE))</f>
        <v/>
      </c>
      <c r="J103" s="4">
        <f>IF(VLOOKUP($A103,'[12]0811'!$A$4:$O$150,8,FALSE)="",VLOOKUP($A103,'[12]0811'!$A$4:$O$150,12,FALSE),VLOOKUP($A103,'[12]0811'!$A$4:$O$150,8,FALSE))</f>
        <v>1.3560000000000001</v>
      </c>
    </row>
    <row r="104" spans="1:10" x14ac:dyDescent="0.25">
      <c r="A104" s="3" t="s">
        <v>95</v>
      </c>
      <c r="B104" s="5">
        <f>VLOOKUP($A104,'[13]0818'!$A$4:$O$321,4,FALSE)</f>
        <v>16.04</v>
      </c>
      <c r="C104" s="5">
        <f>VLOOKUP($A104,'[10]0808'!$A$4:$O$321,5,FALSE)</f>
        <v>17.11</v>
      </c>
      <c r="D104" s="5">
        <f>VLOOKUP($A104,'[13]0818'!$A$4:$O$321,15,FALSE)</f>
        <v>1.3568</v>
      </c>
      <c r="E104" s="4" t="str">
        <f>IF(VLOOKUP($A104,'[13]0818'!$A$4:$O$150,8,FALSE)="",VLOOKUP($A104,'[13]0818'!$A$4:$O$150,12,FALSE),VLOOKUP($A104,'[13]0818'!$A$4:$O$150,8,FALSE))</f>
        <v/>
      </c>
      <c r="F104" s="4" t="str">
        <f>IF(VLOOKUP($A104,'[9]0817'!$A$4:$O$150,8,FALSE)="",VLOOKUP($A104,'[9]0817'!$A$4:$O$150,12,FALSE),VLOOKUP($A104,'[9]0817'!$A$4:$O$150,8,FALSE))</f>
        <v/>
      </c>
      <c r="G104" s="4" t="str">
        <f>IF(VLOOKUP($A104,'[11]0816'!$A$4:$O$150,8,FALSE)="",VLOOKUP($A104,'[11]0816'!$A$4:$O$150,12,FALSE),VLOOKUP($A104,'[11]0816'!$A$4:$O$150,8,FALSE))</f>
        <v/>
      </c>
      <c r="J104" s="4" t="str">
        <f>IF(VLOOKUP($A104,'[12]0811'!$A$4:$O$150,8,FALSE)="",VLOOKUP($A104,'[12]0811'!$A$4:$O$150,12,FALSE),VLOOKUP($A104,'[12]0811'!$A$4:$O$150,8,FALSE))</f>
        <v/>
      </c>
    </row>
    <row r="105" spans="1:10" x14ac:dyDescent="0.25">
      <c r="A105" s="3" t="s">
        <v>70</v>
      </c>
      <c r="B105" s="5">
        <f>VLOOKUP($A105,'[13]0818'!$A$4:$O$321,4,FALSE)</f>
        <v>16.079999999999998</v>
      </c>
      <c r="C105" s="5">
        <f>VLOOKUP($A105,'[10]0808'!$A$4:$O$321,5,FALSE)</f>
        <v>19.04</v>
      </c>
      <c r="D105" s="5">
        <f>VLOOKUP($A105,'[13]0818'!$A$4:$O$321,15,FALSE)</f>
        <v>1.3877999999999999</v>
      </c>
      <c r="E105" s="4" t="str">
        <f>IF(VLOOKUP($A105,'[13]0818'!$A$4:$O$150,8,FALSE)="",VLOOKUP($A105,'[13]0818'!$A$4:$O$150,12,FALSE),VLOOKUP($A105,'[13]0818'!$A$4:$O$150,8,FALSE))</f>
        <v/>
      </c>
      <c r="F105" s="4">
        <f>IF(VLOOKUP($A105,'[9]0817'!$A$4:$O$150,8,FALSE)="",VLOOKUP($A105,'[9]0817'!$A$4:$O$150,12,FALSE),VLOOKUP($A105,'[9]0817'!$A$4:$O$150,8,FALSE))</f>
        <v>1.375</v>
      </c>
      <c r="G105" s="4" t="str">
        <f>IF(VLOOKUP($A105,'[11]0816'!$A$4:$O$150,8,FALSE)="",VLOOKUP($A105,'[11]0816'!$A$4:$O$150,12,FALSE),VLOOKUP($A105,'[11]0816'!$A$4:$O$150,8,FALSE))</f>
        <v/>
      </c>
      <c r="J105" s="4" t="str">
        <f>IF(VLOOKUP($A105,'[12]0811'!$A$4:$O$150,8,FALSE)="",VLOOKUP($A105,'[12]0811'!$A$4:$O$150,12,FALSE),VLOOKUP($A105,'[12]0811'!$A$4:$O$150,8,FALSE))</f>
        <v/>
      </c>
    </row>
    <row r="106" spans="1:10" x14ac:dyDescent="0.25">
      <c r="A106" s="3" t="s">
        <v>101</v>
      </c>
      <c r="B106" s="5">
        <f>VLOOKUP($A106,'[13]0818'!$A$4:$O$321,4,FALSE)</f>
        <v>16.399999999999999</v>
      </c>
      <c r="C106" s="5">
        <f>VLOOKUP($A106,'[10]0808'!$A$4:$O$321,5,FALSE)</f>
        <v>17.47</v>
      </c>
      <c r="D106" s="5">
        <f>VLOOKUP($A106,'[13]0818'!$A$4:$O$321,15,FALSE)</f>
        <v>1.3653999999999999</v>
      </c>
      <c r="E106" s="4" t="str">
        <f>IF(VLOOKUP($A106,'[13]0818'!$A$4:$O$150,8,FALSE)="",VLOOKUP($A106,'[13]0818'!$A$4:$O$150,12,FALSE),VLOOKUP($A106,'[13]0818'!$A$4:$O$150,8,FALSE))</f>
        <v/>
      </c>
      <c r="F106" s="4" t="str">
        <f>IF(VLOOKUP($A106,'[9]0817'!$A$4:$O$150,8,FALSE)="",VLOOKUP($A106,'[9]0817'!$A$4:$O$150,12,FALSE),VLOOKUP($A106,'[9]0817'!$A$4:$O$150,8,FALSE))</f>
        <v/>
      </c>
      <c r="G106" s="4" t="str">
        <f>IF(VLOOKUP($A106,'[11]0816'!$A$4:$O$150,8,FALSE)="",VLOOKUP($A106,'[11]0816'!$A$4:$O$150,12,FALSE),VLOOKUP($A106,'[11]0816'!$A$4:$O$150,8,FALSE))</f>
        <v/>
      </c>
      <c r="J106" s="4" t="str">
        <f>IF(VLOOKUP($A106,'[12]0811'!$A$4:$O$150,8,FALSE)="",VLOOKUP($A106,'[12]0811'!$A$4:$O$150,12,FALSE),VLOOKUP($A106,'[12]0811'!$A$4:$O$150,8,FALSE))</f>
        <v/>
      </c>
    </row>
    <row r="107" spans="1:10" x14ac:dyDescent="0.25">
      <c r="A107" s="3" t="s">
        <v>41</v>
      </c>
      <c r="B107" s="5">
        <f>VLOOKUP($A107,'[13]0818'!$A$4:$O$321,4,FALSE)</f>
        <v>16.440000000000001</v>
      </c>
      <c r="C107" s="5">
        <f>VLOOKUP($A107,'[10]0808'!$A$4:$O$321,5,FALSE)</f>
        <v>19.55</v>
      </c>
      <c r="D107" s="5">
        <f>VLOOKUP($A107,'[13]0818'!$A$4:$O$321,15,FALSE)</f>
        <v>1.3975</v>
      </c>
      <c r="E107" s="4" t="str">
        <f>IF(VLOOKUP($A107,'[13]0818'!$A$4:$O$150,8,FALSE)="",VLOOKUP($A107,'[13]0818'!$A$4:$O$150,12,FALSE),VLOOKUP($A107,'[13]0818'!$A$4:$O$150,8,FALSE))</f>
        <v/>
      </c>
      <c r="F107" s="4" t="str">
        <f>IF(VLOOKUP($A107,'[9]0817'!$A$4:$O$150,8,FALSE)="",VLOOKUP($A107,'[9]0817'!$A$4:$O$150,12,FALSE),VLOOKUP($A107,'[9]0817'!$A$4:$O$150,8,FALSE))</f>
        <v/>
      </c>
      <c r="G107" s="4" t="str">
        <f>IF(VLOOKUP($A107,'[11]0816'!$A$4:$O$150,8,FALSE)="",VLOOKUP($A107,'[11]0816'!$A$4:$O$150,12,FALSE),VLOOKUP($A107,'[11]0816'!$A$4:$O$150,8,FALSE))</f>
        <v/>
      </c>
      <c r="J107" s="4">
        <f>IF(VLOOKUP($A107,'[12]0811'!$A$4:$O$150,8,FALSE)="",VLOOKUP($A107,'[12]0811'!$A$4:$O$150,12,FALSE),VLOOKUP($A107,'[12]0811'!$A$4:$O$150,8,FALSE))</f>
        <v>1.3654999999999999</v>
      </c>
    </row>
    <row r="108" spans="1:10" x14ac:dyDescent="0.25">
      <c r="A108" s="3" t="s">
        <v>99</v>
      </c>
      <c r="B108" s="5">
        <f>VLOOKUP($A108,'[13]0818'!$A$4:$O$321,4,FALSE)</f>
        <v>16.5</v>
      </c>
      <c r="C108" s="5">
        <f>VLOOKUP($A108,'[10]0808'!$A$4:$O$321,5,FALSE)</f>
        <v>17.39</v>
      </c>
      <c r="D108" s="5">
        <f>VLOOKUP($A108,'[13]0818'!$A$4:$O$321,15,FALSE)</f>
        <v>1.3649</v>
      </c>
      <c r="E108" s="4" t="str">
        <f>IF(VLOOKUP($A108,'[13]0818'!$A$4:$O$150,8,FALSE)="",VLOOKUP($A108,'[13]0818'!$A$4:$O$150,12,FALSE),VLOOKUP($A108,'[13]0818'!$A$4:$O$150,8,FALSE))</f>
        <v/>
      </c>
      <c r="F108" s="4" t="str">
        <f>IF(VLOOKUP($A108,'[9]0817'!$A$4:$O$150,8,FALSE)="",VLOOKUP($A108,'[9]0817'!$A$4:$O$150,12,FALSE),VLOOKUP($A108,'[9]0817'!$A$4:$O$150,8,FALSE))</f>
        <v/>
      </c>
      <c r="G108" s="4" t="str">
        <f>IF(VLOOKUP($A108,'[11]0816'!$A$4:$O$150,8,FALSE)="",VLOOKUP($A108,'[11]0816'!$A$4:$O$150,12,FALSE),VLOOKUP($A108,'[11]0816'!$A$4:$O$150,8,FALSE))</f>
        <v/>
      </c>
      <c r="J108" s="4" t="str">
        <f>IF(VLOOKUP($A108,'[12]0811'!$A$4:$O$150,8,FALSE)="",VLOOKUP($A108,'[12]0811'!$A$4:$O$150,12,FALSE),VLOOKUP($A108,'[12]0811'!$A$4:$O$150,8,FALSE))</f>
        <v/>
      </c>
    </row>
    <row r="109" spans="1:10" x14ac:dyDescent="0.25">
      <c r="A109" s="3" t="s">
        <v>256</v>
      </c>
      <c r="B109" s="5">
        <f>VLOOKUP($A109,'[13]0818'!$A$4:$O$321,4,FALSE)</f>
        <v>16.510000000000002</v>
      </c>
      <c r="C109" s="5">
        <f>VLOOKUP($A109,'[10]0808'!$A$4:$O$321,5,FALSE)</f>
        <v>18.440000000000001</v>
      </c>
      <c r="D109" s="5">
        <f>VLOOKUP($A109,'[13]0818'!$A$4:$O$321,15,FALSE)</f>
        <v>1.3818999999999999</v>
      </c>
      <c r="E109" s="4" t="str">
        <f>IF(VLOOKUP($A109,'[13]0818'!$A$4:$O$150,8,FALSE)="",VLOOKUP($A109,'[13]0818'!$A$4:$O$150,12,FALSE),VLOOKUP($A109,'[13]0818'!$A$4:$O$150,8,FALSE))</f>
        <v/>
      </c>
      <c r="F109" s="4" t="str">
        <f>IF(VLOOKUP($A109,'[9]0817'!$A$4:$O$150,8,FALSE)="",VLOOKUP($A109,'[9]0817'!$A$4:$O$150,12,FALSE),VLOOKUP($A109,'[9]0817'!$A$4:$O$150,8,FALSE))</f>
        <v/>
      </c>
      <c r="G109" s="4" t="str">
        <f>IF(VLOOKUP($A109,'[11]0816'!$A$4:$O$150,8,FALSE)="",VLOOKUP($A109,'[11]0816'!$A$4:$O$150,12,FALSE),VLOOKUP($A109,'[11]0816'!$A$4:$O$150,8,FALSE))</f>
        <v/>
      </c>
      <c r="J109" s="4" t="str">
        <f>IF(VLOOKUP($A109,'[12]0811'!$A$4:$O$150,8,FALSE)="",VLOOKUP($A109,'[12]0811'!$A$4:$O$150,12,FALSE),VLOOKUP($A109,'[12]0811'!$A$4:$O$150,8,FALSE))</f>
        <v/>
      </c>
    </row>
    <row r="110" spans="1:10" x14ac:dyDescent="0.25">
      <c r="A110" s="3" t="s">
        <v>214</v>
      </c>
      <c r="B110" s="5">
        <f>VLOOKUP($A110,'[13]0818'!$A$4:$O$321,4,FALSE)</f>
        <v>16.52</v>
      </c>
      <c r="C110" s="5">
        <f>VLOOKUP($A110,'[10]0808'!$A$4:$O$321,5,FALSE)</f>
        <v>17.78</v>
      </c>
      <c r="D110" s="5">
        <f>VLOOKUP($A110,'[13]0818'!$A$4:$O$321,15,FALSE)</f>
        <v>1.3712</v>
      </c>
      <c r="E110" s="4" t="str">
        <f>IF(VLOOKUP($A110,'[13]0818'!$A$4:$O$150,8,FALSE)="",VLOOKUP($A110,'[13]0818'!$A$4:$O$150,12,FALSE),VLOOKUP($A110,'[13]0818'!$A$4:$O$150,8,FALSE))</f>
        <v/>
      </c>
      <c r="F110" s="4" t="str">
        <f>IF(VLOOKUP($A110,'[9]0817'!$A$4:$O$150,8,FALSE)="",VLOOKUP($A110,'[9]0817'!$A$4:$O$150,12,FALSE),VLOOKUP($A110,'[9]0817'!$A$4:$O$150,8,FALSE))</f>
        <v/>
      </c>
      <c r="G110" s="4" t="str">
        <f>IF(VLOOKUP($A110,'[11]0816'!$A$4:$O$150,8,FALSE)="",VLOOKUP($A110,'[11]0816'!$A$4:$O$150,12,FALSE),VLOOKUP($A110,'[11]0816'!$A$4:$O$150,8,FALSE))</f>
        <v/>
      </c>
      <c r="J110" s="4" t="str">
        <f>IF(VLOOKUP($A110,'[12]0811'!$A$4:$O$150,8,FALSE)="",VLOOKUP($A110,'[12]0811'!$A$4:$O$150,12,FALSE),VLOOKUP($A110,'[12]0811'!$A$4:$O$150,8,FALSE))</f>
        <v/>
      </c>
    </row>
    <row r="111" spans="1:10" x14ac:dyDescent="0.25">
      <c r="A111" s="3" t="s">
        <v>72</v>
      </c>
      <c r="B111" s="5">
        <f>VLOOKUP($A111,'[13]0818'!$A$4:$O$321,4,FALSE)</f>
        <v>16.989999999999998</v>
      </c>
      <c r="C111" s="5">
        <f>VLOOKUP($A111,'[10]0808'!$A$4:$O$321,5,FALSE)</f>
        <v>20.99</v>
      </c>
      <c r="D111" s="5">
        <f>VLOOKUP($A111,'[13]0818'!$A$4:$O$321,15,FALSE)</f>
        <v>1.4221999999999999</v>
      </c>
      <c r="E111" s="4" t="str">
        <f>IF(VLOOKUP($A111,'[13]0818'!$A$4:$O$150,8,FALSE)="",VLOOKUP($A111,'[13]0818'!$A$4:$O$150,12,FALSE),VLOOKUP($A111,'[13]0818'!$A$4:$O$150,8,FALSE))</f>
        <v/>
      </c>
      <c r="F111" s="4" t="str">
        <f>IF(VLOOKUP($A111,'[9]0817'!$A$4:$O$150,8,FALSE)="",VLOOKUP($A111,'[9]0817'!$A$4:$O$150,12,FALSE),VLOOKUP($A111,'[9]0817'!$A$4:$O$150,8,FALSE))</f>
        <v/>
      </c>
      <c r="G111" s="4" t="str">
        <f>IF(VLOOKUP($A111,'[11]0816'!$A$4:$O$150,8,FALSE)="",VLOOKUP($A111,'[11]0816'!$A$4:$O$150,12,FALSE),VLOOKUP($A111,'[11]0816'!$A$4:$O$150,8,FALSE))</f>
        <v/>
      </c>
      <c r="J111" s="4" t="str">
        <f>IF(VLOOKUP($A111,'[12]0811'!$A$4:$O$150,8,FALSE)="",VLOOKUP($A111,'[12]0811'!$A$4:$O$150,12,FALSE),VLOOKUP($A111,'[12]0811'!$A$4:$O$150,8,FALSE))</f>
        <v/>
      </c>
    </row>
    <row r="112" spans="1:10" x14ac:dyDescent="0.25">
      <c r="A112" s="3" t="s">
        <v>48</v>
      </c>
      <c r="B112" s="5">
        <f>VLOOKUP($A112,'[13]0818'!$A$4:$O$321,4,FALSE)</f>
        <v>16.7</v>
      </c>
      <c r="C112" s="5">
        <f>VLOOKUP($A112,'[10]0808'!$A$4:$O$321,5,FALSE)</f>
        <v>20.55</v>
      </c>
      <c r="D112" s="5">
        <f>VLOOKUP($A112,'[13]0818'!$A$4:$O$321,15,FALSE)</f>
        <v>1.4145000000000001</v>
      </c>
      <c r="E112" s="4" t="str">
        <f>IF(VLOOKUP($A112,'[13]0818'!$A$4:$O$150,8,FALSE)="",VLOOKUP($A112,'[13]0818'!$A$4:$O$150,12,FALSE),VLOOKUP($A112,'[13]0818'!$A$4:$O$150,8,FALSE))</f>
        <v/>
      </c>
      <c r="F112" s="4" t="str">
        <f>IF(VLOOKUP($A112,'[9]0817'!$A$4:$O$150,8,FALSE)="",VLOOKUP($A112,'[9]0817'!$A$4:$O$150,12,FALSE),VLOOKUP($A112,'[9]0817'!$A$4:$O$150,8,FALSE))</f>
        <v/>
      </c>
      <c r="G112" s="4" t="str">
        <f>IF(VLOOKUP($A112,'[11]0816'!$A$4:$O$150,8,FALSE)="",VLOOKUP($A112,'[11]0816'!$A$4:$O$150,12,FALSE),VLOOKUP($A112,'[11]0816'!$A$4:$O$150,8,FALSE))</f>
        <v/>
      </c>
      <c r="J112" s="4" t="str">
        <f>IF(VLOOKUP($A112,'[12]0811'!$A$4:$O$150,8,FALSE)="",VLOOKUP($A112,'[12]0811'!$A$4:$O$150,12,FALSE),VLOOKUP($A112,'[12]0811'!$A$4:$O$150,8,FALSE))</f>
        <v/>
      </c>
    </row>
    <row r="113" spans="1:10" x14ac:dyDescent="0.25">
      <c r="A113" s="3" t="s">
        <v>259</v>
      </c>
      <c r="B113" s="5">
        <f>VLOOKUP($A113,'[13]0818'!$A$4:$O$321,4,FALSE)</f>
        <v>16.809999999999999</v>
      </c>
      <c r="C113" s="5">
        <f>VLOOKUP($A113,'[10]0808'!$A$4:$O$321,5,FALSE)</f>
        <v>18.57</v>
      </c>
      <c r="D113" s="5">
        <f>VLOOKUP($A113,'[13]0818'!$A$4:$O$321,15,FALSE)</f>
        <v>1.3863000000000001</v>
      </c>
      <c r="E113" s="4" t="str">
        <f>IF(VLOOKUP($A113,'[13]0818'!$A$4:$O$150,8,FALSE)="",VLOOKUP($A113,'[13]0818'!$A$4:$O$150,12,FALSE),VLOOKUP($A113,'[13]0818'!$A$4:$O$150,8,FALSE))</f>
        <v/>
      </c>
      <c r="F113" s="4" t="str">
        <f>IF(VLOOKUP($A113,'[9]0817'!$A$4:$O$150,8,FALSE)="",VLOOKUP($A113,'[9]0817'!$A$4:$O$150,12,FALSE),VLOOKUP($A113,'[9]0817'!$A$4:$O$150,8,FALSE))</f>
        <v/>
      </c>
      <c r="G113" s="4" t="str">
        <f>IF(VLOOKUP($A113,'[11]0816'!$A$4:$O$150,8,FALSE)="",VLOOKUP($A113,'[11]0816'!$A$4:$O$150,12,FALSE),VLOOKUP($A113,'[11]0816'!$A$4:$O$150,8,FALSE))</f>
        <v/>
      </c>
      <c r="J113" s="4" t="str">
        <f>IF(VLOOKUP($A113,'[12]0811'!$A$4:$O$150,8,FALSE)="",VLOOKUP($A113,'[12]0811'!$A$4:$O$150,12,FALSE),VLOOKUP($A113,'[12]0811'!$A$4:$O$150,8,FALSE))</f>
        <v/>
      </c>
    </row>
    <row r="114" spans="1:10" ht="17.25" customHeight="1" x14ac:dyDescent="0.25">
      <c r="A114" s="3" t="s">
        <v>239</v>
      </c>
      <c r="B114" s="5">
        <f>VLOOKUP($A114,'[13]0818'!$A$4:$O$321,4,FALSE)</f>
        <v>16.87</v>
      </c>
      <c r="C114" s="5">
        <f>VLOOKUP($A114,'[10]0808'!$A$4:$O$321,5,FALSE)</f>
        <v>18.260000000000002</v>
      </c>
      <c r="D114" s="5">
        <f>VLOOKUP($A114,'[13]0818'!$A$4:$O$321,15,FALSE)</f>
        <v>1.3824000000000001</v>
      </c>
      <c r="E114" s="4" t="str">
        <f>IF(VLOOKUP($A114,'[13]0818'!$A$4:$O$150,8,FALSE)="",VLOOKUP($A114,'[13]0818'!$A$4:$O$150,12,FALSE),VLOOKUP($A114,'[13]0818'!$A$4:$O$150,8,FALSE))</f>
        <v/>
      </c>
      <c r="F114" s="4" t="str">
        <f>IF(VLOOKUP($A114,'[9]0817'!$A$4:$O$150,8,FALSE)="",VLOOKUP($A114,'[9]0817'!$A$4:$O$150,12,FALSE),VLOOKUP($A114,'[9]0817'!$A$4:$O$150,8,FALSE))</f>
        <v/>
      </c>
      <c r="G114" s="4" t="str">
        <f>IF(VLOOKUP($A114,'[11]0816'!$A$4:$O$150,8,FALSE)="",VLOOKUP($A114,'[11]0816'!$A$4:$O$150,12,FALSE),VLOOKUP($A114,'[11]0816'!$A$4:$O$150,8,FALSE))</f>
        <v/>
      </c>
      <c r="J114" s="4" t="str">
        <f>IF(VLOOKUP($A114,'[12]0811'!$A$4:$O$150,8,FALSE)="",VLOOKUP($A114,'[12]0811'!$A$4:$O$150,12,FALSE),VLOOKUP($A114,'[12]0811'!$A$4:$O$150,8,FALSE))</f>
        <v/>
      </c>
    </row>
    <row r="115" spans="1:10" x14ac:dyDescent="0.25">
      <c r="A115" s="3" t="s">
        <v>341</v>
      </c>
      <c r="B115" s="5">
        <f>VLOOKUP($A115,'[13]0818'!$A$4:$O$321,4,FALSE)</f>
        <v>16.91</v>
      </c>
      <c r="C115" s="5">
        <f>VLOOKUP($A115,'[10]0808'!$A$4:$O$321,5,FALSE)</f>
        <v>19.559999999999999</v>
      </c>
      <c r="D115" s="5">
        <f>VLOOKUP($A115,'[13]0818'!$A$4:$O$321,15,FALSE)</f>
        <v>1.4026000000000001</v>
      </c>
      <c r="E115" s="4">
        <f>IF(VLOOKUP($A115,'[13]0818'!$A$4:$O$150,8,FALSE)="",VLOOKUP($A115,'[13]0818'!$A$4:$O$150,12,FALSE),VLOOKUP($A115,'[13]0818'!$A$4:$O$150,8,FALSE))</f>
        <v>1.3859999999999999</v>
      </c>
      <c r="F115" s="4">
        <f>IF(VLOOKUP($A115,'[9]0817'!$A$4:$O$150,8,FALSE)="",VLOOKUP($A115,'[9]0817'!$A$4:$O$150,12,FALSE),VLOOKUP($A115,'[9]0817'!$A$4:$O$150,8,FALSE))</f>
        <v>1.381</v>
      </c>
      <c r="G115" s="4" t="str">
        <f>IF(VLOOKUP($A115,'[11]0816'!$A$4:$O$150,8,FALSE)="",VLOOKUP($A115,'[11]0816'!$A$4:$O$150,12,FALSE),VLOOKUP($A115,'[11]0816'!$A$4:$O$150,8,FALSE))</f>
        <v/>
      </c>
      <c r="H115" s="5">
        <v>1.3734999999999999</v>
      </c>
      <c r="J115" s="4">
        <f>IF(VLOOKUP($A115,'[12]0811'!$A$4:$O$150,8,FALSE)="",VLOOKUP($A115,'[12]0811'!$A$4:$O$150,12,FALSE),VLOOKUP($A115,'[12]0811'!$A$4:$O$150,8,FALSE))</f>
        <v>1.3660000000000001</v>
      </c>
    </row>
    <row r="116" spans="1:10" x14ac:dyDescent="0.25">
      <c r="A116" s="3" t="s">
        <v>236</v>
      </c>
      <c r="B116" s="5">
        <f>VLOOKUP($A116,'[13]0818'!$A$4:$O$321,4,FALSE)</f>
        <v>16.95</v>
      </c>
      <c r="C116" s="5">
        <f>VLOOKUP($A116,'[10]0808'!$A$4:$O$321,5,FALSE)</f>
        <v>18.14</v>
      </c>
      <c r="D116" s="5">
        <f>VLOOKUP($A116,'[13]0818'!$A$4:$O$321,15,FALSE)</f>
        <v>1.3812</v>
      </c>
      <c r="E116" s="4" t="str">
        <f>IF(VLOOKUP($A116,'[13]0818'!$A$4:$O$150,8,FALSE)="",VLOOKUP($A116,'[13]0818'!$A$4:$O$150,12,FALSE),VLOOKUP($A116,'[13]0818'!$A$4:$O$150,8,FALSE))</f>
        <v/>
      </c>
      <c r="F116" s="4" t="str">
        <f>IF(VLOOKUP($A116,'[9]0817'!$A$4:$O$150,8,FALSE)="",VLOOKUP($A116,'[9]0817'!$A$4:$O$150,12,FALSE),VLOOKUP($A116,'[9]0817'!$A$4:$O$150,8,FALSE))</f>
        <v/>
      </c>
      <c r="G116" s="4" t="str">
        <f>IF(VLOOKUP($A116,'[11]0816'!$A$4:$O$150,8,FALSE)="",VLOOKUP($A116,'[11]0816'!$A$4:$O$150,12,FALSE),VLOOKUP($A116,'[11]0816'!$A$4:$O$150,8,FALSE))</f>
        <v/>
      </c>
      <c r="J116" s="4" t="str">
        <f>IF(VLOOKUP($A116,'[12]0811'!$A$4:$O$150,8,FALSE)="",VLOOKUP($A116,'[12]0811'!$A$4:$O$150,12,FALSE),VLOOKUP($A116,'[12]0811'!$A$4:$O$150,8,FALSE))</f>
        <v/>
      </c>
    </row>
    <row r="117" spans="1:10" x14ac:dyDescent="0.25">
      <c r="A117" s="3" t="s">
        <v>71</v>
      </c>
      <c r="B117" s="5">
        <f>VLOOKUP($A117,'[13]0818'!$A$4:$O$321,4,FALSE)</f>
        <v>16.97</v>
      </c>
      <c r="C117" s="5">
        <f>VLOOKUP($A117,'[10]0808'!$A$4:$O$321,5,FALSE)</f>
        <v>21.3</v>
      </c>
      <c r="D117" s="5">
        <f>VLOOKUP($A117,'[13]0818'!$A$4:$O$321,15,FALSE)</f>
        <v>1.4287000000000001</v>
      </c>
      <c r="E117" s="4" t="str">
        <f>IF(VLOOKUP($A117,'[13]0818'!$A$4:$O$150,8,FALSE)="",VLOOKUP($A117,'[13]0818'!$A$4:$O$150,12,FALSE),VLOOKUP($A117,'[13]0818'!$A$4:$O$150,8,FALSE))</f>
        <v/>
      </c>
      <c r="F117" s="4" t="str">
        <f>IF(VLOOKUP($A117,'[9]0817'!$A$4:$O$150,8,FALSE)="",VLOOKUP($A117,'[9]0817'!$A$4:$O$150,12,FALSE),VLOOKUP($A117,'[9]0817'!$A$4:$O$150,8,FALSE))</f>
        <v/>
      </c>
      <c r="G117" s="4" t="str">
        <f>IF(VLOOKUP($A117,'[11]0816'!$A$4:$O$150,8,FALSE)="",VLOOKUP($A117,'[11]0816'!$A$4:$O$150,12,FALSE),VLOOKUP($A117,'[11]0816'!$A$4:$O$150,8,FALSE))</f>
        <v/>
      </c>
      <c r="J117" s="4" t="str">
        <f>IF(VLOOKUP($A117,'[12]0811'!$A$4:$O$150,8,FALSE)="",VLOOKUP($A117,'[12]0811'!$A$4:$O$150,12,FALSE),VLOOKUP($A117,'[12]0811'!$A$4:$O$150,8,FALSE))</f>
        <v/>
      </c>
    </row>
    <row r="118" spans="1:10" x14ac:dyDescent="0.25">
      <c r="A118" s="3" t="s">
        <v>55</v>
      </c>
      <c r="B118" s="5">
        <f>VLOOKUP($A118,'[13]0818'!$A$4:$O$321,4,FALSE)</f>
        <v>17.04</v>
      </c>
      <c r="C118" s="5">
        <f>VLOOKUP($A118,'[10]0808'!$A$4:$O$321,5,FALSE)</f>
        <v>21.51</v>
      </c>
      <c r="D118" s="5">
        <f>VLOOKUP($A118,'[13]0818'!$A$4:$O$321,15,FALSE)</f>
        <v>1.4316</v>
      </c>
      <c r="E118" s="4" t="str">
        <f>IF(VLOOKUP($A118,'[13]0818'!$A$4:$O$150,8,FALSE)="",VLOOKUP($A118,'[13]0818'!$A$4:$O$150,12,FALSE),VLOOKUP($A118,'[13]0818'!$A$4:$O$150,8,FALSE))</f>
        <v/>
      </c>
      <c r="F118" s="4" t="str">
        <f>IF(VLOOKUP($A118,'[9]0817'!$A$4:$O$150,8,FALSE)="",VLOOKUP($A118,'[9]0817'!$A$4:$O$150,12,FALSE),VLOOKUP($A118,'[9]0817'!$A$4:$O$150,8,FALSE))</f>
        <v/>
      </c>
      <c r="G118" s="4" t="str">
        <f>IF(VLOOKUP($A118,'[11]0816'!$A$4:$O$150,8,FALSE)="",VLOOKUP($A118,'[11]0816'!$A$4:$O$150,12,FALSE),VLOOKUP($A118,'[11]0816'!$A$4:$O$150,8,FALSE))</f>
        <v/>
      </c>
      <c r="J118" s="4" t="str">
        <f>IF(VLOOKUP($A118,'[12]0811'!$A$4:$O$150,8,FALSE)="",VLOOKUP($A118,'[12]0811'!$A$4:$O$150,12,FALSE),VLOOKUP($A118,'[12]0811'!$A$4:$O$150,8,FALSE))</f>
        <v/>
      </c>
    </row>
    <row r="119" spans="1:10" x14ac:dyDescent="0.25">
      <c r="A119" s="3" t="s">
        <v>73</v>
      </c>
      <c r="B119" s="5">
        <f>VLOOKUP($A119,'[13]0818'!$A$4:$O$321,4,FALSE)</f>
        <v>17.09</v>
      </c>
      <c r="C119" s="5">
        <f>VLOOKUP($A119,'[10]0808'!$A$4:$O$321,5,FALSE)</f>
        <v>20.8</v>
      </c>
      <c r="D119" s="5">
        <f>VLOOKUP($A119,'[13]0818'!$A$4:$O$321,15,FALSE)</f>
        <v>1.4214</v>
      </c>
      <c r="E119" s="4" t="str">
        <f>IF(VLOOKUP($A119,'[13]0818'!$A$4:$O$150,8,FALSE)="",VLOOKUP($A119,'[13]0818'!$A$4:$O$150,12,FALSE),VLOOKUP($A119,'[13]0818'!$A$4:$O$150,8,FALSE))</f>
        <v/>
      </c>
      <c r="F119" s="4" t="str">
        <f>IF(VLOOKUP($A119,'[9]0817'!$A$4:$O$150,8,FALSE)="",VLOOKUP($A119,'[9]0817'!$A$4:$O$150,12,FALSE),VLOOKUP($A119,'[9]0817'!$A$4:$O$150,8,FALSE))</f>
        <v/>
      </c>
      <c r="G119" s="4" t="str">
        <f>IF(VLOOKUP($A119,'[11]0816'!$A$4:$O$150,8,FALSE)="",VLOOKUP($A119,'[11]0816'!$A$4:$O$150,12,FALSE),VLOOKUP($A119,'[11]0816'!$A$4:$O$150,8,FALSE))</f>
        <v/>
      </c>
      <c r="J119" s="4" t="str">
        <f>IF(VLOOKUP($A119,'[12]0811'!$A$4:$O$150,8,FALSE)="",VLOOKUP($A119,'[12]0811'!$A$4:$O$150,12,FALSE),VLOOKUP($A119,'[12]0811'!$A$4:$O$150,8,FALSE))</f>
        <v/>
      </c>
    </row>
    <row r="120" spans="1:10" x14ac:dyDescent="0.25">
      <c r="A120" s="3" t="s">
        <v>386</v>
      </c>
      <c r="B120" s="5">
        <f>VLOOKUP($A120,'[13]0818'!$A$4:$O$321,4,FALSE)</f>
        <v>17.37</v>
      </c>
      <c r="C120" s="5">
        <f>VLOOKUP($A120,'[10]0808'!$A$4:$O$321,5,FALSE)</f>
        <v>20</v>
      </c>
      <c r="D120" s="5">
        <f>VLOOKUP($A120,'[13]0818'!$A$4:$O$321,15,FALSE)</f>
        <v>1.4131</v>
      </c>
      <c r="E120" s="4" t="str">
        <f>IF(VLOOKUP($A120,'[13]0818'!$A$4:$O$150,8,FALSE)="",VLOOKUP($A120,'[13]0818'!$A$4:$O$150,12,FALSE),VLOOKUP($A120,'[13]0818'!$A$4:$O$150,8,FALSE))</f>
        <v/>
      </c>
      <c r="F120" s="4" t="str">
        <f>IF(VLOOKUP($A120,'[9]0817'!$A$4:$O$150,8,FALSE)="",VLOOKUP($A120,'[9]0817'!$A$4:$O$150,12,FALSE),VLOOKUP($A120,'[9]0817'!$A$4:$O$150,8,FALSE))</f>
        <v/>
      </c>
      <c r="G120" s="4" t="str">
        <f>IF(VLOOKUP($A120,'[11]0816'!$A$4:$O$150,8,FALSE)="",VLOOKUP($A120,'[11]0816'!$A$4:$O$150,12,FALSE),VLOOKUP($A120,'[11]0816'!$A$4:$O$150,8,FALSE))</f>
        <v/>
      </c>
      <c r="J120" s="4" t="str">
        <f>IF(VLOOKUP($A120,'[12]0811'!$A$4:$O$150,8,FALSE)="",VLOOKUP($A120,'[12]0811'!$A$4:$O$150,12,FALSE),VLOOKUP($A120,'[12]0811'!$A$4:$O$150,8,FALSE))</f>
        <v/>
      </c>
    </row>
    <row r="121" spans="1:10" x14ac:dyDescent="0.25">
      <c r="A121" s="3" t="s">
        <v>74</v>
      </c>
      <c r="B121" s="5">
        <f>VLOOKUP($A121,'[13]0818'!$A$4:$O$321,4,FALSE)</f>
        <v>17.29</v>
      </c>
      <c r="C121" s="5">
        <f>VLOOKUP($A121,'[10]0808'!$A$4:$O$321,5,FALSE)</f>
        <v>21.76</v>
      </c>
      <c r="D121" s="5">
        <f>VLOOKUP($A121,'[13]0818'!$A$4:$O$321,15,FALSE)</f>
        <v>1.4368000000000001</v>
      </c>
      <c r="E121" s="4" t="str">
        <f>IF(VLOOKUP($A121,'[13]0818'!$A$4:$O$150,8,FALSE)="",VLOOKUP($A121,'[13]0818'!$A$4:$O$150,12,FALSE),VLOOKUP($A121,'[13]0818'!$A$4:$O$150,8,FALSE))</f>
        <v/>
      </c>
      <c r="F121" s="4" t="str">
        <f>IF(VLOOKUP($A121,'[9]0817'!$A$4:$O$150,8,FALSE)="",VLOOKUP($A121,'[9]0817'!$A$4:$O$150,12,FALSE),VLOOKUP($A121,'[9]0817'!$A$4:$O$150,8,FALSE))</f>
        <v/>
      </c>
      <c r="G121" s="4" t="str">
        <f>IF(VLOOKUP($A121,'[11]0816'!$A$4:$O$150,8,FALSE)="",VLOOKUP($A121,'[11]0816'!$A$4:$O$150,12,FALSE),VLOOKUP($A121,'[11]0816'!$A$4:$O$150,8,FALSE))</f>
        <v/>
      </c>
      <c r="H121" s="5">
        <v>1.4059999999999999</v>
      </c>
      <c r="J121" s="4">
        <f>IF(VLOOKUP($A121,'[12]0811'!$A$4:$O$150,8,FALSE)="",VLOOKUP($A121,'[12]0811'!$A$4:$O$150,12,FALSE),VLOOKUP($A121,'[12]0811'!$A$4:$O$150,8,FALSE))</f>
        <v>1.3959999999999999</v>
      </c>
    </row>
    <row r="122" spans="1:10" x14ac:dyDescent="0.25">
      <c r="A122" s="3" t="s">
        <v>75</v>
      </c>
      <c r="B122" s="5">
        <f>VLOOKUP($A122,'[13]0818'!$A$4:$O$321,4,FALSE)</f>
        <v>17.66</v>
      </c>
      <c r="C122" s="5">
        <f>VLOOKUP($A122,'[10]0808'!$A$4:$O$321,5,FALSE)</f>
        <v>22</v>
      </c>
      <c r="D122" s="5">
        <f>VLOOKUP($A122,'[13]0818'!$A$4:$O$321,15,FALSE)</f>
        <v>1.4434</v>
      </c>
      <c r="E122" s="4" t="str">
        <f>IF(VLOOKUP($A122,'[13]0818'!$A$4:$O$150,8,FALSE)="",VLOOKUP($A122,'[13]0818'!$A$4:$O$150,12,FALSE),VLOOKUP($A122,'[13]0818'!$A$4:$O$150,8,FALSE))</f>
        <v/>
      </c>
      <c r="F122" s="4" t="str">
        <f>IF(VLOOKUP($A122,'[9]0817'!$A$4:$O$150,8,FALSE)="",VLOOKUP($A122,'[9]0817'!$A$4:$O$150,12,FALSE),VLOOKUP($A122,'[9]0817'!$A$4:$O$150,8,FALSE))</f>
        <v/>
      </c>
      <c r="G122" s="4" t="str">
        <f>IF(VLOOKUP($A122,'[11]0816'!$A$4:$O$150,8,FALSE)="",VLOOKUP($A122,'[11]0816'!$A$4:$O$150,12,FALSE),VLOOKUP($A122,'[11]0816'!$A$4:$O$150,8,FALSE))</f>
        <v/>
      </c>
      <c r="J122" s="4" t="str">
        <f>IF(VLOOKUP($A122,'[12]0811'!$A$4:$O$150,8,FALSE)="",VLOOKUP($A122,'[12]0811'!$A$4:$O$150,12,FALSE),VLOOKUP($A122,'[12]0811'!$A$4:$O$150,8,FALSE))</f>
        <v/>
      </c>
    </row>
    <row r="123" spans="1:10" x14ac:dyDescent="0.25">
      <c r="A123" s="3" t="s">
        <v>76</v>
      </c>
      <c r="B123" s="5">
        <f>VLOOKUP($A123,'[13]0818'!$A$4:$O$321,4,FALSE)</f>
        <v>18.55</v>
      </c>
      <c r="C123" s="5">
        <f>VLOOKUP($A123,'[10]0808'!$A$4:$O$321,5,FALSE)</f>
        <v>23.29</v>
      </c>
      <c r="D123" s="5">
        <f>VLOOKUP($A123,'[13]0818'!$A$4:$O$321,15,FALSE)</f>
        <v>1.4738</v>
      </c>
      <c r="E123" s="4" t="str">
        <f>IF(VLOOKUP($A123,'[13]0818'!$A$4:$O$150,8,FALSE)="",VLOOKUP($A123,'[13]0818'!$A$4:$O$150,12,FALSE),VLOOKUP($A123,'[13]0818'!$A$4:$O$150,8,FALSE))</f>
        <v/>
      </c>
      <c r="F123" s="4" t="str">
        <f>IF(VLOOKUP($A123,'[9]0817'!$A$4:$O$150,8,FALSE)="",VLOOKUP($A123,'[9]0817'!$A$4:$O$150,12,FALSE),VLOOKUP($A123,'[9]0817'!$A$4:$O$150,8,FALSE))</f>
        <v/>
      </c>
      <c r="G123" s="4" t="str">
        <f>IF(VLOOKUP($A123,'[11]0816'!$A$4:$O$150,8,FALSE)="",VLOOKUP($A123,'[11]0816'!$A$4:$O$150,12,FALSE),VLOOKUP($A123,'[11]0816'!$A$4:$O$150,8,FALSE))</f>
        <v/>
      </c>
      <c r="J123" s="4" t="str">
        <f>IF(VLOOKUP($A123,'[12]0811'!$A$4:$O$150,8,FALSE)="",VLOOKUP($A123,'[12]0811'!$A$4:$O$150,12,FALSE),VLOOKUP($A123,'[12]0811'!$A$4:$O$150,8,FALSE))</f>
        <v/>
      </c>
    </row>
    <row r="124" spans="1:10" x14ac:dyDescent="0.25">
      <c r="A124" s="3" t="s">
        <v>77</v>
      </c>
      <c r="B124" s="5">
        <f>VLOOKUP($A124,'[13]0818'!$A$4:$O$321,4,FALSE)</f>
        <v>18.899999999999999</v>
      </c>
      <c r="C124" s="5">
        <f>VLOOKUP($A124,'[10]0808'!$A$4:$O$321,5,FALSE)</f>
        <v>22.78</v>
      </c>
      <c r="D124" s="5">
        <f>VLOOKUP($A124,'[13]0818'!$A$4:$O$321,15,FALSE)</f>
        <v>1.4691000000000001</v>
      </c>
      <c r="E124" s="4" t="str">
        <f>IF(VLOOKUP($A124,'[13]0818'!$A$4:$O$150,8,FALSE)="",VLOOKUP($A124,'[13]0818'!$A$4:$O$150,12,FALSE),VLOOKUP($A124,'[13]0818'!$A$4:$O$150,8,FALSE))</f>
        <v/>
      </c>
      <c r="F124" s="4" t="str">
        <f>IF(VLOOKUP($A124,'[9]0817'!$A$4:$O$150,8,FALSE)="",VLOOKUP($A124,'[9]0817'!$A$4:$O$150,12,FALSE),VLOOKUP($A124,'[9]0817'!$A$4:$O$150,8,FALSE))</f>
        <v/>
      </c>
      <c r="G124" s="4" t="str">
        <f>IF(VLOOKUP($A124,'[11]0816'!$A$4:$O$150,8,FALSE)="",VLOOKUP($A124,'[11]0816'!$A$4:$O$150,12,FALSE),VLOOKUP($A124,'[11]0816'!$A$4:$O$150,8,FALSE))</f>
        <v/>
      </c>
      <c r="J124" s="4" t="str">
        <f>IF(VLOOKUP($A124,'[12]0811'!$A$4:$O$150,8,FALSE)="",VLOOKUP($A124,'[12]0811'!$A$4:$O$150,12,FALSE),VLOOKUP($A124,'[12]0811'!$A$4:$O$150,8,FALSE))</f>
        <v/>
      </c>
    </row>
    <row r="125" spans="1:10" x14ac:dyDescent="0.25">
      <c r="A125" s="3" t="s">
        <v>78</v>
      </c>
      <c r="B125" s="5">
        <f>VLOOKUP($A125,'[13]0818'!$A$4:$O$321,4,FALSE)</f>
        <v>19.21</v>
      </c>
      <c r="C125" s="5">
        <f>VLOOKUP($A125,'[10]0808'!$A$4:$O$321,5,FALSE)</f>
        <v>23.79</v>
      </c>
      <c r="D125" s="5">
        <f>VLOOKUP($A125,'[13]0818'!$A$4:$O$321,15,FALSE)</f>
        <v>1.4862</v>
      </c>
      <c r="E125" s="4" t="str">
        <f>IF(VLOOKUP($A125,'[13]0818'!$A$4:$O$150,8,FALSE)="",VLOOKUP($A125,'[13]0818'!$A$4:$O$150,12,FALSE),VLOOKUP($A125,'[13]0818'!$A$4:$O$150,8,FALSE))</f>
        <v/>
      </c>
      <c r="F125" s="4" t="str">
        <f>IF(VLOOKUP($A125,'[9]0817'!$A$4:$O$150,8,FALSE)="",VLOOKUP($A125,'[9]0817'!$A$4:$O$150,12,FALSE),VLOOKUP($A125,'[9]0817'!$A$4:$O$150,8,FALSE))</f>
        <v/>
      </c>
      <c r="G125" s="4" t="str">
        <f>IF(VLOOKUP($A125,'[11]0816'!$A$4:$O$150,8,FALSE)="",VLOOKUP($A125,'[11]0816'!$A$4:$O$150,12,FALSE),VLOOKUP($A125,'[11]0816'!$A$4:$O$150,8,FALSE))</f>
        <v/>
      </c>
      <c r="H125" s="5">
        <v>1.44</v>
      </c>
      <c r="J125" s="4" t="str">
        <f>IF(VLOOKUP($A125,'[12]0811'!$A$4:$O$150,8,FALSE)="",VLOOKUP($A125,'[12]0811'!$A$4:$O$150,12,FALSE),VLOOKUP($A125,'[12]0811'!$A$4:$O$150,8,FALSE))</f>
        <v/>
      </c>
    </row>
    <row r="126" spans="1:10" x14ac:dyDescent="0.25">
      <c r="A126" s="3" t="s">
        <v>79</v>
      </c>
      <c r="B126" s="5">
        <f>VLOOKUP($A126,'[13]0818'!$A$4:$O$321,4,FALSE)</f>
        <v>19.5</v>
      </c>
      <c r="C126" s="5">
        <f>VLOOKUP($A126,'[10]0808'!$A$4:$O$321,5,FALSE)</f>
        <v>22.99</v>
      </c>
      <c r="D126" s="5">
        <f>VLOOKUP($A126,'[13]0818'!$A$4:$O$321,15,FALSE)</f>
        <v>1.478</v>
      </c>
      <c r="E126" s="4" t="str">
        <f>IF(VLOOKUP($A126,'[13]0818'!$A$4:$O$150,8,FALSE)="",VLOOKUP($A126,'[13]0818'!$A$4:$O$150,12,FALSE),VLOOKUP($A126,'[13]0818'!$A$4:$O$150,8,FALSE))</f>
        <v/>
      </c>
      <c r="F126" s="4" t="str">
        <f>IF(VLOOKUP($A126,'[9]0817'!$A$4:$O$150,8,FALSE)="",VLOOKUP($A126,'[9]0817'!$A$4:$O$150,12,FALSE),VLOOKUP($A126,'[9]0817'!$A$4:$O$150,8,FALSE))</f>
        <v/>
      </c>
      <c r="G126" s="4" t="str">
        <f>IF(VLOOKUP($A126,'[11]0816'!$A$4:$O$150,8,FALSE)="",VLOOKUP($A126,'[11]0816'!$A$4:$O$150,12,FALSE),VLOOKUP($A126,'[11]0816'!$A$4:$O$150,8,FALSE))</f>
        <v/>
      </c>
      <c r="J126" s="4" t="str">
        <f>IF(VLOOKUP($A126,'[12]0811'!$A$4:$O$150,8,FALSE)="",VLOOKUP($A126,'[12]0811'!$A$4:$O$150,12,FALSE),VLOOKUP($A126,'[12]0811'!$A$4:$O$150,8,FALSE))</f>
        <v/>
      </c>
    </row>
    <row r="127" spans="1:10" x14ac:dyDescent="0.25">
      <c r="A127" s="3" t="s">
        <v>80</v>
      </c>
      <c r="B127" s="5">
        <f>VLOOKUP($A127,'[13]0818'!$A$4:$O$321,4,FALSE)</f>
        <v>19.77</v>
      </c>
      <c r="C127" s="5">
        <f>VLOOKUP($A127,'[10]0808'!$A$4:$O$321,5,FALSE)</f>
        <v>24.29</v>
      </c>
      <c r="D127" s="5">
        <f>VLOOKUP($A127,'[13]0818'!$A$4:$O$321,15,FALSE)</f>
        <v>1.5008999999999999</v>
      </c>
      <c r="E127" s="4" t="str">
        <f>IF(VLOOKUP($A127,'[13]0818'!$A$4:$O$150,8,FALSE)="",VLOOKUP($A127,'[13]0818'!$A$4:$O$150,12,FALSE),VLOOKUP($A127,'[13]0818'!$A$4:$O$150,8,FALSE))</f>
        <v/>
      </c>
      <c r="F127" s="4" t="str">
        <f>IF(VLOOKUP($A127,'[9]0817'!$A$4:$O$150,8,FALSE)="",VLOOKUP($A127,'[9]0817'!$A$4:$O$150,12,FALSE),VLOOKUP($A127,'[9]0817'!$A$4:$O$150,8,FALSE))</f>
        <v/>
      </c>
      <c r="G127" s="4" t="str">
        <f>IF(VLOOKUP($A127,'[11]0816'!$A$4:$O$150,8,FALSE)="",VLOOKUP($A127,'[11]0816'!$A$4:$O$150,12,FALSE),VLOOKUP($A127,'[11]0816'!$A$4:$O$150,8,FALSE))</f>
        <v/>
      </c>
      <c r="J127" s="4" t="str">
        <f>IF(VLOOKUP($A127,'[12]0811'!$A$4:$O$150,8,FALSE)="",VLOOKUP($A127,'[12]0811'!$A$4:$O$150,12,FALSE),VLOOKUP($A127,'[12]0811'!$A$4:$O$150,8,FALSE))</f>
        <v/>
      </c>
    </row>
    <row r="128" spans="1:10" x14ac:dyDescent="0.25">
      <c r="A128" s="3" t="s">
        <v>81</v>
      </c>
      <c r="B128" s="5">
        <f>VLOOKUP($A128,'[13]0818'!$A$4:$O$321,4,FALSE)</f>
        <v>20.45</v>
      </c>
      <c r="C128" s="5">
        <f>VLOOKUP($A128,'[10]0808'!$A$4:$O$321,5,FALSE)</f>
        <v>24.77</v>
      </c>
      <c r="D128" s="5">
        <f>VLOOKUP($A128,'[13]0818'!$A$4:$O$321,15,FALSE)</f>
        <v>1.5133000000000001</v>
      </c>
      <c r="E128" s="4" t="str">
        <f>IF(VLOOKUP($A128,'[13]0818'!$A$4:$O$150,8,FALSE)="",VLOOKUP($A128,'[13]0818'!$A$4:$O$150,12,FALSE),VLOOKUP($A128,'[13]0818'!$A$4:$O$150,8,FALSE))</f>
        <v/>
      </c>
      <c r="F128" s="4" t="str">
        <f>IF(VLOOKUP($A128,'[9]0817'!$A$4:$O$150,8,FALSE)="",VLOOKUP($A128,'[9]0817'!$A$4:$O$150,12,FALSE),VLOOKUP($A128,'[9]0817'!$A$4:$O$150,8,FALSE))</f>
        <v/>
      </c>
      <c r="G128" s="4" t="str">
        <f>IF(VLOOKUP($A128,'[11]0816'!$A$4:$O$150,8,FALSE)="",VLOOKUP($A128,'[11]0816'!$A$4:$O$150,12,FALSE),VLOOKUP($A128,'[11]0816'!$A$4:$O$150,8,FALSE))</f>
        <v/>
      </c>
      <c r="J128" s="4" t="str">
        <f>IF(VLOOKUP($A128,'[12]0811'!$A$4:$O$150,8,FALSE)="",VLOOKUP($A128,'[12]0811'!$A$4:$O$150,12,FALSE),VLOOKUP($A128,'[12]0811'!$A$4:$O$150,8,FALSE))</f>
        <v/>
      </c>
    </row>
    <row r="129" spans="1:10" x14ac:dyDescent="0.25">
      <c r="A129" s="3" t="s">
        <v>57</v>
      </c>
      <c r="B129" s="5">
        <f>VLOOKUP($A129,'[13]0818'!$A$4:$O$321,4,FALSE)</f>
        <v>20.85</v>
      </c>
      <c r="C129" s="5">
        <f>VLOOKUP($A129,'[10]0808'!$A$4:$O$321,5,FALSE)</f>
        <v>25.25</v>
      </c>
      <c r="D129" s="5">
        <f>VLOOKUP($A129,'[13]0818'!$A$4:$O$321,15,FALSE)</f>
        <v>1.5259</v>
      </c>
      <c r="E129" s="4" t="str">
        <f>IF(VLOOKUP($A129,'[13]0818'!$A$4:$O$150,8,FALSE)="",VLOOKUP($A129,'[13]0818'!$A$4:$O$150,12,FALSE),VLOOKUP($A129,'[13]0818'!$A$4:$O$150,8,FALSE))</f>
        <v/>
      </c>
      <c r="F129" s="4" t="str">
        <f>IF(VLOOKUP($A129,'[9]0817'!$A$4:$O$150,8,FALSE)="",VLOOKUP($A129,'[9]0817'!$A$4:$O$150,12,FALSE),VLOOKUP($A129,'[9]0817'!$A$4:$O$150,8,FALSE))</f>
        <v/>
      </c>
      <c r="G129" s="4" t="str">
        <f>IF(VLOOKUP($A129,'[11]0816'!$A$4:$O$150,8,FALSE)="",VLOOKUP($A129,'[11]0816'!$A$4:$O$150,12,FALSE),VLOOKUP($A129,'[11]0816'!$A$4:$O$150,8,FALSE))</f>
        <v/>
      </c>
      <c r="J129" s="4" t="str">
        <f>IF(VLOOKUP($A129,'[12]0811'!$A$4:$O$150,8,FALSE)="",VLOOKUP($A129,'[12]0811'!$A$4:$O$150,12,FALSE),VLOOKUP($A129,'[12]0811'!$A$4:$O$150,8,FALSE))</f>
        <v/>
      </c>
    </row>
    <row r="130" spans="1:10" x14ac:dyDescent="0.25">
      <c r="A130" s="3" t="s">
        <v>318</v>
      </c>
      <c r="B130" s="5">
        <f>VLOOKUP($A130,'[13]0818'!$A$4:$O$321,4,FALSE)</f>
        <v>21.45</v>
      </c>
      <c r="C130" s="5">
        <f>VLOOKUP($A130,'[10]0808'!$A$4:$O$321,5,FALSE)</f>
        <v>29.26</v>
      </c>
      <c r="D130" s="5">
        <f>VLOOKUP($A130,'[13]0818'!$A$4:$O$321,15,FALSE)</f>
        <v>1.581</v>
      </c>
      <c r="E130" s="4" t="str">
        <f>IF(VLOOKUP($A130,'[13]0818'!$A$4:$O$150,8,FALSE)="",VLOOKUP($A130,'[13]0818'!$A$4:$O$150,12,FALSE),VLOOKUP($A130,'[13]0818'!$A$4:$O$150,8,FALSE))</f>
        <v/>
      </c>
      <c r="F130" s="4" t="str">
        <f>IF(VLOOKUP($A130,'[9]0817'!$A$4:$O$150,8,FALSE)="",VLOOKUP($A130,'[9]0817'!$A$4:$O$150,12,FALSE),VLOOKUP($A130,'[9]0817'!$A$4:$O$150,8,FALSE))</f>
        <v/>
      </c>
      <c r="G130" s="4">
        <f>IF(VLOOKUP($A130,'[11]0816'!$A$4:$O$150,8,FALSE)="",VLOOKUP($A130,'[11]0816'!$A$4:$O$150,12,FALSE),VLOOKUP($A130,'[11]0816'!$A$4:$O$150,8,FALSE))</f>
        <v>1.5509999999999999</v>
      </c>
      <c r="J130" s="4">
        <f>IF(VLOOKUP($A130,'[12]0811'!$A$4:$O$150,8,FALSE)="",VLOOKUP($A130,'[12]0811'!$A$4:$O$150,12,FALSE),VLOOKUP($A130,'[12]0811'!$A$4:$O$150,8,FALSE))</f>
        <v>1.5409999999999999</v>
      </c>
    </row>
    <row r="131" spans="1:10" x14ac:dyDescent="0.25">
      <c r="A131" s="3" t="s">
        <v>84</v>
      </c>
      <c r="B131" s="5">
        <f>VLOOKUP($A131,'[13]0818'!$A$4:$O$321,4,FALSE)</f>
        <v>21.89</v>
      </c>
      <c r="C131" s="5">
        <f>VLOOKUP($A131,'[10]0808'!$A$4:$O$321,5,FALSE)</f>
        <v>25.77</v>
      </c>
      <c r="D131" s="5">
        <f>VLOOKUP($A131,'[13]0818'!$A$4:$O$321,15,FALSE)</f>
        <v>1.5423</v>
      </c>
      <c r="E131" s="4" t="str">
        <f>IF(VLOOKUP($A131,'[13]0818'!$A$4:$O$150,8,FALSE)="",VLOOKUP($A131,'[13]0818'!$A$4:$O$150,12,FALSE),VLOOKUP($A131,'[13]0818'!$A$4:$O$150,8,FALSE))</f>
        <v/>
      </c>
      <c r="F131" s="4" t="str">
        <f>IF(VLOOKUP($A131,'[9]0817'!$A$4:$O$150,8,FALSE)="",VLOOKUP($A131,'[9]0817'!$A$4:$O$150,12,FALSE),VLOOKUP($A131,'[9]0817'!$A$4:$O$150,8,FALSE))</f>
        <v/>
      </c>
      <c r="G131" s="4" t="str">
        <f>IF(VLOOKUP($A131,'[11]0816'!$A$4:$O$150,8,FALSE)="",VLOOKUP($A131,'[11]0816'!$A$4:$O$150,12,FALSE),VLOOKUP($A131,'[11]0816'!$A$4:$O$150,8,FALSE))</f>
        <v/>
      </c>
      <c r="J131" s="4" t="str">
        <f>IF(VLOOKUP($A131,'[12]0811'!$A$4:$O$150,8,FALSE)="",VLOOKUP($A131,'[12]0811'!$A$4:$O$150,12,FALSE),VLOOKUP($A131,'[12]0811'!$A$4:$O$150,8,FALSE))</f>
        <v/>
      </c>
    </row>
    <row r="132" spans="1:10" x14ac:dyDescent="0.25">
      <c r="A132" s="6" t="s">
        <v>272</v>
      </c>
      <c r="B132" s="5">
        <f>VLOOKUP($A132,'[13]0818'!$A$4:$O$321,4,FALSE)</f>
        <v>22.03</v>
      </c>
      <c r="C132" s="5">
        <f>VLOOKUP($A132,'[10]0808'!$A$4:$O$321,5,FALSE)</f>
        <v>28.78</v>
      </c>
      <c r="D132" s="5">
        <f>VLOOKUP($A132,'[13]0818'!$A$4:$O$321,15,FALSE)</f>
        <v>1.5808</v>
      </c>
      <c r="E132" s="4" t="str">
        <f>IF(VLOOKUP($A132,'[13]0818'!$A$4:$O$150,8,FALSE)="",VLOOKUP($A132,'[13]0818'!$A$4:$O$150,12,FALSE),VLOOKUP($A132,'[13]0818'!$A$4:$O$150,8,FALSE))</f>
        <v/>
      </c>
      <c r="F132" s="4" t="str">
        <f>IF(VLOOKUP($A132,'[9]0817'!$A$4:$O$150,8,FALSE)="",VLOOKUP($A132,'[9]0817'!$A$4:$O$150,12,FALSE),VLOOKUP($A132,'[9]0817'!$A$4:$O$150,8,FALSE))</f>
        <v/>
      </c>
      <c r="G132" s="4" t="str">
        <f>IF(VLOOKUP($A132,'[11]0816'!$A$4:$O$150,8,FALSE)="",VLOOKUP($A132,'[11]0816'!$A$4:$O$150,12,FALSE),VLOOKUP($A132,'[11]0816'!$A$4:$O$150,8,FALSE))</f>
        <v/>
      </c>
      <c r="J132" s="4" t="str">
        <f>IF(VLOOKUP($A132,'[12]0811'!$A$4:$O$150,8,FALSE)="",VLOOKUP($A132,'[12]0811'!$A$4:$O$150,12,FALSE),VLOOKUP($A132,'[12]0811'!$A$4:$O$150,8,FALSE))</f>
        <v/>
      </c>
    </row>
    <row r="133" spans="1:10" x14ac:dyDescent="0.25">
      <c r="A133" s="3" t="s">
        <v>51</v>
      </c>
      <c r="B133" s="5">
        <f>VLOOKUP($A133,'[13]0818'!$A$4:$O$321,4,FALSE)</f>
        <v>22.39</v>
      </c>
      <c r="C133" s="5">
        <f>VLOOKUP($A133,'[10]0808'!$A$4:$O$321,5,FALSE)</f>
        <v>26.25</v>
      </c>
      <c r="D133" s="5">
        <f>VLOOKUP($A133,'[13]0818'!$A$4:$O$321,15,FALSE)</f>
        <v>1.5555000000000001</v>
      </c>
      <c r="E133" s="4" t="str">
        <f>IF(VLOOKUP($A133,'[13]0818'!$A$4:$O$150,8,FALSE)="",VLOOKUP($A133,'[13]0818'!$A$4:$O$150,12,FALSE),VLOOKUP($A133,'[13]0818'!$A$4:$O$150,8,FALSE))</f>
        <v/>
      </c>
      <c r="F133" s="4" t="str">
        <f>IF(VLOOKUP($A133,'[9]0817'!$A$4:$O$150,8,FALSE)="",VLOOKUP($A133,'[9]0817'!$A$4:$O$150,12,FALSE),VLOOKUP($A133,'[9]0817'!$A$4:$O$150,8,FALSE))</f>
        <v/>
      </c>
      <c r="G133" s="4" t="str">
        <f>IF(VLOOKUP($A133,'[11]0816'!$A$4:$O$150,8,FALSE)="",VLOOKUP($A133,'[11]0816'!$A$4:$O$150,12,FALSE),VLOOKUP($A133,'[11]0816'!$A$4:$O$150,8,FALSE))</f>
        <v/>
      </c>
      <c r="J133" s="4" t="str">
        <f>IF(VLOOKUP($A133,'[12]0811'!$A$4:$O$150,8,FALSE)="",VLOOKUP($A133,'[12]0811'!$A$4:$O$150,12,FALSE),VLOOKUP($A133,'[12]0811'!$A$4:$O$150,8,FALSE))</f>
        <v/>
      </c>
    </row>
    <row r="134" spans="1:10" x14ac:dyDescent="0.25">
      <c r="A134" s="6" t="s">
        <v>92</v>
      </c>
      <c r="B134" s="5">
        <f>VLOOKUP($A134,'[13]0818'!$A$4:$O$321,4,FALSE)</f>
        <v>23.56</v>
      </c>
      <c r="C134" s="5">
        <f>VLOOKUP($A134,'[10]0808'!$A$4:$O$321,5,FALSE)</f>
        <v>26.75</v>
      </c>
      <c r="D134" s="5">
        <f>VLOOKUP($A134,'[13]0818'!$A$4:$O$321,15,FALSE)</f>
        <v>1.5729</v>
      </c>
      <c r="E134" s="4" t="str">
        <f>IF(VLOOKUP($A134,'[13]0818'!$A$4:$O$150,8,FALSE)="",VLOOKUP($A134,'[13]0818'!$A$4:$O$150,12,FALSE),VLOOKUP($A134,'[13]0818'!$A$4:$O$150,8,FALSE))</f>
        <v/>
      </c>
      <c r="F134" s="4" t="str">
        <f>IF(VLOOKUP($A134,'[9]0817'!$A$4:$O$150,8,FALSE)="",VLOOKUP($A134,'[9]0817'!$A$4:$O$150,12,FALSE),VLOOKUP($A134,'[9]0817'!$A$4:$O$150,8,FALSE))</f>
        <v/>
      </c>
      <c r="G134" s="4" t="str">
        <f>IF(VLOOKUP($A134,'[11]0816'!$A$4:$O$150,8,FALSE)="",VLOOKUP($A134,'[11]0816'!$A$4:$O$150,12,FALSE),VLOOKUP($A134,'[11]0816'!$A$4:$O$150,8,FALSE))</f>
        <v/>
      </c>
      <c r="J134" s="4" t="str">
        <f>IF(VLOOKUP($A134,'[12]0811'!$A$4:$O$150,8,FALSE)="",VLOOKUP($A134,'[12]0811'!$A$4:$O$150,12,FALSE),VLOOKUP($A134,'[12]0811'!$A$4:$O$150,8,FALSE))</f>
        <v/>
      </c>
    </row>
    <row r="135" spans="1:10" x14ac:dyDescent="0.25">
      <c r="A135" s="6" t="s">
        <v>243</v>
      </c>
      <c r="B135" s="5">
        <f>VLOOKUP($A135,'[13]0818'!$A$4:$O$321,4,FALSE)</f>
        <v>23.56</v>
      </c>
      <c r="C135" s="5">
        <f>VLOOKUP($A135,'[10]0808'!$A$4:$O$321,5,FALSE)</f>
        <v>28.37</v>
      </c>
      <c r="D135" s="5">
        <f>VLOOKUP($A135,'[13]0818'!$A$4:$O$321,15,FALSE)</f>
        <v>1.5953999999999999</v>
      </c>
      <c r="E135" s="4" t="str">
        <f>IF(VLOOKUP($A135,'[13]0818'!$A$4:$O$150,8,FALSE)="",VLOOKUP($A135,'[13]0818'!$A$4:$O$150,12,FALSE),VLOOKUP($A135,'[13]0818'!$A$4:$O$150,8,FALSE))</f>
        <v/>
      </c>
      <c r="F135" s="4" t="str">
        <f>IF(VLOOKUP($A135,'[9]0817'!$A$4:$O$150,8,FALSE)="",VLOOKUP($A135,'[9]0817'!$A$4:$O$150,12,FALSE),VLOOKUP($A135,'[9]0817'!$A$4:$O$150,8,FALSE))</f>
        <v/>
      </c>
      <c r="G135" s="4" t="str">
        <f>IF(VLOOKUP($A135,'[11]0816'!$A$4:$O$150,8,FALSE)="",VLOOKUP($A135,'[11]0816'!$A$4:$O$150,12,FALSE),VLOOKUP($A135,'[11]0816'!$A$4:$O$150,8,FALSE))</f>
        <v/>
      </c>
      <c r="J135" s="4" t="str">
        <f>IF(VLOOKUP($A135,'[12]0811'!$A$4:$O$150,8,FALSE)="",VLOOKUP($A135,'[12]0811'!$A$4:$O$150,12,FALSE),VLOOKUP($A135,'[12]0811'!$A$4:$O$150,8,FALSE))</f>
        <v/>
      </c>
    </row>
    <row r="136" spans="1:10" x14ac:dyDescent="0.25">
      <c r="A136" s="6" t="s">
        <v>367</v>
      </c>
      <c r="B136" s="5">
        <f>VLOOKUP($A136,'[13]0818'!$A$4:$O$321,4,FALSE)</f>
        <v>23.63</v>
      </c>
      <c r="C136" s="5">
        <f>VLOOKUP($A136,'[10]0808'!$A$4:$O$321,5,FALSE)</f>
        <v>29.76</v>
      </c>
      <c r="D136" s="5">
        <f>VLOOKUP($A136,'[13]0818'!$A$4:$O$321,15,FALSE)</f>
        <v>1.6112</v>
      </c>
      <c r="E136" s="4" t="str">
        <f>IF(VLOOKUP($A136,'[13]0818'!$A$4:$O$150,8,FALSE)="",VLOOKUP($A136,'[13]0818'!$A$4:$O$150,12,FALSE),VLOOKUP($A136,'[13]0818'!$A$4:$O$150,8,FALSE))</f>
        <v/>
      </c>
      <c r="F136" s="4" t="str">
        <f>IF(VLOOKUP($A136,'[9]0817'!$A$4:$O$150,8,FALSE)="",VLOOKUP($A136,'[9]0817'!$A$4:$O$150,12,FALSE),VLOOKUP($A136,'[9]0817'!$A$4:$O$150,8,FALSE))</f>
        <v/>
      </c>
      <c r="G136" s="4" t="str">
        <f>IF(VLOOKUP($A136,'[11]0816'!$A$4:$O$150,8,FALSE)="",VLOOKUP($A136,'[11]0816'!$A$4:$O$150,12,FALSE),VLOOKUP($A136,'[11]0816'!$A$4:$O$150,8,FALSE))</f>
        <v/>
      </c>
      <c r="J136" s="4" t="str">
        <f>IF(VLOOKUP($A136,'[12]0811'!$A$4:$O$150,8,FALSE)="",VLOOKUP($A136,'[12]0811'!$A$4:$O$150,12,FALSE),VLOOKUP($A136,'[12]0811'!$A$4:$O$150,8,FALSE))</f>
        <v/>
      </c>
    </row>
    <row r="137" spans="1:10" x14ac:dyDescent="0.25">
      <c r="A137" s="6" t="s">
        <v>210</v>
      </c>
      <c r="B137" s="5">
        <f>VLOOKUP($A137,'[13]0818'!$A$4:$O$321,4,FALSE)</f>
        <v>24.52</v>
      </c>
      <c r="C137" s="5">
        <f>VLOOKUP($A137,'[10]0808'!$A$4:$O$321,5,FALSE)</f>
        <v>27.55</v>
      </c>
      <c r="D137" s="5">
        <f>VLOOKUP($A137,'[13]0818'!$A$4:$O$321,15,FALSE)</f>
        <v>1.5934999999999999</v>
      </c>
      <c r="E137" s="4" t="str">
        <f>IF(VLOOKUP($A137,'[13]0818'!$A$4:$O$150,8,FALSE)="",VLOOKUP($A137,'[13]0818'!$A$4:$O$150,12,FALSE),VLOOKUP($A137,'[13]0818'!$A$4:$O$150,8,FALSE))</f>
        <v/>
      </c>
      <c r="F137" s="4" t="str">
        <f>IF(VLOOKUP($A137,'[9]0817'!$A$4:$O$150,8,FALSE)="",VLOOKUP($A137,'[9]0817'!$A$4:$O$150,12,FALSE),VLOOKUP($A137,'[9]0817'!$A$4:$O$150,8,FALSE))</f>
        <v/>
      </c>
      <c r="G137" s="4" t="str">
        <f>IF(VLOOKUP($A137,'[11]0816'!$A$4:$O$150,8,FALSE)="",VLOOKUP($A137,'[11]0816'!$A$4:$O$150,12,FALSE),VLOOKUP($A137,'[11]0816'!$A$4:$O$150,8,FALSE))</f>
        <v/>
      </c>
      <c r="J137" s="4" t="str">
        <f>IF(VLOOKUP($A137,'[12]0811'!$A$4:$O$150,8,FALSE)="",VLOOKUP($A137,'[12]0811'!$A$4:$O$150,12,FALSE),VLOOKUP($A137,'[12]0811'!$A$4:$O$150,8,FALSE))</f>
        <v/>
      </c>
    </row>
    <row r="138" spans="1:10" x14ac:dyDescent="0.25">
      <c r="A138" s="6" t="s">
        <v>97</v>
      </c>
      <c r="B138" s="5">
        <f>VLOOKUP($A138,'[13]0818'!$A$4:$O$321,4,FALSE)</f>
        <v>25.18</v>
      </c>
      <c r="C138" s="5">
        <f>VLOOKUP($A138,'[10]0808'!$A$4:$O$321,5,FALSE)</f>
        <v>27.3</v>
      </c>
      <c r="D138" s="5">
        <f>VLOOKUP($A138,'[13]0818'!$A$4:$O$321,15,FALSE)</f>
        <v>1.5962000000000001</v>
      </c>
      <c r="E138" s="4" t="str">
        <f>IF(VLOOKUP($A138,'[13]0818'!$A$4:$O$150,8,FALSE)="",VLOOKUP($A138,'[13]0818'!$A$4:$O$150,12,FALSE),VLOOKUP($A138,'[13]0818'!$A$4:$O$150,8,FALSE))</f>
        <v/>
      </c>
      <c r="F138" s="4" t="str">
        <f>IF(VLOOKUP($A138,'[9]0817'!$A$4:$O$150,8,FALSE)="",VLOOKUP($A138,'[9]0817'!$A$4:$O$150,12,FALSE),VLOOKUP($A138,'[9]0817'!$A$4:$O$150,8,FALSE))</f>
        <v/>
      </c>
      <c r="G138" s="4" t="str">
        <f>IF(VLOOKUP($A138,'[11]0816'!$A$4:$O$150,8,FALSE)="",VLOOKUP($A138,'[11]0816'!$A$4:$O$150,12,FALSE),VLOOKUP($A138,'[11]0816'!$A$4:$O$150,8,FALSE))</f>
        <v/>
      </c>
      <c r="J138" s="4" t="str">
        <f>IF(VLOOKUP($A138,'[12]0811'!$A$4:$O$150,8,FALSE)="",VLOOKUP($A138,'[12]0811'!$A$4:$O$150,12,FALSE),VLOOKUP($A138,'[12]0811'!$A$4:$O$150,8,FALSE))</f>
        <v/>
      </c>
    </row>
    <row r="139" spans="1:10" x14ac:dyDescent="0.25">
      <c r="A139" s="6"/>
    </row>
  </sheetData>
  <phoneticPr fontId="1" type="noConversion"/>
  <conditionalFormatting sqref="A1:XFD1">
    <cfRule type="cellIs" dxfId="5" priority="1" operator="lessThan">
      <formula>-0.999999999999999</formula>
    </cfRule>
    <cfRule type="cellIs" dxfId="4" priority="2" operator="greaterThan">
      <formula>0.999999999999999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36898" r:id="rId4" name="Button 2">
              <controlPr defaultSize="0" print="0" autoFill="0" autoPict="0" macro="[0]!換日">
                <anchor moveWithCells="1" sizeWithCells="1">
                  <from>
                    <xdr:col>1</xdr:col>
                    <xdr:colOff>57150</xdr:colOff>
                    <xdr:row>0</xdr:row>
                    <xdr:rowOff>76200</xdr:rowOff>
                  </from>
                  <to>
                    <xdr:col>3</xdr:col>
                    <xdr:colOff>752475</xdr:colOff>
                    <xdr:row>2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/>
  <dimension ref="B5:F7"/>
  <sheetViews>
    <sheetView workbookViewId="0">
      <selection activeCell="I33" sqref="I33"/>
    </sheetView>
  </sheetViews>
  <sheetFormatPr defaultRowHeight="16.5" x14ac:dyDescent="0.25"/>
  <cols>
    <col min="1" max="16384" width="9" style="2"/>
  </cols>
  <sheetData>
    <row r="5" spans="2:6" x14ac:dyDescent="0.25">
      <c r="B5" s="2" t="s">
        <v>343</v>
      </c>
      <c r="C5" s="2" t="s">
        <v>346</v>
      </c>
      <c r="E5" s="2" t="s">
        <v>344</v>
      </c>
      <c r="F5" s="2" t="s">
        <v>347</v>
      </c>
    </row>
    <row r="6" spans="2:6" x14ac:dyDescent="0.25">
      <c r="B6" s="2" t="s">
        <v>348</v>
      </c>
      <c r="C6" s="2" t="s">
        <v>349</v>
      </c>
      <c r="E6" s="2" t="s">
        <v>345</v>
      </c>
      <c r="F6" s="2" t="s">
        <v>346</v>
      </c>
    </row>
    <row r="7" spans="2:6" x14ac:dyDescent="0.25">
      <c r="E7" s="2" t="s">
        <v>350</v>
      </c>
      <c r="F7" s="2" t="s">
        <v>351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8"/>
  <dimension ref="A1:G138"/>
  <sheetViews>
    <sheetView zoomScaleNormal="100" workbookViewId="0">
      <pane xSplit="3" ySplit="4" topLeftCell="D5" activePane="bottomRight" state="frozen"/>
      <selection pane="topRight" activeCell="C1" sqref="C1"/>
      <selection pane="bottomLeft" activeCell="A5" sqref="A5"/>
      <selection pane="bottomRight" activeCell="D15" sqref="D15"/>
    </sheetView>
  </sheetViews>
  <sheetFormatPr defaultRowHeight="16.5" x14ac:dyDescent="0.25"/>
  <cols>
    <col min="1" max="1" width="9" style="2"/>
    <col min="2" max="2" width="9" style="5"/>
    <col min="3" max="3" width="11.625" style="5" bestFit="1" customWidth="1"/>
    <col min="4" max="16384" width="9" style="2"/>
  </cols>
  <sheetData>
    <row r="1" spans="1:7" x14ac:dyDescent="0.25">
      <c r="D1" s="2">
        <v>-0.90000000000001201</v>
      </c>
      <c r="E1" s="2">
        <v>0.50000000000001199</v>
      </c>
      <c r="F1" s="2">
        <v>0.49999999999998934</v>
      </c>
    </row>
    <row r="2" spans="1:7" x14ac:dyDescent="0.25">
      <c r="A2" s="2" t="s">
        <v>85</v>
      </c>
      <c r="D2" s="2">
        <v>1.1859999999999999</v>
      </c>
      <c r="E2" s="2">
        <v>1.1950000000000001</v>
      </c>
      <c r="F2" s="2">
        <v>1.19</v>
      </c>
      <c r="G2" s="2">
        <v>1.1850000000000001</v>
      </c>
    </row>
    <row r="4" spans="1:7" x14ac:dyDescent="0.25">
      <c r="B4" s="5" t="s">
        <v>87</v>
      </c>
      <c r="C4" s="5" t="s">
        <v>86</v>
      </c>
      <c r="D4" s="1">
        <v>45154</v>
      </c>
      <c r="E4" s="1">
        <v>45153</v>
      </c>
      <c r="F4" s="1">
        <v>45152</v>
      </c>
      <c r="G4" s="1">
        <v>45149</v>
      </c>
    </row>
    <row r="5" spans="1:7" x14ac:dyDescent="0.25">
      <c r="A5" s="3" t="s">
        <v>231</v>
      </c>
      <c r="B5" s="5">
        <f>VLOOKUP($A5,'[11]0816'!$A$4:$O$150,4,FALSE)</f>
        <v>0.02</v>
      </c>
      <c r="C5" s="5">
        <f>VLOOKUP($A5,'[11]0816'!$A$4:$O$150,15,FALSE)</f>
        <v>1.0606</v>
      </c>
      <c r="D5" s="2">
        <v>0.71</v>
      </c>
      <c r="G5" s="2" t="s">
        <v>0</v>
      </c>
    </row>
    <row r="6" spans="1:7" x14ac:dyDescent="0.25">
      <c r="A6" s="3" t="s">
        <v>33</v>
      </c>
      <c r="B6" s="5">
        <f>VLOOKUP($A6,'[11]0816'!$A$4:$O$150,4,FALSE)</f>
        <v>0.08</v>
      </c>
      <c r="C6" s="5">
        <f>VLOOKUP($A6,'[11]0816'!$A$4:$O$150,15,FALSE)</f>
        <v>0.99670000000000003</v>
      </c>
      <c r="D6" s="2" t="s">
        <v>0</v>
      </c>
      <c r="G6" s="2" t="s">
        <v>0</v>
      </c>
    </row>
    <row r="7" spans="1:7" x14ac:dyDescent="0.25">
      <c r="A7" s="3" t="s">
        <v>37</v>
      </c>
      <c r="B7" s="5">
        <f>VLOOKUP($A7,'[11]0816'!$A$4:$O$150,4,FALSE)</f>
        <v>0.26</v>
      </c>
      <c r="C7" s="5">
        <f>VLOOKUP($A7,'[11]0816'!$A$4:$O$150,15,FALSE)</f>
        <v>0.9829</v>
      </c>
      <c r="D7" s="2" t="s">
        <v>0</v>
      </c>
      <c r="G7" s="2" t="s">
        <v>0</v>
      </c>
    </row>
    <row r="8" spans="1:7" x14ac:dyDescent="0.25">
      <c r="A8" s="3" t="s">
        <v>27</v>
      </c>
      <c r="B8" s="5">
        <f>VLOOKUP($A8,'[11]0816'!$A$4:$O$150,4,FALSE)</f>
        <v>0.4</v>
      </c>
      <c r="C8" s="5">
        <f>VLOOKUP($A8,'[11]0816'!$A$4:$O$150,15,FALSE)</f>
        <v>0.98150000000000004</v>
      </c>
      <c r="D8" s="2" t="s">
        <v>0</v>
      </c>
      <c r="G8" s="2" t="s">
        <v>0</v>
      </c>
    </row>
    <row r="9" spans="1:7" x14ac:dyDescent="0.25">
      <c r="A9" s="3" t="s">
        <v>9</v>
      </c>
      <c r="B9" s="5">
        <f>VLOOKUP($A9,'[11]0816'!$A$4:$O$150,4,FALSE)</f>
        <v>0.48</v>
      </c>
      <c r="C9" s="5">
        <f>VLOOKUP($A9,'[11]0816'!$A$4:$O$150,15,FALSE)</f>
        <v>0.98129999999999995</v>
      </c>
      <c r="D9" s="2" t="s">
        <v>0</v>
      </c>
      <c r="G9" s="2" t="s">
        <v>0</v>
      </c>
    </row>
    <row r="10" spans="1:7" x14ac:dyDescent="0.25">
      <c r="A10" s="3" t="s">
        <v>52</v>
      </c>
      <c r="B10" s="5">
        <f>VLOOKUP($A10,'[11]0816'!$A$4:$O$150,4,FALSE)</f>
        <v>0.54</v>
      </c>
      <c r="C10" s="5">
        <f>VLOOKUP($A10,'[11]0816'!$A$4:$O$150,15,FALSE)</f>
        <v>0.98109999999999997</v>
      </c>
      <c r="D10" s="2" t="s">
        <v>0</v>
      </c>
      <c r="G10" s="2" t="s">
        <v>0</v>
      </c>
    </row>
    <row r="11" spans="1:7" x14ac:dyDescent="0.25">
      <c r="A11" s="3" t="s">
        <v>262</v>
      </c>
      <c r="B11" s="5">
        <f>VLOOKUP($A11,'[11]0816'!$A$4:$O$150,4,FALSE)</f>
        <v>0.61</v>
      </c>
      <c r="C11" s="5">
        <f>VLOOKUP($A11,'[11]0816'!$A$4:$O$150,15,FALSE)</f>
        <v>0.98089999999999999</v>
      </c>
      <c r="D11" s="2" t="s">
        <v>0</v>
      </c>
      <c r="G11" s="2" t="s">
        <v>0</v>
      </c>
    </row>
    <row r="12" spans="1:7" x14ac:dyDescent="0.25">
      <c r="A12" s="3" t="s">
        <v>5</v>
      </c>
      <c r="B12" s="5">
        <f>VLOOKUP($A12,'[11]0816'!$A$4:$O$150,4,FALSE)</f>
        <v>0.9</v>
      </c>
      <c r="C12" s="5">
        <f>VLOOKUP($A12,'[11]0816'!$A$4:$O$150,15,FALSE)</f>
        <v>0.97960000000000003</v>
      </c>
      <c r="D12" s="2" t="s">
        <v>0</v>
      </c>
      <c r="G12" s="2" t="s">
        <v>0</v>
      </c>
    </row>
    <row r="13" spans="1:7" x14ac:dyDescent="0.25">
      <c r="A13" s="3" t="s">
        <v>42</v>
      </c>
      <c r="B13" s="5">
        <f>VLOOKUP($A13,'[11]0816'!$A$4:$O$150,4,FALSE)</f>
        <v>1.08</v>
      </c>
      <c r="C13" s="5">
        <f>VLOOKUP($A13,'[11]0816'!$A$4:$O$150,15,FALSE)</f>
        <v>0.97799999999999998</v>
      </c>
      <c r="D13" s="2" t="s">
        <v>0</v>
      </c>
      <c r="G13" s="2" t="s">
        <v>0</v>
      </c>
    </row>
    <row r="14" spans="1:7" x14ac:dyDescent="0.25">
      <c r="A14" s="3" t="s">
        <v>10</v>
      </c>
      <c r="B14" s="5">
        <f>VLOOKUP($A14,'[11]0816'!$A$4:$O$150,4,FALSE)</f>
        <v>1.21</v>
      </c>
      <c r="C14" s="5">
        <f>VLOOKUP($A14,'[11]0816'!$A$4:$O$150,15,FALSE)</f>
        <v>0.97670000000000001</v>
      </c>
      <c r="D14" s="2" t="s">
        <v>0</v>
      </c>
      <c r="G14" s="2" t="s">
        <v>0</v>
      </c>
    </row>
    <row r="15" spans="1:7" x14ac:dyDescent="0.25">
      <c r="A15" s="3" t="s">
        <v>89</v>
      </c>
      <c r="B15" s="5">
        <f>VLOOKUP($A15,'[11]0816'!$A$4:$O$150,4,FALSE)</f>
        <v>1.38</v>
      </c>
      <c r="C15" s="5">
        <f>VLOOKUP($A15,'[11]0816'!$A$4:$O$150,15,FALSE)</f>
        <v>0.97589999999999999</v>
      </c>
      <c r="D15" s="2">
        <v>0.9506</v>
      </c>
      <c r="F15" s="2">
        <v>0.98750000000000004</v>
      </c>
      <c r="G15" s="2" t="s">
        <v>0</v>
      </c>
    </row>
    <row r="16" spans="1:7" x14ac:dyDescent="0.25">
      <c r="A16" s="3" t="s">
        <v>7</v>
      </c>
      <c r="B16" s="5">
        <f>VLOOKUP($A16,'[11]0816'!$A$4:$O$150,4,FALSE)</f>
        <v>1.49</v>
      </c>
      <c r="C16" s="5">
        <f>VLOOKUP($A16,'[11]0816'!$A$4:$O$150,15,FALSE)</f>
        <v>0.97570000000000001</v>
      </c>
      <c r="D16" s="2" t="s">
        <v>0</v>
      </c>
      <c r="G16" s="2" t="s">
        <v>0</v>
      </c>
    </row>
    <row r="17" spans="1:7" x14ac:dyDescent="0.25">
      <c r="A17" s="3" t="s">
        <v>334</v>
      </c>
      <c r="B17" s="5">
        <f>VLOOKUP($A17,'[11]0816'!$A$4:$O$150,4,FALSE)</f>
        <v>1.49</v>
      </c>
      <c r="C17" s="5">
        <f>VLOOKUP($A17,'[11]0816'!$A$4:$O$150,15,FALSE)</f>
        <v>0.97570000000000001</v>
      </c>
      <c r="D17" s="2" t="s">
        <v>0</v>
      </c>
      <c r="G17" s="2" t="s">
        <v>0</v>
      </c>
    </row>
    <row r="18" spans="1:7" x14ac:dyDescent="0.25">
      <c r="A18" s="3" t="s">
        <v>31</v>
      </c>
      <c r="B18" s="5">
        <f>VLOOKUP($A18,'[11]0816'!$A$4:$O$150,4,FALSE)</f>
        <v>1.54</v>
      </c>
      <c r="C18" s="5">
        <f>VLOOKUP($A18,'[11]0816'!$A$4:$O$150,15,FALSE)</f>
        <v>0.9758</v>
      </c>
      <c r="D18" s="2" t="s">
        <v>0</v>
      </c>
      <c r="G18" s="2" t="s">
        <v>0</v>
      </c>
    </row>
    <row r="19" spans="1:7" x14ac:dyDescent="0.25">
      <c r="A19" s="3" t="s">
        <v>94</v>
      </c>
      <c r="B19" s="5">
        <f>VLOOKUP($A19,'[11]0816'!$A$4:$O$150,4,FALSE)</f>
        <v>1.89</v>
      </c>
      <c r="C19" s="5">
        <f>VLOOKUP($A19,'[11]0816'!$A$4:$O$150,15,FALSE)</f>
        <v>0.97929999999999995</v>
      </c>
      <c r="D19" s="2" t="s">
        <v>0</v>
      </c>
      <c r="G19" s="2" t="s">
        <v>0</v>
      </c>
    </row>
    <row r="20" spans="1:7" x14ac:dyDescent="0.25">
      <c r="A20" s="3" t="s">
        <v>38</v>
      </c>
      <c r="B20" s="5">
        <f>VLOOKUP($A20,'[11]0816'!$A$4:$O$150,4,FALSE)</f>
        <v>2.0099999999999998</v>
      </c>
      <c r="C20" s="5">
        <f>VLOOKUP($A20,'[11]0816'!$A$4:$O$150,15,FALSE)</f>
        <v>0.98280000000000001</v>
      </c>
      <c r="D20" s="2" t="s">
        <v>0</v>
      </c>
      <c r="G20" s="2" t="s">
        <v>0</v>
      </c>
    </row>
    <row r="21" spans="1:7" x14ac:dyDescent="0.25">
      <c r="A21" s="3" t="s">
        <v>98</v>
      </c>
      <c r="B21" s="5">
        <f>VLOOKUP($A21,'[11]0816'!$A$4:$O$150,4,FALSE)</f>
        <v>2.2799999999999998</v>
      </c>
      <c r="C21" s="5">
        <f>VLOOKUP($A21,'[11]0816'!$A$4:$O$150,15,FALSE)</f>
        <v>0.99070000000000003</v>
      </c>
      <c r="D21" s="2" t="s">
        <v>0</v>
      </c>
      <c r="G21" s="2" t="s">
        <v>0</v>
      </c>
    </row>
    <row r="22" spans="1:7" x14ac:dyDescent="0.25">
      <c r="A22" s="3" t="s">
        <v>100</v>
      </c>
      <c r="B22" s="5">
        <f>VLOOKUP($A22,'[11]0816'!$A$4:$O$150,4,FALSE)</f>
        <v>2.37</v>
      </c>
      <c r="C22" s="5">
        <f>VLOOKUP($A22,'[11]0816'!$A$4:$O$150,15,FALSE)</f>
        <v>0.99490000000000001</v>
      </c>
      <c r="D22" s="2" t="s">
        <v>0</v>
      </c>
      <c r="G22" s="2" t="s">
        <v>0</v>
      </c>
    </row>
    <row r="23" spans="1:7" x14ac:dyDescent="0.25">
      <c r="A23" s="3" t="s">
        <v>8</v>
      </c>
      <c r="B23" s="5">
        <f>VLOOKUP($A23,'[11]0816'!$A$4:$O$150,4,FALSE)</f>
        <v>2.44</v>
      </c>
      <c r="C23" s="5">
        <f>VLOOKUP($A23,'[11]0816'!$A$4:$O$150,15,FALSE)</f>
        <v>1.0002</v>
      </c>
      <c r="D23" s="2" t="s">
        <v>0</v>
      </c>
      <c r="E23" s="2">
        <v>1.0505</v>
      </c>
      <c r="G23" s="2" t="s">
        <v>0</v>
      </c>
    </row>
    <row r="24" spans="1:7" x14ac:dyDescent="0.25">
      <c r="A24" s="3" t="s">
        <v>59</v>
      </c>
      <c r="B24" s="5">
        <f>VLOOKUP($A24,'[11]0816'!$A$4:$O$150,4,FALSE)</f>
        <v>2.5</v>
      </c>
      <c r="C24" s="5">
        <f>VLOOKUP($A24,'[11]0816'!$A$4:$O$150,15,FALSE)</f>
        <v>1.0014000000000001</v>
      </c>
      <c r="D24" s="2" t="s">
        <v>0</v>
      </c>
      <c r="G24" s="2" t="s">
        <v>0</v>
      </c>
    </row>
    <row r="25" spans="1:7" x14ac:dyDescent="0.25">
      <c r="A25" s="3" t="s">
        <v>226</v>
      </c>
      <c r="B25" s="5">
        <f>VLOOKUP($A25,'[11]0816'!$A$4:$O$150,4,FALSE)</f>
        <v>2.91</v>
      </c>
      <c r="C25" s="5">
        <f>VLOOKUP($A25,'[11]0816'!$A$4:$O$150,15,FALSE)</f>
        <v>1.0244</v>
      </c>
      <c r="D25" s="2" t="s">
        <v>0</v>
      </c>
      <c r="G25" s="2" t="s">
        <v>0</v>
      </c>
    </row>
    <row r="26" spans="1:7" x14ac:dyDescent="0.25">
      <c r="A26" s="3" t="s">
        <v>56</v>
      </c>
      <c r="B26" s="5">
        <f>VLOOKUP($A26,'[11]0816'!$A$4:$O$150,4,FALSE)</f>
        <v>2.99</v>
      </c>
      <c r="C26" s="5">
        <f>VLOOKUP($A26,'[11]0816'!$A$4:$O$150,15,FALSE)</f>
        <v>1.0306</v>
      </c>
      <c r="D26" s="2" t="s">
        <v>0</v>
      </c>
      <c r="G26" s="2" t="s">
        <v>0</v>
      </c>
    </row>
    <row r="27" spans="1:7" x14ac:dyDescent="0.25">
      <c r="A27" s="3" t="s">
        <v>11</v>
      </c>
      <c r="B27" s="5">
        <f>VLOOKUP($A27,'[11]0816'!$A$4:$O$150,4,FALSE)</f>
        <v>3.08</v>
      </c>
      <c r="C27" s="5">
        <f>VLOOKUP($A27,'[11]0816'!$A$4:$O$150,15,FALSE)</f>
        <v>1.0397000000000001</v>
      </c>
      <c r="D27" s="2" t="s">
        <v>0</v>
      </c>
      <c r="G27" s="2" t="s">
        <v>0</v>
      </c>
    </row>
    <row r="28" spans="1:7" x14ac:dyDescent="0.25">
      <c r="A28" s="3" t="s">
        <v>12</v>
      </c>
      <c r="B28" s="5">
        <f>VLOOKUP($A28,'[11]0816'!$A$4:$O$150,4,FALSE)</f>
        <v>3.34</v>
      </c>
      <c r="C28" s="5">
        <f>VLOOKUP($A28,'[11]0816'!$A$4:$O$150,15,FALSE)</f>
        <v>1.0531999999999999</v>
      </c>
      <c r="D28" s="2" t="s">
        <v>0</v>
      </c>
      <c r="G28" s="2" t="s">
        <v>0</v>
      </c>
    </row>
    <row r="29" spans="1:7" x14ac:dyDescent="0.25">
      <c r="A29" s="3" t="s">
        <v>32</v>
      </c>
      <c r="B29" s="5">
        <f>VLOOKUP($A29,'[11]0816'!$A$4:$O$150,4,FALSE)</f>
        <v>3.43</v>
      </c>
      <c r="C29" s="5">
        <f>VLOOKUP($A29,'[11]0816'!$A$4:$O$150,15,FALSE)</f>
        <v>1.0559000000000001</v>
      </c>
      <c r="D29" s="2" t="s">
        <v>0</v>
      </c>
      <c r="G29" s="2" t="s">
        <v>0</v>
      </c>
    </row>
    <row r="30" spans="1:7" x14ac:dyDescent="0.25">
      <c r="A30" s="3" t="s">
        <v>258</v>
      </c>
      <c r="B30" s="5">
        <f>VLOOKUP($A30,'[11]0816'!$A$4:$O$150,4,FALSE)</f>
        <v>3.45</v>
      </c>
      <c r="C30" s="5">
        <f>VLOOKUP($A30,'[11]0816'!$A$4:$O$150,15,FALSE)</f>
        <v>1.0558000000000001</v>
      </c>
      <c r="D30" s="2" t="s">
        <v>0</v>
      </c>
      <c r="G30" s="2" t="s">
        <v>0</v>
      </c>
    </row>
    <row r="31" spans="1:7" x14ac:dyDescent="0.25">
      <c r="A31" s="3" t="s">
        <v>270</v>
      </c>
      <c r="B31" s="5">
        <f>VLOOKUP($A31,'[11]0816'!$A$4:$O$150,4,FALSE)</f>
        <v>3.75</v>
      </c>
      <c r="C31" s="5">
        <f>VLOOKUP($A31,'[11]0816'!$A$4:$O$150,15,FALSE)</f>
        <v>1.069</v>
      </c>
      <c r="D31" s="2" t="s">
        <v>0</v>
      </c>
      <c r="G31" s="2" t="s">
        <v>0</v>
      </c>
    </row>
    <row r="32" spans="1:7" x14ac:dyDescent="0.25">
      <c r="A32" s="3" t="s">
        <v>308</v>
      </c>
      <c r="B32" s="5">
        <f>VLOOKUP($A32,'[11]0816'!$A$4:$O$150,4,FALSE)</f>
        <v>3.93</v>
      </c>
      <c r="C32" s="5">
        <f>VLOOKUP($A32,'[11]0816'!$A$4:$O$150,15,FALSE)</f>
        <v>1.0762</v>
      </c>
      <c r="D32" s="2" t="s">
        <v>0</v>
      </c>
      <c r="G32" s="2" t="s">
        <v>0</v>
      </c>
    </row>
    <row r="33" spans="1:7" x14ac:dyDescent="0.25">
      <c r="A33" s="3" t="s">
        <v>13</v>
      </c>
      <c r="B33" s="5">
        <f>VLOOKUP($A33,'[11]0816'!$A$4:$O$150,4,FALSE)</f>
        <v>3.94</v>
      </c>
      <c r="C33" s="5">
        <f>VLOOKUP($A33,'[11]0816'!$A$4:$O$150,15,FALSE)</f>
        <v>1.0775999999999999</v>
      </c>
      <c r="D33" s="2" t="s">
        <v>0</v>
      </c>
      <c r="G33" s="2" t="s">
        <v>0</v>
      </c>
    </row>
    <row r="34" spans="1:7" x14ac:dyDescent="0.25">
      <c r="A34" s="3" t="s">
        <v>1</v>
      </c>
      <c r="B34" s="5">
        <f>VLOOKUP($A34,'[11]0816'!$A$4:$O$150,4,FALSE)</f>
        <v>3.95</v>
      </c>
      <c r="C34" s="5">
        <f>VLOOKUP($A34,'[11]0816'!$A$4:$O$150,15,FALSE)</f>
        <v>1.0762</v>
      </c>
      <c r="D34" s="2" t="s">
        <v>0</v>
      </c>
      <c r="G34" s="2" t="s">
        <v>0</v>
      </c>
    </row>
    <row r="35" spans="1:7" x14ac:dyDescent="0.25">
      <c r="A35" s="3" t="s">
        <v>60</v>
      </c>
      <c r="B35" s="5">
        <f>VLOOKUP($A35,'[11]0816'!$A$4:$O$150,4,FALSE)</f>
        <v>4.22</v>
      </c>
      <c r="C35" s="5">
        <f>VLOOKUP($A35,'[11]0816'!$A$4:$O$150,15,FALSE)</f>
        <v>1.0821000000000001</v>
      </c>
      <c r="D35" s="2" t="s">
        <v>0</v>
      </c>
      <c r="G35" s="2" t="s">
        <v>0</v>
      </c>
    </row>
    <row r="36" spans="1:7" x14ac:dyDescent="0.25">
      <c r="A36" s="3" t="s">
        <v>14</v>
      </c>
      <c r="B36" s="5">
        <f>VLOOKUP($A36,'[11]0816'!$A$4:$O$150,4,FALSE)</f>
        <v>4.22</v>
      </c>
      <c r="C36" s="5">
        <f>VLOOKUP($A36,'[11]0816'!$A$4:$O$150,15,FALSE)</f>
        <v>1.0824</v>
      </c>
      <c r="D36" s="2" t="s">
        <v>0</v>
      </c>
      <c r="G36" s="2" t="s">
        <v>0</v>
      </c>
    </row>
    <row r="37" spans="1:7" x14ac:dyDescent="0.25">
      <c r="A37" s="3" t="s">
        <v>336</v>
      </c>
      <c r="B37" s="5">
        <f>VLOOKUP($A37,'[11]0816'!$A$4:$O$150,4,FALSE)</f>
        <v>4.2699999999999996</v>
      </c>
      <c r="C37" s="5">
        <f>VLOOKUP($A37,'[11]0816'!$A$4:$O$150,15,FALSE)</f>
        <v>1.0829</v>
      </c>
      <c r="D37" s="2" t="s">
        <v>0</v>
      </c>
      <c r="G37" s="2" t="s">
        <v>0</v>
      </c>
    </row>
    <row r="38" spans="1:7" x14ac:dyDescent="0.25">
      <c r="A38" s="3" t="s">
        <v>35</v>
      </c>
      <c r="B38" s="5">
        <f>VLOOKUP($A38,'[11]0816'!$A$4:$O$150,4,FALSE)</f>
        <v>4.33</v>
      </c>
      <c r="C38" s="5">
        <f>VLOOKUP($A38,'[11]0816'!$A$4:$O$150,15,FALSE)</f>
        <v>1.0839000000000001</v>
      </c>
      <c r="D38" s="2" t="s">
        <v>0</v>
      </c>
      <c r="G38" s="2" t="s">
        <v>0</v>
      </c>
    </row>
    <row r="39" spans="1:7" x14ac:dyDescent="0.25">
      <c r="A39" s="3" t="s">
        <v>15</v>
      </c>
      <c r="B39" s="5">
        <f>VLOOKUP($A39,'[11]0816'!$A$4:$O$150,4,FALSE)</f>
        <v>4.7</v>
      </c>
      <c r="C39" s="5">
        <f>VLOOKUP($A39,'[11]0816'!$A$4:$O$150,15,FALSE)</f>
        <v>1.0891999999999999</v>
      </c>
      <c r="D39" s="2" t="s">
        <v>0</v>
      </c>
      <c r="G39" s="2" t="s">
        <v>0</v>
      </c>
    </row>
    <row r="40" spans="1:7" x14ac:dyDescent="0.25">
      <c r="A40" s="3" t="s">
        <v>366</v>
      </c>
      <c r="B40" s="5">
        <f>VLOOKUP($A40,'[11]0816'!$A$4:$O$150,4,FALSE)</f>
        <v>4.62</v>
      </c>
      <c r="C40" s="5">
        <f>VLOOKUP($A40,'[11]0816'!$A$4:$O$150,15,FALSE)</f>
        <v>1.0881000000000001</v>
      </c>
      <c r="D40" s="2" t="s">
        <v>0</v>
      </c>
      <c r="F40" s="2">
        <v>1.091</v>
      </c>
      <c r="G40" s="2" t="s">
        <v>0</v>
      </c>
    </row>
    <row r="41" spans="1:7" x14ac:dyDescent="0.25">
      <c r="A41" s="3" t="s">
        <v>2</v>
      </c>
      <c r="B41" s="5">
        <f>VLOOKUP($A41,'[11]0816'!$A$4:$O$150,4,FALSE)</f>
        <v>4.67</v>
      </c>
      <c r="C41" s="5">
        <f>VLOOKUP($A41,'[11]0816'!$A$4:$O$150,15,FALSE)</f>
        <v>1.0887</v>
      </c>
      <c r="D41" s="2" t="s">
        <v>0</v>
      </c>
      <c r="G41" s="2" t="s">
        <v>0</v>
      </c>
    </row>
    <row r="42" spans="1:7" x14ac:dyDescent="0.25">
      <c r="A42" s="3" t="s">
        <v>383</v>
      </c>
      <c r="B42" s="5">
        <f>VLOOKUP($A42,'[11]0816'!$A$4:$O$150,4,FALSE)</f>
        <v>4.8499999999999996</v>
      </c>
      <c r="C42" s="5">
        <f>VLOOKUP($A42,'[11]0816'!$A$4:$O$150,15,FALSE)</f>
        <v>1.0911</v>
      </c>
      <c r="D42" s="2">
        <v>1.0934999999999999</v>
      </c>
      <c r="G42" s="2" t="s">
        <v>0</v>
      </c>
    </row>
    <row r="43" spans="1:7" x14ac:dyDescent="0.25">
      <c r="A43" s="3" t="s">
        <v>229</v>
      </c>
      <c r="B43" s="5">
        <f>VLOOKUP($A43,'[11]0816'!$A$4:$O$150,4,FALSE)</f>
        <v>4.91</v>
      </c>
      <c r="C43" s="5">
        <f>VLOOKUP($A43,'[11]0816'!$A$4:$O$150,15,FALSE)</f>
        <v>1.0921000000000001</v>
      </c>
      <c r="D43" s="2" t="s">
        <v>0</v>
      </c>
      <c r="G43" s="2" t="s">
        <v>0</v>
      </c>
    </row>
    <row r="44" spans="1:7" x14ac:dyDescent="0.25">
      <c r="A44" s="3" t="s">
        <v>28</v>
      </c>
      <c r="B44" s="5">
        <f>VLOOKUP($A44,'[11]0816'!$A$4:$O$150,4,FALSE)</f>
        <v>4.9800000000000004</v>
      </c>
      <c r="C44" s="5">
        <f>VLOOKUP($A44,'[11]0816'!$A$4:$O$150,15,FALSE)</f>
        <v>1.0934999999999999</v>
      </c>
      <c r="D44" s="2" t="s">
        <v>0</v>
      </c>
      <c r="G44" s="2" t="s">
        <v>0</v>
      </c>
    </row>
    <row r="45" spans="1:7" x14ac:dyDescent="0.25">
      <c r="A45" s="3" t="s">
        <v>16</v>
      </c>
      <c r="B45" s="5">
        <f>VLOOKUP($A45,'[11]0816'!$A$4:$O$150,4,FALSE)</f>
        <v>5.15</v>
      </c>
      <c r="C45" s="5">
        <f>VLOOKUP($A45,'[11]0816'!$A$4:$O$150,15,FALSE)</f>
        <v>1.0969</v>
      </c>
      <c r="D45" s="2" t="s">
        <v>0</v>
      </c>
      <c r="G45" s="2" t="s">
        <v>0</v>
      </c>
    </row>
    <row r="46" spans="1:7" x14ac:dyDescent="0.25">
      <c r="A46" s="3" t="s">
        <v>3</v>
      </c>
      <c r="B46" s="5">
        <f>VLOOKUP($A46,'[11]0816'!$A$4:$O$150,4,FALSE)</f>
        <v>5.32</v>
      </c>
      <c r="C46" s="5">
        <f>VLOOKUP($A46,'[11]0816'!$A$4:$O$150,15,FALSE)</f>
        <v>1.0985</v>
      </c>
      <c r="D46" s="2" t="s">
        <v>0</v>
      </c>
      <c r="G46" s="2" t="s">
        <v>0</v>
      </c>
    </row>
    <row r="47" spans="1:7" x14ac:dyDescent="0.25">
      <c r="A47" s="3" t="s">
        <v>17</v>
      </c>
      <c r="B47" s="5">
        <f>VLOOKUP($A47,'[11]0816'!$A$4:$O$150,4,FALSE)</f>
        <v>5.63</v>
      </c>
      <c r="C47" s="5">
        <f>VLOOKUP($A47,'[11]0816'!$A$4:$O$150,15,FALSE)</f>
        <v>1.1053999999999999</v>
      </c>
      <c r="D47" s="2" t="s">
        <v>0</v>
      </c>
      <c r="G47" s="2" t="s">
        <v>0</v>
      </c>
    </row>
    <row r="48" spans="1:7" x14ac:dyDescent="0.25">
      <c r="A48" s="3" t="s">
        <v>4</v>
      </c>
      <c r="B48" s="5">
        <f>VLOOKUP($A48,'[11]0816'!$A$4:$O$150,4,FALSE)</f>
        <v>5.7</v>
      </c>
      <c r="C48" s="5">
        <f>VLOOKUP($A48,'[11]0816'!$A$4:$O$150,15,FALSE)</f>
        <v>1.1049</v>
      </c>
      <c r="D48" s="2" t="s">
        <v>0</v>
      </c>
      <c r="G48" s="2" t="s">
        <v>0</v>
      </c>
    </row>
    <row r="49" spans="1:7" x14ac:dyDescent="0.25">
      <c r="A49" s="3" t="s">
        <v>6</v>
      </c>
      <c r="B49" s="5">
        <f>VLOOKUP($A49,'[11]0816'!$A$4:$O$150,4,FALSE)</f>
        <v>5.96</v>
      </c>
      <c r="C49" s="5">
        <f>VLOOKUP($A49,'[11]0816'!$A$4:$O$150,15,FALSE)</f>
        <v>1.1107</v>
      </c>
      <c r="D49" s="2" t="s">
        <v>0</v>
      </c>
      <c r="G49" s="2" t="s">
        <v>0</v>
      </c>
    </row>
    <row r="50" spans="1:7" x14ac:dyDescent="0.25">
      <c r="A50" s="3" t="s">
        <v>18</v>
      </c>
      <c r="B50" s="5">
        <f>VLOOKUP($A50,'[11]0816'!$A$4:$O$150,4,FALSE)</f>
        <v>6.08</v>
      </c>
      <c r="C50" s="5">
        <f>VLOOKUP($A50,'[11]0816'!$A$4:$O$150,15,FALSE)</f>
        <v>1.1163000000000001</v>
      </c>
      <c r="D50" s="2" t="s">
        <v>0</v>
      </c>
      <c r="G50" s="2" t="s">
        <v>0</v>
      </c>
    </row>
    <row r="51" spans="1:7" x14ac:dyDescent="0.25">
      <c r="A51" s="3" t="s">
        <v>90</v>
      </c>
      <c r="B51" s="5">
        <f>VLOOKUP($A51,'[11]0816'!$A$4:$O$150,4,FALSE)</f>
        <v>6.34</v>
      </c>
      <c r="C51" s="5">
        <f>VLOOKUP($A51,'[11]0816'!$A$4:$O$150,15,FALSE)</f>
        <v>1.1184000000000001</v>
      </c>
      <c r="D51" s="2" t="s">
        <v>0</v>
      </c>
      <c r="G51" s="2" t="s">
        <v>0</v>
      </c>
    </row>
    <row r="52" spans="1:7" x14ac:dyDescent="0.25">
      <c r="A52" s="3" t="s">
        <v>19</v>
      </c>
      <c r="B52" s="5">
        <f>VLOOKUP($A52,'[11]0816'!$A$4:$O$150,4,FALSE)</f>
        <v>6.57</v>
      </c>
      <c r="C52" s="5">
        <f>VLOOKUP($A52,'[11]0816'!$A$4:$O$150,15,FALSE)</f>
        <v>1.1273</v>
      </c>
      <c r="D52" s="2" t="s">
        <v>0</v>
      </c>
      <c r="G52" s="2" t="s">
        <v>0</v>
      </c>
    </row>
    <row r="53" spans="1:7" x14ac:dyDescent="0.25">
      <c r="A53" s="3" t="s">
        <v>93</v>
      </c>
      <c r="B53" s="5">
        <f>VLOOKUP($A53,'[11]0816'!$A$4:$O$150,4,FALSE)</f>
        <v>6.66</v>
      </c>
      <c r="C53" s="5">
        <f>VLOOKUP($A53,'[11]0816'!$A$4:$O$150,15,FALSE)</f>
        <v>1.1255999999999999</v>
      </c>
      <c r="D53" s="2" t="s">
        <v>0</v>
      </c>
      <c r="G53" s="2" t="s">
        <v>0</v>
      </c>
    </row>
    <row r="54" spans="1:7" x14ac:dyDescent="0.25">
      <c r="A54" s="3" t="s">
        <v>50</v>
      </c>
      <c r="B54" s="5">
        <f>VLOOKUP($A54,'[11]0816'!$A$4:$O$150,4,FALSE)</f>
        <v>6.79</v>
      </c>
      <c r="C54" s="5">
        <f>VLOOKUP($A54,'[11]0816'!$A$4:$O$150,15,FALSE)</f>
        <v>1.1373</v>
      </c>
      <c r="D54" s="2" t="s">
        <v>0</v>
      </c>
      <c r="G54" s="2" t="s">
        <v>0</v>
      </c>
    </row>
    <row r="55" spans="1:7" x14ac:dyDescent="0.25">
      <c r="A55" s="3" t="s">
        <v>96</v>
      </c>
      <c r="B55" s="5">
        <f>VLOOKUP($A55,'[11]0816'!$A$4:$O$150,4,FALSE)</f>
        <v>7</v>
      </c>
      <c r="C55" s="5">
        <f>VLOOKUP($A55,'[11]0816'!$A$4:$O$150,15,FALSE)</f>
        <v>1.1345000000000001</v>
      </c>
      <c r="D55" s="2" t="s">
        <v>0</v>
      </c>
      <c r="G55" s="2" t="s">
        <v>0</v>
      </c>
    </row>
    <row r="56" spans="1:7" x14ac:dyDescent="0.25">
      <c r="A56" s="3" t="s">
        <v>20</v>
      </c>
      <c r="B56" s="5">
        <f>VLOOKUP($A56,'[11]0816'!$A$4:$O$150,4,FALSE)</f>
        <v>7.01</v>
      </c>
      <c r="C56" s="5">
        <f>VLOOKUP($A56,'[11]0816'!$A$4:$O$150,15,FALSE)</f>
        <v>1.1474</v>
      </c>
      <c r="D56" s="2" t="s">
        <v>0</v>
      </c>
      <c r="G56" s="2" t="s">
        <v>0</v>
      </c>
    </row>
    <row r="57" spans="1:7" x14ac:dyDescent="0.25">
      <c r="A57" s="3" t="s">
        <v>58</v>
      </c>
      <c r="B57" s="5">
        <f>VLOOKUP($A57,'[11]0816'!$A$4:$O$150,4,FALSE)</f>
        <v>7.23</v>
      </c>
      <c r="C57" s="5">
        <f>VLOOKUP($A57,'[11]0816'!$A$4:$O$150,15,FALSE)</f>
        <v>1.1476999999999999</v>
      </c>
      <c r="D57" s="2" t="s">
        <v>0</v>
      </c>
      <c r="G57" s="2" t="s">
        <v>0</v>
      </c>
    </row>
    <row r="58" spans="1:7" x14ac:dyDescent="0.25">
      <c r="A58" s="3" t="s">
        <v>61</v>
      </c>
      <c r="B58" s="5">
        <f>VLOOKUP($A58,'[11]0816'!$A$4:$O$150,4,FALSE)</f>
        <v>7.39</v>
      </c>
      <c r="C58" s="5">
        <f>VLOOKUP($A58,'[11]0816'!$A$4:$O$150,15,FALSE)</f>
        <v>1.1521999999999999</v>
      </c>
      <c r="D58" s="2" t="s">
        <v>0</v>
      </c>
      <c r="G58" s="2" t="s">
        <v>0</v>
      </c>
    </row>
    <row r="59" spans="1:7" x14ac:dyDescent="0.25">
      <c r="A59" s="3" t="s">
        <v>104</v>
      </c>
      <c r="B59" s="5">
        <f>VLOOKUP($A59,'[11]0816'!$A$4:$O$150,4,FALSE)</f>
        <v>7.36</v>
      </c>
      <c r="C59" s="5">
        <f>VLOOKUP($A59,'[11]0816'!$A$4:$O$150,15,FALSE)</f>
        <v>1.1440999999999999</v>
      </c>
      <c r="D59" s="2" t="s">
        <v>0</v>
      </c>
      <c r="G59" s="2" t="s">
        <v>0</v>
      </c>
    </row>
    <row r="60" spans="1:7" x14ac:dyDescent="0.25">
      <c r="A60" s="3" t="s">
        <v>219</v>
      </c>
      <c r="B60" s="5">
        <f>VLOOKUP($A60,'[11]0816'!$A$4:$O$150,4,FALSE)</f>
        <v>7.52</v>
      </c>
      <c r="C60" s="5">
        <f>VLOOKUP($A60,'[11]0816'!$A$4:$O$150,15,FALSE)</f>
        <v>1.1495</v>
      </c>
      <c r="D60" s="2" t="s">
        <v>0</v>
      </c>
      <c r="G60" s="2" t="s">
        <v>0</v>
      </c>
    </row>
    <row r="61" spans="1:7" x14ac:dyDescent="0.25">
      <c r="A61" s="3" t="s">
        <v>220</v>
      </c>
      <c r="B61" s="5">
        <f>VLOOKUP($A61,'[11]0816'!$A$4:$O$150,4,FALSE)</f>
        <v>7.65</v>
      </c>
      <c r="C61" s="5">
        <f>VLOOKUP($A61,'[11]0816'!$A$4:$O$150,15,FALSE)</f>
        <v>1.1529</v>
      </c>
      <c r="D61" s="2" t="s">
        <v>0</v>
      </c>
      <c r="G61" s="2" t="s">
        <v>0</v>
      </c>
    </row>
    <row r="62" spans="1:7" x14ac:dyDescent="0.25">
      <c r="A62" s="3" t="s">
        <v>43</v>
      </c>
      <c r="B62" s="5">
        <f>VLOOKUP($A62,'[11]0816'!$A$4:$O$150,4,FALSE)</f>
        <v>7.79</v>
      </c>
      <c r="C62" s="5">
        <f>VLOOKUP($A62,'[11]0816'!$A$4:$O$150,15,FALSE)</f>
        <v>1.1641999999999999</v>
      </c>
      <c r="D62" s="2" t="s">
        <v>0</v>
      </c>
      <c r="G62" s="2" t="s">
        <v>0</v>
      </c>
    </row>
    <row r="63" spans="1:7" x14ac:dyDescent="0.25">
      <c r="A63" s="3" t="s">
        <v>235</v>
      </c>
      <c r="B63" s="5">
        <f>VLOOKUP($A63,'[11]0816'!$A$4:$O$150,4,FALSE)</f>
        <v>7.9</v>
      </c>
      <c r="C63" s="5">
        <f>VLOOKUP($A63,'[11]0816'!$A$4:$O$150,15,FALSE)</f>
        <v>1.1613</v>
      </c>
      <c r="D63" s="2" t="s">
        <v>0</v>
      </c>
      <c r="G63" s="2" t="s">
        <v>0</v>
      </c>
    </row>
    <row r="64" spans="1:7" ht="17.25" customHeight="1" x14ac:dyDescent="0.25">
      <c r="A64" s="3" t="s">
        <v>25</v>
      </c>
      <c r="B64" s="5">
        <f>VLOOKUP($A64,'[11]0816'!$A$4:$O$150,4,FALSE)</f>
        <v>7.94</v>
      </c>
      <c r="C64" s="5">
        <f>VLOOKUP($A64,'[11]0816'!$A$4:$O$150,15,FALSE)</f>
        <v>1.1675</v>
      </c>
      <c r="D64" s="2" t="s">
        <v>0</v>
      </c>
      <c r="G64" s="2" t="s">
        <v>0</v>
      </c>
    </row>
    <row r="65" spans="1:7" x14ac:dyDescent="0.25">
      <c r="A65" s="3" t="s">
        <v>253</v>
      </c>
      <c r="B65" s="5">
        <f>VLOOKUP($A65,'[11]0816'!$A$4:$O$150,4,FALSE)</f>
        <v>8.0299999999999994</v>
      </c>
      <c r="C65" s="5">
        <f>VLOOKUP($A65,'[11]0816'!$A$4:$O$150,15,FALSE)</f>
        <v>1.1658999999999999</v>
      </c>
      <c r="D65" s="2" t="s">
        <v>0</v>
      </c>
      <c r="G65" s="2" t="s">
        <v>0</v>
      </c>
    </row>
    <row r="66" spans="1:7" x14ac:dyDescent="0.25">
      <c r="A66" s="3" t="s">
        <v>255</v>
      </c>
      <c r="B66" s="5">
        <f>VLOOKUP($A66,'[11]0816'!$A$4:$O$150,4,FALSE)</f>
        <v>8.18</v>
      </c>
      <c r="C66" s="5">
        <f>VLOOKUP($A66,'[11]0816'!$A$4:$O$150,15,FALSE)</f>
        <v>1.1688000000000001</v>
      </c>
      <c r="D66" s="2" t="s">
        <v>0</v>
      </c>
      <c r="G66" s="2" t="s">
        <v>0</v>
      </c>
    </row>
    <row r="67" spans="1:7" x14ac:dyDescent="0.25">
      <c r="A67" s="3" t="s">
        <v>29</v>
      </c>
      <c r="B67" s="5">
        <f>VLOOKUP($A67,'[11]0816'!$A$4:$O$150,4,FALSE)</f>
        <v>8.3699999999999992</v>
      </c>
      <c r="C67" s="5">
        <f>VLOOKUP($A67,'[11]0816'!$A$4:$O$150,15,FALSE)</f>
        <v>1.1760999999999999</v>
      </c>
      <c r="D67" s="2" t="s">
        <v>0</v>
      </c>
      <c r="G67" s="2" t="s">
        <v>0</v>
      </c>
    </row>
    <row r="68" spans="1:7" x14ac:dyDescent="0.25">
      <c r="A68" s="3" t="s">
        <v>271</v>
      </c>
      <c r="B68" s="5">
        <f>VLOOKUP($A68,'[11]0816'!$A$4:$O$150,4,FALSE)</f>
        <v>8.34</v>
      </c>
      <c r="C68" s="5">
        <f>VLOOKUP($A68,'[11]0816'!$A$4:$O$150,15,FALSE)</f>
        <v>1.1746000000000001</v>
      </c>
      <c r="D68" s="2" t="s">
        <v>0</v>
      </c>
      <c r="G68" s="2" t="s">
        <v>0</v>
      </c>
    </row>
    <row r="69" spans="1:7" x14ac:dyDescent="0.25">
      <c r="A69" s="3" t="s">
        <v>317</v>
      </c>
      <c r="B69" s="5">
        <f>VLOOKUP($A69,'[11]0816'!$A$4:$O$150,4,FALSE)</f>
        <v>8.35</v>
      </c>
      <c r="C69" s="5">
        <f>VLOOKUP($A69,'[11]0816'!$A$4:$O$150,15,FALSE)</f>
        <v>1.1788000000000001</v>
      </c>
      <c r="D69" s="2" t="s">
        <v>0</v>
      </c>
      <c r="E69" s="2">
        <v>1.1830000000000001</v>
      </c>
      <c r="G69" s="2" t="s">
        <v>0</v>
      </c>
    </row>
    <row r="70" spans="1:7" x14ac:dyDescent="0.25">
      <c r="A70" s="3" t="s">
        <v>53</v>
      </c>
      <c r="B70" s="5">
        <f>VLOOKUP($A70,'[11]0816'!$A$4:$O$150,4,FALSE)</f>
        <v>8.7200000000000006</v>
      </c>
      <c r="C70" s="5">
        <f>VLOOKUP($A70,'[11]0816'!$A$4:$O$150,15,FALSE)</f>
        <v>1.1847000000000001</v>
      </c>
      <c r="D70" s="2" t="s">
        <v>0</v>
      </c>
      <c r="G70" s="2" t="s">
        <v>0</v>
      </c>
    </row>
    <row r="71" spans="1:7" x14ac:dyDescent="0.25">
      <c r="A71" s="3" t="s">
        <v>339</v>
      </c>
      <c r="B71" s="5">
        <f>VLOOKUP($A71,'[11]0816'!$A$4:$O$150,4,FALSE)</f>
        <v>8.76</v>
      </c>
      <c r="C71" s="5">
        <f>VLOOKUP($A71,'[11]0816'!$A$4:$O$150,15,FALSE)</f>
        <v>1.1846000000000001</v>
      </c>
      <c r="D71" s="2" t="s">
        <v>0</v>
      </c>
      <c r="G71" s="2" t="s">
        <v>0</v>
      </c>
    </row>
    <row r="72" spans="1:7" x14ac:dyDescent="0.25">
      <c r="A72" s="3" t="s">
        <v>62</v>
      </c>
      <c r="B72" s="5">
        <f>VLOOKUP($A72,'[11]0816'!$A$4:$O$150,4,FALSE)</f>
        <v>8.77</v>
      </c>
      <c r="C72" s="5">
        <f>VLOOKUP($A72,'[11]0816'!$A$4:$O$150,15,FALSE)</f>
        <v>1.1863999999999999</v>
      </c>
      <c r="D72" s="2" t="s">
        <v>0</v>
      </c>
      <c r="G72" s="2" t="s">
        <v>0</v>
      </c>
    </row>
    <row r="73" spans="1:7" x14ac:dyDescent="0.25">
      <c r="A73" s="3" t="s">
        <v>30</v>
      </c>
      <c r="B73" s="5">
        <f>VLOOKUP($A73,'[11]0816'!$A$4:$O$150,4,FALSE)</f>
        <v>9.0299999999999994</v>
      </c>
      <c r="C73" s="5">
        <f>VLOOKUP($A73,'[11]0816'!$A$4:$O$150,15,FALSE)</f>
        <v>1.1918</v>
      </c>
      <c r="D73" s="2" t="s">
        <v>0</v>
      </c>
      <c r="G73" s="2" t="s">
        <v>0</v>
      </c>
    </row>
    <row r="74" spans="1:7" x14ac:dyDescent="0.25">
      <c r="A74" s="3" t="s">
        <v>340</v>
      </c>
      <c r="B74" s="5">
        <f>VLOOKUP($A74,'[11]0816'!$A$4:$O$150,4,FALSE)</f>
        <v>8.91</v>
      </c>
      <c r="C74" s="5">
        <f>VLOOKUP($A74,'[11]0816'!$A$4:$O$150,15,FALSE)</f>
        <v>1.1868000000000001</v>
      </c>
      <c r="D74" s="2" t="s">
        <v>0</v>
      </c>
      <c r="G74" s="2">
        <v>1.1845000000000001</v>
      </c>
    </row>
    <row r="75" spans="1:7" x14ac:dyDescent="0.25">
      <c r="A75" s="3" t="s">
        <v>21</v>
      </c>
      <c r="B75" s="5">
        <f>VLOOKUP($A75,'[11]0816'!$A$4:$O$150,4,FALSE)</f>
        <v>9.07</v>
      </c>
      <c r="C75" s="5">
        <f>VLOOKUP($A75,'[11]0816'!$A$4:$O$150,15,FALSE)</f>
        <v>1.2002999999999999</v>
      </c>
      <c r="D75" s="2" t="s">
        <v>0</v>
      </c>
      <c r="G75" s="2" t="s">
        <v>0</v>
      </c>
    </row>
    <row r="76" spans="1:7" x14ac:dyDescent="0.25">
      <c r="A76" s="3" t="s">
        <v>370</v>
      </c>
      <c r="B76" s="5">
        <f>VLOOKUP($A76,'[11]0816'!$A$4:$O$150,4,FALSE)</f>
        <v>9.2100000000000009</v>
      </c>
      <c r="C76" s="5">
        <f>VLOOKUP($A76,'[11]0816'!$A$4:$O$150,15,FALSE)</f>
        <v>1.1923999999999999</v>
      </c>
      <c r="D76" s="2" t="s">
        <v>0</v>
      </c>
      <c r="G76" s="2" t="s">
        <v>0</v>
      </c>
    </row>
    <row r="77" spans="1:7" x14ac:dyDescent="0.25">
      <c r="A77" s="3" t="s">
        <v>385</v>
      </c>
      <c r="B77" s="5">
        <f>VLOOKUP($A77,'[11]0816'!$A$4:$O$150,4,FALSE)</f>
        <v>9.19</v>
      </c>
      <c r="C77" s="5">
        <f>VLOOKUP($A77,'[11]0816'!$A$4:$O$150,15,FALSE)</f>
        <v>1.1919999999999999</v>
      </c>
      <c r="D77" s="2">
        <v>1.1880999999999999</v>
      </c>
      <c r="E77" s="2">
        <v>1.1927000000000001</v>
      </c>
      <c r="F77" s="2">
        <v>1.19</v>
      </c>
      <c r="G77" s="2" t="s">
        <v>0</v>
      </c>
    </row>
    <row r="78" spans="1:7" x14ac:dyDescent="0.25">
      <c r="A78" s="3" t="s">
        <v>63</v>
      </c>
      <c r="B78" s="5">
        <f>VLOOKUP($A78,'[11]0816'!$A$4:$O$150,4,FALSE)</f>
        <v>9.3699999999999992</v>
      </c>
      <c r="C78" s="5">
        <f>VLOOKUP($A78,'[11]0816'!$A$4:$O$150,15,FALSE)</f>
        <v>1.2007000000000001</v>
      </c>
      <c r="D78" s="2" t="s">
        <v>0</v>
      </c>
      <c r="G78" s="2" t="s">
        <v>0</v>
      </c>
    </row>
    <row r="79" spans="1:7" x14ac:dyDescent="0.25">
      <c r="A79" s="3" t="s">
        <v>65</v>
      </c>
      <c r="B79" s="5">
        <f>VLOOKUP($A79,'[11]0816'!$A$4:$O$150,4,FALSE)</f>
        <v>9.81</v>
      </c>
      <c r="C79" s="5">
        <f>VLOOKUP($A79,'[11]0816'!$A$4:$O$150,15,FALSE)</f>
        <v>1.2092000000000001</v>
      </c>
      <c r="D79" s="2" t="s">
        <v>0</v>
      </c>
      <c r="G79" s="2" t="s">
        <v>0</v>
      </c>
    </row>
    <row r="80" spans="1:7" x14ac:dyDescent="0.25">
      <c r="A80" s="3" t="s">
        <v>44</v>
      </c>
      <c r="B80" s="5">
        <f>VLOOKUP($A80,'[11]0816'!$A$4:$O$150,4,FALSE)</f>
        <v>9.65</v>
      </c>
      <c r="C80" s="5">
        <f>VLOOKUP($A80,'[11]0816'!$A$4:$O$150,15,FALSE)</f>
        <v>1.2054</v>
      </c>
      <c r="D80" s="2" t="s">
        <v>0</v>
      </c>
      <c r="G80" s="2" t="s">
        <v>0</v>
      </c>
    </row>
    <row r="81" spans="1:7" x14ac:dyDescent="0.25">
      <c r="A81" s="3" t="s">
        <v>64</v>
      </c>
      <c r="B81" s="5">
        <f>VLOOKUP($A81,'[11]0816'!$A$4:$O$150,4,FALSE)</f>
        <v>9.74</v>
      </c>
      <c r="C81" s="5">
        <f>VLOOKUP($A81,'[11]0816'!$A$4:$O$150,15,FALSE)</f>
        <v>1.2118</v>
      </c>
      <c r="D81" s="2" t="s">
        <v>0</v>
      </c>
      <c r="G81" s="2" t="s">
        <v>0</v>
      </c>
    </row>
    <row r="82" spans="1:7" x14ac:dyDescent="0.25">
      <c r="A82" s="3" t="s">
        <v>26</v>
      </c>
      <c r="B82" s="5">
        <f>VLOOKUP($A82,'[11]0816'!$A$4:$O$150,4,FALSE)</f>
        <v>10.16</v>
      </c>
      <c r="C82" s="5">
        <f>VLOOKUP($A82,'[11]0816'!$A$4:$O$150,15,FALSE)</f>
        <v>1.2182999999999999</v>
      </c>
      <c r="D82" s="2" t="s">
        <v>0</v>
      </c>
      <c r="G82" s="2" t="s">
        <v>0</v>
      </c>
    </row>
    <row r="83" spans="1:7" x14ac:dyDescent="0.25">
      <c r="A83" s="3" t="s">
        <v>49</v>
      </c>
      <c r="B83" s="5">
        <f>VLOOKUP($A83,'[11]0816'!$A$4:$O$150,4,FALSE)</f>
        <v>10.32</v>
      </c>
      <c r="C83" s="5">
        <f>VLOOKUP($A83,'[11]0816'!$A$4:$O$150,15,FALSE)</f>
        <v>1.2219</v>
      </c>
      <c r="D83" s="2" t="s">
        <v>0</v>
      </c>
      <c r="G83" s="2" t="s">
        <v>0</v>
      </c>
    </row>
    <row r="84" spans="1:7" x14ac:dyDescent="0.25">
      <c r="A84" s="3" t="s">
        <v>54</v>
      </c>
      <c r="B84" s="5">
        <f>VLOOKUP($A84,'[11]0816'!$A$4:$O$150,4,FALSE)</f>
        <v>10.84</v>
      </c>
      <c r="C84" s="5">
        <f>VLOOKUP($A84,'[11]0816'!$A$4:$O$150,15,FALSE)</f>
        <v>1.2331000000000001</v>
      </c>
      <c r="D84" s="2" t="s">
        <v>0</v>
      </c>
      <c r="G84" s="2" t="s">
        <v>0</v>
      </c>
    </row>
    <row r="85" spans="1:7" x14ac:dyDescent="0.25">
      <c r="A85" s="3" t="s">
        <v>39</v>
      </c>
      <c r="B85" s="5">
        <f>VLOOKUP($A85,'[11]0816'!$A$4:$O$150,4,FALSE)</f>
        <v>11.29</v>
      </c>
      <c r="C85" s="5">
        <f>VLOOKUP($A85,'[11]0816'!$A$4:$O$150,15,FALSE)</f>
        <v>1.2393000000000001</v>
      </c>
      <c r="D85" s="2" t="s">
        <v>0</v>
      </c>
      <c r="G85" s="2" t="s">
        <v>0</v>
      </c>
    </row>
    <row r="86" spans="1:7" x14ac:dyDescent="0.25">
      <c r="A86" s="3" t="s">
        <v>34</v>
      </c>
      <c r="B86" s="5">
        <f>VLOOKUP($A86,'[11]0816'!$A$4:$O$150,4,FALSE)</f>
        <v>11.58</v>
      </c>
      <c r="C86" s="5">
        <f>VLOOKUP($A86,'[11]0816'!$A$4:$O$150,15,FALSE)</f>
        <v>1.2438</v>
      </c>
      <c r="D86" s="2" t="s">
        <v>0</v>
      </c>
      <c r="G86" s="2" t="s">
        <v>0</v>
      </c>
    </row>
    <row r="87" spans="1:7" x14ac:dyDescent="0.25">
      <c r="A87" s="3" t="s">
        <v>45</v>
      </c>
      <c r="B87" s="5">
        <f>VLOOKUP($A87,'[11]0816'!$A$4:$O$150,4,FALSE)</f>
        <v>11.93</v>
      </c>
      <c r="C87" s="5">
        <f>VLOOKUP($A87,'[11]0816'!$A$4:$O$150,15,FALSE)</f>
        <v>1.2498</v>
      </c>
      <c r="D87" s="2" t="s">
        <v>0</v>
      </c>
      <c r="G87" s="2" t="s">
        <v>0</v>
      </c>
    </row>
    <row r="88" spans="1:7" x14ac:dyDescent="0.25">
      <c r="A88" s="3" t="s">
        <v>36</v>
      </c>
      <c r="B88" s="5">
        <f>VLOOKUP($A88,'[11]0816'!$A$4:$O$150,4,FALSE)</f>
        <v>11.95</v>
      </c>
      <c r="C88" s="5">
        <f>VLOOKUP($A88,'[11]0816'!$A$4:$O$150,15,FALSE)</f>
        <v>1.2575000000000001</v>
      </c>
      <c r="D88" s="2" t="s">
        <v>0</v>
      </c>
      <c r="G88" s="2" t="s">
        <v>0</v>
      </c>
    </row>
    <row r="89" spans="1:7" x14ac:dyDescent="0.25">
      <c r="A89" s="3" t="s">
        <v>66</v>
      </c>
      <c r="B89" s="5">
        <f>VLOOKUP($A89,'[11]0816'!$A$4:$O$150,4,FALSE)</f>
        <v>12.59</v>
      </c>
      <c r="C89" s="5">
        <f>VLOOKUP($A89,'[11]0816'!$A$4:$O$150,15,FALSE)</f>
        <v>1.2682</v>
      </c>
      <c r="D89" s="2" t="s">
        <v>0</v>
      </c>
      <c r="G89" s="2" t="s">
        <v>0</v>
      </c>
    </row>
    <row r="90" spans="1:7" x14ac:dyDescent="0.25">
      <c r="A90" s="3" t="s">
        <v>67</v>
      </c>
      <c r="B90" s="5">
        <f>VLOOKUP($A90,'[11]0816'!$A$4:$O$150,4,FALSE)</f>
        <v>13.07</v>
      </c>
      <c r="C90" s="5">
        <f>VLOOKUP($A90,'[11]0816'!$A$4:$O$150,15,FALSE)</f>
        <v>1.2796000000000001</v>
      </c>
      <c r="D90" s="2" t="s">
        <v>0</v>
      </c>
      <c r="G90" s="2" t="s">
        <v>0</v>
      </c>
    </row>
    <row r="91" spans="1:7" x14ac:dyDescent="0.25">
      <c r="A91" s="3" t="s">
        <v>68</v>
      </c>
      <c r="B91" s="5">
        <f>VLOOKUP($A91,'[11]0816'!$A$4:$O$150,4,FALSE)</f>
        <v>13.63</v>
      </c>
      <c r="C91" s="5">
        <f>VLOOKUP($A91,'[11]0816'!$A$4:$O$150,15,FALSE)</f>
        <v>1.2915000000000001</v>
      </c>
      <c r="D91" s="2" t="s">
        <v>0</v>
      </c>
      <c r="G91" s="2" t="s">
        <v>0</v>
      </c>
    </row>
    <row r="92" spans="1:7" x14ac:dyDescent="0.25">
      <c r="A92" s="3" t="s">
        <v>22</v>
      </c>
      <c r="B92" s="5">
        <f>VLOOKUP($A92,'[11]0816'!$A$4:$O$150,4,FALSE)</f>
        <v>13.79</v>
      </c>
      <c r="C92" s="5">
        <f>VLOOKUP($A92,'[11]0816'!$A$4:$O$150,15,FALSE)</f>
        <v>1.3089999999999999</v>
      </c>
      <c r="D92" s="2" t="s">
        <v>0</v>
      </c>
      <c r="G92" s="2" t="s">
        <v>0</v>
      </c>
    </row>
    <row r="93" spans="1:7" x14ac:dyDescent="0.25">
      <c r="A93" s="3" t="s">
        <v>82</v>
      </c>
      <c r="B93" s="5">
        <f>VLOOKUP($A93,'[11]0816'!$A$4:$O$150,4,FALSE)</f>
        <v>13.98</v>
      </c>
      <c r="C93" s="5">
        <f>VLOOKUP($A93,'[11]0816'!$A$4:$O$150,15,FALSE)</f>
        <v>1.2982</v>
      </c>
      <c r="D93" s="2" t="s">
        <v>0</v>
      </c>
      <c r="G93" s="2" t="s">
        <v>0</v>
      </c>
    </row>
    <row r="94" spans="1:7" x14ac:dyDescent="0.25">
      <c r="A94" s="3" t="s">
        <v>83</v>
      </c>
      <c r="B94" s="5">
        <f>VLOOKUP($A94,'[11]0816'!$A$4:$O$150,4,FALSE)</f>
        <v>14.07</v>
      </c>
      <c r="C94" s="5">
        <f>VLOOKUP($A94,'[11]0816'!$A$4:$O$150,15,FALSE)</f>
        <v>1.3001</v>
      </c>
      <c r="D94" s="2" t="s">
        <v>0</v>
      </c>
      <c r="G94" s="2" t="s">
        <v>0</v>
      </c>
    </row>
    <row r="95" spans="1:7" x14ac:dyDescent="0.25">
      <c r="A95" s="3" t="s">
        <v>46</v>
      </c>
      <c r="B95" s="5">
        <f>VLOOKUP($A95,'[11]0816'!$A$4:$O$150,4,FALSE)</f>
        <v>14.51</v>
      </c>
      <c r="C95" s="5">
        <f>VLOOKUP($A95,'[11]0816'!$A$4:$O$150,15,FALSE)</f>
        <v>1.3268</v>
      </c>
      <c r="D95" s="2" t="s">
        <v>0</v>
      </c>
      <c r="G95" s="2" t="s">
        <v>0</v>
      </c>
    </row>
    <row r="96" spans="1:7" x14ac:dyDescent="0.25">
      <c r="A96" s="3" t="s">
        <v>23</v>
      </c>
      <c r="B96" s="5">
        <f>VLOOKUP($A96,'[11]0816'!$A$4:$O$150,4,FALSE)</f>
        <v>14.77</v>
      </c>
      <c r="C96" s="5">
        <f>VLOOKUP($A96,'[11]0816'!$A$4:$O$150,15,FALSE)</f>
        <v>1.3307</v>
      </c>
      <c r="D96" s="2" t="s">
        <v>0</v>
      </c>
      <c r="G96" s="2" t="s">
        <v>0</v>
      </c>
    </row>
    <row r="97" spans="1:7" x14ac:dyDescent="0.25">
      <c r="A97" s="3" t="s">
        <v>40</v>
      </c>
      <c r="B97" s="5">
        <f>VLOOKUP($A97,'[11]0816'!$A$4:$O$150,4,FALSE)</f>
        <v>14.82</v>
      </c>
      <c r="C97" s="5">
        <f>VLOOKUP($A97,'[11]0816'!$A$4:$O$150,15,FALSE)</f>
        <v>1.3131999999999999</v>
      </c>
      <c r="D97" s="2" t="s">
        <v>0</v>
      </c>
      <c r="G97" s="2" t="s">
        <v>0</v>
      </c>
    </row>
    <row r="98" spans="1:7" x14ac:dyDescent="0.25">
      <c r="A98" s="3" t="s">
        <v>47</v>
      </c>
      <c r="B98" s="5">
        <f>VLOOKUP($A98,'[11]0816'!$A$4:$O$150,4,FALSE)</f>
        <v>15.11</v>
      </c>
      <c r="C98" s="5">
        <f>VLOOKUP($A98,'[11]0816'!$A$4:$O$150,15,FALSE)</f>
        <v>1.3411999999999999</v>
      </c>
      <c r="D98" s="2" t="s">
        <v>0</v>
      </c>
      <c r="G98" s="2" t="s">
        <v>0</v>
      </c>
    </row>
    <row r="99" spans="1:7" x14ac:dyDescent="0.25">
      <c r="A99" s="3" t="s">
        <v>88</v>
      </c>
      <c r="B99" s="5">
        <f>VLOOKUP($A99,'[11]0816'!$A$4:$O$150,4,FALSE)</f>
        <v>15.18</v>
      </c>
      <c r="C99" s="5">
        <f>VLOOKUP($A99,'[11]0816'!$A$4:$O$150,15,FALSE)</f>
        <v>1.3204</v>
      </c>
      <c r="D99" s="2" t="s">
        <v>0</v>
      </c>
      <c r="G99" s="2" t="s">
        <v>0</v>
      </c>
    </row>
    <row r="100" spans="1:7" x14ac:dyDescent="0.25">
      <c r="A100" s="3" t="s">
        <v>91</v>
      </c>
      <c r="B100" s="5">
        <f>VLOOKUP($A100,'[11]0816'!$A$4:$O$150,4,FALSE)</f>
        <v>15.63</v>
      </c>
      <c r="C100" s="5">
        <f>VLOOKUP($A100,'[11]0816'!$A$4:$O$150,15,FALSE)</f>
        <v>1.3255999999999999</v>
      </c>
      <c r="D100" s="2" t="s">
        <v>0</v>
      </c>
      <c r="G100" s="2" t="s">
        <v>0</v>
      </c>
    </row>
    <row r="101" spans="1:7" x14ac:dyDescent="0.25">
      <c r="A101" s="3" t="s">
        <v>24</v>
      </c>
      <c r="B101" s="5">
        <f>VLOOKUP($A101,'[11]0816'!$A$4:$O$150,4,FALSE)</f>
        <v>15.71</v>
      </c>
      <c r="C101" s="5">
        <f>VLOOKUP($A101,'[11]0816'!$A$4:$O$150,15,FALSE)</f>
        <v>1.3512999999999999</v>
      </c>
      <c r="D101" s="2" t="s">
        <v>0</v>
      </c>
      <c r="G101" s="2" t="s">
        <v>0</v>
      </c>
    </row>
    <row r="102" spans="1:7" x14ac:dyDescent="0.25">
      <c r="A102" s="3" t="s">
        <v>69</v>
      </c>
      <c r="B102" s="5">
        <f>VLOOKUP($A102,'[11]0816'!$A$4:$O$150,4,FALSE)</f>
        <v>16.12</v>
      </c>
      <c r="C102" s="5">
        <f>VLOOKUP($A102,'[11]0816'!$A$4:$O$150,15,FALSE)</f>
        <v>1.3714</v>
      </c>
      <c r="D102" s="2" t="s">
        <v>0</v>
      </c>
      <c r="G102" s="2" t="s">
        <v>0</v>
      </c>
    </row>
    <row r="103" spans="1:7" x14ac:dyDescent="0.25">
      <c r="A103" s="3" t="s">
        <v>310</v>
      </c>
      <c r="B103" s="5">
        <f>VLOOKUP($A103,'[11]0816'!$A$4:$O$150,4,FALSE)</f>
        <v>15.92</v>
      </c>
      <c r="C103" s="5">
        <f>VLOOKUP($A103,'[11]0816'!$A$4:$O$150,15,FALSE)</f>
        <v>1.3620000000000001</v>
      </c>
      <c r="D103" s="2" t="s">
        <v>0</v>
      </c>
      <c r="G103" s="2">
        <v>1.3560000000000001</v>
      </c>
    </row>
    <row r="104" spans="1:7" x14ac:dyDescent="0.25">
      <c r="A104" s="3" t="s">
        <v>95</v>
      </c>
      <c r="B104" s="5">
        <f>VLOOKUP($A104,'[11]0816'!$A$4:$O$150,4,FALSE)</f>
        <v>16.059999999999999</v>
      </c>
      <c r="C104" s="5">
        <f>VLOOKUP($A104,'[11]0816'!$A$4:$O$150,15,FALSE)</f>
        <v>1.3363</v>
      </c>
      <c r="D104" s="2" t="s">
        <v>0</v>
      </c>
      <c r="G104" s="2" t="s">
        <v>0</v>
      </c>
    </row>
    <row r="105" spans="1:7" x14ac:dyDescent="0.25">
      <c r="A105" s="3" t="s">
        <v>70</v>
      </c>
      <c r="B105" s="5">
        <f>VLOOKUP($A105,'[11]0816'!$A$4:$O$150,4,FALSE)</f>
        <v>16.11</v>
      </c>
      <c r="C105" s="5">
        <f>VLOOKUP($A105,'[11]0816'!$A$4:$O$150,15,FALSE)</f>
        <v>1.3626</v>
      </c>
      <c r="D105" s="2" t="s">
        <v>0</v>
      </c>
      <c r="G105" s="2" t="s">
        <v>0</v>
      </c>
    </row>
    <row r="106" spans="1:7" x14ac:dyDescent="0.25">
      <c r="A106" s="3" t="s">
        <v>102</v>
      </c>
      <c r="B106" s="5">
        <f>VLOOKUP($A106,'[11]0816'!$A$4:$O$150,4,FALSE)</f>
        <v>16.420000000000002</v>
      </c>
      <c r="C106" s="5">
        <f>VLOOKUP($A106,'[11]0816'!$A$4:$O$150,15,FALSE)</f>
        <v>1.3435999999999999</v>
      </c>
      <c r="D106" s="2" t="s">
        <v>0</v>
      </c>
      <c r="G106" s="2" t="s">
        <v>0</v>
      </c>
    </row>
    <row r="107" spans="1:7" x14ac:dyDescent="0.25">
      <c r="A107" s="3" t="s">
        <v>41</v>
      </c>
      <c r="B107" s="5">
        <f>VLOOKUP($A107,'[11]0816'!$A$4:$O$150,4,FALSE)</f>
        <v>16.46</v>
      </c>
      <c r="C107" s="5">
        <f>VLOOKUP($A107,'[11]0816'!$A$4:$O$150,15,FALSE)</f>
        <v>1.371</v>
      </c>
      <c r="D107" s="2" t="s">
        <v>0</v>
      </c>
      <c r="G107" s="2">
        <v>1.3654999999999999</v>
      </c>
    </row>
    <row r="108" spans="1:7" x14ac:dyDescent="0.25">
      <c r="A108" s="3" t="s">
        <v>99</v>
      </c>
      <c r="B108" s="5">
        <f>VLOOKUP($A108,'[11]0816'!$A$4:$O$150,4,FALSE)</f>
        <v>16.52</v>
      </c>
      <c r="C108" s="5">
        <f>VLOOKUP($A108,'[11]0816'!$A$4:$O$150,15,FALSE)</f>
        <v>1.3431999999999999</v>
      </c>
      <c r="D108" s="2" t="s">
        <v>0</v>
      </c>
      <c r="G108" s="2" t="s">
        <v>0</v>
      </c>
    </row>
    <row r="109" spans="1:7" x14ac:dyDescent="0.25">
      <c r="A109" s="3" t="s">
        <v>256</v>
      </c>
      <c r="B109" s="5">
        <f>VLOOKUP($A109,'[11]0816'!$A$4:$O$150,4,FALSE)</f>
        <v>16.53</v>
      </c>
      <c r="C109" s="5">
        <f>VLOOKUP($A109,'[11]0816'!$A$4:$O$150,15,FALSE)</f>
        <v>1.3576999999999999</v>
      </c>
      <c r="D109" s="2" t="s">
        <v>0</v>
      </c>
      <c r="G109" s="2" t="s">
        <v>0</v>
      </c>
    </row>
    <row r="110" spans="1:7" x14ac:dyDescent="0.25">
      <c r="A110" s="3" t="s">
        <v>215</v>
      </c>
      <c r="B110" s="5">
        <f>VLOOKUP($A110,'[11]0816'!$A$4:$O$150,4,FALSE)</f>
        <v>16.54</v>
      </c>
      <c r="C110" s="5">
        <f>VLOOKUP($A110,'[11]0816'!$A$4:$O$150,15,FALSE)</f>
        <v>1.3485</v>
      </c>
      <c r="D110" s="2" t="s">
        <v>0</v>
      </c>
      <c r="G110" s="2" t="s">
        <v>0</v>
      </c>
    </row>
    <row r="111" spans="1:7" x14ac:dyDescent="0.25">
      <c r="A111" s="3" t="s">
        <v>72</v>
      </c>
      <c r="B111" s="5">
        <f>VLOOKUP($A111,'[11]0816'!$A$4:$O$150,4,FALSE)</f>
        <v>17.02</v>
      </c>
      <c r="C111" s="5">
        <f>VLOOKUP($A111,'[11]0816'!$A$4:$O$150,15,FALSE)</f>
        <v>1.3925000000000001</v>
      </c>
      <c r="D111" s="2" t="s">
        <v>0</v>
      </c>
      <c r="G111" s="2" t="s">
        <v>0</v>
      </c>
    </row>
    <row r="112" spans="1:7" x14ac:dyDescent="0.25">
      <c r="A112" s="3" t="s">
        <v>48</v>
      </c>
      <c r="B112" s="5">
        <f>VLOOKUP($A112,'[11]0816'!$A$4:$O$150,4,FALSE)</f>
        <v>16.73</v>
      </c>
      <c r="C112" s="5">
        <f>VLOOKUP($A112,'[11]0816'!$A$4:$O$150,15,FALSE)</f>
        <v>1.3856999999999999</v>
      </c>
      <c r="D112" s="2" t="s">
        <v>0</v>
      </c>
      <c r="G112" s="2" t="s">
        <v>0</v>
      </c>
    </row>
    <row r="113" spans="1:7" x14ac:dyDescent="0.25">
      <c r="A113" s="3" t="s">
        <v>259</v>
      </c>
      <c r="B113" s="5">
        <f>VLOOKUP($A113,'[11]0816'!$A$4:$O$150,4,FALSE)</f>
        <v>16.82</v>
      </c>
      <c r="C113" s="5">
        <f>VLOOKUP($A113,'[11]0816'!$A$4:$O$150,15,FALSE)</f>
        <v>1.3615999999999999</v>
      </c>
      <c r="D113" s="2" t="s">
        <v>0</v>
      </c>
      <c r="G113" s="2" t="s">
        <v>0</v>
      </c>
    </row>
    <row r="114" spans="1:7" x14ac:dyDescent="0.25">
      <c r="A114" s="3" t="s">
        <v>240</v>
      </c>
      <c r="B114" s="5">
        <f>VLOOKUP($A114,'[11]0816'!$A$4:$O$150,4,FALSE)</f>
        <v>16.89</v>
      </c>
      <c r="C114" s="5">
        <f>VLOOKUP($A114,'[11]0816'!$A$4:$O$150,15,FALSE)</f>
        <v>1.3582000000000001</v>
      </c>
      <c r="D114" s="2" t="s">
        <v>0</v>
      </c>
      <c r="G114" s="2" t="s">
        <v>0</v>
      </c>
    </row>
    <row r="115" spans="1:7" x14ac:dyDescent="0.25">
      <c r="A115" s="3" t="s">
        <v>342</v>
      </c>
      <c r="B115" s="5">
        <f>VLOOKUP($A115,'[11]0816'!$A$4:$O$150,4,FALSE)</f>
        <v>16.93</v>
      </c>
      <c r="C115" s="5">
        <f>VLOOKUP($A115,'[11]0816'!$A$4:$O$150,15,FALSE)</f>
        <v>1.3754</v>
      </c>
      <c r="D115" s="2" t="s">
        <v>0</v>
      </c>
      <c r="E115" s="2">
        <v>1.3734999999999999</v>
      </c>
      <c r="G115" s="2">
        <v>1.3660000000000001</v>
      </c>
    </row>
    <row r="116" spans="1:7" x14ac:dyDescent="0.25">
      <c r="A116" s="3" t="s">
        <v>237</v>
      </c>
      <c r="B116" s="5">
        <f>VLOOKUP($A116,'[11]0816'!$A$4:$O$150,4,FALSE)</f>
        <v>16.97</v>
      </c>
      <c r="C116" s="5">
        <f>VLOOKUP($A116,'[11]0816'!$A$4:$O$150,15,FALSE)</f>
        <v>1.3573</v>
      </c>
      <c r="D116" s="2" t="s">
        <v>0</v>
      </c>
      <c r="G116" s="2" t="s">
        <v>0</v>
      </c>
    </row>
    <row r="117" spans="1:7" x14ac:dyDescent="0.25">
      <c r="A117" s="3" t="s">
        <v>71</v>
      </c>
      <c r="B117" s="5">
        <f>VLOOKUP($A117,'[11]0816'!$A$4:$O$150,4,FALSE)</f>
        <v>17</v>
      </c>
      <c r="C117" s="5">
        <f>VLOOKUP($A117,'[11]0816'!$A$4:$O$150,15,FALSE)</f>
        <v>1.3982000000000001</v>
      </c>
      <c r="D117" s="2" t="s">
        <v>0</v>
      </c>
      <c r="G117" s="2" t="s">
        <v>0</v>
      </c>
    </row>
    <row r="118" spans="1:7" x14ac:dyDescent="0.25">
      <c r="A118" s="3" t="s">
        <v>55</v>
      </c>
      <c r="B118" s="5">
        <f>VLOOKUP($A118,'[11]0816'!$A$4:$O$150,4,FALSE)</f>
        <v>17.07</v>
      </c>
      <c r="C118" s="5">
        <f>VLOOKUP($A118,'[11]0816'!$A$4:$O$150,15,FALSE)</f>
        <v>1.4008</v>
      </c>
      <c r="D118" s="2" t="s">
        <v>0</v>
      </c>
      <c r="G118" s="2" t="s">
        <v>0</v>
      </c>
    </row>
    <row r="119" spans="1:7" x14ac:dyDescent="0.25">
      <c r="A119" s="3" t="s">
        <v>73</v>
      </c>
      <c r="B119" s="5">
        <f>VLOOKUP($A119,'[11]0816'!$A$4:$O$150,4,FALSE)</f>
        <v>17.11</v>
      </c>
      <c r="C119" s="5">
        <f>VLOOKUP($A119,'[11]0816'!$A$4:$O$150,15,FALSE)</f>
        <v>1.3917999999999999</v>
      </c>
      <c r="D119" s="2" t="s">
        <v>0</v>
      </c>
      <c r="G119" s="2" t="s">
        <v>0</v>
      </c>
    </row>
    <row r="120" spans="1:7" x14ac:dyDescent="0.25">
      <c r="A120" s="3" t="s">
        <v>387</v>
      </c>
      <c r="B120" s="5">
        <f>VLOOKUP($A120,'[11]0816'!$A$4:$O$150,4,FALSE)</f>
        <v>17.38</v>
      </c>
      <c r="C120" s="5">
        <f>VLOOKUP($A120,'[11]0816'!$A$4:$O$150,15,FALSE)</f>
        <v>1.3844000000000001</v>
      </c>
      <c r="D120" s="2" t="s">
        <v>0</v>
      </c>
      <c r="G120" s="2" t="s">
        <v>0</v>
      </c>
    </row>
    <row r="121" spans="1:7" x14ac:dyDescent="0.25">
      <c r="A121" s="3" t="s">
        <v>74</v>
      </c>
      <c r="B121" s="5">
        <f>VLOOKUP($A121,'[11]0816'!$A$4:$O$150,4,FALSE)</f>
        <v>17.32</v>
      </c>
      <c r="C121" s="5">
        <f>VLOOKUP($A121,'[11]0816'!$A$4:$O$150,15,FALSE)</f>
        <v>1.4054</v>
      </c>
      <c r="D121" s="2" t="s">
        <v>0</v>
      </c>
      <c r="E121" s="2">
        <v>1.4059999999999999</v>
      </c>
      <c r="G121" s="2">
        <v>1.3959999999999999</v>
      </c>
    </row>
    <row r="122" spans="1:7" x14ac:dyDescent="0.25">
      <c r="A122" s="3" t="s">
        <v>75</v>
      </c>
      <c r="B122" s="5">
        <f>VLOOKUP($A122,'[11]0816'!$A$4:$O$150,4,FALSE)</f>
        <v>17.690000000000001</v>
      </c>
      <c r="C122" s="5">
        <f>VLOOKUP($A122,'[11]0816'!$A$4:$O$150,15,FALSE)</f>
        <v>1.4113</v>
      </c>
      <c r="D122" s="2" t="s">
        <v>0</v>
      </c>
      <c r="G122" s="2" t="s">
        <v>0</v>
      </c>
    </row>
    <row r="123" spans="1:7" x14ac:dyDescent="0.25">
      <c r="A123" s="3" t="s">
        <v>76</v>
      </c>
      <c r="B123" s="5">
        <f>VLOOKUP($A123,'[11]0816'!$A$4:$O$150,4,FALSE)</f>
        <v>18.59</v>
      </c>
      <c r="C123" s="5">
        <f>VLOOKUP($A123,'[11]0816'!$A$4:$O$150,15,FALSE)</f>
        <v>1.4384999999999999</v>
      </c>
      <c r="D123" s="2" t="s">
        <v>0</v>
      </c>
      <c r="G123" s="2" t="s">
        <v>0</v>
      </c>
    </row>
    <row r="124" spans="1:7" x14ac:dyDescent="0.25">
      <c r="A124" s="3" t="s">
        <v>77</v>
      </c>
      <c r="B124" s="5">
        <f>VLOOKUP($A124,'[11]0816'!$A$4:$O$150,4,FALSE)</f>
        <v>18.940000000000001</v>
      </c>
      <c r="C124" s="5">
        <f>VLOOKUP($A124,'[11]0816'!$A$4:$O$150,15,FALSE)</f>
        <v>1.4340999999999999</v>
      </c>
      <c r="D124" s="2" t="s">
        <v>0</v>
      </c>
      <c r="G124" s="2" t="s">
        <v>0</v>
      </c>
    </row>
    <row r="125" spans="1:7" x14ac:dyDescent="0.25">
      <c r="A125" s="3" t="s">
        <v>78</v>
      </c>
      <c r="B125" s="5">
        <f>VLOOKUP($A125,'[11]0816'!$A$4:$O$150,4,FALSE)</f>
        <v>19.25</v>
      </c>
      <c r="C125" s="5">
        <f>VLOOKUP($A125,'[11]0816'!$A$4:$O$150,15,FALSE)</f>
        <v>1.4497</v>
      </c>
      <c r="D125" s="2" t="s">
        <v>0</v>
      </c>
      <c r="E125" s="2">
        <v>1.44</v>
      </c>
      <c r="G125" s="2" t="s">
        <v>0</v>
      </c>
    </row>
    <row r="126" spans="1:7" x14ac:dyDescent="0.25">
      <c r="A126" s="3" t="s">
        <v>79</v>
      </c>
      <c r="B126" s="5">
        <f>VLOOKUP($A126,'[11]0816'!$A$4:$O$150,4,FALSE)</f>
        <v>19.53</v>
      </c>
      <c r="C126" s="5">
        <f>VLOOKUP($A126,'[11]0816'!$A$4:$O$150,15,FALSE)</f>
        <v>1.4419999999999999</v>
      </c>
      <c r="D126" s="2" t="s">
        <v>0</v>
      </c>
      <c r="G126" s="2" t="s">
        <v>0</v>
      </c>
    </row>
    <row r="127" spans="1:7" x14ac:dyDescent="0.25">
      <c r="A127" s="3" t="s">
        <v>80</v>
      </c>
      <c r="B127" s="5">
        <f>VLOOKUP($A127,'[11]0816'!$A$4:$O$150,4,FALSE)</f>
        <v>19.809999999999999</v>
      </c>
      <c r="C127" s="5">
        <f>VLOOKUP($A127,'[11]0816'!$A$4:$O$150,15,FALSE)</f>
        <v>1.4630000000000001</v>
      </c>
      <c r="D127" s="2" t="s">
        <v>0</v>
      </c>
      <c r="G127" s="2" t="s">
        <v>0</v>
      </c>
    </row>
    <row r="128" spans="1:7" x14ac:dyDescent="0.25">
      <c r="A128" s="3" t="s">
        <v>81</v>
      </c>
      <c r="B128" s="5">
        <f>VLOOKUP($A128,'[11]0816'!$A$4:$O$150,4,FALSE)</f>
        <v>20.49</v>
      </c>
      <c r="C128" s="5">
        <f>VLOOKUP($A128,'[11]0816'!$A$4:$O$150,15,FALSE)</f>
        <v>1.4743999999999999</v>
      </c>
      <c r="D128" s="2" t="s">
        <v>0</v>
      </c>
      <c r="G128" s="2" t="s">
        <v>0</v>
      </c>
    </row>
    <row r="129" spans="1:7" x14ac:dyDescent="0.25">
      <c r="A129" s="3" t="s">
        <v>57</v>
      </c>
      <c r="B129" s="5">
        <f>VLOOKUP($A129,'[11]0816'!$A$4:$O$150,4,FALSE)</f>
        <v>20.89</v>
      </c>
      <c r="C129" s="5">
        <f>VLOOKUP($A129,'[11]0816'!$A$4:$O$150,15,FALSE)</f>
        <v>1.486</v>
      </c>
      <c r="D129" s="2" t="s">
        <v>0</v>
      </c>
      <c r="G129" s="2" t="s">
        <v>0</v>
      </c>
    </row>
    <row r="130" spans="1:7" x14ac:dyDescent="0.25">
      <c r="A130" s="3" t="s">
        <v>319</v>
      </c>
      <c r="B130" s="5">
        <f>VLOOKUP($A130,'[11]0816'!$A$4:$O$150,4,FALSE)</f>
        <v>21.5</v>
      </c>
      <c r="C130" s="5">
        <f>VLOOKUP($A130,'[11]0816'!$A$4:$O$150,15,FALSE)</f>
        <v>1.5411999999999999</v>
      </c>
      <c r="D130" s="2">
        <v>1.5509999999999999</v>
      </c>
      <c r="G130" s="2">
        <v>1.5409999999999999</v>
      </c>
    </row>
    <row r="131" spans="1:7" x14ac:dyDescent="0.25">
      <c r="A131" s="3" t="s">
        <v>84</v>
      </c>
      <c r="B131" s="5">
        <f>VLOOKUP($A131,'[11]0816'!$A$4:$O$150,4,FALSE)</f>
        <v>21.93</v>
      </c>
      <c r="C131" s="5">
        <f>VLOOKUP($A131,'[11]0816'!$A$4:$O$150,15,FALSE)</f>
        <v>1.5012000000000001</v>
      </c>
      <c r="D131" s="2" t="s">
        <v>0</v>
      </c>
      <c r="G131" s="2" t="s">
        <v>0</v>
      </c>
    </row>
    <row r="132" spans="1:7" x14ac:dyDescent="0.25">
      <c r="A132" s="6" t="s">
        <v>273</v>
      </c>
      <c r="B132" s="5">
        <f>VLOOKUP($A132,'[11]0816'!$A$4:$O$150,4,FALSE)</f>
        <v>22.09</v>
      </c>
      <c r="C132" s="5">
        <f>VLOOKUP($A132,'[11]0816'!$A$4:$O$150,15,FALSE)</f>
        <v>1.54</v>
      </c>
      <c r="D132" s="2" t="s">
        <v>0</v>
      </c>
      <c r="G132" s="2" t="s">
        <v>0</v>
      </c>
    </row>
    <row r="133" spans="1:7" x14ac:dyDescent="0.25">
      <c r="A133" s="3" t="s">
        <v>51</v>
      </c>
      <c r="B133" s="5">
        <f>VLOOKUP($A133,'[11]0816'!$A$4:$O$150,4,FALSE)</f>
        <v>22.43</v>
      </c>
      <c r="C133" s="5">
        <f>VLOOKUP($A133,'[11]0816'!$A$4:$O$150,15,FALSE)</f>
        <v>1.5135000000000001</v>
      </c>
      <c r="D133" s="2" t="s">
        <v>0</v>
      </c>
      <c r="G133" s="2" t="s">
        <v>0</v>
      </c>
    </row>
    <row r="134" spans="1:7" x14ac:dyDescent="0.25">
      <c r="A134" s="6" t="s">
        <v>92</v>
      </c>
      <c r="B134" s="5">
        <f>VLOOKUP($A134,'[11]0816'!$A$4:$O$150,4,FALSE)</f>
        <v>23.6</v>
      </c>
      <c r="C134" s="5">
        <f>VLOOKUP($A134,'[11]0816'!$A$4:$O$150,15,FALSE)</f>
        <v>1.5297000000000001</v>
      </c>
      <c r="D134" s="2" t="s">
        <v>0</v>
      </c>
      <c r="G134" s="2" t="s">
        <v>0</v>
      </c>
    </row>
    <row r="135" spans="1:7" x14ac:dyDescent="0.25">
      <c r="A135" s="6" t="s">
        <v>244</v>
      </c>
      <c r="B135" s="5">
        <f>VLOOKUP($A135,'[11]0816'!$A$4:$O$150,4,FALSE)</f>
        <v>23.61</v>
      </c>
      <c r="C135" s="5">
        <f>VLOOKUP($A135,'[11]0816'!$A$4:$O$150,15,FALSE)</f>
        <v>1.5527</v>
      </c>
      <c r="D135" s="2" t="s">
        <v>0</v>
      </c>
      <c r="G135" s="2" t="s">
        <v>0</v>
      </c>
    </row>
    <row r="136" spans="1:7" x14ac:dyDescent="0.25">
      <c r="A136" s="6" t="s">
        <v>368</v>
      </c>
      <c r="B136" s="5">
        <f>VLOOKUP($A136,'[11]0816'!$A$4:$O$150,4,FALSE)</f>
        <v>23.68</v>
      </c>
      <c r="C136" s="5">
        <f>VLOOKUP($A136,'[11]0816'!$A$4:$O$150,15,FALSE)</f>
        <v>1.5699000000000001</v>
      </c>
      <c r="D136" s="2" t="s">
        <v>0</v>
      </c>
      <c r="G136" s="2" t="s">
        <v>0</v>
      </c>
    </row>
    <row r="137" spans="1:7" x14ac:dyDescent="0.25">
      <c r="A137" s="6" t="s">
        <v>211</v>
      </c>
      <c r="B137" s="5">
        <f>VLOOKUP($A137,'[11]0816'!$A$4:$O$150,4,FALSE)</f>
        <v>24.56</v>
      </c>
      <c r="C137" s="5">
        <f>VLOOKUP($A137,'[11]0816'!$A$4:$O$150,15,FALSE)</f>
        <v>1.5495000000000001</v>
      </c>
      <c r="D137" s="2" t="s">
        <v>0</v>
      </c>
      <c r="G137" s="2" t="s">
        <v>0</v>
      </c>
    </row>
    <row r="138" spans="1:7" x14ac:dyDescent="0.25">
      <c r="A138" s="6" t="s">
        <v>97</v>
      </c>
      <c r="B138" s="5">
        <f>VLOOKUP($A138,'[11]0816'!$A$4:$O$150,4,FALSE)</f>
        <v>25.21</v>
      </c>
      <c r="C138" s="5">
        <f>VLOOKUP($A138,'[11]0816'!$A$4:$O$150,15,FALSE)</f>
        <v>1.5515000000000001</v>
      </c>
      <c r="D138" s="2" t="s">
        <v>0</v>
      </c>
      <c r="G138" s="2" t="s">
        <v>0</v>
      </c>
    </row>
  </sheetData>
  <phoneticPr fontId="1" type="noConversion"/>
  <conditionalFormatting sqref="A1:C1 J1:JAW1">
    <cfRule type="cellIs" dxfId="3" priority="35" operator="lessThan">
      <formula>-0.999999999999999</formula>
    </cfRule>
    <cfRule type="cellIs" dxfId="2" priority="36" operator="greaterThan">
      <formula>0.999999999999999</formula>
    </cfRule>
  </conditionalFormatting>
  <conditionalFormatting sqref="D1:ZI1">
    <cfRule type="cellIs" dxfId="1" priority="1" operator="lessThan">
      <formula>-0.999999999999999</formula>
    </cfRule>
    <cfRule type="cellIs" dxfId="0" priority="2" operator="greaterThan">
      <formula>0.999999999999999</formula>
    </cfRule>
  </conditionalFormatting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>
    <pageSetUpPr fitToPage="1"/>
  </sheetPr>
  <dimension ref="A1:I134"/>
  <sheetViews>
    <sheetView zoomScale="90" zoomScaleNormal="90" workbookViewId="0">
      <pane xSplit="1" ySplit="3" topLeftCell="B4" activePane="bottomRight" state="frozen"/>
      <selection sqref="A1:P65536"/>
      <selection pane="topRight" sqref="A1:P65536"/>
      <selection pane="bottomLeft" sqref="A1:P65536"/>
      <selection pane="bottomRight" activeCell="D26" sqref="D26"/>
    </sheetView>
  </sheetViews>
  <sheetFormatPr defaultRowHeight="16.5" x14ac:dyDescent="0.25"/>
  <cols>
    <col min="1" max="1" width="9" style="7" customWidth="1"/>
    <col min="2" max="2" width="12.25" style="8" bestFit="1" customWidth="1"/>
    <col min="3" max="3" width="9.5" style="8" bestFit="1" customWidth="1"/>
    <col min="4" max="4" width="9.625" style="8" bestFit="1" customWidth="1"/>
    <col min="5" max="6" width="9.625" style="8" customWidth="1"/>
    <col min="7" max="7" width="13.875" style="8" bestFit="1" customWidth="1"/>
    <col min="8" max="8" width="9.625" style="8" customWidth="1"/>
    <col min="9" max="9" width="9.5" style="8" customWidth="1"/>
    <col min="10" max="245" width="9" style="8"/>
    <col min="246" max="246" width="9" style="8" customWidth="1"/>
    <col min="247" max="247" width="10.5" style="8" bestFit="1" customWidth="1"/>
    <col min="248" max="248" width="6.5" style="8" bestFit="1" customWidth="1"/>
    <col min="249" max="249" width="9.5" style="8" customWidth="1"/>
    <col min="250" max="260" width="9" style="8"/>
    <col min="261" max="261" width="4" style="8" customWidth="1"/>
    <col min="262" max="262" width="6.625" style="8" customWidth="1"/>
    <col min="263" max="263" width="8.625" style="8" customWidth="1"/>
    <col min="264" max="265" width="11.5" style="8" bestFit="1" customWidth="1"/>
    <col min="266" max="501" width="9" style="8"/>
    <col min="502" max="502" width="9" style="8" customWidth="1"/>
    <col min="503" max="503" width="10.5" style="8" bestFit="1" customWidth="1"/>
    <col min="504" max="504" width="6.5" style="8" bestFit="1" customWidth="1"/>
    <col min="505" max="505" width="9.5" style="8" customWidth="1"/>
    <col min="506" max="516" width="9" style="8"/>
    <col min="517" max="517" width="4" style="8" customWidth="1"/>
    <col min="518" max="518" width="6.625" style="8" customWidth="1"/>
    <col min="519" max="519" width="8.625" style="8" customWidth="1"/>
    <col min="520" max="521" width="11.5" style="8" bestFit="1" customWidth="1"/>
    <col min="522" max="757" width="9" style="8"/>
    <col min="758" max="758" width="9" style="8" customWidth="1"/>
    <col min="759" max="759" width="10.5" style="8" bestFit="1" customWidth="1"/>
    <col min="760" max="760" width="6.5" style="8" bestFit="1" customWidth="1"/>
    <col min="761" max="761" width="9.5" style="8" customWidth="1"/>
    <col min="762" max="772" width="9" style="8"/>
    <col min="773" max="773" width="4" style="8" customWidth="1"/>
    <col min="774" max="774" width="6.625" style="8" customWidth="1"/>
    <col min="775" max="775" width="8.625" style="8" customWidth="1"/>
    <col min="776" max="777" width="11.5" style="8" bestFit="1" customWidth="1"/>
    <col min="778" max="1013" width="9" style="8"/>
    <col min="1014" max="1014" width="9" style="8" customWidth="1"/>
    <col min="1015" max="1015" width="10.5" style="8" bestFit="1" customWidth="1"/>
    <col min="1016" max="1016" width="6.5" style="8" bestFit="1" customWidth="1"/>
    <col min="1017" max="1017" width="9.5" style="8" customWidth="1"/>
    <col min="1018" max="1028" width="9" style="8"/>
    <col min="1029" max="1029" width="4" style="8" customWidth="1"/>
    <col min="1030" max="1030" width="6.625" style="8" customWidth="1"/>
    <col min="1031" max="1031" width="8.625" style="8" customWidth="1"/>
    <col min="1032" max="1033" width="11.5" style="8" bestFit="1" customWidth="1"/>
    <col min="1034" max="1269" width="9" style="8"/>
    <col min="1270" max="1270" width="9" style="8" customWidth="1"/>
    <col min="1271" max="1271" width="10.5" style="8" bestFit="1" customWidth="1"/>
    <col min="1272" max="1272" width="6.5" style="8" bestFit="1" customWidth="1"/>
    <col min="1273" max="1273" width="9.5" style="8" customWidth="1"/>
    <col min="1274" max="1284" width="9" style="8"/>
    <col min="1285" max="1285" width="4" style="8" customWidth="1"/>
    <col min="1286" max="1286" width="6.625" style="8" customWidth="1"/>
    <col min="1287" max="1287" width="8.625" style="8" customWidth="1"/>
    <col min="1288" max="1289" width="11.5" style="8" bestFit="1" customWidth="1"/>
    <col min="1290" max="1525" width="9" style="8"/>
    <col min="1526" max="1526" width="9" style="8" customWidth="1"/>
    <col min="1527" max="1527" width="10.5" style="8" bestFit="1" customWidth="1"/>
    <col min="1528" max="1528" width="6.5" style="8" bestFit="1" customWidth="1"/>
    <col min="1529" max="1529" width="9.5" style="8" customWidth="1"/>
    <col min="1530" max="1540" width="9" style="8"/>
    <col min="1541" max="1541" width="4" style="8" customWidth="1"/>
    <col min="1542" max="1542" width="6.625" style="8" customWidth="1"/>
    <col min="1543" max="1543" width="8.625" style="8" customWidth="1"/>
    <col min="1544" max="1545" width="11.5" style="8" bestFit="1" customWidth="1"/>
    <col min="1546" max="1781" width="9" style="8"/>
    <col min="1782" max="1782" width="9" style="8" customWidth="1"/>
    <col min="1783" max="1783" width="10.5" style="8" bestFit="1" customWidth="1"/>
    <col min="1784" max="1784" width="6.5" style="8" bestFit="1" customWidth="1"/>
    <col min="1785" max="1785" width="9.5" style="8" customWidth="1"/>
    <col min="1786" max="1796" width="9" style="8"/>
    <col min="1797" max="1797" width="4" style="8" customWidth="1"/>
    <col min="1798" max="1798" width="6.625" style="8" customWidth="1"/>
    <col min="1799" max="1799" width="8.625" style="8" customWidth="1"/>
    <col min="1800" max="1801" width="11.5" style="8" bestFit="1" customWidth="1"/>
    <col min="1802" max="2037" width="9" style="8"/>
    <col min="2038" max="2038" width="9" style="8" customWidth="1"/>
    <col min="2039" max="2039" width="10.5" style="8" bestFit="1" customWidth="1"/>
    <col min="2040" max="2040" width="6.5" style="8" bestFit="1" customWidth="1"/>
    <col min="2041" max="2041" width="9.5" style="8" customWidth="1"/>
    <col min="2042" max="2052" width="9" style="8"/>
    <col min="2053" max="2053" width="4" style="8" customWidth="1"/>
    <col min="2054" max="2054" width="6.625" style="8" customWidth="1"/>
    <col min="2055" max="2055" width="8.625" style="8" customWidth="1"/>
    <col min="2056" max="2057" width="11.5" style="8" bestFit="1" customWidth="1"/>
    <col min="2058" max="2293" width="9" style="8"/>
    <col min="2294" max="2294" width="9" style="8" customWidth="1"/>
    <col min="2295" max="2295" width="10.5" style="8" bestFit="1" customWidth="1"/>
    <col min="2296" max="2296" width="6.5" style="8" bestFit="1" customWidth="1"/>
    <col min="2297" max="2297" width="9.5" style="8" customWidth="1"/>
    <col min="2298" max="2308" width="9" style="8"/>
    <col min="2309" max="2309" width="4" style="8" customWidth="1"/>
    <col min="2310" max="2310" width="6.625" style="8" customWidth="1"/>
    <col min="2311" max="2311" width="8.625" style="8" customWidth="1"/>
    <col min="2312" max="2313" width="11.5" style="8" bestFit="1" customWidth="1"/>
    <col min="2314" max="2549" width="9" style="8"/>
    <col min="2550" max="2550" width="9" style="8" customWidth="1"/>
    <col min="2551" max="2551" width="10.5" style="8" bestFit="1" customWidth="1"/>
    <col min="2552" max="2552" width="6.5" style="8" bestFit="1" customWidth="1"/>
    <col min="2553" max="2553" width="9.5" style="8" customWidth="1"/>
    <col min="2554" max="2564" width="9" style="8"/>
    <col min="2565" max="2565" width="4" style="8" customWidth="1"/>
    <col min="2566" max="2566" width="6.625" style="8" customWidth="1"/>
    <col min="2567" max="2567" width="8.625" style="8" customWidth="1"/>
    <col min="2568" max="2569" width="11.5" style="8" bestFit="1" customWidth="1"/>
    <col min="2570" max="2805" width="9" style="8"/>
    <col min="2806" max="2806" width="9" style="8" customWidth="1"/>
    <col min="2807" max="2807" width="10.5" style="8" bestFit="1" customWidth="1"/>
    <col min="2808" max="2808" width="6.5" style="8" bestFit="1" customWidth="1"/>
    <col min="2809" max="2809" width="9.5" style="8" customWidth="1"/>
    <col min="2810" max="2820" width="9" style="8"/>
    <col min="2821" max="2821" width="4" style="8" customWidth="1"/>
    <col min="2822" max="2822" width="6.625" style="8" customWidth="1"/>
    <col min="2823" max="2823" width="8.625" style="8" customWidth="1"/>
    <col min="2824" max="2825" width="11.5" style="8" bestFit="1" customWidth="1"/>
    <col min="2826" max="3061" width="9" style="8"/>
    <col min="3062" max="3062" width="9" style="8" customWidth="1"/>
    <col min="3063" max="3063" width="10.5" style="8" bestFit="1" customWidth="1"/>
    <col min="3064" max="3064" width="6.5" style="8" bestFit="1" customWidth="1"/>
    <col min="3065" max="3065" width="9.5" style="8" customWidth="1"/>
    <col min="3066" max="3076" width="9" style="8"/>
    <col min="3077" max="3077" width="4" style="8" customWidth="1"/>
    <col min="3078" max="3078" width="6.625" style="8" customWidth="1"/>
    <col min="3079" max="3079" width="8.625" style="8" customWidth="1"/>
    <col min="3080" max="3081" width="11.5" style="8" bestFit="1" customWidth="1"/>
    <col min="3082" max="3317" width="9" style="8"/>
    <col min="3318" max="3318" width="9" style="8" customWidth="1"/>
    <col min="3319" max="3319" width="10.5" style="8" bestFit="1" customWidth="1"/>
    <col min="3320" max="3320" width="6.5" style="8" bestFit="1" customWidth="1"/>
    <col min="3321" max="3321" width="9.5" style="8" customWidth="1"/>
    <col min="3322" max="3332" width="9" style="8"/>
    <col min="3333" max="3333" width="4" style="8" customWidth="1"/>
    <col min="3334" max="3334" width="6.625" style="8" customWidth="1"/>
    <col min="3335" max="3335" width="8.625" style="8" customWidth="1"/>
    <col min="3336" max="3337" width="11.5" style="8" bestFit="1" customWidth="1"/>
    <col min="3338" max="3573" width="9" style="8"/>
    <col min="3574" max="3574" width="9" style="8" customWidth="1"/>
    <col min="3575" max="3575" width="10.5" style="8" bestFit="1" customWidth="1"/>
    <col min="3576" max="3576" width="6.5" style="8" bestFit="1" customWidth="1"/>
    <col min="3577" max="3577" width="9.5" style="8" customWidth="1"/>
    <col min="3578" max="3588" width="9" style="8"/>
    <col min="3589" max="3589" width="4" style="8" customWidth="1"/>
    <col min="3590" max="3590" width="6.625" style="8" customWidth="1"/>
    <col min="3591" max="3591" width="8.625" style="8" customWidth="1"/>
    <col min="3592" max="3593" width="11.5" style="8" bestFit="1" customWidth="1"/>
    <col min="3594" max="3829" width="9" style="8"/>
    <col min="3830" max="3830" width="9" style="8" customWidth="1"/>
    <col min="3831" max="3831" width="10.5" style="8" bestFit="1" customWidth="1"/>
    <col min="3832" max="3832" width="6.5" style="8" bestFit="1" customWidth="1"/>
    <col min="3833" max="3833" width="9.5" style="8" customWidth="1"/>
    <col min="3834" max="3844" width="9" style="8"/>
    <col min="3845" max="3845" width="4" style="8" customWidth="1"/>
    <col min="3846" max="3846" width="6.625" style="8" customWidth="1"/>
    <col min="3847" max="3847" width="8.625" style="8" customWidth="1"/>
    <col min="3848" max="3849" width="11.5" style="8" bestFit="1" customWidth="1"/>
    <col min="3850" max="4085" width="9" style="8"/>
    <col min="4086" max="4086" width="9" style="8" customWidth="1"/>
    <col min="4087" max="4087" width="10.5" style="8" bestFit="1" customWidth="1"/>
    <col min="4088" max="4088" width="6.5" style="8" bestFit="1" customWidth="1"/>
    <col min="4089" max="4089" width="9.5" style="8" customWidth="1"/>
    <col min="4090" max="4100" width="9" style="8"/>
    <col min="4101" max="4101" width="4" style="8" customWidth="1"/>
    <col min="4102" max="4102" width="6.625" style="8" customWidth="1"/>
    <col min="4103" max="4103" width="8.625" style="8" customWidth="1"/>
    <col min="4104" max="4105" width="11.5" style="8" bestFit="1" customWidth="1"/>
    <col min="4106" max="4341" width="9" style="8"/>
    <col min="4342" max="4342" width="9" style="8" customWidth="1"/>
    <col min="4343" max="4343" width="10.5" style="8" bestFit="1" customWidth="1"/>
    <col min="4344" max="4344" width="6.5" style="8" bestFit="1" customWidth="1"/>
    <col min="4345" max="4345" width="9.5" style="8" customWidth="1"/>
    <col min="4346" max="4356" width="9" style="8"/>
    <col min="4357" max="4357" width="4" style="8" customWidth="1"/>
    <col min="4358" max="4358" width="6.625" style="8" customWidth="1"/>
    <col min="4359" max="4359" width="8.625" style="8" customWidth="1"/>
    <col min="4360" max="4361" width="11.5" style="8" bestFit="1" customWidth="1"/>
    <col min="4362" max="4597" width="9" style="8"/>
    <col min="4598" max="4598" width="9" style="8" customWidth="1"/>
    <col min="4599" max="4599" width="10.5" style="8" bestFit="1" customWidth="1"/>
    <col min="4600" max="4600" width="6.5" style="8" bestFit="1" customWidth="1"/>
    <col min="4601" max="4601" width="9.5" style="8" customWidth="1"/>
    <col min="4602" max="4612" width="9" style="8"/>
    <col min="4613" max="4613" width="4" style="8" customWidth="1"/>
    <col min="4614" max="4614" width="6.625" style="8" customWidth="1"/>
    <col min="4615" max="4615" width="8.625" style="8" customWidth="1"/>
    <col min="4616" max="4617" width="11.5" style="8" bestFit="1" customWidth="1"/>
    <col min="4618" max="4853" width="9" style="8"/>
    <col min="4854" max="4854" width="9" style="8" customWidth="1"/>
    <col min="4855" max="4855" width="10.5" style="8" bestFit="1" customWidth="1"/>
    <col min="4856" max="4856" width="6.5" style="8" bestFit="1" customWidth="1"/>
    <col min="4857" max="4857" width="9.5" style="8" customWidth="1"/>
    <col min="4858" max="4868" width="9" style="8"/>
    <col min="4869" max="4869" width="4" style="8" customWidth="1"/>
    <col min="4870" max="4870" width="6.625" style="8" customWidth="1"/>
    <col min="4871" max="4871" width="8.625" style="8" customWidth="1"/>
    <col min="4872" max="4873" width="11.5" style="8" bestFit="1" customWidth="1"/>
    <col min="4874" max="5109" width="9" style="8"/>
    <col min="5110" max="5110" width="9" style="8" customWidth="1"/>
    <col min="5111" max="5111" width="10.5" style="8" bestFit="1" customWidth="1"/>
    <col min="5112" max="5112" width="6.5" style="8" bestFit="1" customWidth="1"/>
    <col min="5113" max="5113" width="9.5" style="8" customWidth="1"/>
    <col min="5114" max="5124" width="9" style="8"/>
    <col min="5125" max="5125" width="4" style="8" customWidth="1"/>
    <col min="5126" max="5126" width="6.625" style="8" customWidth="1"/>
    <col min="5127" max="5127" width="8.625" style="8" customWidth="1"/>
    <col min="5128" max="5129" width="11.5" style="8" bestFit="1" customWidth="1"/>
    <col min="5130" max="5365" width="9" style="8"/>
    <col min="5366" max="5366" width="9" style="8" customWidth="1"/>
    <col min="5367" max="5367" width="10.5" style="8" bestFit="1" customWidth="1"/>
    <col min="5368" max="5368" width="6.5" style="8" bestFit="1" customWidth="1"/>
    <col min="5369" max="5369" width="9.5" style="8" customWidth="1"/>
    <col min="5370" max="5380" width="9" style="8"/>
    <col min="5381" max="5381" width="4" style="8" customWidth="1"/>
    <col min="5382" max="5382" width="6.625" style="8" customWidth="1"/>
    <col min="5383" max="5383" width="8.625" style="8" customWidth="1"/>
    <col min="5384" max="5385" width="11.5" style="8" bestFit="1" customWidth="1"/>
    <col min="5386" max="5621" width="9" style="8"/>
    <col min="5622" max="5622" width="9" style="8" customWidth="1"/>
    <col min="5623" max="5623" width="10.5" style="8" bestFit="1" customWidth="1"/>
    <col min="5624" max="5624" width="6.5" style="8" bestFit="1" customWidth="1"/>
    <col min="5625" max="5625" width="9.5" style="8" customWidth="1"/>
    <col min="5626" max="5636" width="9" style="8"/>
    <col min="5637" max="5637" width="4" style="8" customWidth="1"/>
    <col min="5638" max="5638" width="6.625" style="8" customWidth="1"/>
    <col min="5639" max="5639" width="8.625" style="8" customWidth="1"/>
    <col min="5640" max="5641" width="11.5" style="8" bestFit="1" customWidth="1"/>
    <col min="5642" max="5877" width="9" style="8"/>
    <col min="5878" max="5878" width="9" style="8" customWidth="1"/>
    <col min="5879" max="5879" width="10.5" style="8" bestFit="1" customWidth="1"/>
    <col min="5880" max="5880" width="6.5" style="8" bestFit="1" customWidth="1"/>
    <col min="5881" max="5881" width="9.5" style="8" customWidth="1"/>
    <col min="5882" max="5892" width="9" style="8"/>
    <col min="5893" max="5893" width="4" style="8" customWidth="1"/>
    <col min="5894" max="5894" width="6.625" style="8" customWidth="1"/>
    <col min="5895" max="5895" width="8.625" style="8" customWidth="1"/>
    <col min="5896" max="5897" width="11.5" style="8" bestFit="1" customWidth="1"/>
    <col min="5898" max="6133" width="9" style="8"/>
    <col min="6134" max="6134" width="9" style="8" customWidth="1"/>
    <col min="6135" max="6135" width="10.5" style="8" bestFit="1" customWidth="1"/>
    <col min="6136" max="6136" width="6.5" style="8" bestFit="1" customWidth="1"/>
    <col min="6137" max="6137" width="9.5" style="8" customWidth="1"/>
    <col min="6138" max="6148" width="9" style="8"/>
    <col min="6149" max="6149" width="4" style="8" customWidth="1"/>
    <col min="6150" max="6150" width="6.625" style="8" customWidth="1"/>
    <col min="6151" max="6151" width="8.625" style="8" customWidth="1"/>
    <col min="6152" max="6153" width="11.5" style="8" bestFit="1" customWidth="1"/>
    <col min="6154" max="6389" width="9" style="8"/>
    <col min="6390" max="6390" width="9" style="8" customWidth="1"/>
    <col min="6391" max="6391" width="10.5" style="8" bestFit="1" customWidth="1"/>
    <col min="6392" max="6392" width="6.5" style="8" bestFit="1" customWidth="1"/>
    <col min="6393" max="6393" width="9.5" style="8" customWidth="1"/>
    <col min="6394" max="6404" width="9" style="8"/>
    <col min="6405" max="6405" width="4" style="8" customWidth="1"/>
    <col min="6406" max="6406" width="6.625" style="8" customWidth="1"/>
    <col min="6407" max="6407" width="8.625" style="8" customWidth="1"/>
    <col min="6408" max="6409" width="11.5" style="8" bestFit="1" customWidth="1"/>
    <col min="6410" max="6645" width="9" style="8"/>
    <col min="6646" max="6646" width="9" style="8" customWidth="1"/>
    <col min="6647" max="6647" width="10.5" style="8" bestFit="1" customWidth="1"/>
    <col min="6648" max="6648" width="6.5" style="8" bestFit="1" customWidth="1"/>
    <col min="6649" max="6649" width="9.5" style="8" customWidth="1"/>
    <col min="6650" max="6660" width="9" style="8"/>
    <col min="6661" max="6661" width="4" style="8" customWidth="1"/>
    <col min="6662" max="6662" width="6.625" style="8" customWidth="1"/>
    <col min="6663" max="6663" width="8.625" style="8" customWidth="1"/>
    <col min="6664" max="6665" width="11.5" style="8" bestFit="1" customWidth="1"/>
    <col min="6666" max="6901" width="9" style="8"/>
    <col min="6902" max="6902" width="9" style="8" customWidth="1"/>
    <col min="6903" max="6903" width="10.5" style="8" bestFit="1" customWidth="1"/>
    <col min="6904" max="6904" width="6.5" style="8" bestFit="1" customWidth="1"/>
    <col min="6905" max="6905" width="9.5" style="8" customWidth="1"/>
    <col min="6906" max="6916" width="9" style="8"/>
    <col min="6917" max="6917" width="4" style="8" customWidth="1"/>
    <col min="6918" max="6918" width="6.625" style="8" customWidth="1"/>
    <col min="6919" max="6919" width="8.625" style="8" customWidth="1"/>
    <col min="6920" max="6921" width="11.5" style="8" bestFit="1" customWidth="1"/>
    <col min="6922" max="7157" width="9" style="8"/>
    <col min="7158" max="7158" width="9" style="8" customWidth="1"/>
    <col min="7159" max="7159" width="10.5" style="8" bestFit="1" customWidth="1"/>
    <col min="7160" max="7160" width="6.5" style="8" bestFit="1" customWidth="1"/>
    <col min="7161" max="7161" width="9.5" style="8" customWidth="1"/>
    <col min="7162" max="7172" width="9" style="8"/>
    <col min="7173" max="7173" width="4" style="8" customWidth="1"/>
    <col min="7174" max="7174" width="6.625" style="8" customWidth="1"/>
    <col min="7175" max="7175" width="8.625" style="8" customWidth="1"/>
    <col min="7176" max="7177" width="11.5" style="8" bestFit="1" customWidth="1"/>
    <col min="7178" max="7413" width="9" style="8"/>
    <col min="7414" max="7414" width="9" style="8" customWidth="1"/>
    <col min="7415" max="7415" width="10.5" style="8" bestFit="1" customWidth="1"/>
    <col min="7416" max="7416" width="6.5" style="8" bestFit="1" customWidth="1"/>
    <col min="7417" max="7417" width="9.5" style="8" customWidth="1"/>
    <col min="7418" max="7428" width="9" style="8"/>
    <col min="7429" max="7429" width="4" style="8" customWidth="1"/>
    <col min="7430" max="7430" width="6.625" style="8" customWidth="1"/>
    <col min="7431" max="7431" width="8.625" style="8" customWidth="1"/>
    <col min="7432" max="7433" width="11.5" style="8" bestFit="1" customWidth="1"/>
    <col min="7434" max="7669" width="9" style="8"/>
    <col min="7670" max="7670" width="9" style="8" customWidth="1"/>
    <col min="7671" max="7671" width="10.5" style="8" bestFit="1" customWidth="1"/>
    <col min="7672" max="7672" width="6.5" style="8" bestFit="1" customWidth="1"/>
    <col min="7673" max="7673" width="9.5" style="8" customWidth="1"/>
    <col min="7674" max="7684" width="9" style="8"/>
    <col min="7685" max="7685" width="4" style="8" customWidth="1"/>
    <col min="7686" max="7686" width="6.625" style="8" customWidth="1"/>
    <col min="7687" max="7687" width="8.625" style="8" customWidth="1"/>
    <col min="7688" max="7689" width="11.5" style="8" bestFit="1" customWidth="1"/>
    <col min="7690" max="7925" width="9" style="8"/>
    <col min="7926" max="7926" width="9" style="8" customWidth="1"/>
    <col min="7927" max="7927" width="10.5" style="8" bestFit="1" customWidth="1"/>
    <col min="7928" max="7928" width="6.5" style="8" bestFit="1" customWidth="1"/>
    <col min="7929" max="7929" width="9.5" style="8" customWidth="1"/>
    <col min="7930" max="7940" width="9" style="8"/>
    <col min="7941" max="7941" width="4" style="8" customWidth="1"/>
    <col min="7942" max="7942" width="6.625" style="8" customWidth="1"/>
    <col min="7943" max="7943" width="8.625" style="8" customWidth="1"/>
    <col min="7944" max="7945" width="11.5" style="8" bestFit="1" customWidth="1"/>
    <col min="7946" max="8181" width="9" style="8"/>
    <col min="8182" max="8182" width="9" style="8" customWidth="1"/>
    <col min="8183" max="8183" width="10.5" style="8" bestFit="1" customWidth="1"/>
    <col min="8184" max="8184" width="6.5" style="8" bestFit="1" customWidth="1"/>
    <col min="8185" max="8185" width="9.5" style="8" customWidth="1"/>
    <col min="8186" max="8196" width="9" style="8"/>
    <col min="8197" max="8197" width="4" style="8" customWidth="1"/>
    <col min="8198" max="8198" width="6.625" style="8" customWidth="1"/>
    <col min="8199" max="8199" width="8.625" style="8" customWidth="1"/>
    <col min="8200" max="8201" width="11.5" style="8" bestFit="1" customWidth="1"/>
    <col min="8202" max="8437" width="9" style="8"/>
    <col min="8438" max="8438" width="9" style="8" customWidth="1"/>
    <col min="8439" max="8439" width="10.5" style="8" bestFit="1" customWidth="1"/>
    <col min="8440" max="8440" width="6.5" style="8" bestFit="1" customWidth="1"/>
    <col min="8441" max="8441" width="9.5" style="8" customWidth="1"/>
    <col min="8442" max="8452" width="9" style="8"/>
    <col min="8453" max="8453" width="4" style="8" customWidth="1"/>
    <col min="8454" max="8454" width="6.625" style="8" customWidth="1"/>
    <col min="8455" max="8455" width="8.625" style="8" customWidth="1"/>
    <col min="8456" max="8457" width="11.5" style="8" bestFit="1" customWidth="1"/>
    <col min="8458" max="8693" width="9" style="8"/>
    <col min="8694" max="8694" width="9" style="8" customWidth="1"/>
    <col min="8695" max="8695" width="10.5" style="8" bestFit="1" customWidth="1"/>
    <col min="8696" max="8696" width="6.5" style="8" bestFit="1" customWidth="1"/>
    <col min="8697" max="8697" width="9.5" style="8" customWidth="1"/>
    <col min="8698" max="8708" width="9" style="8"/>
    <col min="8709" max="8709" width="4" style="8" customWidth="1"/>
    <col min="8710" max="8710" width="6.625" style="8" customWidth="1"/>
    <col min="8711" max="8711" width="8.625" style="8" customWidth="1"/>
    <col min="8712" max="8713" width="11.5" style="8" bestFit="1" customWidth="1"/>
    <col min="8714" max="8949" width="9" style="8"/>
    <col min="8950" max="8950" width="9" style="8" customWidth="1"/>
    <col min="8951" max="8951" width="10.5" style="8" bestFit="1" customWidth="1"/>
    <col min="8952" max="8952" width="6.5" style="8" bestFit="1" customWidth="1"/>
    <col min="8953" max="8953" width="9.5" style="8" customWidth="1"/>
    <col min="8954" max="8964" width="9" style="8"/>
    <col min="8965" max="8965" width="4" style="8" customWidth="1"/>
    <col min="8966" max="8966" width="6.625" style="8" customWidth="1"/>
    <col min="8967" max="8967" width="8.625" style="8" customWidth="1"/>
    <col min="8968" max="8969" width="11.5" style="8" bestFit="1" customWidth="1"/>
    <col min="8970" max="9205" width="9" style="8"/>
    <col min="9206" max="9206" width="9" style="8" customWidth="1"/>
    <col min="9207" max="9207" width="10.5" style="8" bestFit="1" customWidth="1"/>
    <col min="9208" max="9208" width="6.5" style="8" bestFit="1" customWidth="1"/>
    <col min="9209" max="9209" width="9.5" style="8" customWidth="1"/>
    <col min="9210" max="9220" width="9" style="8"/>
    <col min="9221" max="9221" width="4" style="8" customWidth="1"/>
    <col min="9222" max="9222" width="6.625" style="8" customWidth="1"/>
    <col min="9223" max="9223" width="8.625" style="8" customWidth="1"/>
    <col min="9224" max="9225" width="11.5" style="8" bestFit="1" customWidth="1"/>
    <col min="9226" max="9461" width="9" style="8"/>
    <col min="9462" max="9462" width="9" style="8" customWidth="1"/>
    <col min="9463" max="9463" width="10.5" style="8" bestFit="1" customWidth="1"/>
    <col min="9464" max="9464" width="6.5" style="8" bestFit="1" customWidth="1"/>
    <col min="9465" max="9465" width="9.5" style="8" customWidth="1"/>
    <col min="9466" max="9476" width="9" style="8"/>
    <col min="9477" max="9477" width="4" style="8" customWidth="1"/>
    <col min="9478" max="9478" width="6.625" style="8" customWidth="1"/>
    <col min="9479" max="9479" width="8.625" style="8" customWidth="1"/>
    <col min="9480" max="9481" width="11.5" style="8" bestFit="1" customWidth="1"/>
    <col min="9482" max="9717" width="9" style="8"/>
    <col min="9718" max="9718" width="9" style="8" customWidth="1"/>
    <col min="9719" max="9719" width="10.5" style="8" bestFit="1" customWidth="1"/>
    <col min="9720" max="9720" width="6.5" style="8" bestFit="1" customWidth="1"/>
    <col min="9721" max="9721" width="9.5" style="8" customWidth="1"/>
    <col min="9722" max="9732" width="9" style="8"/>
    <col min="9733" max="9733" width="4" style="8" customWidth="1"/>
    <col min="9734" max="9734" width="6.625" style="8" customWidth="1"/>
    <col min="9735" max="9735" width="8.625" style="8" customWidth="1"/>
    <col min="9736" max="9737" width="11.5" style="8" bestFit="1" customWidth="1"/>
    <col min="9738" max="9973" width="9" style="8"/>
    <col min="9974" max="9974" width="9" style="8" customWidth="1"/>
    <col min="9975" max="9975" width="10.5" style="8" bestFit="1" customWidth="1"/>
    <col min="9976" max="9976" width="6.5" style="8" bestFit="1" customWidth="1"/>
    <col min="9977" max="9977" width="9.5" style="8" customWidth="1"/>
    <col min="9978" max="9988" width="9" style="8"/>
    <col min="9989" max="9989" width="4" style="8" customWidth="1"/>
    <col min="9990" max="9990" width="6.625" style="8" customWidth="1"/>
    <col min="9991" max="9991" width="8.625" style="8" customWidth="1"/>
    <col min="9992" max="9993" width="11.5" style="8" bestFit="1" customWidth="1"/>
    <col min="9994" max="10229" width="9" style="8"/>
    <col min="10230" max="10230" width="9" style="8" customWidth="1"/>
    <col min="10231" max="10231" width="10.5" style="8" bestFit="1" customWidth="1"/>
    <col min="10232" max="10232" width="6.5" style="8" bestFit="1" customWidth="1"/>
    <col min="10233" max="10233" width="9.5" style="8" customWidth="1"/>
    <col min="10234" max="10244" width="9" style="8"/>
    <col min="10245" max="10245" width="4" style="8" customWidth="1"/>
    <col min="10246" max="10246" width="6.625" style="8" customWidth="1"/>
    <col min="10247" max="10247" width="8.625" style="8" customWidth="1"/>
    <col min="10248" max="10249" width="11.5" style="8" bestFit="1" customWidth="1"/>
    <col min="10250" max="10485" width="9" style="8"/>
    <col min="10486" max="10486" width="9" style="8" customWidth="1"/>
    <col min="10487" max="10487" width="10.5" style="8" bestFit="1" customWidth="1"/>
    <col min="10488" max="10488" width="6.5" style="8" bestFit="1" customWidth="1"/>
    <col min="10489" max="10489" width="9.5" style="8" customWidth="1"/>
    <col min="10490" max="10500" width="9" style="8"/>
    <col min="10501" max="10501" width="4" style="8" customWidth="1"/>
    <col min="10502" max="10502" width="6.625" style="8" customWidth="1"/>
    <col min="10503" max="10503" width="8.625" style="8" customWidth="1"/>
    <col min="10504" max="10505" width="11.5" style="8" bestFit="1" customWidth="1"/>
    <col min="10506" max="10741" width="9" style="8"/>
    <col min="10742" max="10742" width="9" style="8" customWidth="1"/>
    <col min="10743" max="10743" width="10.5" style="8" bestFit="1" customWidth="1"/>
    <col min="10744" max="10744" width="6.5" style="8" bestFit="1" customWidth="1"/>
    <col min="10745" max="10745" width="9.5" style="8" customWidth="1"/>
    <col min="10746" max="10756" width="9" style="8"/>
    <col min="10757" max="10757" width="4" style="8" customWidth="1"/>
    <col min="10758" max="10758" width="6.625" style="8" customWidth="1"/>
    <col min="10759" max="10759" width="8.625" style="8" customWidth="1"/>
    <col min="10760" max="10761" width="11.5" style="8" bestFit="1" customWidth="1"/>
    <col min="10762" max="10997" width="9" style="8"/>
    <col min="10998" max="10998" width="9" style="8" customWidth="1"/>
    <col min="10999" max="10999" width="10.5" style="8" bestFit="1" customWidth="1"/>
    <col min="11000" max="11000" width="6.5" style="8" bestFit="1" customWidth="1"/>
    <col min="11001" max="11001" width="9.5" style="8" customWidth="1"/>
    <col min="11002" max="11012" width="9" style="8"/>
    <col min="11013" max="11013" width="4" style="8" customWidth="1"/>
    <col min="11014" max="11014" width="6.625" style="8" customWidth="1"/>
    <col min="11015" max="11015" width="8.625" style="8" customWidth="1"/>
    <col min="11016" max="11017" width="11.5" style="8" bestFit="1" customWidth="1"/>
    <col min="11018" max="11253" width="9" style="8"/>
    <col min="11254" max="11254" width="9" style="8" customWidth="1"/>
    <col min="11255" max="11255" width="10.5" style="8" bestFit="1" customWidth="1"/>
    <col min="11256" max="11256" width="6.5" style="8" bestFit="1" customWidth="1"/>
    <col min="11257" max="11257" width="9.5" style="8" customWidth="1"/>
    <col min="11258" max="11268" width="9" style="8"/>
    <col min="11269" max="11269" width="4" style="8" customWidth="1"/>
    <col min="11270" max="11270" width="6.625" style="8" customWidth="1"/>
    <col min="11271" max="11271" width="8.625" style="8" customWidth="1"/>
    <col min="11272" max="11273" width="11.5" style="8" bestFit="1" customWidth="1"/>
    <col min="11274" max="11509" width="9" style="8"/>
    <col min="11510" max="11510" width="9" style="8" customWidth="1"/>
    <col min="11511" max="11511" width="10.5" style="8" bestFit="1" customWidth="1"/>
    <col min="11512" max="11512" width="6.5" style="8" bestFit="1" customWidth="1"/>
    <col min="11513" max="11513" width="9.5" style="8" customWidth="1"/>
    <col min="11514" max="11524" width="9" style="8"/>
    <col min="11525" max="11525" width="4" style="8" customWidth="1"/>
    <col min="11526" max="11526" width="6.625" style="8" customWidth="1"/>
    <col min="11527" max="11527" width="8.625" style="8" customWidth="1"/>
    <col min="11528" max="11529" width="11.5" style="8" bestFit="1" customWidth="1"/>
    <col min="11530" max="11765" width="9" style="8"/>
    <col min="11766" max="11766" width="9" style="8" customWidth="1"/>
    <col min="11767" max="11767" width="10.5" style="8" bestFit="1" customWidth="1"/>
    <col min="11768" max="11768" width="6.5" style="8" bestFit="1" customWidth="1"/>
    <col min="11769" max="11769" width="9.5" style="8" customWidth="1"/>
    <col min="11770" max="11780" width="9" style="8"/>
    <col min="11781" max="11781" width="4" style="8" customWidth="1"/>
    <col min="11782" max="11782" width="6.625" style="8" customWidth="1"/>
    <col min="11783" max="11783" width="8.625" style="8" customWidth="1"/>
    <col min="11784" max="11785" width="11.5" style="8" bestFit="1" customWidth="1"/>
    <col min="11786" max="12021" width="9" style="8"/>
    <col min="12022" max="12022" width="9" style="8" customWidth="1"/>
    <col min="12023" max="12023" width="10.5" style="8" bestFit="1" customWidth="1"/>
    <col min="12024" max="12024" width="6.5" style="8" bestFit="1" customWidth="1"/>
    <col min="12025" max="12025" width="9.5" style="8" customWidth="1"/>
    <col min="12026" max="12036" width="9" style="8"/>
    <col min="12037" max="12037" width="4" style="8" customWidth="1"/>
    <col min="12038" max="12038" width="6.625" style="8" customWidth="1"/>
    <col min="12039" max="12039" width="8.625" style="8" customWidth="1"/>
    <col min="12040" max="12041" width="11.5" style="8" bestFit="1" customWidth="1"/>
    <col min="12042" max="12277" width="9" style="8"/>
    <col min="12278" max="12278" width="9" style="8" customWidth="1"/>
    <col min="12279" max="12279" width="10.5" style="8" bestFit="1" customWidth="1"/>
    <col min="12280" max="12280" width="6.5" style="8" bestFit="1" customWidth="1"/>
    <col min="12281" max="12281" width="9.5" style="8" customWidth="1"/>
    <col min="12282" max="12292" width="9" style="8"/>
    <col min="12293" max="12293" width="4" style="8" customWidth="1"/>
    <col min="12294" max="12294" width="6.625" style="8" customWidth="1"/>
    <col min="12295" max="12295" width="8.625" style="8" customWidth="1"/>
    <col min="12296" max="12297" width="11.5" style="8" bestFit="1" customWidth="1"/>
    <col min="12298" max="12533" width="9" style="8"/>
    <col min="12534" max="12534" width="9" style="8" customWidth="1"/>
    <col min="12535" max="12535" width="10.5" style="8" bestFit="1" customWidth="1"/>
    <col min="12536" max="12536" width="6.5" style="8" bestFit="1" customWidth="1"/>
    <col min="12537" max="12537" width="9.5" style="8" customWidth="1"/>
    <col min="12538" max="12548" width="9" style="8"/>
    <col min="12549" max="12549" width="4" style="8" customWidth="1"/>
    <col min="12550" max="12550" width="6.625" style="8" customWidth="1"/>
    <col min="12551" max="12551" width="8.625" style="8" customWidth="1"/>
    <col min="12552" max="12553" width="11.5" style="8" bestFit="1" customWidth="1"/>
    <col min="12554" max="12789" width="9" style="8"/>
    <col min="12790" max="12790" width="9" style="8" customWidth="1"/>
    <col min="12791" max="12791" width="10.5" style="8" bestFit="1" customWidth="1"/>
    <col min="12792" max="12792" width="6.5" style="8" bestFit="1" customWidth="1"/>
    <col min="12793" max="12793" width="9.5" style="8" customWidth="1"/>
    <col min="12794" max="12804" width="9" style="8"/>
    <col min="12805" max="12805" width="4" style="8" customWidth="1"/>
    <col min="12806" max="12806" width="6.625" style="8" customWidth="1"/>
    <col min="12807" max="12807" width="8.625" style="8" customWidth="1"/>
    <col min="12808" max="12809" width="11.5" style="8" bestFit="1" customWidth="1"/>
    <col min="12810" max="13045" width="9" style="8"/>
    <col min="13046" max="13046" width="9" style="8" customWidth="1"/>
    <col min="13047" max="13047" width="10.5" style="8" bestFit="1" customWidth="1"/>
    <col min="13048" max="13048" width="6.5" style="8" bestFit="1" customWidth="1"/>
    <col min="13049" max="13049" width="9.5" style="8" customWidth="1"/>
    <col min="13050" max="13060" width="9" style="8"/>
    <col min="13061" max="13061" width="4" style="8" customWidth="1"/>
    <col min="13062" max="13062" width="6.625" style="8" customWidth="1"/>
    <col min="13063" max="13063" width="8.625" style="8" customWidth="1"/>
    <col min="13064" max="13065" width="11.5" style="8" bestFit="1" customWidth="1"/>
    <col min="13066" max="13301" width="9" style="8"/>
    <col min="13302" max="13302" width="9" style="8" customWidth="1"/>
    <col min="13303" max="13303" width="10.5" style="8" bestFit="1" customWidth="1"/>
    <col min="13304" max="13304" width="6.5" style="8" bestFit="1" customWidth="1"/>
    <col min="13305" max="13305" width="9.5" style="8" customWidth="1"/>
    <col min="13306" max="13316" width="9" style="8"/>
    <col min="13317" max="13317" width="4" style="8" customWidth="1"/>
    <col min="13318" max="13318" width="6.625" style="8" customWidth="1"/>
    <col min="13319" max="13319" width="8.625" style="8" customWidth="1"/>
    <col min="13320" max="13321" width="11.5" style="8" bestFit="1" customWidth="1"/>
    <col min="13322" max="13557" width="9" style="8"/>
    <col min="13558" max="13558" width="9" style="8" customWidth="1"/>
    <col min="13559" max="13559" width="10.5" style="8" bestFit="1" customWidth="1"/>
    <col min="13560" max="13560" width="6.5" style="8" bestFit="1" customWidth="1"/>
    <col min="13561" max="13561" width="9.5" style="8" customWidth="1"/>
    <col min="13562" max="13572" width="9" style="8"/>
    <col min="13573" max="13573" width="4" style="8" customWidth="1"/>
    <col min="13574" max="13574" width="6.625" style="8" customWidth="1"/>
    <col min="13575" max="13575" width="8.625" style="8" customWidth="1"/>
    <col min="13576" max="13577" width="11.5" style="8" bestFit="1" customWidth="1"/>
    <col min="13578" max="13813" width="9" style="8"/>
    <col min="13814" max="13814" width="9" style="8" customWidth="1"/>
    <col min="13815" max="13815" width="10.5" style="8" bestFit="1" customWidth="1"/>
    <col min="13816" max="13816" width="6.5" style="8" bestFit="1" customWidth="1"/>
    <col min="13817" max="13817" width="9.5" style="8" customWidth="1"/>
    <col min="13818" max="13828" width="9" style="8"/>
    <col min="13829" max="13829" width="4" style="8" customWidth="1"/>
    <col min="13830" max="13830" width="6.625" style="8" customWidth="1"/>
    <col min="13831" max="13831" width="8.625" style="8" customWidth="1"/>
    <col min="13832" max="13833" width="11.5" style="8" bestFit="1" customWidth="1"/>
    <col min="13834" max="14069" width="9" style="8"/>
    <col min="14070" max="14070" width="9" style="8" customWidth="1"/>
    <col min="14071" max="14071" width="10.5" style="8" bestFit="1" customWidth="1"/>
    <col min="14072" max="14072" width="6.5" style="8" bestFit="1" customWidth="1"/>
    <col min="14073" max="14073" width="9.5" style="8" customWidth="1"/>
    <col min="14074" max="14084" width="9" style="8"/>
    <col min="14085" max="14085" width="4" style="8" customWidth="1"/>
    <col min="14086" max="14086" width="6.625" style="8" customWidth="1"/>
    <col min="14087" max="14087" width="8.625" style="8" customWidth="1"/>
    <col min="14088" max="14089" width="11.5" style="8" bestFit="1" customWidth="1"/>
    <col min="14090" max="14325" width="9" style="8"/>
    <col min="14326" max="14326" width="9" style="8" customWidth="1"/>
    <col min="14327" max="14327" width="10.5" style="8" bestFit="1" customWidth="1"/>
    <col min="14328" max="14328" width="6.5" style="8" bestFit="1" customWidth="1"/>
    <col min="14329" max="14329" width="9.5" style="8" customWidth="1"/>
    <col min="14330" max="14340" width="9" style="8"/>
    <col min="14341" max="14341" width="4" style="8" customWidth="1"/>
    <col min="14342" max="14342" width="6.625" style="8" customWidth="1"/>
    <col min="14343" max="14343" width="8.625" style="8" customWidth="1"/>
    <col min="14344" max="14345" width="11.5" style="8" bestFit="1" customWidth="1"/>
    <col min="14346" max="14581" width="9" style="8"/>
    <col min="14582" max="14582" width="9" style="8" customWidth="1"/>
    <col min="14583" max="14583" width="10.5" style="8" bestFit="1" customWidth="1"/>
    <col min="14584" max="14584" width="6.5" style="8" bestFit="1" customWidth="1"/>
    <col min="14585" max="14585" width="9.5" style="8" customWidth="1"/>
    <col min="14586" max="14596" width="9" style="8"/>
    <col min="14597" max="14597" width="4" style="8" customWidth="1"/>
    <col min="14598" max="14598" width="6.625" style="8" customWidth="1"/>
    <col min="14599" max="14599" width="8.625" style="8" customWidth="1"/>
    <col min="14600" max="14601" width="11.5" style="8" bestFit="1" customWidth="1"/>
    <col min="14602" max="14837" width="9" style="8"/>
    <col min="14838" max="14838" width="9" style="8" customWidth="1"/>
    <col min="14839" max="14839" width="10.5" style="8" bestFit="1" customWidth="1"/>
    <col min="14840" max="14840" width="6.5" style="8" bestFit="1" customWidth="1"/>
    <col min="14841" max="14841" width="9.5" style="8" customWidth="1"/>
    <col min="14842" max="14852" width="9" style="8"/>
    <col min="14853" max="14853" width="4" style="8" customWidth="1"/>
    <col min="14854" max="14854" width="6.625" style="8" customWidth="1"/>
    <col min="14855" max="14855" width="8.625" style="8" customWidth="1"/>
    <col min="14856" max="14857" width="11.5" style="8" bestFit="1" customWidth="1"/>
    <col min="14858" max="15093" width="9" style="8"/>
    <col min="15094" max="15094" width="9" style="8" customWidth="1"/>
    <col min="15095" max="15095" width="10.5" style="8" bestFit="1" customWidth="1"/>
    <col min="15096" max="15096" width="6.5" style="8" bestFit="1" customWidth="1"/>
    <col min="15097" max="15097" width="9.5" style="8" customWidth="1"/>
    <col min="15098" max="15108" width="9" style="8"/>
    <col min="15109" max="15109" width="4" style="8" customWidth="1"/>
    <col min="15110" max="15110" width="6.625" style="8" customWidth="1"/>
    <col min="15111" max="15111" width="8.625" style="8" customWidth="1"/>
    <col min="15112" max="15113" width="11.5" style="8" bestFit="1" customWidth="1"/>
    <col min="15114" max="15349" width="9" style="8"/>
    <col min="15350" max="15350" width="9" style="8" customWidth="1"/>
    <col min="15351" max="15351" width="10.5" style="8" bestFit="1" customWidth="1"/>
    <col min="15352" max="15352" width="6.5" style="8" bestFit="1" customWidth="1"/>
    <col min="15353" max="15353" width="9.5" style="8" customWidth="1"/>
    <col min="15354" max="15364" width="9" style="8"/>
    <col min="15365" max="15365" width="4" style="8" customWidth="1"/>
    <col min="15366" max="15366" width="6.625" style="8" customWidth="1"/>
    <col min="15367" max="15367" width="8.625" style="8" customWidth="1"/>
    <col min="15368" max="15369" width="11.5" style="8" bestFit="1" customWidth="1"/>
    <col min="15370" max="15605" width="9" style="8"/>
    <col min="15606" max="15606" width="9" style="8" customWidth="1"/>
    <col min="15607" max="15607" width="10.5" style="8" bestFit="1" customWidth="1"/>
    <col min="15608" max="15608" width="6.5" style="8" bestFit="1" customWidth="1"/>
    <col min="15609" max="15609" width="9.5" style="8" customWidth="1"/>
    <col min="15610" max="15620" width="9" style="8"/>
    <col min="15621" max="15621" width="4" style="8" customWidth="1"/>
    <col min="15622" max="15622" width="6.625" style="8" customWidth="1"/>
    <col min="15623" max="15623" width="8.625" style="8" customWidth="1"/>
    <col min="15624" max="15625" width="11.5" style="8" bestFit="1" customWidth="1"/>
    <col min="15626" max="15861" width="9" style="8"/>
    <col min="15862" max="15862" width="9" style="8" customWidth="1"/>
    <col min="15863" max="15863" width="10.5" style="8" bestFit="1" customWidth="1"/>
    <col min="15864" max="15864" width="6.5" style="8" bestFit="1" customWidth="1"/>
    <col min="15865" max="15865" width="9.5" style="8" customWidth="1"/>
    <col min="15866" max="15876" width="9" style="8"/>
    <col min="15877" max="15877" width="4" style="8" customWidth="1"/>
    <col min="15878" max="15878" width="6.625" style="8" customWidth="1"/>
    <col min="15879" max="15879" width="8.625" style="8" customWidth="1"/>
    <col min="15880" max="15881" width="11.5" style="8" bestFit="1" customWidth="1"/>
    <col min="15882" max="16117" width="9" style="8"/>
    <col min="16118" max="16118" width="9" style="8" customWidth="1"/>
    <col min="16119" max="16119" width="10.5" style="8" bestFit="1" customWidth="1"/>
    <col min="16120" max="16120" width="6.5" style="8" bestFit="1" customWidth="1"/>
    <col min="16121" max="16121" width="9.5" style="8" customWidth="1"/>
    <col min="16122" max="16132" width="9" style="8"/>
    <col min="16133" max="16133" width="4" style="8" customWidth="1"/>
    <col min="16134" max="16134" width="6.625" style="8" customWidth="1"/>
    <col min="16135" max="16135" width="8.625" style="8" customWidth="1"/>
    <col min="16136" max="16137" width="11.5" style="8" bestFit="1" customWidth="1"/>
    <col min="16138" max="16384" width="9" style="8"/>
  </cols>
  <sheetData>
    <row r="1" spans="1:9" ht="16.5" customHeight="1" x14ac:dyDescent="0.25">
      <c r="A1" s="7" t="s">
        <v>373</v>
      </c>
      <c r="B1" s="41">
        <v>10</v>
      </c>
      <c r="C1" s="8">
        <v>50000000</v>
      </c>
      <c r="D1" s="38">
        <f ca="1">TODAY()</f>
        <v>45156</v>
      </c>
      <c r="E1" s="38">
        <f ca="1">WORKDAY(D1,2)</f>
        <v>45160</v>
      </c>
      <c r="G1" s="38"/>
      <c r="H1" s="38"/>
    </row>
    <row r="2" spans="1:9" x14ac:dyDescent="0.25">
      <c r="A2" s="7" t="s">
        <v>371</v>
      </c>
      <c r="B2" s="8">
        <v>0.7</v>
      </c>
      <c r="I2" s="43"/>
    </row>
    <row r="3" spans="1:9" x14ac:dyDescent="0.25">
      <c r="B3" s="8" t="s">
        <v>353</v>
      </c>
      <c r="C3" s="8" t="s">
        <v>352</v>
      </c>
      <c r="F3" s="38" t="s">
        <v>372</v>
      </c>
      <c r="I3" s="14" t="s">
        <v>105</v>
      </c>
    </row>
    <row r="4" spans="1:9" x14ac:dyDescent="0.25">
      <c r="A4" s="26" t="s">
        <v>274</v>
      </c>
      <c r="B4" s="37">
        <v>45164</v>
      </c>
      <c r="C4" s="21">
        <v>0.25</v>
      </c>
      <c r="D4" s="39">
        <f t="shared" ref="D4:D14" ca="1" si="0">B4-$D$1</f>
        <v>8</v>
      </c>
      <c r="E4" s="39">
        <f t="shared" ref="E4:E13" ca="1" si="1">B4-$E$1</f>
        <v>4</v>
      </c>
      <c r="F4" s="44">
        <v>0.96</v>
      </c>
      <c r="G4" s="45">
        <f t="shared" ref="G4:G13" ca="1" si="2">$B$1*$C$1*(F4-$B$2)/100*E4/365</f>
        <v>14246.575342465754</v>
      </c>
      <c r="H4" s="45">
        <f t="shared" ref="H4:H13" ca="1" si="3">G4/E4</f>
        <v>3561.6438356164385</v>
      </c>
      <c r="I4" s="20">
        <v>0.43</v>
      </c>
    </row>
    <row r="5" spans="1:9" x14ac:dyDescent="0.25">
      <c r="A5" s="26" t="s">
        <v>33</v>
      </c>
      <c r="B5" s="37">
        <v>45187</v>
      </c>
      <c r="C5" s="21">
        <v>1.75</v>
      </c>
      <c r="D5" s="39">
        <f t="shared" ca="1" si="0"/>
        <v>31</v>
      </c>
      <c r="E5" s="39">
        <f t="shared" ca="1" si="1"/>
        <v>27</v>
      </c>
      <c r="F5" s="44">
        <v>0.99</v>
      </c>
      <c r="G5" s="45">
        <f t="shared" ca="1" si="2"/>
        <v>107260.27397260276</v>
      </c>
      <c r="H5" s="45">
        <f t="shared" ca="1" si="3"/>
        <v>3972.6027397260282</v>
      </c>
      <c r="I5" s="20">
        <v>0.49</v>
      </c>
    </row>
    <row r="6" spans="1:9" x14ac:dyDescent="0.25">
      <c r="A6" s="26" t="s">
        <v>37</v>
      </c>
      <c r="B6" s="37">
        <v>45253</v>
      </c>
      <c r="C6" s="21">
        <v>0.75</v>
      </c>
      <c r="D6" s="39">
        <f t="shared" ca="1" si="0"/>
        <v>97</v>
      </c>
      <c r="E6" s="39">
        <f t="shared" ca="1" si="1"/>
        <v>93</v>
      </c>
      <c r="F6" s="44">
        <v>0.99</v>
      </c>
      <c r="G6" s="45">
        <f t="shared" ca="1" si="2"/>
        <v>369452.05479452061</v>
      </c>
      <c r="H6" s="45">
        <f t="shared" ca="1" si="3"/>
        <v>3972.6027397260282</v>
      </c>
      <c r="I6" s="20">
        <v>0.67</v>
      </c>
    </row>
    <row r="7" spans="1:9" x14ac:dyDescent="0.25">
      <c r="A7" s="26" t="s">
        <v>27</v>
      </c>
      <c r="B7" s="37">
        <v>45305</v>
      </c>
      <c r="C7" s="21">
        <v>0.625</v>
      </c>
      <c r="D7" s="39">
        <f t="shared" ca="1" si="0"/>
        <v>149</v>
      </c>
      <c r="E7" s="39">
        <f t="shared" ca="1" si="1"/>
        <v>145</v>
      </c>
      <c r="F7" s="44">
        <v>0.99</v>
      </c>
      <c r="G7" s="45">
        <f t="shared" ca="1" si="2"/>
        <v>576027.39726027404</v>
      </c>
      <c r="H7" s="45">
        <f t="shared" ca="1" si="3"/>
        <v>3972.6027397260277</v>
      </c>
      <c r="I7" s="20">
        <v>0.81</v>
      </c>
    </row>
    <row r="8" spans="1:9" x14ac:dyDescent="0.25">
      <c r="A8" s="26" t="s">
        <v>9</v>
      </c>
      <c r="B8" s="37">
        <v>45332</v>
      </c>
      <c r="C8" s="21">
        <v>3</v>
      </c>
      <c r="D8" s="39">
        <f t="shared" ca="1" si="0"/>
        <v>176</v>
      </c>
      <c r="E8" s="39">
        <f t="shared" ca="1" si="1"/>
        <v>172</v>
      </c>
      <c r="F8" s="44">
        <v>0.99</v>
      </c>
      <c r="G8" s="45">
        <f t="shared" ca="1" si="2"/>
        <v>683287.67123287683</v>
      </c>
      <c r="H8" s="45">
        <f t="shared" ca="1" si="3"/>
        <v>3972.6027397260282</v>
      </c>
      <c r="I8" s="20">
        <v>0.88</v>
      </c>
    </row>
    <row r="9" spans="1:9" x14ac:dyDescent="0.25">
      <c r="A9" s="26" t="s">
        <v>52</v>
      </c>
      <c r="B9" s="37">
        <v>45354</v>
      </c>
      <c r="C9" s="21">
        <v>1.5</v>
      </c>
      <c r="D9" s="39">
        <f t="shared" ca="1" si="0"/>
        <v>198</v>
      </c>
      <c r="E9" s="39">
        <f t="shared" ca="1" si="1"/>
        <v>194</v>
      </c>
      <c r="F9" s="44">
        <v>1</v>
      </c>
      <c r="G9" s="45">
        <f t="shared" ca="1" si="2"/>
        <v>797260.27397260291</v>
      </c>
      <c r="H9" s="45">
        <f t="shared" ca="1" si="3"/>
        <v>4109.5890410958909</v>
      </c>
      <c r="I9" s="20">
        <v>0.94</v>
      </c>
    </row>
    <row r="10" spans="1:9" x14ac:dyDescent="0.25">
      <c r="A10" s="26" t="s">
        <v>277</v>
      </c>
      <c r="B10" s="37">
        <v>45382</v>
      </c>
      <c r="C10" s="21">
        <v>0.75</v>
      </c>
      <c r="D10" s="39">
        <f t="shared" ca="1" si="0"/>
        <v>226</v>
      </c>
      <c r="E10" s="39">
        <f t="shared" ca="1" si="1"/>
        <v>222</v>
      </c>
      <c r="F10" s="44">
        <v>1</v>
      </c>
      <c r="G10" s="45">
        <f t="shared" ca="1" si="2"/>
        <v>912328.76712328778</v>
      </c>
      <c r="H10" s="45">
        <f t="shared" ca="1" si="3"/>
        <v>4109.5890410958909</v>
      </c>
      <c r="I10" s="20">
        <v>1.01</v>
      </c>
    </row>
    <row r="11" spans="1:9" x14ac:dyDescent="0.25">
      <c r="A11" s="26" t="s">
        <v>5</v>
      </c>
      <c r="B11" s="37">
        <v>45490</v>
      </c>
      <c r="C11" s="21">
        <v>0.5</v>
      </c>
      <c r="D11" s="39">
        <f t="shared" ca="1" si="0"/>
        <v>334</v>
      </c>
      <c r="E11" s="39">
        <f t="shared" ca="1" si="1"/>
        <v>330</v>
      </c>
      <c r="F11" s="44">
        <v>1</v>
      </c>
      <c r="G11" s="45">
        <f t="shared" ca="1" si="2"/>
        <v>1356164.383561644</v>
      </c>
      <c r="H11" s="45">
        <f t="shared" ca="1" si="3"/>
        <v>4109.5890410958909</v>
      </c>
      <c r="I11" s="20">
        <v>1.3</v>
      </c>
    </row>
    <row r="12" spans="1:9" x14ac:dyDescent="0.25">
      <c r="A12" s="26" t="s">
        <v>42</v>
      </c>
      <c r="B12" s="37">
        <v>45561</v>
      </c>
      <c r="C12" s="21">
        <v>1.625</v>
      </c>
      <c r="D12" s="39">
        <f t="shared" ca="1" si="0"/>
        <v>405</v>
      </c>
      <c r="E12" s="39">
        <f t="shared" ca="1" si="1"/>
        <v>401</v>
      </c>
      <c r="F12" s="44">
        <v>1</v>
      </c>
      <c r="G12" s="45">
        <f t="shared" ca="1" si="2"/>
        <v>1647945.2054794524</v>
      </c>
      <c r="H12" s="45">
        <f t="shared" ca="1" si="3"/>
        <v>4109.5890410958909</v>
      </c>
      <c r="I12" s="20">
        <v>1.48</v>
      </c>
    </row>
    <row r="13" spans="1:9" x14ac:dyDescent="0.25">
      <c r="A13" s="26" t="s">
        <v>10</v>
      </c>
      <c r="B13" s="37">
        <v>45614</v>
      </c>
      <c r="C13" s="21">
        <v>3</v>
      </c>
      <c r="D13" s="39">
        <f t="shared" ca="1" si="0"/>
        <v>458</v>
      </c>
      <c r="E13" s="39">
        <f t="shared" ca="1" si="1"/>
        <v>454</v>
      </c>
      <c r="F13" s="44">
        <v>1</v>
      </c>
      <c r="G13" s="45">
        <f t="shared" ca="1" si="2"/>
        <v>1865753.4246575346</v>
      </c>
      <c r="H13" s="45">
        <f t="shared" ca="1" si="3"/>
        <v>4109.5890410958909</v>
      </c>
      <c r="I13" s="20">
        <v>1.62</v>
      </c>
    </row>
    <row r="14" spans="1:9" x14ac:dyDescent="0.25">
      <c r="A14" s="26" t="s">
        <v>275</v>
      </c>
      <c r="B14" s="37">
        <v>45667</v>
      </c>
      <c r="C14" s="21">
        <v>0.5</v>
      </c>
      <c r="D14" s="39">
        <f t="shared" ca="1" si="0"/>
        <v>511</v>
      </c>
      <c r="E14" s="39">
        <f t="shared" ref="E14" ca="1" si="4">B14-$E$1</f>
        <v>507</v>
      </c>
      <c r="F14" s="44">
        <v>1.03</v>
      </c>
      <c r="G14" s="45">
        <f t="shared" ref="G14" ca="1" si="5">$B$1*$C$1*(F14-$B$2)/100*E14/365</f>
        <v>2291917.8082191786</v>
      </c>
      <c r="H14" s="45">
        <f t="shared" ref="H14" ca="1" si="6">G14/E14</f>
        <v>4520.5479452054806</v>
      </c>
      <c r="I14" s="20">
        <v>1.78</v>
      </c>
    </row>
    <row r="15" spans="1:9" x14ac:dyDescent="0.25">
      <c r="A15" s="26" t="s">
        <v>322</v>
      </c>
      <c r="B15" s="20" t="s">
        <v>323</v>
      </c>
      <c r="C15" s="21">
        <v>1</v>
      </c>
      <c r="D15" s="21"/>
      <c r="E15" s="39"/>
      <c r="F15" s="42"/>
      <c r="G15" s="42"/>
      <c r="H15" s="42"/>
      <c r="I15" s="20">
        <v>1.9</v>
      </c>
    </row>
    <row r="16" spans="1:9" x14ac:dyDescent="0.25">
      <c r="A16" s="26" t="s">
        <v>7</v>
      </c>
      <c r="B16" s="20" t="s">
        <v>118</v>
      </c>
      <c r="C16" s="21">
        <v>2.375</v>
      </c>
      <c r="D16" s="21"/>
      <c r="E16" s="39"/>
      <c r="F16" s="42"/>
      <c r="G16" s="42"/>
      <c r="H16" s="42"/>
      <c r="I16" s="20">
        <v>1.89</v>
      </c>
    </row>
    <row r="17" spans="1:9" x14ac:dyDescent="0.25">
      <c r="A17" s="26" t="s">
        <v>31</v>
      </c>
      <c r="B17" s="20" t="s">
        <v>120</v>
      </c>
      <c r="C17" s="21">
        <v>1.625</v>
      </c>
      <c r="D17" s="21"/>
      <c r="E17" s="39"/>
      <c r="F17" s="42"/>
      <c r="G17" s="42"/>
      <c r="H17" s="42"/>
      <c r="I17" s="20">
        <v>1.94</v>
      </c>
    </row>
    <row r="18" spans="1:9" x14ac:dyDescent="0.25">
      <c r="A18" s="26" t="s">
        <v>278</v>
      </c>
      <c r="B18" s="20" t="s">
        <v>121</v>
      </c>
      <c r="C18" s="21">
        <v>0.25</v>
      </c>
      <c r="D18" s="21"/>
      <c r="E18" s="39"/>
      <c r="F18" s="42"/>
      <c r="G18" s="42"/>
      <c r="H18" s="42"/>
      <c r="I18" s="20">
        <v>2.29</v>
      </c>
    </row>
    <row r="19" spans="1:9" x14ac:dyDescent="0.25">
      <c r="A19" s="26" t="s">
        <v>38</v>
      </c>
      <c r="B19" s="20" t="s">
        <v>122</v>
      </c>
      <c r="C19" s="21">
        <v>1.125</v>
      </c>
      <c r="D19" s="21"/>
      <c r="E19" s="39"/>
      <c r="F19" s="42"/>
      <c r="G19" s="42"/>
      <c r="H19" s="42"/>
      <c r="I19" s="20">
        <v>2.42</v>
      </c>
    </row>
    <row r="20" spans="1:9" x14ac:dyDescent="0.25">
      <c r="A20" s="26" t="s">
        <v>279</v>
      </c>
      <c r="B20" s="20" t="s">
        <v>124</v>
      </c>
      <c r="C20" s="21">
        <v>0.125</v>
      </c>
      <c r="D20" s="21"/>
      <c r="E20" s="39"/>
      <c r="F20" s="42"/>
      <c r="G20" s="42"/>
      <c r="H20" s="42"/>
      <c r="I20" s="20">
        <v>2.68</v>
      </c>
    </row>
    <row r="21" spans="1:9" x14ac:dyDescent="0.25">
      <c r="A21" s="26" t="s">
        <v>280</v>
      </c>
      <c r="B21" s="20" t="s">
        <v>125</v>
      </c>
      <c r="C21" s="21">
        <v>0.25</v>
      </c>
      <c r="D21" s="21"/>
      <c r="E21" s="39"/>
      <c r="F21" s="42"/>
      <c r="G21" s="42"/>
      <c r="H21" s="42"/>
      <c r="I21" s="20">
        <v>2.78</v>
      </c>
    </row>
    <row r="22" spans="1:9" x14ac:dyDescent="0.25">
      <c r="A22" s="26" t="s">
        <v>8</v>
      </c>
      <c r="B22" s="20" t="s">
        <v>123</v>
      </c>
      <c r="C22" s="21">
        <v>1.875</v>
      </c>
      <c r="D22" s="21"/>
      <c r="E22" s="39"/>
      <c r="F22" s="42"/>
      <c r="G22" s="42"/>
      <c r="H22" s="42"/>
      <c r="I22" s="20">
        <v>2.85</v>
      </c>
    </row>
    <row r="23" spans="1:9" x14ac:dyDescent="0.25">
      <c r="A23" s="26" t="s">
        <v>59</v>
      </c>
      <c r="B23" s="20" t="s">
        <v>126</v>
      </c>
      <c r="C23" s="21">
        <v>0.75</v>
      </c>
      <c r="D23" s="21"/>
      <c r="E23" s="39"/>
      <c r="F23" s="39"/>
      <c r="G23" s="39"/>
      <c r="H23" s="39"/>
      <c r="I23" s="20">
        <v>2.9</v>
      </c>
    </row>
    <row r="24" spans="1:9" x14ac:dyDescent="0.25">
      <c r="A24" s="26" t="s">
        <v>281</v>
      </c>
      <c r="B24" s="20" t="s">
        <v>222</v>
      </c>
      <c r="C24" s="21">
        <v>0.25</v>
      </c>
      <c r="D24" s="21"/>
      <c r="E24" s="39"/>
      <c r="F24" s="39"/>
      <c r="G24" s="39"/>
      <c r="H24" s="39"/>
      <c r="I24" s="20">
        <v>3.3</v>
      </c>
    </row>
    <row r="25" spans="1:9" x14ac:dyDescent="0.25">
      <c r="A25" s="26" t="s">
        <v>56</v>
      </c>
      <c r="B25" s="20" t="s">
        <v>128</v>
      </c>
      <c r="C25" s="21">
        <v>0.625</v>
      </c>
      <c r="D25" s="21"/>
      <c r="E25" s="39"/>
      <c r="F25" s="39"/>
      <c r="G25" s="39"/>
      <c r="H25" s="39"/>
      <c r="I25" s="20">
        <v>3.39</v>
      </c>
    </row>
    <row r="26" spans="1:9" x14ac:dyDescent="0.25">
      <c r="A26" s="26" t="s">
        <v>11</v>
      </c>
      <c r="B26" s="20" t="s">
        <v>127</v>
      </c>
      <c r="C26" s="21">
        <v>2.125</v>
      </c>
      <c r="D26" s="21"/>
      <c r="E26" s="39"/>
      <c r="F26" s="39"/>
      <c r="G26" s="39"/>
      <c r="H26" s="39"/>
      <c r="I26" s="20">
        <v>3.48</v>
      </c>
    </row>
    <row r="27" spans="1:9" x14ac:dyDescent="0.25">
      <c r="A27" s="26" t="s">
        <v>12</v>
      </c>
      <c r="B27" s="20" t="s">
        <v>129</v>
      </c>
      <c r="C27" s="21">
        <v>2</v>
      </c>
      <c r="D27" s="21"/>
      <c r="E27" s="39"/>
      <c r="F27" s="39"/>
      <c r="G27" s="39"/>
      <c r="H27" s="39"/>
      <c r="I27" s="20">
        <v>3.75</v>
      </c>
    </row>
    <row r="28" spans="1:9" x14ac:dyDescent="0.25">
      <c r="A28" s="26" t="s">
        <v>32</v>
      </c>
      <c r="B28" s="20" t="s">
        <v>130</v>
      </c>
      <c r="C28" s="21">
        <v>1.125</v>
      </c>
      <c r="D28" s="21"/>
      <c r="E28" s="39"/>
      <c r="F28" s="39"/>
      <c r="G28" s="39"/>
      <c r="H28" s="39"/>
      <c r="I28" s="20">
        <v>3.84</v>
      </c>
    </row>
    <row r="29" spans="1:9" x14ac:dyDescent="0.25">
      <c r="A29" s="26" t="s">
        <v>282</v>
      </c>
      <c r="B29" s="20" t="s">
        <v>247</v>
      </c>
      <c r="C29" s="21">
        <v>0.5</v>
      </c>
      <c r="D29" s="21"/>
      <c r="E29" s="39"/>
      <c r="F29" s="39"/>
      <c r="G29" s="39"/>
      <c r="H29" s="39"/>
      <c r="I29" s="20">
        <v>3.86</v>
      </c>
    </row>
    <row r="30" spans="1:9" x14ac:dyDescent="0.25">
      <c r="A30" s="26" t="s">
        <v>263</v>
      </c>
      <c r="B30" s="20" t="s">
        <v>265</v>
      </c>
      <c r="C30" s="21">
        <v>1</v>
      </c>
      <c r="D30" s="21"/>
      <c r="E30" s="39"/>
      <c r="F30" s="39"/>
      <c r="G30" s="39"/>
      <c r="H30" s="39"/>
      <c r="I30" s="20">
        <v>4.1100000000000003</v>
      </c>
    </row>
    <row r="31" spans="1:9" x14ac:dyDescent="0.25">
      <c r="A31" s="26" t="s">
        <v>304</v>
      </c>
      <c r="B31" s="20" t="s">
        <v>305</v>
      </c>
      <c r="C31" s="21">
        <v>1.25</v>
      </c>
      <c r="D31" s="21"/>
      <c r="E31" s="39"/>
      <c r="F31" s="39"/>
      <c r="G31" s="39"/>
      <c r="H31" s="39"/>
      <c r="I31" s="20">
        <v>4.34</v>
      </c>
    </row>
    <row r="32" spans="1:9" x14ac:dyDescent="0.25">
      <c r="A32" s="26" t="s">
        <v>13</v>
      </c>
      <c r="B32" s="20" t="s">
        <v>131</v>
      </c>
      <c r="C32" s="21">
        <v>3</v>
      </c>
      <c r="D32" s="21"/>
      <c r="E32" s="39"/>
      <c r="F32" s="39"/>
      <c r="G32" s="39"/>
      <c r="H32" s="39"/>
      <c r="I32" s="20">
        <v>4.34</v>
      </c>
    </row>
    <row r="33" spans="1:9" x14ac:dyDescent="0.25">
      <c r="A33" s="26" t="s">
        <v>1</v>
      </c>
      <c r="B33" s="20" t="s">
        <v>132</v>
      </c>
      <c r="C33" s="21">
        <v>1</v>
      </c>
      <c r="D33" s="21"/>
      <c r="E33" s="39"/>
      <c r="F33" s="39"/>
      <c r="G33" s="39"/>
      <c r="H33" s="39"/>
      <c r="I33" s="20">
        <v>4.3499999999999996</v>
      </c>
    </row>
    <row r="34" spans="1:9" x14ac:dyDescent="0.25">
      <c r="A34" s="26" t="s">
        <v>324</v>
      </c>
      <c r="B34" s="20" t="s">
        <v>325</v>
      </c>
      <c r="C34" s="21">
        <v>1</v>
      </c>
      <c r="D34" s="21"/>
      <c r="E34" s="39"/>
      <c r="F34" s="39"/>
      <c r="G34" s="39"/>
      <c r="H34" s="39"/>
      <c r="I34" s="20">
        <v>4.67</v>
      </c>
    </row>
    <row r="35" spans="1:9" x14ac:dyDescent="0.25">
      <c r="A35" s="26" t="s">
        <v>14</v>
      </c>
      <c r="B35" s="20" t="s">
        <v>133</v>
      </c>
      <c r="C35" s="21">
        <v>2.5</v>
      </c>
      <c r="D35" s="21"/>
      <c r="E35" s="39"/>
      <c r="F35" s="39"/>
      <c r="G35" s="39"/>
      <c r="H35" s="39"/>
      <c r="I35" s="20">
        <v>4.62</v>
      </c>
    </row>
    <row r="36" spans="1:9" x14ac:dyDescent="0.25">
      <c r="A36" s="26" t="s">
        <v>60</v>
      </c>
      <c r="B36" s="20" t="s">
        <v>134</v>
      </c>
      <c r="C36" s="21">
        <v>1.375</v>
      </c>
      <c r="D36" s="21"/>
      <c r="E36" s="39"/>
      <c r="F36" s="39"/>
      <c r="G36" s="39"/>
      <c r="H36" s="39"/>
      <c r="I36" s="20">
        <v>4.62</v>
      </c>
    </row>
    <row r="37" spans="1:9" x14ac:dyDescent="0.25">
      <c r="A37" s="26" t="s">
        <v>326</v>
      </c>
      <c r="B37" s="20" t="s">
        <v>325</v>
      </c>
      <c r="C37" s="21">
        <v>1</v>
      </c>
      <c r="D37" s="21"/>
      <c r="E37" s="39"/>
      <c r="F37" s="39"/>
      <c r="G37" s="39"/>
      <c r="H37" s="39"/>
      <c r="I37" s="20">
        <v>4.68</v>
      </c>
    </row>
    <row r="38" spans="1:9" x14ac:dyDescent="0.25">
      <c r="A38" s="26" t="s">
        <v>35</v>
      </c>
      <c r="B38" s="20" t="s">
        <v>135</v>
      </c>
      <c r="C38" s="21">
        <v>1</v>
      </c>
      <c r="D38" s="21"/>
      <c r="E38" s="39"/>
      <c r="F38" s="39"/>
      <c r="G38" s="39"/>
      <c r="H38" s="39"/>
      <c r="I38" s="20">
        <v>4.74</v>
      </c>
    </row>
    <row r="39" spans="1:9" x14ac:dyDescent="0.25">
      <c r="A39" s="26" t="s">
        <v>15</v>
      </c>
      <c r="B39" s="20" t="s">
        <v>136</v>
      </c>
      <c r="C39" s="21">
        <v>2.625</v>
      </c>
      <c r="D39" s="21"/>
      <c r="E39" s="39"/>
      <c r="F39" s="39"/>
      <c r="G39" s="39"/>
      <c r="H39" s="39"/>
      <c r="I39" s="20">
        <v>4.99</v>
      </c>
    </row>
    <row r="40" spans="1:9" x14ac:dyDescent="0.25">
      <c r="A40" s="26" t="s">
        <v>2</v>
      </c>
      <c r="B40" s="20" t="s">
        <v>137</v>
      </c>
      <c r="C40" s="21">
        <v>0.875</v>
      </c>
      <c r="D40" s="21"/>
      <c r="E40" s="39"/>
      <c r="F40" s="39"/>
      <c r="G40" s="39"/>
      <c r="H40" s="39"/>
      <c r="I40" s="20">
        <v>5.03</v>
      </c>
    </row>
    <row r="41" spans="1:9" x14ac:dyDescent="0.25">
      <c r="A41" s="26" t="s">
        <v>283</v>
      </c>
      <c r="B41" s="20" t="s">
        <v>223</v>
      </c>
      <c r="C41" s="21">
        <v>0.25</v>
      </c>
      <c r="D41" s="21"/>
      <c r="E41" s="39"/>
      <c r="F41" s="39"/>
      <c r="G41" s="39"/>
      <c r="H41" s="39"/>
      <c r="I41" s="20">
        <v>5.32</v>
      </c>
    </row>
    <row r="42" spans="1:9" x14ac:dyDescent="0.25">
      <c r="A42" s="26" t="s">
        <v>28</v>
      </c>
      <c r="B42" s="20" t="s">
        <v>139</v>
      </c>
      <c r="C42" s="21">
        <v>0.875</v>
      </c>
      <c r="D42" s="21"/>
      <c r="E42" s="39"/>
      <c r="F42" s="39"/>
      <c r="G42" s="39"/>
      <c r="H42" s="39"/>
      <c r="I42" s="20">
        <v>5.39</v>
      </c>
    </row>
    <row r="43" spans="1:9" x14ac:dyDescent="0.25">
      <c r="A43" s="26" t="s">
        <v>16</v>
      </c>
      <c r="B43" s="20" t="s">
        <v>138</v>
      </c>
      <c r="C43" s="21">
        <v>2.125</v>
      </c>
      <c r="D43" s="21"/>
      <c r="E43" s="39"/>
      <c r="F43" s="39"/>
      <c r="G43" s="39"/>
      <c r="H43" s="39"/>
      <c r="I43" s="20">
        <v>5.55</v>
      </c>
    </row>
    <row r="44" spans="1:9" x14ac:dyDescent="0.25">
      <c r="A44" s="26" t="s">
        <v>3</v>
      </c>
      <c r="B44" s="20" t="s">
        <v>140</v>
      </c>
      <c r="C44" s="21">
        <v>0.75</v>
      </c>
      <c r="D44" s="21"/>
      <c r="E44" s="39"/>
      <c r="F44" s="39"/>
      <c r="G44" s="39"/>
      <c r="H44" s="39"/>
      <c r="I44" s="20">
        <v>5.72</v>
      </c>
    </row>
    <row r="45" spans="1:9" x14ac:dyDescent="0.25">
      <c r="A45" s="26" t="s">
        <v>17</v>
      </c>
      <c r="B45" s="20" t="s">
        <v>141</v>
      </c>
      <c r="C45" s="21">
        <v>2.125</v>
      </c>
      <c r="D45" s="21"/>
      <c r="E45" s="39"/>
      <c r="F45" s="39"/>
      <c r="G45" s="39"/>
      <c r="H45" s="39"/>
      <c r="I45" s="20">
        <v>5.92</v>
      </c>
    </row>
    <row r="46" spans="1:9" x14ac:dyDescent="0.25">
      <c r="A46" s="26" t="s">
        <v>4</v>
      </c>
      <c r="B46" s="20" t="s">
        <v>142</v>
      </c>
      <c r="C46" s="21">
        <v>0.625</v>
      </c>
      <c r="D46" s="21"/>
      <c r="E46" s="39"/>
      <c r="F46" s="39"/>
      <c r="G46" s="39"/>
      <c r="H46" s="39"/>
      <c r="I46" s="20">
        <v>6.07</v>
      </c>
    </row>
    <row r="47" spans="1:9" x14ac:dyDescent="0.25">
      <c r="A47" s="26" t="s">
        <v>6</v>
      </c>
      <c r="B47" s="20" t="s">
        <v>144</v>
      </c>
      <c r="C47" s="21">
        <v>0.625</v>
      </c>
      <c r="D47" s="21"/>
      <c r="E47" s="39"/>
      <c r="F47" s="39"/>
      <c r="G47" s="39"/>
      <c r="H47" s="39"/>
      <c r="I47" s="20">
        <v>6.36</v>
      </c>
    </row>
    <row r="48" spans="1:9" x14ac:dyDescent="0.25">
      <c r="A48" s="26" t="s">
        <v>18</v>
      </c>
      <c r="B48" s="20" t="s">
        <v>143</v>
      </c>
      <c r="C48" s="21">
        <v>1.875</v>
      </c>
      <c r="D48" s="21"/>
      <c r="E48" s="39"/>
      <c r="F48" s="39"/>
      <c r="G48" s="39"/>
      <c r="H48" s="39"/>
      <c r="I48" s="20">
        <v>6.49</v>
      </c>
    </row>
    <row r="49" spans="1:9" x14ac:dyDescent="0.25">
      <c r="A49" s="26" t="s">
        <v>284</v>
      </c>
      <c r="B49" s="20" t="s">
        <v>145</v>
      </c>
      <c r="C49" s="21">
        <v>0.5</v>
      </c>
      <c r="D49" s="21"/>
      <c r="E49" s="39"/>
      <c r="F49" s="39"/>
      <c r="G49" s="39"/>
      <c r="H49" s="39"/>
      <c r="I49" s="20">
        <v>6.74</v>
      </c>
    </row>
    <row r="50" spans="1:9" x14ac:dyDescent="0.25">
      <c r="A50" s="26" t="s">
        <v>19</v>
      </c>
      <c r="B50" s="20" t="s">
        <v>146</v>
      </c>
      <c r="C50" s="21">
        <v>1.75</v>
      </c>
      <c r="D50" s="21"/>
      <c r="E50" s="39"/>
      <c r="F50" s="39"/>
      <c r="G50" s="39"/>
      <c r="H50" s="39"/>
      <c r="I50" s="20">
        <v>6.86</v>
      </c>
    </row>
    <row r="51" spans="1:9" x14ac:dyDescent="0.25">
      <c r="A51" s="26" t="s">
        <v>285</v>
      </c>
      <c r="B51" s="20" t="s">
        <v>149</v>
      </c>
      <c r="C51" s="21">
        <v>0.375</v>
      </c>
      <c r="D51" s="21"/>
      <c r="E51" s="39"/>
      <c r="F51" s="39"/>
      <c r="G51" s="39"/>
      <c r="H51" s="39"/>
      <c r="I51" s="20">
        <v>7.04</v>
      </c>
    </row>
    <row r="52" spans="1:9" x14ac:dyDescent="0.25">
      <c r="A52" s="26" t="s">
        <v>50</v>
      </c>
      <c r="B52" s="20" t="s">
        <v>147</v>
      </c>
      <c r="C52" s="21">
        <v>2.125</v>
      </c>
      <c r="D52" s="21"/>
      <c r="E52" s="39"/>
      <c r="F52" s="39"/>
      <c r="G52" s="39"/>
      <c r="H52" s="39"/>
      <c r="I52" s="20">
        <v>7.2</v>
      </c>
    </row>
    <row r="53" spans="1:9" x14ac:dyDescent="0.25">
      <c r="A53" s="26" t="s">
        <v>20</v>
      </c>
      <c r="B53" s="20" t="s">
        <v>148</v>
      </c>
      <c r="C53" s="21">
        <v>3.625</v>
      </c>
      <c r="D53" s="21"/>
      <c r="E53" s="39"/>
      <c r="F53" s="39"/>
      <c r="G53" s="39"/>
      <c r="H53" s="39"/>
      <c r="I53" s="20">
        <v>7.2</v>
      </c>
    </row>
    <row r="54" spans="1:9" x14ac:dyDescent="0.25">
      <c r="A54" s="26" t="s">
        <v>286</v>
      </c>
      <c r="B54" s="20" t="s">
        <v>151</v>
      </c>
      <c r="C54" s="21">
        <v>0.25</v>
      </c>
      <c r="D54" s="21"/>
      <c r="E54" s="39"/>
      <c r="F54" s="39"/>
      <c r="G54" s="39"/>
      <c r="H54" s="39"/>
      <c r="I54" s="20">
        <v>7.41</v>
      </c>
    </row>
    <row r="55" spans="1:9" x14ac:dyDescent="0.25">
      <c r="A55" s="26" t="s">
        <v>58</v>
      </c>
      <c r="B55" s="20" t="s">
        <v>150</v>
      </c>
      <c r="C55" s="21">
        <v>1.75</v>
      </c>
      <c r="D55" s="21"/>
      <c r="E55" s="39"/>
      <c r="F55" s="39"/>
      <c r="G55" s="39"/>
      <c r="H55" s="39"/>
      <c r="I55" s="20">
        <v>7.52</v>
      </c>
    </row>
    <row r="56" spans="1:9" x14ac:dyDescent="0.25">
      <c r="A56" s="26" t="s">
        <v>61</v>
      </c>
      <c r="B56" s="20" t="s">
        <v>153</v>
      </c>
      <c r="C56" s="21">
        <v>1.875</v>
      </c>
      <c r="D56" s="21"/>
      <c r="E56" s="39"/>
      <c r="F56" s="39"/>
      <c r="G56" s="39"/>
      <c r="H56" s="39"/>
      <c r="I56" s="20">
        <v>7.67</v>
      </c>
    </row>
    <row r="57" spans="1:9" x14ac:dyDescent="0.25">
      <c r="A57" s="26" t="s">
        <v>287</v>
      </c>
      <c r="B57" s="20" t="s">
        <v>152</v>
      </c>
      <c r="C57" s="21">
        <v>0.25</v>
      </c>
      <c r="D57" s="21"/>
      <c r="E57" s="39"/>
      <c r="F57" s="39"/>
      <c r="G57" s="39"/>
      <c r="H57" s="39"/>
      <c r="I57" s="20">
        <v>7.76</v>
      </c>
    </row>
    <row r="58" spans="1:9" x14ac:dyDescent="0.25">
      <c r="A58" s="26" t="s">
        <v>288</v>
      </c>
      <c r="B58" s="20" t="s">
        <v>212</v>
      </c>
      <c r="C58" s="21">
        <v>0.375</v>
      </c>
      <c r="D58" s="21"/>
      <c r="E58" s="39"/>
      <c r="F58" s="39"/>
      <c r="G58" s="39"/>
      <c r="H58" s="39"/>
      <c r="I58" s="20">
        <v>7.9</v>
      </c>
    </row>
    <row r="59" spans="1:9" x14ac:dyDescent="0.25">
      <c r="A59" s="26" t="s">
        <v>276</v>
      </c>
      <c r="B59" s="20" t="s">
        <v>216</v>
      </c>
      <c r="C59" s="21">
        <v>0.375</v>
      </c>
      <c r="D59" s="21"/>
      <c r="E59" s="39"/>
      <c r="F59" s="39"/>
      <c r="G59" s="39"/>
      <c r="H59" s="39"/>
      <c r="I59" s="20">
        <v>8.02</v>
      </c>
    </row>
    <row r="60" spans="1:9" x14ac:dyDescent="0.25">
      <c r="A60" s="26" t="s">
        <v>43</v>
      </c>
      <c r="B60" s="20" t="s">
        <v>154</v>
      </c>
      <c r="C60" s="21">
        <v>1.625</v>
      </c>
      <c r="D60" s="21"/>
      <c r="E60" s="39"/>
      <c r="F60" s="39"/>
      <c r="G60" s="39"/>
      <c r="H60" s="39"/>
      <c r="I60" s="20">
        <v>8.1999999999999993</v>
      </c>
    </row>
    <row r="61" spans="1:9" x14ac:dyDescent="0.25">
      <c r="A61" s="26" t="s">
        <v>25</v>
      </c>
      <c r="B61" s="20" t="s">
        <v>155</v>
      </c>
      <c r="C61" s="21">
        <v>1.625</v>
      </c>
      <c r="D61" s="21"/>
      <c r="E61" s="39"/>
      <c r="F61" s="39"/>
      <c r="G61" s="39"/>
      <c r="H61" s="39"/>
      <c r="I61" s="20">
        <v>8.35</v>
      </c>
    </row>
    <row r="62" spans="1:9" x14ac:dyDescent="0.25">
      <c r="A62" s="26" t="s">
        <v>289</v>
      </c>
      <c r="B62" s="20" t="s">
        <v>232</v>
      </c>
      <c r="C62" s="21">
        <v>0.5</v>
      </c>
      <c r="D62" s="21"/>
      <c r="E62" s="39"/>
      <c r="F62" s="39"/>
      <c r="G62" s="39"/>
      <c r="H62" s="39"/>
      <c r="I62" s="20">
        <v>8.31</v>
      </c>
    </row>
    <row r="63" spans="1:9" x14ac:dyDescent="0.25">
      <c r="A63" s="26" t="s">
        <v>290</v>
      </c>
      <c r="B63" s="20" t="s">
        <v>248</v>
      </c>
      <c r="C63" s="21">
        <v>0.75</v>
      </c>
      <c r="D63" s="21"/>
      <c r="E63" s="39"/>
      <c r="F63" s="39"/>
      <c r="G63" s="39"/>
      <c r="H63" s="39"/>
      <c r="I63" s="20">
        <v>8.44</v>
      </c>
    </row>
    <row r="64" spans="1:9" x14ac:dyDescent="0.25">
      <c r="A64" s="26" t="s">
        <v>245</v>
      </c>
      <c r="B64" s="20" t="s">
        <v>249</v>
      </c>
      <c r="C64" s="21">
        <v>0.625</v>
      </c>
      <c r="D64" s="21"/>
      <c r="E64" s="39"/>
      <c r="F64" s="39"/>
      <c r="G64" s="39"/>
      <c r="H64" s="39"/>
      <c r="I64" s="20">
        <v>8.59</v>
      </c>
    </row>
    <row r="65" spans="1:9" x14ac:dyDescent="0.25">
      <c r="A65" s="26" t="s">
        <v>264</v>
      </c>
      <c r="B65" s="20" t="s">
        <v>266</v>
      </c>
      <c r="C65" s="21">
        <v>1.25</v>
      </c>
      <c r="D65" s="21"/>
      <c r="E65" s="39"/>
      <c r="F65" s="39"/>
      <c r="G65" s="39"/>
      <c r="H65" s="39"/>
      <c r="I65" s="20">
        <v>8.64</v>
      </c>
    </row>
    <row r="66" spans="1:9" x14ac:dyDescent="0.25">
      <c r="A66" s="26" t="s">
        <v>29</v>
      </c>
      <c r="B66" s="20" t="s">
        <v>156</v>
      </c>
      <c r="C66" s="21">
        <v>1.5</v>
      </c>
      <c r="D66" s="21"/>
      <c r="E66" s="39"/>
      <c r="F66" s="39"/>
      <c r="G66" s="39"/>
      <c r="H66" s="39"/>
      <c r="I66" s="20">
        <v>8.66</v>
      </c>
    </row>
    <row r="67" spans="1:9" x14ac:dyDescent="0.25">
      <c r="A67" s="26" t="s">
        <v>313</v>
      </c>
      <c r="B67" s="20" t="s">
        <v>314</v>
      </c>
      <c r="C67" s="21">
        <v>1.75</v>
      </c>
      <c r="D67" s="21"/>
      <c r="E67" s="39"/>
      <c r="F67" s="39"/>
      <c r="G67" s="39"/>
      <c r="H67" s="39"/>
      <c r="I67" s="20">
        <v>8.75</v>
      </c>
    </row>
    <row r="68" spans="1:9" x14ac:dyDescent="0.25">
      <c r="A68" s="26" t="s">
        <v>53</v>
      </c>
      <c r="B68" s="20" t="s">
        <v>159</v>
      </c>
      <c r="C68" s="21">
        <v>1.5</v>
      </c>
      <c r="D68" s="21"/>
      <c r="E68" s="39"/>
      <c r="F68" s="39"/>
      <c r="G68" s="39"/>
      <c r="H68" s="39"/>
      <c r="I68" s="20">
        <v>9.1199999999999992</v>
      </c>
    </row>
    <row r="69" spans="1:9" x14ac:dyDescent="0.25">
      <c r="A69" s="26" t="s">
        <v>62</v>
      </c>
      <c r="B69" s="20" t="s">
        <v>158</v>
      </c>
      <c r="C69" s="21">
        <v>1.75</v>
      </c>
      <c r="D69" s="21"/>
      <c r="E69" s="39"/>
      <c r="F69" s="39"/>
      <c r="G69" s="39"/>
      <c r="H69" s="39"/>
      <c r="I69" s="20">
        <v>9.17</v>
      </c>
    </row>
    <row r="70" spans="1:9" x14ac:dyDescent="0.25">
      <c r="A70" s="26" t="s">
        <v>327</v>
      </c>
      <c r="B70" s="20" t="s">
        <v>328</v>
      </c>
      <c r="C70" s="21">
        <v>1.125</v>
      </c>
      <c r="D70" s="21"/>
      <c r="E70" s="39"/>
      <c r="F70" s="39"/>
      <c r="G70" s="39"/>
      <c r="H70" s="39"/>
      <c r="I70" s="20">
        <v>9.31</v>
      </c>
    </row>
    <row r="71" spans="1:9" x14ac:dyDescent="0.25">
      <c r="A71" s="26" t="s">
        <v>329</v>
      </c>
      <c r="B71" s="20" t="s">
        <v>330</v>
      </c>
      <c r="C71" s="21">
        <v>1.25</v>
      </c>
      <c r="D71" s="21"/>
      <c r="E71" s="39"/>
      <c r="F71" s="39"/>
      <c r="G71" s="39"/>
      <c r="H71" s="39"/>
      <c r="I71" s="20">
        <v>9.16</v>
      </c>
    </row>
    <row r="72" spans="1:9" x14ac:dyDescent="0.25">
      <c r="A72" s="26" t="s">
        <v>21</v>
      </c>
      <c r="B72" s="20" t="s">
        <v>157</v>
      </c>
      <c r="C72" s="21">
        <v>3.875</v>
      </c>
      <c r="D72" s="21"/>
      <c r="E72" s="39"/>
      <c r="F72" s="39"/>
      <c r="G72" s="39"/>
      <c r="H72" s="39"/>
      <c r="I72" s="20">
        <v>9.1999999999999993</v>
      </c>
    </row>
    <row r="73" spans="1:9" x14ac:dyDescent="0.25">
      <c r="A73" s="26" t="s">
        <v>30</v>
      </c>
      <c r="B73" s="20" t="s">
        <v>160</v>
      </c>
      <c r="C73" s="21">
        <v>2</v>
      </c>
      <c r="D73" s="21"/>
      <c r="E73" s="39"/>
      <c r="F73" s="39"/>
      <c r="G73" s="39"/>
      <c r="H73" s="39"/>
      <c r="I73" s="20">
        <v>9.27</v>
      </c>
    </row>
    <row r="74" spans="1:9" x14ac:dyDescent="0.25">
      <c r="A74" s="26" t="s">
        <v>63</v>
      </c>
      <c r="B74" s="20" t="s">
        <v>161</v>
      </c>
      <c r="C74" s="21">
        <v>2</v>
      </c>
      <c r="D74" s="21"/>
      <c r="E74" s="39"/>
      <c r="F74" s="39"/>
      <c r="G74" s="39"/>
      <c r="H74" s="39"/>
      <c r="I74" s="20">
        <v>9.77</v>
      </c>
    </row>
    <row r="75" spans="1:9" x14ac:dyDescent="0.25">
      <c r="A75" s="26" t="s">
        <v>44</v>
      </c>
      <c r="B75" s="20" t="s">
        <v>162</v>
      </c>
      <c r="C75" s="21">
        <v>1.875</v>
      </c>
      <c r="D75" s="21"/>
      <c r="E75" s="39"/>
      <c r="F75" s="39"/>
      <c r="G75" s="39"/>
      <c r="H75" s="39"/>
      <c r="I75" s="20">
        <v>9.8800000000000008</v>
      </c>
    </row>
    <row r="76" spans="1:9" x14ac:dyDescent="0.25">
      <c r="A76" s="26" t="s">
        <v>65</v>
      </c>
      <c r="B76" s="20" t="s">
        <v>163</v>
      </c>
      <c r="C76" s="21">
        <v>2.125</v>
      </c>
      <c r="D76" s="21"/>
      <c r="E76" s="39"/>
      <c r="F76" s="39"/>
      <c r="G76" s="39"/>
      <c r="H76" s="39"/>
      <c r="I76" s="20">
        <v>10.029999999999999</v>
      </c>
    </row>
    <row r="77" spans="1:9" x14ac:dyDescent="0.25">
      <c r="A77" s="26" t="s">
        <v>64</v>
      </c>
      <c r="B77" s="20" t="s">
        <v>164</v>
      </c>
      <c r="C77" s="21">
        <v>2.25</v>
      </c>
      <c r="D77" s="21"/>
      <c r="E77" s="39"/>
      <c r="F77" s="39"/>
      <c r="G77" s="39"/>
      <c r="H77" s="39"/>
      <c r="I77" s="20">
        <v>10.14</v>
      </c>
    </row>
    <row r="78" spans="1:9" x14ac:dyDescent="0.25">
      <c r="A78" s="26" t="s">
        <v>26</v>
      </c>
      <c r="B78" s="20" t="s">
        <v>165</v>
      </c>
      <c r="C78" s="21">
        <v>2</v>
      </c>
      <c r="D78" s="21"/>
      <c r="E78" s="39"/>
      <c r="F78" s="39"/>
      <c r="G78" s="39"/>
      <c r="H78" s="39"/>
      <c r="I78" s="20">
        <v>10.56</v>
      </c>
    </row>
    <row r="79" spans="1:9" x14ac:dyDescent="0.25">
      <c r="A79" s="26" t="s">
        <v>49</v>
      </c>
      <c r="B79" s="20" t="s">
        <v>166</v>
      </c>
      <c r="C79" s="21">
        <v>2.125</v>
      </c>
      <c r="D79" s="21"/>
      <c r="E79" s="39"/>
      <c r="F79" s="39"/>
      <c r="G79" s="39"/>
      <c r="H79" s="39"/>
      <c r="I79" s="20">
        <v>10.52</v>
      </c>
    </row>
    <row r="80" spans="1:9" x14ac:dyDescent="0.25">
      <c r="A80" s="26" t="s">
        <v>54</v>
      </c>
      <c r="B80" s="20" t="s">
        <v>167</v>
      </c>
      <c r="C80" s="21">
        <v>1.75</v>
      </c>
      <c r="D80" s="21"/>
      <c r="E80" s="39"/>
      <c r="F80" s="39"/>
      <c r="G80" s="39"/>
      <c r="H80" s="39"/>
      <c r="I80" s="20">
        <v>11.24</v>
      </c>
    </row>
    <row r="81" spans="1:9" x14ac:dyDescent="0.25">
      <c r="A81" s="26" t="s">
        <v>39</v>
      </c>
      <c r="B81" s="20" t="s">
        <v>168</v>
      </c>
      <c r="C81" s="21">
        <v>1.375</v>
      </c>
      <c r="D81" s="21"/>
      <c r="E81" s="39"/>
      <c r="F81" s="39"/>
      <c r="G81" s="39"/>
      <c r="H81" s="39"/>
      <c r="I81" s="20">
        <v>11.69</v>
      </c>
    </row>
    <row r="82" spans="1:9" x14ac:dyDescent="0.25">
      <c r="A82" s="26" t="s">
        <v>34</v>
      </c>
      <c r="B82" s="20" t="s">
        <v>169</v>
      </c>
      <c r="C82" s="21">
        <v>1.25</v>
      </c>
      <c r="D82" s="21"/>
      <c r="E82" s="39"/>
      <c r="F82" s="39"/>
      <c r="G82" s="39"/>
      <c r="H82" s="39"/>
      <c r="I82" s="20">
        <v>11.83</v>
      </c>
    </row>
    <row r="83" spans="1:9" x14ac:dyDescent="0.25">
      <c r="A83" s="26" t="s">
        <v>36</v>
      </c>
      <c r="B83" s="20" t="s">
        <v>170</v>
      </c>
      <c r="C83" s="21">
        <v>1.75</v>
      </c>
      <c r="D83" s="21"/>
      <c r="E83" s="39"/>
      <c r="F83" s="39"/>
      <c r="G83" s="39"/>
      <c r="H83" s="39"/>
      <c r="I83" s="20">
        <v>12.35</v>
      </c>
    </row>
    <row r="84" spans="1:9" x14ac:dyDescent="0.25">
      <c r="A84" s="26" t="s">
        <v>45</v>
      </c>
      <c r="B84" s="20" t="s">
        <v>171</v>
      </c>
      <c r="C84" s="21">
        <v>1.125</v>
      </c>
      <c r="D84" s="21"/>
      <c r="E84" s="39"/>
      <c r="F84" s="39"/>
      <c r="G84" s="39"/>
      <c r="H84" s="39"/>
      <c r="I84" s="20">
        <v>12.19</v>
      </c>
    </row>
    <row r="85" spans="1:9" x14ac:dyDescent="0.25">
      <c r="A85" s="26" t="s">
        <v>66</v>
      </c>
      <c r="B85" s="20" t="s">
        <v>172</v>
      </c>
      <c r="C85" s="21">
        <v>1.5</v>
      </c>
      <c r="D85" s="21"/>
      <c r="E85" s="39"/>
      <c r="F85" s="39"/>
      <c r="G85" s="39"/>
      <c r="H85" s="39"/>
      <c r="I85" s="20">
        <v>12.81</v>
      </c>
    </row>
    <row r="86" spans="1:9" x14ac:dyDescent="0.25">
      <c r="A86" s="26" t="s">
        <v>67</v>
      </c>
      <c r="B86" s="20" t="s">
        <v>173</v>
      </c>
      <c r="C86" s="21">
        <v>1.375</v>
      </c>
      <c r="D86" s="21"/>
      <c r="E86" s="39"/>
      <c r="F86" s="39"/>
      <c r="G86" s="39"/>
      <c r="H86" s="39"/>
      <c r="I86" s="20">
        <v>13.47</v>
      </c>
    </row>
    <row r="87" spans="1:9" x14ac:dyDescent="0.25">
      <c r="A87" s="26" t="s">
        <v>22</v>
      </c>
      <c r="B87" s="20" t="s">
        <v>174</v>
      </c>
      <c r="C87" s="21">
        <v>2.25</v>
      </c>
      <c r="D87" s="21"/>
      <c r="E87" s="39"/>
      <c r="F87" s="39"/>
      <c r="G87" s="39"/>
      <c r="H87" s="39"/>
      <c r="I87" s="20">
        <v>14.18</v>
      </c>
    </row>
    <row r="88" spans="1:9" x14ac:dyDescent="0.25">
      <c r="A88" s="26" t="s">
        <v>68</v>
      </c>
      <c r="B88" s="20" t="s">
        <v>175</v>
      </c>
      <c r="C88" s="21">
        <v>1.125</v>
      </c>
      <c r="D88" s="21"/>
      <c r="E88" s="39"/>
      <c r="F88" s="39"/>
      <c r="G88" s="39"/>
      <c r="H88" s="39"/>
      <c r="I88" s="20">
        <v>14.03</v>
      </c>
    </row>
    <row r="89" spans="1:9" x14ac:dyDescent="0.25">
      <c r="A89" s="26" t="s">
        <v>291</v>
      </c>
      <c r="B89" s="20" t="s">
        <v>176</v>
      </c>
      <c r="C89" s="21">
        <v>1.125</v>
      </c>
      <c r="D89" s="21"/>
      <c r="E89" s="39"/>
      <c r="F89" s="39"/>
      <c r="G89" s="39"/>
      <c r="H89" s="39"/>
      <c r="I89" s="20">
        <v>14.37</v>
      </c>
    </row>
    <row r="90" spans="1:9" x14ac:dyDescent="0.25">
      <c r="A90" s="26" t="s">
        <v>292</v>
      </c>
      <c r="B90" s="20" t="s">
        <v>177</v>
      </c>
      <c r="C90" s="21">
        <v>1.125</v>
      </c>
      <c r="D90" s="21"/>
      <c r="E90" s="39"/>
      <c r="F90" s="39"/>
      <c r="G90" s="39"/>
      <c r="H90" s="39"/>
      <c r="I90" s="20">
        <v>14.47</v>
      </c>
    </row>
    <row r="91" spans="1:9" x14ac:dyDescent="0.25">
      <c r="A91" s="26" t="s">
        <v>23</v>
      </c>
      <c r="B91" s="20" t="s">
        <v>179</v>
      </c>
      <c r="C91" s="21">
        <v>2</v>
      </c>
      <c r="D91" s="21"/>
      <c r="E91" s="39"/>
      <c r="F91" s="39"/>
      <c r="G91" s="39"/>
      <c r="H91" s="39"/>
      <c r="I91" s="20">
        <v>15.16</v>
      </c>
    </row>
    <row r="92" spans="1:9" x14ac:dyDescent="0.25">
      <c r="A92" s="26" t="s">
        <v>46</v>
      </c>
      <c r="B92" s="20" t="s">
        <v>178</v>
      </c>
      <c r="C92" s="21">
        <v>2.125</v>
      </c>
      <c r="D92" s="21"/>
      <c r="E92" s="39"/>
      <c r="F92" s="39"/>
      <c r="G92" s="39"/>
      <c r="H92" s="39"/>
      <c r="I92" s="20">
        <v>14.9</v>
      </c>
    </row>
    <row r="93" spans="1:9" x14ac:dyDescent="0.25">
      <c r="A93" s="26" t="s">
        <v>40</v>
      </c>
      <c r="B93" s="20" t="s">
        <v>180</v>
      </c>
      <c r="C93" s="21">
        <v>0.75</v>
      </c>
      <c r="D93" s="21"/>
      <c r="E93" s="39"/>
      <c r="F93" s="39"/>
      <c r="G93" s="39"/>
      <c r="H93" s="39"/>
      <c r="I93" s="20">
        <v>15.22</v>
      </c>
    </row>
    <row r="94" spans="1:9" x14ac:dyDescent="0.25">
      <c r="A94" s="26" t="s">
        <v>293</v>
      </c>
      <c r="B94" s="20" t="s">
        <v>182</v>
      </c>
      <c r="C94" s="21">
        <v>0.75</v>
      </c>
      <c r="D94" s="21"/>
      <c r="E94" s="39"/>
      <c r="F94" s="39"/>
      <c r="G94" s="39"/>
      <c r="H94" s="39"/>
      <c r="I94" s="20">
        <v>15.58</v>
      </c>
    </row>
    <row r="95" spans="1:9" x14ac:dyDescent="0.25">
      <c r="A95" s="26" t="s">
        <v>47</v>
      </c>
      <c r="B95" s="20" t="s">
        <v>181</v>
      </c>
      <c r="C95" s="21">
        <v>1.875</v>
      </c>
      <c r="D95" s="21"/>
      <c r="E95" s="39"/>
      <c r="F95" s="39"/>
      <c r="G95" s="39"/>
      <c r="H95" s="39"/>
      <c r="I95" s="20">
        <v>15.5</v>
      </c>
    </row>
    <row r="96" spans="1:9" x14ac:dyDescent="0.25">
      <c r="A96" s="26" t="s">
        <v>24</v>
      </c>
      <c r="B96" s="20" t="s">
        <v>183</v>
      </c>
      <c r="C96" s="21">
        <v>1.75</v>
      </c>
      <c r="D96" s="21"/>
      <c r="E96" s="39"/>
      <c r="F96" s="39"/>
      <c r="G96" s="39"/>
      <c r="H96" s="39"/>
      <c r="I96" s="20">
        <v>16.100000000000001</v>
      </c>
    </row>
    <row r="97" spans="1:9" x14ac:dyDescent="0.25">
      <c r="A97" s="26" t="s">
        <v>294</v>
      </c>
      <c r="B97" s="20" t="s">
        <v>184</v>
      </c>
      <c r="C97" s="21">
        <v>0.5</v>
      </c>
      <c r="D97" s="21"/>
      <c r="E97" s="39"/>
      <c r="F97" s="39"/>
      <c r="G97" s="39"/>
      <c r="H97" s="39"/>
      <c r="I97" s="20">
        <v>16.03</v>
      </c>
    </row>
    <row r="98" spans="1:9" x14ac:dyDescent="0.25">
      <c r="A98" s="26" t="s">
        <v>69</v>
      </c>
      <c r="B98" s="20" t="s">
        <v>185</v>
      </c>
      <c r="C98" s="21">
        <v>2.5</v>
      </c>
      <c r="D98" s="21"/>
      <c r="E98" s="39"/>
      <c r="F98" s="39"/>
      <c r="G98" s="39"/>
      <c r="H98" s="39"/>
      <c r="I98" s="20">
        <v>16.170000000000002</v>
      </c>
    </row>
    <row r="99" spans="1:9" x14ac:dyDescent="0.25">
      <c r="A99" s="26" t="s">
        <v>311</v>
      </c>
      <c r="B99" s="20" t="s">
        <v>306</v>
      </c>
      <c r="C99" s="21">
        <v>1.875</v>
      </c>
      <c r="D99" s="21"/>
      <c r="E99" s="39"/>
      <c r="F99" s="39"/>
      <c r="G99" s="39"/>
      <c r="H99" s="39"/>
      <c r="I99" s="20">
        <v>16.309999999999999</v>
      </c>
    </row>
    <row r="100" spans="1:9" x14ac:dyDescent="0.25">
      <c r="A100" s="26" t="s">
        <v>295</v>
      </c>
      <c r="B100" s="20" t="s">
        <v>187</v>
      </c>
      <c r="C100" s="21">
        <v>0.5</v>
      </c>
      <c r="D100" s="21"/>
      <c r="E100" s="39"/>
      <c r="F100" s="39"/>
      <c r="G100" s="39"/>
      <c r="H100" s="39"/>
      <c r="I100" s="20">
        <v>16.45</v>
      </c>
    </row>
    <row r="101" spans="1:9" x14ac:dyDescent="0.25">
      <c r="A101" s="26" t="s">
        <v>70</v>
      </c>
      <c r="B101" s="20" t="s">
        <v>186</v>
      </c>
      <c r="C101" s="21">
        <v>1.625</v>
      </c>
      <c r="D101" s="21"/>
      <c r="E101" s="39"/>
      <c r="F101" s="39"/>
      <c r="G101" s="39"/>
      <c r="H101" s="39"/>
      <c r="I101" s="20">
        <v>16.5</v>
      </c>
    </row>
    <row r="102" spans="1:9" x14ac:dyDescent="0.25">
      <c r="A102" s="26" t="s">
        <v>41</v>
      </c>
      <c r="B102" s="20" t="s">
        <v>188</v>
      </c>
      <c r="C102" s="21">
        <v>1.75</v>
      </c>
      <c r="D102" s="21"/>
      <c r="E102" s="39"/>
      <c r="F102" s="39"/>
      <c r="G102" s="39"/>
      <c r="H102" s="39"/>
      <c r="I102" s="20">
        <v>16.850000000000001</v>
      </c>
    </row>
    <row r="103" spans="1:9" x14ac:dyDescent="0.25">
      <c r="A103" s="26" t="s">
        <v>297</v>
      </c>
      <c r="B103" s="20" t="s">
        <v>193</v>
      </c>
      <c r="C103" s="21">
        <v>0.5</v>
      </c>
      <c r="D103" s="21"/>
      <c r="E103" s="39"/>
      <c r="F103" s="39"/>
      <c r="G103" s="39"/>
      <c r="H103" s="39"/>
      <c r="I103" s="20">
        <v>16.809999999999999</v>
      </c>
    </row>
    <row r="104" spans="1:9" x14ac:dyDescent="0.25">
      <c r="A104" s="26" t="s">
        <v>256</v>
      </c>
      <c r="B104" s="20" t="s">
        <v>250</v>
      </c>
      <c r="C104" s="21">
        <v>1</v>
      </c>
      <c r="D104" s="21"/>
      <c r="E104" s="39"/>
      <c r="F104" s="39"/>
      <c r="G104" s="39"/>
      <c r="H104" s="39"/>
      <c r="I104" s="20">
        <v>16.920000000000002</v>
      </c>
    </row>
    <row r="105" spans="1:9" x14ac:dyDescent="0.25">
      <c r="A105" s="26" t="s">
        <v>48</v>
      </c>
      <c r="B105" s="20" t="s">
        <v>189</v>
      </c>
      <c r="C105" s="21">
        <v>2.125</v>
      </c>
      <c r="D105" s="21"/>
      <c r="E105" s="39"/>
      <c r="F105" s="39"/>
      <c r="G105" s="39"/>
      <c r="H105" s="39"/>
      <c r="I105" s="20">
        <v>17.12</v>
      </c>
    </row>
    <row r="106" spans="1:9" x14ac:dyDescent="0.25">
      <c r="A106" s="26" t="s">
        <v>296</v>
      </c>
      <c r="B106" s="20" t="s">
        <v>213</v>
      </c>
      <c r="C106" s="21">
        <v>0.625</v>
      </c>
      <c r="D106" s="21"/>
      <c r="E106" s="39"/>
      <c r="F106" s="39"/>
      <c r="G106" s="39"/>
      <c r="H106" s="39"/>
      <c r="I106" s="20">
        <v>16.82</v>
      </c>
    </row>
    <row r="107" spans="1:9" x14ac:dyDescent="0.25">
      <c r="A107" s="26" t="s">
        <v>260</v>
      </c>
      <c r="B107" s="20" t="s">
        <v>192</v>
      </c>
      <c r="C107" s="21">
        <v>0.375</v>
      </c>
      <c r="D107" s="21"/>
      <c r="E107" s="39"/>
      <c r="F107" s="39"/>
      <c r="G107" s="39"/>
      <c r="H107" s="39"/>
      <c r="I107" s="20">
        <v>16.91</v>
      </c>
    </row>
    <row r="108" spans="1:9" x14ac:dyDescent="0.25">
      <c r="A108" s="26" t="s">
        <v>259</v>
      </c>
      <c r="B108" s="20" t="s">
        <v>251</v>
      </c>
      <c r="C108" s="21">
        <v>0.875</v>
      </c>
      <c r="D108" s="21"/>
      <c r="E108" s="39"/>
      <c r="F108" s="39"/>
      <c r="G108" s="39"/>
      <c r="H108" s="39"/>
      <c r="I108" s="20">
        <v>17.22</v>
      </c>
    </row>
    <row r="109" spans="1:9" x14ac:dyDescent="0.25">
      <c r="A109" s="26" t="s">
        <v>72</v>
      </c>
      <c r="B109" s="20" t="s">
        <v>190</v>
      </c>
      <c r="C109" s="21">
        <v>2.25</v>
      </c>
      <c r="D109" s="21"/>
      <c r="E109" s="39"/>
      <c r="F109" s="39"/>
      <c r="G109" s="39"/>
      <c r="H109" s="39"/>
      <c r="I109" s="20">
        <v>17.079999999999998</v>
      </c>
    </row>
    <row r="110" spans="1:9" x14ac:dyDescent="0.25">
      <c r="A110" s="26" t="s">
        <v>55</v>
      </c>
      <c r="B110" s="20" t="s">
        <v>191</v>
      </c>
      <c r="C110" s="21">
        <v>2.375</v>
      </c>
      <c r="D110" s="21"/>
      <c r="E110" s="39"/>
      <c r="F110" s="39"/>
      <c r="G110" s="39"/>
      <c r="H110" s="39"/>
      <c r="I110" s="20">
        <v>17.46</v>
      </c>
    </row>
    <row r="111" spans="1:9" x14ac:dyDescent="0.25">
      <c r="A111" s="26" t="s">
        <v>331</v>
      </c>
      <c r="B111" s="20" t="s">
        <v>332</v>
      </c>
      <c r="C111" s="21">
        <v>1.375</v>
      </c>
      <c r="D111" s="21"/>
      <c r="E111" s="39"/>
      <c r="F111" s="39"/>
      <c r="G111" s="39"/>
      <c r="H111" s="39"/>
      <c r="I111" s="20">
        <v>17.32</v>
      </c>
    </row>
    <row r="112" spans="1:9" x14ac:dyDescent="0.25">
      <c r="A112" s="26" t="s">
        <v>73</v>
      </c>
      <c r="B112" s="20" t="s">
        <v>194</v>
      </c>
      <c r="C112" s="21">
        <v>2</v>
      </c>
      <c r="D112" s="21"/>
      <c r="E112" s="39"/>
      <c r="F112" s="39"/>
      <c r="G112" s="39"/>
      <c r="H112" s="39"/>
      <c r="I112" s="20">
        <v>17.190000000000001</v>
      </c>
    </row>
    <row r="113" spans="1:9" x14ac:dyDescent="0.25">
      <c r="A113" s="26" t="s">
        <v>298</v>
      </c>
      <c r="B113" s="20" t="s">
        <v>233</v>
      </c>
      <c r="C113" s="21">
        <v>0.625</v>
      </c>
      <c r="D113" s="21"/>
      <c r="E113" s="39"/>
      <c r="F113" s="39"/>
      <c r="G113" s="39"/>
      <c r="H113" s="39"/>
      <c r="I113" s="20">
        <v>17.29</v>
      </c>
    </row>
    <row r="114" spans="1:9" x14ac:dyDescent="0.25">
      <c r="A114" s="26" t="s">
        <v>74</v>
      </c>
      <c r="B114" s="20" t="s">
        <v>196</v>
      </c>
      <c r="C114" s="21">
        <v>2.375</v>
      </c>
      <c r="D114" s="21"/>
      <c r="E114" s="39"/>
      <c r="F114" s="39"/>
      <c r="G114" s="39"/>
      <c r="H114" s="39"/>
      <c r="I114" s="20">
        <v>17.350000000000001</v>
      </c>
    </row>
    <row r="115" spans="1:9" x14ac:dyDescent="0.25">
      <c r="A115" s="26" t="s">
        <v>71</v>
      </c>
      <c r="B115" s="20" t="s">
        <v>195</v>
      </c>
      <c r="C115" s="21">
        <v>2.25</v>
      </c>
      <c r="D115" s="21"/>
      <c r="E115" s="39"/>
      <c r="F115" s="39"/>
      <c r="G115" s="39"/>
      <c r="H115" s="39"/>
      <c r="I115" s="20">
        <v>17.38</v>
      </c>
    </row>
    <row r="116" spans="1:9" x14ac:dyDescent="0.25">
      <c r="A116" s="26" t="s">
        <v>299</v>
      </c>
      <c r="B116" s="20" t="s">
        <v>224</v>
      </c>
      <c r="C116" s="21">
        <v>0.5</v>
      </c>
      <c r="D116" s="21"/>
      <c r="E116" s="39"/>
      <c r="F116" s="39"/>
      <c r="G116" s="39"/>
      <c r="H116" s="39"/>
      <c r="I116" s="20">
        <v>17.37</v>
      </c>
    </row>
    <row r="117" spans="1:9" x14ac:dyDescent="0.25">
      <c r="A117" s="26" t="s">
        <v>75</v>
      </c>
      <c r="B117" s="20" t="s">
        <v>197</v>
      </c>
      <c r="C117" s="21">
        <v>2.25</v>
      </c>
      <c r="D117" s="21"/>
      <c r="E117" s="39"/>
      <c r="F117" s="39"/>
      <c r="G117" s="39"/>
      <c r="H117" s="39"/>
      <c r="I117" s="20">
        <v>17.73</v>
      </c>
    </row>
    <row r="118" spans="1:9" x14ac:dyDescent="0.25">
      <c r="A118" s="26" t="s">
        <v>76</v>
      </c>
      <c r="B118" s="20" t="s">
        <v>198</v>
      </c>
      <c r="C118" s="21">
        <v>2</v>
      </c>
      <c r="D118" s="21"/>
      <c r="E118" s="39"/>
      <c r="F118" s="39"/>
      <c r="G118" s="39"/>
      <c r="H118" s="39"/>
      <c r="I118" s="20">
        <v>18.97</v>
      </c>
    </row>
    <row r="119" spans="1:9" x14ac:dyDescent="0.25">
      <c r="A119" s="26" t="s">
        <v>77</v>
      </c>
      <c r="B119" s="20" t="s">
        <v>199</v>
      </c>
      <c r="C119" s="21">
        <v>1.625</v>
      </c>
      <c r="D119" s="21"/>
      <c r="E119" s="39"/>
      <c r="F119" s="39"/>
      <c r="G119" s="39"/>
      <c r="H119" s="39"/>
      <c r="I119" s="20">
        <v>19.02</v>
      </c>
    </row>
    <row r="120" spans="1:9" x14ac:dyDescent="0.25">
      <c r="A120" s="26" t="s">
        <v>78</v>
      </c>
      <c r="B120" s="20" t="s">
        <v>200</v>
      </c>
      <c r="C120" s="21">
        <v>1.875</v>
      </c>
      <c r="D120" s="21"/>
      <c r="E120" s="39"/>
      <c r="F120" s="39"/>
      <c r="G120" s="39"/>
      <c r="H120" s="39"/>
      <c r="I120" s="20">
        <v>19.3</v>
      </c>
    </row>
    <row r="121" spans="1:9" x14ac:dyDescent="0.25">
      <c r="A121" s="26" t="s">
        <v>79</v>
      </c>
      <c r="B121" s="20" t="s">
        <v>201</v>
      </c>
      <c r="C121" s="21">
        <v>1.375</v>
      </c>
      <c r="D121" s="21"/>
      <c r="E121" s="39"/>
      <c r="F121" s="39"/>
      <c r="G121" s="39"/>
      <c r="H121" s="39"/>
      <c r="I121" s="20">
        <v>19.64</v>
      </c>
    </row>
    <row r="122" spans="1:9" x14ac:dyDescent="0.25">
      <c r="A122" s="26" t="s">
        <v>80</v>
      </c>
      <c r="B122" s="20" t="s">
        <v>202</v>
      </c>
      <c r="C122" s="21">
        <v>1.625</v>
      </c>
      <c r="D122" s="21"/>
      <c r="E122" s="39"/>
      <c r="F122" s="39"/>
      <c r="G122" s="39"/>
      <c r="H122" s="39"/>
      <c r="I122" s="20">
        <v>20.18</v>
      </c>
    </row>
    <row r="123" spans="1:9" x14ac:dyDescent="0.25">
      <c r="A123" s="26" t="s">
        <v>81</v>
      </c>
      <c r="B123" s="20" t="s">
        <v>203</v>
      </c>
      <c r="C123" s="21">
        <v>1.5</v>
      </c>
      <c r="D123" s="21"/>
      <c r="E123" s="39"/>
      <c r="F123" s="39"/>
      <c r="G123" s="39"/>
      <c r="H123" s="39"/>
      <c r="I123" s="20">
        <v>20.56</v>
      </c>
    </row>
    <row r="124" spans="1:9" x14ac:dyDescent="0.25">
      <c r="A124" s="26" t="s">
        <v>57</v>
      </c>
      <c r="B124" s="20" t="s">
        <v>204</v>
      </c>
      <c r="C124" s="21">
        <v>1.375</v>
      </c>
      <c r="D124" s="21"/>
      <c r="E124" s="39"/>
      <c r="F124" s="39"/>
      <c r="G124" s="39"/>
      <c r="H124" s="39"/>
      <c r="I124" s="20">
        <v>21.27</v>
      </c>
    </row>
    <row r="125" spans="1:9" x14ac:dyDescent="0.25">
      <c r="A125" s="26" t="s">
        <v>320</v>
      </c>
      <c r="B125" s="20" t="s">
        <v>315</v>
      </c>
      <c r="C125" s="21">
        <v>2.375</v>
      </c>
      <c r="D125" s="21"/>
      <c r="E125" s="39"/>
      <c r="F125" s="39"/>
      <c r="G125" s="39"/>
      <c r="H125" s="39"/>
      <c r="I125" s="20">
        <v>21.85</v>
      </c>
    </row>
    <row r="126" spans="1:9" x14ac:dyDescent="0.25">
      <c r="A126" s="26" t="s">
        <v>84</v>
      </c>
      <c r="B126" s="20" t="s">
        <v>205</v>
      </c>
      <c r="C126" s="21">
        <v>1.125</v>
      </c>
      <c r="D126" s="21"/>
      <c r="E126" s="39"/>
      <c r="F126" s="39"/>
      <c r="G126" s="39"/>
      <c r="H126" s="39"/>
      <c r="I126" s="20">
        <v>22.03</v>
      </c>
    </row>
    <row r="127" spans="1:9" x14ac:dyDescent="0.25">
      <c r="A127" s="26" t="s">
        <v>268</v>
      </c>
      <c r="B127" s="20" t="s">
        <v>267</v>
      </c>
      <c r="C127" s="21">
        <v>2</v>
      </c>
      <c r="D127" s="21"/>
      <c r="E127" s="39"/>
      <c r="F127" s="39"/>
      <c r="G127" s="39"/>
      <c r="H127" s="39"/>
      <c r="I127" s="20">
        <v>22.04</v>
      </c>
    </row>
    <row r="128" spans="1:9" x14ac:dyDescent="0.25">
      <c r="A128" s="26" t="s">
        <v>51</v>
      </c>
      <c r="B128" s="20" t="s">
        <v>206</v>
      </c>
      <c r="C128" s="21">
        <v>1</v>
      </c>
      <c r="D128" s="21"/>
      <c r="E128" s="39"/>
      <c r="F128" s="39"/>
      <c r="G128" s="39"/>
      <c r="H128" s="39"/>
      <c r="I128" s="20">
        <v>22.8</v>
      </c>
    </row>
    <row r="129" spans="1:9" x14ac:dyDescent="0.25">
      <c r="A129" s="26" t="s">
        <v>300</v>
      </c>
      <c r="B129" s="20" t="s">
        <v>207</v>
      </c>
      <c r="C129" s="21">
        <v>0.75</v>
      </c>
      <c r="D129" s="21"/>
      <c r="E129" s="39"/>
      <c r="F129" s="39"/>
      <c r="G129" s="39"/>
      <c r="H129" s="39"/>
      <c r="I129" s="20">
        <v>23.76</v>
      </c>
    </row>
    <row r="130" spans="1:9" x14ac:dyDescent="0.25">
      <c r="A130" s="26" t="s">
        <v>301</v>
      </c>
      <c r="B130" s="20" t="s">
        <v>238</v>
      </c>
      <c r="C130" s="21">
        <v>1.125</v>
      </c>
      <c r="D130" s="21"/>
      <c r="E130" s="39"/>
      <c r="F130" s="39"/>
      <c r="G130" s="39"/>
      <c r="H130" s="39"/>
      <c r="I130" s="20">
        <v>23.97</v>
      </c>
    </row>
    <row r="131" spans="1:9" x14ac:dyDescent="0.25">
      <c r="A131" s="26" t="s">
        <v>302</v>
      </c>
      <c r="B131" s="20" t="s">
        <v>209</v>
      </c>
      <c r="C131" s="21">
        <v>0.625</v>
      </c>
      <c r="D131" s="21"/>
      <c r="E131" s="39"/>
      <c r="F131" s="39"/>
      <c r="G131" s="39"/>
      <c r="H131" s="39"/>
      <c r="I131" s="20">
        <v>24.93</v>
      </c>
    </row>
    <row r="132" spans="1:9" x14ac:dyDescent="0.25">
      <c r="A132" s="32" t="s">
        <v>303</v>
      </c>
      <c r="B132" s="20" t="s">
        <v>208</v>
      </c>
      <c r="C132" s="21">
        <v>0.375</v>
      </c>
      <c r="D132" s="21"/>
      <c r="E132" s="39"/>
      <c r="F132" s="39"/>
      <c r="G132" s="39"/>
      <c r="H132" s="39"/>
      <c r="I132" s="20">
        <v>25.59</v>
      </c>
    </row>
    <row r="133" spans="1:9" x14ac:dyDescent="0.25">
      <c r="A133" s="26" t="s">
        <v>354</v>
      </c>
      <c r="B133" s="34" t="s">
        <v>355</v>
      </c>
      <c r="C133" s="26" t="s">
        <v>321</v>
      </c>
      <c r="D133" s="26"/>
      <c r="E133" s="39"/>
      <c r="F133" s="39"/>
      <c r="G133" s="39"/>
      <c r="H133" s="39"/>
      <c r="I133" s="35">
        <v>4.8</v>
      </c>
    </row>
    <row r="134" spans="1:9" x14ac:dyDescent="0.25">
      <c r="A134" s="26" t="s">
        <v>356</v>
      </c>
      <c r="B134" s="34" t="s">
        <v>357</v>
      </c>
      <c r="C134" s="26" t="s">
        <v>321</v>
      </c>
      <c r="D134" s="26"/>
      <c r="E134" s="39"/>
      <c r="F134" s="39"/>
      <c r="G134" s="39"/>
      <c r="H134" s="39"/>
      <c r="I134" s="35">
        <v>3.03</v>
      </c>
    </row>
  </sheetData>
  <phoneticPr fontId="1" type="noConversion"/>
  <printOptions gridLines="1"/>
  <pageMargins left="0.17" right="0.16" top="0.28999999999999998" bottom="0.2" header="0.5" footer="0.5"/>
  <pageSetup paperSize="9" scale="37" orientation="portrait" r:id="rId1"/>
  <headerFooter alignWithMargins="0">
    <oddFooter>&amp;C&amp;"Times New Roman,標準"&amp;P&amp;R&amp;"Times New Roman,標準"&amp;A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12</vt:i4>
      </vt:variant>
    </vt:vector>
  </HeadingPairs>
  <TitlesOfParts>
    <vt:vector size="12" baseType="lpstr">
      <vt:lpstr>0807</vt:lpstr>
      <vt:lpstr>0808</vt:lpstr>
      <vt:lpstr>0809</vt:lpstr>
      <vt:lpstr>0810</vt:lpstr>
      <vt:lpstr>0811</vt:lpstr>
      <vt:lpstr>0816</vt:lpstr>
      <vt:lpstr>0817</vt:lpstr>
      <vt:lpstr>0818</vt:lpstr>
      <vt:lpstr>總冷券表(短)</vt:lpstr>
      <vt:lpstr>OTC報價</vt:lpstr>
      <vt:lpstr>總冷券表(長)</vt:lpstr>
      <vt:lpstr>短券到期天數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王信閎</dc:creator>
  <cp:lastModifiedBy>王信閎</cp:lastModifiedBy>
  <dcterms:created xsi:type="dcterms:W3CDTF">2019-11-14T03:03:07Z</dcterms:created>
  <dcterms:modified xsi:type="dcterms:W3CDTF">2023-08-18T09:17:11Z</dcterms:modified>
</cp:coreProperties>
</file>