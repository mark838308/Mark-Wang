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1080131\Downloads\"/>
    </mc:Choice>
  </mc:AlternateContent>
  <xr:revisionPtr revIDLastSave="0" documentId="13_ncr:1_{E0EDDC7B-F3AA-45A3-B426-9CD7AA205914}" xr6:coauthVersionLast="47" xr6:coauthVersionMax="47" xr10:uidLastSave="{00000000-0000-0000-0000-000000000000}"/>
  <bookViews>
    <workbookView xWindow="-120" yWindow="-120" windowWidth="25440" windowHeight="15270" tabRatio="500" xr2:uid="{00000000-000D-0000-FFFF-FFFF00000000}"/>
  </bookViews>
  <sheets>
    <sheet name="信義房價指數(台灣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04" i="1" l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</calcChain>
</file>

<file path=xl/sharedStrings.xml><?xml version="1.0" encoding="utf-8"?>
<sst xmlns="http://schemas.openxmlformats.org/spreadsheetml/2006/main" count="111" uniqueCount="111">
  <si>
    <t>台灣房價指數與年增率（信義房價指數─台灣地區／全國）</t>
  </si>
  <si>
    <r>
      <rPr>
        <b/>
        <sz val="11"/>
        <color rgb="FFFFFFFF"/>
        <rFont val="Noto Sans CJK SC"/>
        <family val="2"/>
      </rPr>
      <t>年</t>
    </r>
    <r>
      <rPr>
        <b/>
        <sz val="11"/>
        <color rgb="FFFFFFFF"/>
        <rFont val="Arial"/>
        <family val="2"/>
      </rPr>
      <t>/</t>
    </r>
    <r>
      <rPr>
        <b/>
        <sz val="11"/>
        <color rgb="FFFFFFFF"/>
        <rFont val="Noto Sans CJK SC"/>
        <family val="2"/>
      </rPr>
      <t>季</t>
    </r>
  </si>
  <si>
    <r>
      <rPr>
        <b/>
        <sz val="11"/>
        <color rgb="FFFFFFFF"/>
        <rFont val="Noto Sans CJK SC"/>
        <family val="2"/>
      </rPr>
      <t>信義房價指數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Noto Sans CJK SC"/>
        <family val="2"/>
      </rPr>
      <t>台灣</t>
    </r>
    <r>
      <rPr>
        <b/>
        <sz val="11"/>
        <color rgb="FFFFFFFF"/>
        <rFont val="Arial"/>
        <family val="2"/>
      </rPr>
      <t>)</t>
    </r>
  </si>
  <si>
    <r>
      <rPr>
        <b/>
        <sz val="11"/>
        <color rgb="FFFFFFFF"/>
        <rFont val="Noto Sans CJK SC"/>
        <family val="2"/>
      </rPr>
      <t xml:space="preserve">季增率 </t>
    </r>
    <r>
      <rPr>
        <b/>
        <sz val="11"/>
        <color rgb="FFFFFFFF"/>
        <rFont val="Arial"/>
        <family val="2"/>
      </rPr>
      <t>QoQ</t>
    </r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</si>
  <si>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</si>
  <si>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</si>
  <si>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</si>
  <si>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</si>
  <si>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</si>
  <si>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</si>
  <si>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</si>
  <si>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</si>
  <si>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</si>
  <si>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</si>
  <si>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</si>
  <si>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</si>
  <si>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</si>
  <si>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</si>
  <si>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</si>
  <si>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</si>
  <si>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</si>
  <si>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</si>
  <si>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</si>
  <si>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</si>
  <si>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</si>
  <si>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</si>
  <si>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</si>
  <si>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</si>
  <si>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</si>
  <si>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</si>
  <si>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</si>
  <si>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</si>
  <si>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</si>
  <si>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</si>
  <si>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</si>
  <si>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</si>
  <si>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</si>
  <si>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</si>
  <si>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</si>
  <si>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</si>
  <si>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</si>
  <si>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</si>
  <si>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</si>
  <si>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</si>
  <si>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</si>
  <si>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</si>
  <si>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</si>
  <si>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</si>
  <si>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</si>
  <si>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</si>
  <si>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</si>
  <si>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</si>
  <si>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</si>
  <si>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</si>
  <si>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</si>
  <si>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</si>
  <si>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</si>
  <si>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</si>
  <si>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</si>
  <si>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</si>
  <si>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</si>
  <si>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</si>
  <si>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</si>
  <si>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</si>
  <si>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</si>
  <si>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</si>
  <si>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</si>
  <si>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</si>
  <si>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</si>
  <si>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</si>
  <si>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</si>
  <si>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</si>
  <si>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</si>
  <si>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</si>
  <si>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</si>
  <si>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</si>
  <si>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</si>
  <si>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</si>
  <si>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</si>
  <si>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</si>
  <si>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</si>
  <si>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</si>
  <si>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</si>
  <si>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</si>
  <si>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</si>
  <si>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</si>
  <si>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</si>
  <si>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</si>
  <si>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</si>
  <si>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</si>
  <si>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</si>
  <si>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</si>
  <si>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</si>
  <si>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</si>
  <si>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</si>
  <si>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</si>
  <si>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</si>
  <si>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</si>
  <si>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</si>
  <si>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</si>
  <si>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</si>
  <si>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</si>
  <si>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</si>
  <si>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</si>
  <si>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</si>
  <si>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r>
      <rPr>
        <i/>
        <sz val="9"/>
        <color rgb="FF595959"/>
        <rFont val="Noto Sans CJK SC"/>
        <family val="2"/>
      </rPr>
      <t>資料來源：信義房屋不動產企劃研究室「信義房價指數─台灣地區（全台各地區交易樣本）」，季資料，基期</t>
    </r>
    <r>
      <rPr>
        <i/>
        <sz val="9"/>
        <color rgb="FF595959"/>
        <rFont val="Arial"/>
        <family val="2"/>
      </rPr>
      <t>2016Q1=100</t>
    </r>
    <r>
      <rPr>
        <i/>
        <sz val="9"/>
        <color rgb="FF595959"/>
        <rFont val="Noto Sans CJK SC"/>
        <family val="2"/>
      </rPr>
      <t>，更新日</t>
    </r>
    <r>
      <rPr>
        <i/>
        <sz val="9"/>
        <color rgb="FF595959"/>
        <rFont val="Arial"/>
        <family val="2"/>
      </rPr>
      <t>2026/04/24</t>
    </r>
    <r>
      <rPr>
        <i/>
        <sz val="9"/>
        <color rgb="FF595959"/>
        <rFont val="Noto Sans CJK SC"/>
        <family val="2"/>
      </rPr>
      <t>。</t>
    </r>
  </si>
  <si>
    <r>
      <rPr>
        <i/>
        <sz val="9"/>
        <color rgb="FF595959"/>
        <rFont val="Noto Sans CJK SC"/>
        <family val="2"/>
      </rPr>
      <t>網址：</t>
    </r>
    <r>
      <rPr>
        <i/>
        <sz val="9"/>
        <color rgb="FF595959"/>
        <rFont val="Arial"/>
        <family val="2"/>
      </rPr>
      <t>https://www.sinyinews.com.tw/quarterly</t>
    </r>
  </si>
  <si>
    <r>
      <rPr>
        <i/>
        <sz val="9"/>
        <color rgb="FF595959"/>
        <rFont val="Noto Sans CJK SC"/>
        <family val="2"/>
      </rPr>
      <t>說明</t>
    </r>
    <r>
      <rPr>
        <i/>
        <sz val="9"/>
        <color rgb="FF595959"/>
        <rFont val="Arial"/>
        <family val="2"/>
      </rPr>
      <t>1</t>
    </r>
    <r>
      <rPr>
        <i/>
        <sz val="9"/>
        <color rgb="FF595959"/>
        <rFont val="Noto Sans CJK SC"/>
        <family val="2"/>
      </rPr>
      <t>：信義指數樣本為純住中古屋（公寓</t>
    </r>
    <r>
      <rPr>
        <i/>
        <sz val="9"/>
        <color rgb="FF595959"/>
        <rFont val="Arial"/>
        <family val="2"/>
      </rPr>
      <t>/</t>
    </r>
    <r>
      <rPr>
        <i/>
        <sz val="9"/>
        <color rgb="FF595959"/>
        <rFont val="Noto Sans CJK SC"/>
        <family val="2"/>
      </rPr>
      <t>華廈</t>
    </r>
    <r>
      <rPr>
        <i/>
        <sz val="9"/>
        <color rgb="FF595959"/>
        <rFont val="Arial"/>
        <family val="2"/>
      </rPr>
      <t>/</t>
    </r>
    <r>
      <rPr>
        <i/>
        <sz val="9"/>
        <color rgb="FF595959"/>
        <rFont val="Noto Sans CJK SC"/>
        <family val="2"/>
      </rPr>
      <t>電梯大樓），排除預售屋。年增率</t>
    </r>
    <r>
      <rPr>
        <i/>
        <sz val="9"/>
        <color rgb="FF595959"/>
        <rFont val="Arial"/>
        <family val="2"/>
      </rPr>
      <t>(YoY)=</t>
    </r>
    <r>
      <rPr>
        <i/>
        <sz val="9"/>
        <color rgb="FF595959"/>
        <rFont val="Noto Sans CJK SC"/>
        <family val="2"/>
      </rPr>
      <t xml:space="preserve">當季指數 </t>
    </r>
    <r>
      <rPr>
        <i/>
        <sz val="9"/>
        <color rgb="FF595959"/>
        <rFont val="Arial"/>
        <family val="2"/>
      </rPr>
      <t xml:space="preserve">÷ </t>
    </r>
    <r>
      <rPr>
        <i/>
        <sz val="9"/>
        <color rgb="FF595959"/>
        <rFont val="Noto Sans CJK SC"/>
        <family val="2"/>
      </rPr>
      <t xml:space="preserve">去年同季指數 − </t>
    </r>
    <r>
      <rPr>
        <i/>
        <sz val="9"/>
        <color rgb="FF595959"/>
        <rFont val="Arial"/>
        <family val="2"/>
      </rPr>
      <t>1</t>
    </r>
    <r>
      <rPr>
        <i/>
        <sz val="9"/>
        <color rgb="FF595959"/>
        <rFont val="Noto Sans CJK SC"/>
        <family val="2"/>
      </rPr>
      <t>；故年增率自</t>
    </r>
    <r>
      <rPr>
        <i/>
        <sz val="9"/>
        <color rgb="FF595959"/>
        <rFont val="Arial"/>
        <family val="2"/>
      </rPr>
      <t>2002 Q1</t>
    </r>
    <r>
      <rPr>
        <i/>
        <sz val="9"/>
        <color rgb="FF595959"/>
        <rFont val="Noto Sans CJK SC"/>
        <family val="2"/>
      </rPr>
      <t>起算。</t>
    </r>
  </si>
  <si>
    <r>
      <rPr>
        <i/>
        <sz val="9"/>
        <color rgb="FF595959"/>
        <rFont val="Noto Sans CJK SC"/>
        <family val="2"/>
      </rPr>
      <t>說明</t>
    </r>
    <r>
      <rPr>
        <i/>
        <sz val="9"/>
        <color rgb="FF595959"/>
        <rFont val="Arial"/>
        <family val="2"/>
      </rPr>
      <t>2</t>
    </r>
    <r>
      <rPr>
        <i/>
        <sz val="9"/>
        <color rgb="FF595959"/>
        <rFont val="Noto Sans CJK SC"/>
        <family val="2"/>
      </rPr>
      <t>：台灣全國房價指數僅有「季」資料，無逐月資料（僅信義『大台北月指數』有月資料，且自</t>
    </r>
    <r>
      <rPr>
        <i/>
        <sz val="9"/>
        <color rgb="FF595959"/>
        <rFont val="Arial"/>
        <family val="2"/>
      </rPr>
      <t>2007</t>
    </r>
    <r>
      <rPr>
        <i/>
        <sz val="9"/>
        <color rgb="FF595959"/>
        <rFont val="Noto Sans CJK SC"/>
        <family val="2"/>
      </rPr>
      <t>年起、僅大台北）。</t>
    </r>
  </si>
  <si>
    <r>
      <rPr>
        <i/>
        <sz val="9"/>
        <color rgb="FF595959"/>
        <rFont val="Noto Sans CJK SC"/>
        <family val="2"/>
      </rPr>
      <t>說明</t>
    </r>
    <r>
      <rPr>
        <i/>
        <sz val="9"/>
        <color rgb="FF595959"/>
        <rFont val="Arial"/>
        <family val="2"/>
      </rPr>
      <t>3</t>
    </r>
    <r>
      <rPr>
        <i/>
        <sz val="9"/>
        <color rgb="FF595959"/>
        <rFont val="Noto Sans CJK SC"/>
        <family val="2"/>
      </rPr>
      <t>：</t>
    </r>
    <r>
      <rPr>
        <i/>
        <sz val="9"/>
        <color rgb="FF595959"/>
        <rFont val="Arial"/>
        <family val="2"/>
      </rPr>
      <t>1998–2000</t>
    </r>
    <r>
      <rPr>
        <i/>
        <sz val="9"/>
        <color rgb="FF595959"/>
        <rFont val="Noto Sans CJK SC"/>
        <family val="2"/>
      </rPr>
      <t>年不在此序列內（信義台灣序列自</t>
    </r>
    <r>
      <rPr>
        <i/>
        <sz val="9"/>
        <color rgb="FF595959"/>
        <rFont val="Arial"/>
        <family val="2"/>
      </rPr>
      <t>2001Q1</t>
    </r>
    <r>
      <rPr>
        <i/>
        <sz val="9"/>
        <color rgb="FF595959"/>
        <rFont val="Noto Sans CJK SC"/>
        <family val="2"/>
      </rPr>
      <t>起）。該期間為亞洲金融風暴後房市長期盤跌期，全國房價約略走平偏跌，至</t>
    </r>
    <r>
      <rPr>
        <i/>
        <sz val="9"/>
        <color rgb="FF595959"/>
        <rFont val="Arial"/>
        <family val="2"/>
      </rPr>
      <t>2003–2004</t>
    </r>
    <r>
      <rPr>
        <i/>
        <sz val="9"/>
        <color rgb="FF595959"/>
        <rFont val="Noto Sans CJK SC"/>
        <family val="2"/>
      </rPr>
      <t>年才回升。</t>
    </r>
  </si>
  <si>
    <r>
      <rPr>
        <b/>
        <sz val="11"/>
        <color rgb="FFFFFFFF"/>
        <rFont val="微軟正黑體"/>
        <family val="2"/>
        <charset val="136"/>
      </rPr>
      <t>年增率</t>
    </r>
    <r>
      <rPr>
        <b/>
        <sz val="11"/>
        <color rgb="FFFFFFFF"/>
        <rFont val="Arial"/>
        <family val="2"/>
      </rPr>
      <t xml:space="preserve"> YoY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</si>
</sst>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;\(0.0%\);\-"/>
  </numFmts>
  <fonts count="1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1F3864"/>
      <name val="Noto Sans CJK SC"/>
      <family val="2"/>
    </font>
    <font>
      <b/>
      <sz val="11"/>
      <color rgb="FFFFFFFF"/>
      <name val="Noto Sans CJK SC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i/>
      <sz val="9"/>
      <color rgb="FF595959"/>
      <name val="Noto Sans CJK SC"/>
      <family val="2"/>
    </font>
    <font>
      <i/>
      <sz val="9"/>
      <color rgb="FF595959"/>
      <name val="Arial"/>
      <family val="2"/>
    </font>
    <font>
      <sz val="9"/>
      <name val="細明體"/>
      <family val="3"/>
      <charset val="136"/>
    </font>
    <font>
      <b/>
      <sz val="11"/>
      <color rgb="FFFFFFFF"/>
      <name val="微軟正黑體"/>
      <family val="2"/>
      <charset val="136"/>
    </font>
    <font>
      <b/>
      <sz val="11"/>
      <color rgb="FFFFFFFF"/>
      <name val="Noto Sans CJK SC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9">
    <xf numFmtId="0" fontId="0" fillId="0" borderId="0" xfId="0"/>
    <xf numFmtId="0" fontId="6" fillId="0" borderId="0" xfId="0" applyFont="1" applyBorder="1"/>
    <xf numFmtId="0" fontId="2" fillId="0" borderId="0" xfId="0" applyFont="1" applyBorder="1"/>
    <xf numFmtId="0" fontId="3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76" fontId="5" fillId="0" borderId="1" xfId="0" applyNumberFormat="1" applyFont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10" fontId="1" fillId="0" borderId="1" xfId="1" applyNumberFormat="1" applyBorder="1" applyAlignment="1">
      <alignment horizont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0"/>
  <sheetViews>
    <sheetView tabSelected="1" zoomScaleNormal="100" workbookViewId="0">
      <pane ySplit="3" topLeftCell="A4" activePane="bottomLeft" state="frozen"/>
      <selection pane="bottomLeft" activeCell="D16" sqref="D16"/>
    </sheetView>
  </sheetViews>
  <sheetFormatPr defaultColWidth="8.7109375" defaultRowHeight="15"/>
  <cols>
    <col min="1" max="1" width="12" customWidth="1"/>
    <col min="2" max="2" width="20" customWidth="1"/>
    <col min="3" max="4" width="14" customWidth="1"/>
  </cols>
  <sheetData>
    <row r="1" spans="1:4" ht="18">
      <c r="A1" s="2" t="s">
        <v>0</v>
      </c>
      <c r="B1" s="2"/>
      <c r="C1" s="2"/>
      <c r="D1" s="2"/>
    </row>
    <row r="3" spans="1:4">
      <c r="A3" s="3" t="s">
        <v>1</v>
      </c>
      <c r="B3" s="3" t="s">
        <v>2</v>
      </c>
      <c r="C3" s="3" t="s">
        <v>3</v>
      </c>
      <c r="D3" s="7" t="s">
        <v>110</v>
      </c>
    </row>
    <row r="4" spans="1:4">
      <c r="A4" s="4" t="s">
        <v>4</v>
      </c>
      <c r="B4" s="5">
        <v>36.47</v>
      </c>
      <c r="C4" s="6"/>
      <c r="D4" s="6"/>
    </row>
    <row r="5" spans="1:4">
      <c r="A5" s="4" t="s">
        <v>5</v>
      </c>
      <c r="B5" s="5">
        <v>35.950000000000003</v>
      </c>
      <c r="C5" s="6">
        <f t="shared" ref="C5:C36" si="0">B5/B4-1</f>
        <v>-1.4258294488620704E-2</v>
      </c>
      <c r="D5" s="6"/>
    </row>
    <row r="6" spans="1:4">
      <c r="A6" s="4" t="s">
        <v>6</v>
      </c>
      <c r="B6" s="5">
        <v>35.6</v>
      </c>
      <c r="C6" s="6">
        <f t="shared" si="0"/>
        <v>-9.7357440890125657E-3</v>
      </c>
      <c r="D6" s="6"/>
    </row>
    <row r="7" spans="1:4">
      <c r="A7" s="4" t="s">
        <v>7</v>
      </c>
      <c r="B7" s="5">
        <v>35.15</v>
      </c>
      <c r="C7" s="6">
        <f t="shared" si="0"/>
        <v>-1.2640449438202306E-2</v>
      </c>
      <c r="D7" s="6"/>
    </row>
    <row r="8" spans="1:4">
      <c r="A8" s="4" t="s">
        <v>8</v>
      </c>
      <c r="B8" s="5">
        <v>35.61</v>
      </c>
      <c r="C8" s="6">
        <f t="shared" si="0"/>
        <v>1.30867709815079E-2</v>
      </c>
      <c r="D8" s="8">
        <v>-2.3581025500411301E-2</v>
      </c>
    </row>
    <row r="9" spans="1:4">
      <c r="A9" s="4" t="s">
        <v>9</v>
      </c>
      <c r="B9" s="5">
        <v>36.47</v>
      </c>
      <c r="C9" s="6">
        <f t="shared" si="0"/>
        <v>2.4150519516989544E-2</v>
      </c>
      <c r="D9" s="8">
        <v>1.4464534075104174E-2</v>
      </c>
    </row>
    <row r="10" spans="1:4">
      <c r="A10" s="4" t="s">
        <v>10</v>
      </c>
      <c r="B10" s="5">
        <v>36.33</v>
      </c>
      <c r="C10" s="6">
        <f t="shared" si="0"/>
        <v>-3.8387715930902067E-3</v>
      </c>
      <c r="D10" s="8">
        <v>2.0505617977528035E-2</v>
      </c>
    </row>
    <row r="11" spans="1:4">
      <c r="A11" s="4" t="s">
        <v>11</v>
      </c>
      <c r="B11" s="5">
        <v>36.49</v>
      </c>
      <c r="C11" s="6">
        <f t="shared" si="0"/>
        <v>4.4040737682358166E-3</v>
      </c>
      <c r="D11" s="8">
        <v>3.8122332859175101E-2</v>
      </c>
    </row>
    <row r="12" spans="1:4">
      <c r="A12" s="4" t="s">
        <v>12</v>
      </c>
      <c r="B12" s="5">
        <v>36.82</v>
      </c>
      <c r="C12" s="6">
        <f t="shared" si="0"/>
        <v>9.0435735818030771E-3</v>
      </c>
      <c r="D12" s="8">
        <v>3.3979219320415588E-2</v>
      </c>
    </row>
    <row r="13" spans="1:4">
      <c r="A13" s="4" t="s">
        <v>13</v>
      </c>
      <c r="B13" s="5">
        <v>36.15</v>
      </c>
      <c r="C13" s="6">
        <f t="shared" si="0"/>
        <v>-1.8196632265073398E-2</v>
      </c>
      <c r="D13" s="8">
        <v>-8.7743350699205358E-3</v>
      </c>
    </row>
    <row r="14" spans="1:4">
      <c r="A14" s="4" t="s">
        <v>14</v>
      </c>
      <c r="B14" s="5">
        <v>38.19</v>
      </c>
      <c r="C14" s="6">
        <f t="shared" si="0"/>
        <v>5.6431535269709565E-2</v>
      </c>
      <c r="D14" s="8">
        <v>5.1197357555738954E-2</v>
      </c>
    </row>
    <row r="15" spans="1:4">
      <c r="A15" s="4" t="s">
        <v>15</v>
      </c>
      <c r="B15" s="5">
        <v>39.15</v>
      </c>
      <c r="C15" s="6">
        <f t="shared" si="0"/>
        <v>2.5137470542026641E-2</v>
      </c>
      <c r="D15" s="8">
        <v>7.2896684023019853E-2</v>
      </c>
    </row>
    <row r="16" spans="1:4">
      <c r="A16" s="4" t="s">
        <v>16</v>
      </c>
      <c r="B16" s="5">
        <v>41.04</v>
      </c>
      <c r="C16" s="6">
        <f t="shared" si="0"/>
        <v>4.8275862068965614E-2</v>
      </c>
      <c r="D16" s="8">
        <v>0.11461162411732762</v>
      </c>
    </row>
    <row r="17" spans="1:4">
      <c r="A17" s="4" t="s">
        <v>17</v>
      </c>
      <c r="B17" s="5">
        <v>42.54</v>
      </c>
      <c r="C17" s="6">
        <f t="shared" si="0"/>
        <v>3.654970760233911E-2</v>
      </c>
      <c r="D17" s="8">
        <v>0.17676348547717846</v>
      </c>
    </row>
    <row r="18" spans="1:4">
      <c r="A18" s="4" t="s">
        <v>18</v>
      </c>
      <c r="B18" s="5">
        <v>43.41</v>
      </c>
      <c r="C18" s="6">
        <f t="shared" si="0"/>
        <v>2.0451339915373623E-2</v>
      </c>
      <c r="D18" s="8">
        <v>0.13668499607227025</v>
      </c>
    </row>
    <row r="19" spans="1:4">
      <c r="A19" s="4" t="s">
        <v>19</v>
      </c>
      <c r="B19" s="5">
        <v>44.49</v>
      </c>
      <c r="C19" s="6">
        <f t="shared" si="0"/>
        <v>2.4879060124395336E-2</v>
      </c>
      <c r="D19" s="8">
        <v>0.13639846743295037</v>
      </c>
    </row>
    <row r="20" spans="1:4">
      <c r="A20" s="4" t="s">
        <v>20</v>
      </c>
      <c r="B20" s="5">
        <v>45.03</v>
      </c>
      <c r="C20" s="6">
        <f t="shared" si="0"/>
        <v>1.2137559002022957E-2</v>
      </c>
      <c r="D20" s="8">
        <v>9.7222222222222321E-2</v>
      </c>
    </row>
    <row r="21" spans="1:4">
      <c r="A21" s="4" t="s">
        <v>21</v>
      </c>
      <c r="B21" s="5">
        <v>46.09</v>
      </c>
      <c r="C21" s="6">
        <f t="shared" si="0"/>
        <v>2.3539862314012838E-2</v>
      </c>
      <c r="D21" s="8">
        <v>8.3450869769628788E-2</v>
      </c>
    </row>
    <row r="22" spans="1:4">
      <c r="A22" s="4" t="s">
        <v>22</v>
      </c>
      <c r="B22" s="5">
        <v>46.94</v>
      </c>
      <c r="C22" s="6">
        <f t="shared" si="0"/>
        <v>1.8442178346712801E-2</v>
      </c>
      <c r="D22" s="8">
        <v>8.1317668739921745E-2</v>
      </c>
    </row>
    <row r="23" spans="1:4">
      <c r="A23" s="4" t="s">
        <v>23</v>
      </c>
      <c r="B23" s="5">
        <v>48.16</v>
      </c>
      <c r="C23" s="6">
        <f t="shared" si="0"/>
        <v>2.5990626331487077E-2</v>
      </c>
      <c r="D23" s="8">
        <v>8.2490447291525992E-2</v>
      </c>
    </row>
    <row r="24" spans="1:4">
      <c r="A24" s="4" t="s">
        <v>24</v>
      </c>
      <c r="B24" s="5">
        <v>48.39</v>
      </c>
      <c r="C24" s="6">
        <f t="shared" si="0"/>
        <v>4.7757475083056722E-3</v>
      </c>
      <c r="D24" s="8">
        <v>7.461692205196524E-2</v>
      </c>
    </row>
    <row r="25" spans="1:4">
      <c r="A25" s="4" t="s">
        <v>25</v>
      </c>
      <c r="B25" s="5">
        <v>50.73</v>
      </c>
      <c r="C25" s="6">
        <f t="shared" si="0"/>
        <v>4.8357098574085544E-2</v>
      </c>
      <c r="D25" s="8">
        <v>0.10067259709264476</v>
      </c>
    </row>
    <row r="26" spans="1:4">
      <c r="A26" s="4" t="s">
        <v>26</v>
      </c>
      <c r="B26" s="5">
        <v>51.47</v>
      </c>
      <c r="C26" s="6">
        <f t="shared" si="0"/>
        <v>1.4587029371180726E-2</v>
      </c>
      <c r="D26" s="8">
        <v>9.6506178099701856E-2</v>
      </c>
    </row>
    <row r="27" spans="1:4">
      <c r="A27" s="4" t="s">
        <v>27</v>
      </c>
      <c r="B27" s="5">
        <v>53.66</v>
      </c>
      <c r="C27" s="6">
        <f t="shared" si="0"/>
        <v>4.254905770351658E-2</v>
      </c>
      <c r="D27" s="8">
        <v>0.11420265780730898</v>
      </c>
    </row>
    <row r="28" spans="1:4">
      <c r="A28" s="4" t="s">
        <v>28</v>
      </c>
      <c r="B28" s="5">
        <v>55.49</v>
      </c>
      <c r="C28" s="6">
        <f t="shared" si="0"/>
        <v>3.4103615355944861E-2</v>
      </c>
      <c r="D28" s="8">
        <v>0.14672452986154161</v>
      </c>
    </row>
    <row r="29" spans="1:4">
      <c r="A29" s="4" t="s">
        <v>29</v>
      </c>
      <c r="B29" s="5">
        <v>57.04</v>
      </c>
      <c r="C29" s="6">
        <f t="shared" si="0"/>
        <v>2.7932960893854775E-2</v>
      </c>
      <c r="D29" s="8">
        <v>0.12438399369209541</v>
      </c>
    </row>
    <row r="30" spans="1:4">
      <c r="A30" s="4" t="s">
        <v>30</v>
      </c>
      <c r="B30" s="5">
        <v>56.54</v>
      </c>
      <c r="C30" s="6">
        <f t="shared" si="0"/>
        <v>-8.7657784011220263E-3</v>
      </c>
      <c r="D30" s="8">
        <v>9.8503982902661713E-2</v>
      </c>
    </row>
    <row r="31" spans="1:4">
      <c r="A31" s="4" t="s">
        <v>31</v>
      </c>
      <c r="B31" s="5">
        <v>55.66</v>
      </c>
      <c r="C31" s="6">
        <f t="shared" si="0"/>
        <v>-1.5564202334630406E-2</v>
      </c>
      <c r="D31" s="8">
        <v>3.7271710771524358E-2</v>
      </c>
    </row>
    <row r="32" spans="1:4">
      <c r="A32" s="4" t="s">
        <v>32</v>
      </c>
      <c r="B32" s="5">
        <v>58.53</v>
      </c>
      <c r="C32" s="6">
        <f t="shared" si="0"/>
        <v>5.1563061444484415E-2</v>
      </c>
      <c r="D32" s="8">
        <v>5.4784645882140826E-2</v>
      </c>
    </row>
    <row r="33" spans="1:4">
      <c r="A33" s="4" t="s">
        <v>33</v>
      </c>
      <c r="B33" s="5">
        <v>59.72</v>
      </c>
      <c r="C33" s="6">
        <f t="shared" si="0"/>
        <v>2.0331453955236611E-2</v>
      </c>
      <c r="D33" s="8">
        <v>4.6984572230013955E-2</v>
      </c>
    </row>
    <row r="34" spans="1:4">
      <c r="A34" s="4" t="s">
        <v>34</v>
      </c>
      <c r="B34" s="5">
        <v>58.23</v>
      </c>
      <c r="C34" s="6">
        <f t="shared" si="0"/>
        <v>-2.4949765572672478E-2</v>
      </c>
      <c r="D34" s="8">
        <v>2.9890343119915119E-2</v>
      </c>
    </row>
    <row r="35" spans="1:4">
      <c r="A35" s="4" t="s">
        <v>35</v>
      </c>
      <c r="B35" s="5">
        <v>55.33</v>
      </c>
      <c r="C35" s="6">
        <f t="shared" si="0"/>
        <v>-4.9802507298643328E-2</v>
      </c>
      <c r="D35" s="8">
        <v>-5.9288537549406772E-3</v>
      </c>
    </row>
    <row r="36" spans="1:4">
      <c r="A36" s="4" t="s">
        <v>36</v>
      </c>
      <c r="B36" s="5">
        <v>55.73</v>
      </c>
      <c r="C36" s="6">
        <f t="shared" si="0"/>
        <v>7.2293511657328668E-3</v>
      </c>
      <c r="D36" s="8">
        <v>-4.7838715188792125E-2</v>
      </c>
    </row>
    <row r="37" spans="1:4">
      <c r="A37" s="4" t="s">
        <v>37</v>
      </c>
      <c r="B37" s="5">
        <v>59.02</v>
      </c>
      <c r="C37" s="6">
        <f t="shared" ref="C37:C68" si="1">B37/B36-1</f>
        <v>5.9034631257850467E-2</v>
      </c>
      <c r="D37" s="8">
        <v>-1.1721366376423292E-2</v>
      </c>
    </row>
    <row r="38" spans="1:4">
      <c r="A38" s="4" t="s">
        <v>38</v>
      </c>
      <c r="B38" s="5">
        <v>62.9</v>
      </c>
      <c r="C38" s="6">
        <f t="shared" si="1"/>
        <v>6.5740426973907029E-2</v>
      </c>
      <c r="D38" s="8">
        <v>8.0199210029194612E-2</v>
      </c>
    </row>
    <row r="39" spans="1:4">
      <c r="A39" s="4" t="s">
        <v>39</v>
      </c>
      <c r="B39" s="5">
        <v>65.099999999999994</v>
      </c>
      <c r="C39" s="6">
        <f t="shared" si="1"/>
        <v>3.4976152623211298E-2</v>
      </c>
      <c r="D39" s="8">
        <v>0.17657690222302547</v>
      </c>
    </row>
    <row r="40" spans="1:4">
      <c r="A40" s="4" t="s">
        <v>40</v>
      </c>
      <c r="B40" s="5">
        <v>67.400000000000006</v>
      </c>
      <c r="C40" s="6">
        <f t="shared" si="1"/>
        <v>3.5330261136713004E-2</v>
      </c>
      <c r="D40" s="8">
        <v>0.20940247622465469</v>
      </c>
    </row>
    <row r="41" spans="1:4">
      <c r="A41" s="4" t="s">
        <v>41</v>
      </c>
      <c r="B41" s="5">
        <v>69.680000000000007</v>
      </c>
      <c r="C41" s="6">
        <f t="shared" si="1"/>
        <v>3.3827893175074175E-2</v>
      </c>
      <c r="D41" s="8">
        <v>0.1806167400881058</v>
      </c>
    </row>
    <row r="42" spans="1:4">
      <c r="A42" s="4" t="s">
        <v>42</v>
      </c>
      <c r="B42" s="5">
        <v>71.47</v>
      </c>
      <c r="C42" s="6">
        <f t="shared" si="1"/>
        <v>2.5688863375430415E-2</v>
      </c>
      <c r="D42" s="8">
        <v>0.13624801271860099</v>
      </c>
    </row>
    <row r="43" spans="1:4">
      <c r="A43" s="4" t="s">
        <v>43</v>
      </c>
      <c r="B43" s="5">
        <v>75.41</v>
      </c>
      <c r="C43" s="6">
        <f t="shared" si="1"/>
        <v>5.5128025745067921E-2</v>
      </c>
      <c r="D43" s="8">
        <v>0.15837173579109076</v>
      </c>
    </row>
    <row r="44" spans="1:4">
      <c r="A44" s="4" t="s">
        <v>44</v>
      </c>
      <c r="B44" s="5">
        <v>78.760000000000005</v>
      </c>
      <c r="C44" s="6">
        <f t="shared" si="1"/>
        <v>4.4423816469964406E-2</v>
      </c>
      <c r="D44" s="8">
        <v>0.16854599406528181</v>
      </c>
    </row>
    <row r="45" spans="1:4">
      <c r="A45" s="4" t="s">
        <v>45</v>
      </c>
      <c r="B45" s="5">
        <v>79.77</v>
      </c>
      <c r="C45" s="6">
        <f t="shared" si="1"/>
        <v>1.2823768410360481E-2</v>
      </c>
      <c r="D45" s="8">
        <v>0.14480482204362777</v>
      </c>
    </row>
    <row r="46" spans="1:4">
      <c r="A46" s="4" t="s">
        <v>46</v>
      </c>
      <c r="B46" s="5">
        <v>82.04</v>
      </c>
      <c r="C46" s="6">
        <f t="shared" si="1"/>
        <v>2.8456813338347819E-2</v>
      </c>
      <c r="D46" s="8">
        <v>0.14789422135161612</v>
      </c>
    </row>
    <row r="47" spans="1:4">
      <c r="A47" s="4" t="s">
        <v>47</v>
      </c>
      <c r="B47" s="5">
        <v>82.77</v>
      </c>
      <c r="C47" s="6">
        <f t="shared" si="1"/>
        <v>8.8980984885420611E-3</v>
      </c>
      <c r="D47" s="8">
        <v>9.7599787826548212E-2</v>
      </c>
    </row>
    <row r="48" spans="1:4">
      <c r="A48" s="4" t="s">
        <v>48</v>
      </c>
      <c r="B48" s="5">
        <v>84.28</v>
      </c>
      <c r="C48" s="6">
        <f t="shared" si="1"/>
        <v>1.824332487616287E-2</v>
      </c>
      <c r="D48" s="8">
        <v>7.008633824276278E-2</v>
      </c>
    </row>
    <row r="49" spans="1:4">
      <c r="A49" s="4" t="s">
        <v>49</v>
      </c>
      <c r="B49" s="5">
        <v>87.99</v>
      </c>
      <c r="C49" s="6">
        <f t="shared" si="1"/>
        <v>4.4019933554817259E-2</v>
      </c>
      <c r="D49" s="8">
        <v>0.10304625799172618</v>
      </c>
    </row>
    <row r="50" spans="1:4">
      <c r="A50" s="4" t="s">
        <v>50</v>
      </c>
      <c r="B50" s="5">
        <v>89.06</v>
      </c>
      <c r="C50" s="6">
        <f t="shared" si="1"/>
        <v>1.2160472780997855E-2</v>
      </c>
      <c r="D50" s="8">
        <v>8.556801560214522E-2</v>
      </c>
    </row>
    <row r="51" spans="1:4">
      <c r="A51" s="4" t="s">
        <v>51</v>
      </c>
      <c r="B51" s="5">
        <v>90.79</v>
      </c>
      <c r="C51" s="6">
        <f t="shared" si="1"/>
        <v>1.9425106669660908E-2</v>
      </c>
      <c r="D51" s="8">
        <v>9.6895010269421489E-2</v>
      </c>
    </row>
    <row r="52" spans="1:4">
      <c r="A52" s="4" t="s">
        <v>52</v>
      </c>
      <c r="B52" s="5">
        <v>94.53</v>
      </c>
      <c r="C52" s="6">
        <f t="shared" si="1"/>
        <v>4.1193964092961721E-2</v>
      </c>
      <c r="D52" s="8">
        <v>0.12161841480778368</v>
      </c>
    </row>
    <row r="53" spans="1:4">
      <c r="A53" s="4" t="s">
        <v>53</v>
      </c>
      <c r="B53" s="5">
        <v>101.57</v>
      </c>
      <c r="C53" s="6">
        <f t="shared" si="1"/>
        <v>7.4473712049084817E-2</v>
      </c>
      <c r="D53" s="8">
        <v>0.1543357199681783</v>
      </c>
    </row>
    <row r="54" spans="1:4">
      <c r="A54" s="4" t="s">
        <v>54</v>
      </c>
      <c r="B54" s="5">
        <v>102.44</v>
      </c>
      <c r="C54" s="6">
        <f t="shared" si="1"/>
        <v>8.565521315349045E-3</v>
      </c>
      <c r="D54" s="8">
        <v>0.1502357960925218</v>
      </c>
    </row>
    <row r="55" spans="1:4">
      <c r="A55" s="4" t="s">
        <v>55</v>
      </c>
      <c r="B55" s="5">
        <v>104.5</v>
      </c>
      <c r="C55" s="6">
        <f t="shared" si="1"/>
        <v>2.0109332292073345E-2</v>
      </c>
      <c r="D55" s="8">
        <v>0.1510078202445202</v>
      </c>
    </row>
    <row r="56" spans="1:4">
      <c r="A56" s="4" t="s">
        <v>56</v>
      </c>
      <c r="B56" s="5">
        <v>106.03</v>
      </c>
      <c r="C56" s="6">
        <f t="shared" si="1"/>
        <v>1.4641148325358788E-2</v>
      </c>
      <c r="D56" s="8">
        <v>0.12165450121654509</v>
      </c>
    </row>
    <row r="57" spans="1:4">
      <c r="A57" s="4" t="s">
        <v>57</v>
      </c>
      <c r="B57" s="5">
        <v>108.6</v>
      </c>
      <c r="C57" s="6">
        <f t="shared" si="1"/>
        <v>2.4238423087805216E-2</v>
      </c>
      <c r="D57" s="8">
        <v>6.921335039873977E-2</v>
      </c>
    </row>
    <row r="58" spans="1:4">
      <c r="A58" s="4" t="s">
        <v>58</v>
      </c>
      <c r="B58" s="5">
        <v>107.54</v>
      </c>
      <c r="C58" s="6">
        <f t="shared" si="1"/>
        <v>-9.7605893186002435E-3</v>
      </c>
      <c r="D58" s="8">
        <v>4.9785240140570064E-2</v>
      </c>
    </row>
    <row r="59" spans="1:4">
      <c r="A59" s="4" t="s">
        <v>59</v>
      </c>
      <c r="B59" s="5">
        <v>106.71</v>
      </c>
      <c r="C59" s="6">
        <f t="shared" si="1"/>
        <v>-7.7180583968756711E-3</v>
      </c>
      <c r="D59" s="8">
        <v>2.1148325358851583E-2</v>
      </c>
    </row>
    <row r="60" spans="1:4">
      <c r="A60" s="4" t="s">
        <v>60</v>
      </c>
      <c r="B60" s="5">
        <v>106.43</v>
      </c>
      <c r="C60" s="6">
        <f t="shared" si="1"/>
        <v>-2.6239340268014999E-3</v>
      </c>
      <c r="D60" s="8">
        <v>3.772517212109916E-3</v>
      </c>
    </row>
    <row r="61" spans="1:4">
      <c r="A61" s="4" t="s">
        <v>61</v>
      </c>
      <c r="B61" s="5">
        <v>105.51</v>
      </c>
      <c r="C61" s="6">
        <f t="shared" si="1"/>
        <v>-8.6441792727615097E-3</v>
      </c>
      <c r="D61" s="8">
        <v>-2.8453038674033038E-2</v>
      </c>
    </row>
    <row r="62" spans="1:4">
      <c r="A62" s="4" t="s">
        <v>62</v>
      </c>
      <c r="B62" s="5">
        <v>104.1</v>
      </c>
      <c r="C62" s="6">
        <f t="shared" si="1"/>
        <v>-1.3363662212112715E-2</v>
      </c>
      <c r="D62" s="8">
        <v>-3.1988097452110953E-2</v>
      </c>
    </row>
    <row r="63" spans="1:4">
      <c r="A63" s="4" t="s">
        <v>63</v>
      </c>
      <c r="B63" s="5">
        <v>102.35</v>
      </c>
      <c r="C63" s="6">
        <f t="shared" si="1"/>
        <v>-1.6810758885686838E-2</v>
      </c>
      <c r="D63" s="8">
        <v>-4.0858401274482259E-2</v>
      </c>
    </row>
    <row r="64" spans="1:4">
      <c r="A64" s="4" t="s">
        <v>64</v>
      </c>
      <c r="B64" s="5">
        <v>100</v>
      </c>
      <c r="C64" s="6">
        <f t="shared" si="1"/>
        <v>-2.2960429897410761E-2</v>
      </c>
      <c r="D64" s="8">
        <v>-6.0415296438974031E-2</v>
      </c>
    </row>
    <row r="65" spans="1:4">
      <c r="A65" s="4" t="s">
        <v>65</v>
      </c>
      <c r="B65" s="5">
        <v>102.02</v>
      </c>
      <c r="C65" s="6">
        <f t="shared" si="1"/>
        <v>2.0199999999999996E-2</v>
      </c>
      <c r="D65" s="8">
        <v>-3.307743341863334E-2</v>
      </c>
    </row>
    <row r="66" spans="1:4">
      <c r="A66" s="4" t="s">
        <v>66</v>
      </c>
      <c r="B66" s="5">
        <v>101.74</v>
      </c>
      <c r="C66" s="6">
        <f t="shared" si="1"/>
        <v>-2.7445598902176016E-3</v>
      </c>
      <c r="D66" s="8">
        <v>-2.2670509125840566E-2</v>
      </c>
    </row>
    <row r="67" spans="1:4">
      <c r="A67" s="4" t="s">
        <v>67</v>
      </c>
      <c r="B67" s="5">
        <v>101.04</v>
      </c>
      <c r="C67" s="6">
        <f t="shared" si="1"/>
        <v>-6.8802830745035015E-3</v>
      </c>
      <c r="D67" s="8">
        <v>-1.2799218368343857E-2</v>
      </c>
    </row>
    <row r="68" spans="1:4">
      <c r="A68" s="4" t="s">
        <v>68</v>
      </c>
      <c r="B68" s="5">
        <v>101.48</v>
      </c>
      <c r="C68" s="6">
        <f t="shared" si="1"/>
        <v>4.354711005542411E-3</v>
      </c>
      <c r="D68" s="8">
        <v>1.4800000000000146E-2</v>
      </c>
    </row>
    <row r="69" spans="1:4">
      <c r="A69" s="4" t="s">
        <v>69</v>
      </c>
      <c r="B69" s="5">
        <v>102.98</v>
      </c>
      <c r="C69" s="6">
        <f t="shared" ref="C69:C100" si="2">B69/B68-1</f>
        <v>1.4781237682301995E-2</v>
      </c>
      <c r="D69" s="8">
        <v>9.4099196236032689E-3</v>
      </c>
    </row>
    <row r="70" spans="1:4">
      <c r="A70" s="4" t="s">
        <v>70</v>
      </c>
      <c r="B70" s="5">
        <v>101.98</v>
      </c>
      <c r="C70" s="6">
        <f t="shared" si="2"/>
        <v>-9.7106234220236676E-3</v>
      </c>
      <c r="D70" s="8">
        <v>2.3589541969728511E-3</v>
      </c>
    </row>
    <row r="71" spans="1:4">
      <c r="A71" s="4" t="s">
        <v>71</v>
      </c>
      <c r="B71" s="5">
        <v>102.83</v>
      </c>
      <c r="C71" s="6">
        <f t="shared" si="2"/>
        <v>8.3349676407138418E-3</v>
      </c>
      <c r="D71" s="8">
        <v>1.7715756136183591E-2</v>
      </c>
    </row>
    <row r="72" spans="1:4">
      <c r="A72" s="4" t="s">
        <v>72</v>
      </c>
      <c r="B72" s="5">
        <v>103.34</v>
      </c>
      <c r="C72" s="6">
        <f t="shared" si="2"/>
        <v>4.9596421277837699E-3</v>
      </c>
      <c r="D72" s="8">
        <v>1.8328734726054341E-2</v>
      </c>
    </row>
    <row r="73" spans="1:4">
      <c r="A73" s="4" t="s">
        <v>73</v>
      </c>
      <c r="B73" s="5">
        <v>104.14</v>
      </c>
      <c r="C73" s="6">
        <f t="shared" si="2"/>
        <v>7.7414360363847745E-3</v>
      </c>
      <c r="D73" s="8">
        <v>1.1264323169547508E-2</v>
      </c>
    </row>
    <row r="74" spans="1:4">
      <c r="A74" s="4" t="s">
        <v>74</v>
      </c>
      <c r="B74" s="5">
        <v>103.57</v>
      </c>
      <c r="C74" s="6">
        <f t="shared" si="2"/>
        <v>-5.4734011907049407E-3</v>
      </c>
      <c r="D74" s="8">
        <v>1.5591292410276347E-2</v>
      </c>
    </row>
    <row r="75" spans="1:4">
      <c r="A75" s="4" t="s">
        <v>75</v>
      </c>
      <c r="B75" s="5">
        <v>104.74</v>
      </c>
      <c r="C75" s="6">
        <f t="shared" si="2"/>
        <v>1.1296707540793705E-2</v>
      </c>
      <c r="D75" s="8">
        <v>1.8574346007974363E-2</v>
      </c>
    </row>
    <row r="76" spans="1:4">
      <c r="A76" s="4" t="s">
        <v>76</v>
      </c>
      <c r="B76" s="5">
        <v>105.52</v>
      </c>
      <c r="C76" s="6">
        <f t="shared" si="2"/>
        <v>7.4470116478899673E-3</v>
      </c>
      <c r="D76" s="8">
        <v>2.1095413199148316E-2</v>
      </c>
    </row>
    <row r="77" spans="1:4">
      <c r="A77" s="4" t="s">
        <v>77</v>
      </c>
      <c r="B77" s="5">
        <v>107.39</v>
      </c>
      <c r="C77" s="6">
        <f t="shared" si="2"/>
        <v>1.7721758908263885E-2</v>
      </c>
      <c r="D77" s="8">
        <v>3.1207989245246814E-2</v>
      </c>
    </row>
    <row r="78" spans="1:4">
      <c r="A78" s="4" t="s">
        <v>78</v>
      </c>
      <c r="B78" s="5">
        <v>106.98</v>
      </c>
      <c r="C78" s="6">
        <f t="shared" si="2"/>
        <v>-3.8178601359530884E-3</v>
      </c>
      <c r="D78" s="8">
        <v>3.2924592063338975E-2</v>
      </c>
    </row>
    <row r="79" spans="1:4">
      <c r="A79" s="4" t="s">
        <v>79</v>
      </c>
      <c r="B79" s="5">
        <v>108.13</v>
      </c>
      <c r="C79" s="6">
        <f t="shared" si="2"/>
        <v>1.0749672836044111E-2</v>
      </c>
      <c r="D79" s="8">
        <v>3.2365858315829721E-2</v>
      </c>
    </row>
    <row r="80" spans="1:4">
      <c r="A80" s="4" t="s">
        <v>80</v>
      </c>
      <c r="B80" s="5">
        <v>108.34</v>
      </c>
      <c r="C80" s="6">
        <f t="shared" si="2"/>
        <v>1.9421067233886813E-3</v>
      </c>
      <c r="D80" s="8">
        <v>2.6724791508718759E-2</v>
      </c>
    </row>
    <row r="81" spans="1:4">
      <c r="A81" s="4" t="s">
        <v>81</v>
      </c>
      <c r="B81" s="5">
        <v>110.36</v>
      </c>
      <c r="C81" s="6">
        <f t="shared" si="2"/>
        <v>1.8645006461140756E-2</v>
      </c>
      <c r="D81" s="8">
        <v>2.7656206350684442E-2</v>
      </c>
    </row>
    <row r="82" spans="1:4">
      <c r="A82" s="4" t="s">
        <v>82</v>
      </c>
      <c r="B82" s="5">
        <v>113.51</v>
      </c>
      <c r="C82" s="6">
        <f t="shared" si="2"/>
        <v>2.8542950344327744E-2</v>
      </c>
      <c r="D82" s="8">
        <v>6.1039446625537508E-2</v>
      </c>
    </row>
    <row r="83" spans="1:4">
      <c r="A83" s="4" t="s">
        <v>83</v>
      </c>
      <c r="B83" s="5">
        <v>115.16</v>
      </c>
      <c r="C83" s="6">
        <f t="shared" si="2"/>
        <v>1.4536164214606462E-2</v>
      </c>
      <c r="D83" s="8">
        <v>6.5014334597244039E-2</v>
      </c>
    </row>
    <row r="84" spans="1:4">
      <c r="A84" s="4" t="s">
        <v>84</v>
      </c>
      <c r="B84" s="5">
        <v>120.05</v>
      </c>
      <c r="C84" s="6">
        <f t="shared" si="2"/>
        <v>4.2462660646057637E-2</v>
      </c>
      <c r="D84" s="8">
        <v>0.10808565626730648</v>
      </c>
    </row>
    <row r="85" spans="1:4">
      <c r="A85" s="4" t="s">
        <v>85</v>
      </c>
      <c r="B85" s="5">
        <v>121.93</v>
      </c>
      <c r="C85" s="6">
        <f t="shared" si="2"/>
        <v>1.5660141607663602E-2</v>
      </c>
      <c r="D85" s="8">
        <v>0.10483870967741948</v>
      </c>
    </row>
    <row r="86" spans="1:4">
      <c r="A86" s="4" t="s">
        <v>86</v>
      </c>
      <c r="B86" s="5">
        <v>125.03</v>
      </c>
      <c r="C86" s="6">
        <f t="shared" si="2"/>
        <v>2.5424423849749855E-2</v>
      </c>
      <c r="D86" s="8">
        <v>0.10148885560743537</v>
      </c>
    </row>
    <row r="87" spans="1:4">
      <c r="A87" s="4" t="s">
        <v>87</v>
      </c>
      <c r="B87" s="5">
        <v>132</v>
      </c>
      <c r="C87" s="6">
        <f t="shared" si="2"/>
        <v>5.5746620811005343E-2</v>
      </c>
      <c r="D87" s="8">
        <v>0.14623133032302893</v>
      </c>
    </row>
    <row r="88" spans="1:4">
      <c r="A88" s="4" t="s">
        <v>88</v>
      </c>
      <c r="B88" s="5">
        <v>136.94</v>
      </c>
      <c r="C88" s="6">
        <f t="shared" si="2"/>
        <v>3.742424242424236E-2</v>
      </c>
      <c r="D88" s="8">
        <v>0.14069137859225322</v>
      </c>
    </row>
    <row r="89" spans="1:4">
      <c r="A89" s="4" t="s">
        <v>89</v>
      </c>
      <c r="B89" s="5">
        <v>139.94</v>
      </c>
      <c r="C89" s="6">
        <f t="shared" si="2"/>
        <v>2.1907404702789623E-2</v>
      </c>
      <c r="D89" s="8">
        <v>0.14770770113999832</v>
      </c>
    </row>
    <row r="90" spans="1:4">
      <c r="A90" s="4" t="s">
        <v>90</v>
      </c>
      <c r="B90" s="5">
        <v>144.58000000000001</v>
      </c>
      <c r="C90" s="6">
        <f t="shared" si="2"/>
        <v>3.3157067314563582E-2</v>
      </c>
      <c r="D90" s="8">
        <v>0.15636247300647854</v>
      </c>
    </row>
    <row r="91" spans="1:4">
      <c r="A91" s="4" t="s">
        <v>91</v>
      </c>
      <c r="B91" s="5">
        <v>142.06</v>
      </c>
      <c r="C91" s="6">
        <f t="shared" si="2"/>
        <v>-1.7429796652372431E-2</v>
      </c>
      <c r="D91" s="8">
        <v>7.6212121212121176E-2</v>
      </c>
    </row>
    <row r="92" spans="1:4">
      <c r="A92" s="4" t="s">
        <v>92</v>
      </c>
      <c r="B92" s="5">
        <v>143.83000000000001</v>
      </c>
      <c r="C92" s="6">
        <f t="shared" si="2"/>
        <v>1.2459524144727618E-2</v>
      </c>
      <c r="D92" s="8">
        <v>5.0314006134073441E-2</v>
      </c>
    </row>
    <row r="93" spans="1:4">
      <c r="A93" s="4" t="s">
        <v>93</v>
      </c>
      <c r="B93" s="5">
        <v>147.11000000000001</v>
      </c>
      <c r="C93" s="6">
        <f t="shared" si="2"/>
        <v>2.280469999304735E-2</v>
      </c>
      <c r="D93" s="8">
        <v>5.1236244104616357E-2</v>
      </c>
    </row>
    <row r="94" spans="1:4">
      <c r="A94" s="4" t="s">
        <v>94</v>
      </c>
      <c r="B94" s="5">
        <v>149.82</v>
      </c>
      <c r="C94" s="6">
        <f t="shared" si="2"/>
        <v>1.8421589286927942E-2</v>
      </c>
      <c r="D94" s="8">
        <v>3.6242910499377334E-2</v>
      </c>
    </row>
    <row r="95" spans="1:4">
      <c r="A95" s="4" t="s">
        <v>95</v>
      </c>
      <c r="B95" s="5">
        <v>153.44</v>
      </c>
      <c r="C95" s="6">
        <f t="shared" si="2"/>
        <v>2.4162328127085964E-2</v>
      </c>
      <c r="D95" s="8">
        <v>8.0106997043502659E-2</v>
      </c>
    </row>
    <row r="96" spans="1:4">
      <c r="A96" s="4" t="s">
        <v>96</v>
      </c>
      <c r="B96" s="5">
        <v>158.9</v>
      </c>
      <c r="C96" s="6">
        <f t="shared" si="2"/>
        <v>3.5583941605839442E-2</v>
      </c>
      <c r="D96" s="8">
        <v>0.10477647222415354</v>
      </c>
    </row>
    <row r="97" spans="1:4">
      <c r="A97" s="4" t="s">
        <v>97</v>
      </c>
      <c r="B97" s="5">
        <v>164.55</v>
      </c>
      <c r="C97" s="6">
        <f t="shared" si="2"/>
        <v>3.5556954059156709E-2</v>
      </c>
      <c r="D97" s="8">
        <v>0.11855074434096924</v>
      </c>
    </row>
    <row r="98" spans="1:4">
      <c r="A98" s="4" t="s">
        <v>98</v>
      </c>
      <c r="B98" s="5">
        <v>168.5</v>
      </c>
      <c r="C98" s="6">
        <f t="shared" si="2"/>
        <v>2.4004861744150618E-2</v>
      </c>
      <c r="D98" s="8">
        <v>0.12468295287678544</v>
      </c>
    </row>
    <row r="99" spans="1:4">
      <c r="A99" s="4" t="s">
        <v>99</v>
      </c>
      <c r="B99" s="5">
        <v>169.46</v>
      </c>
      <c r="C99" s="6">
        <f t="shared" si="2"/>
        <v>5.6973293768547428E-3</v>
      </c>
      <c r="D99" s="8">
        <v>0.10440563086548504</v>
      </c>
    </row>
    <row r="100" spans="1:4">
      <c r="A100" s="4" t="s">
        <v>100</v>
      </c>
      <c r="B100" s="5">
        <v>168.42</v>
      </c>
      <c r="C100" s="6">
        <f t="shared" si="2"/>
        <v>-6.137141508320676E-3</v>
      </c>
      <c r="D100" s="8">
        <v>5.9911894273127597E-2</v>
      </c>
    </row>
    <row r="101" spans="1:4">
      <c r="A101" s="4" t="s">
        <v>101</v>
      </c>
      <c r="B101" s="5">
        <v>164.39</v>
      </c>
      <c r="C101" s="6">
        <f t="shared" ref="C101:C132" si="3">B101/B100-1</f>
        <v>-2.3928274551715978E-2</v>
      </c>
      <c r="D101" s="8">
        <v>-9.7234883014296614E-4</v>
      </c>
    </row>
    <row r="102" spans="1:4">
      <c r="A102" s="4" t="s">
        <v>102</v>
      </c>
      <c r="B102" s="5">
        <v>168.73</v>
      </c>
      <c r="C102" s="6">
        <f t="shared" si="3"/>
        <v>2.6400632641888189E-2</v>
      </c>
      <c r="D102" s="8">
        <v>1.3649851632047127E-3</v>
      </c>
    </row>
    <row r="103" spans="1:4">
      <c r="A103" s="4" t="s">
        <v>103</v>
      </c>
      <c r="B103" s="5">
        <v>163.25</v>
      </c>
      <c r="C103" s="6">
        <f t="shared" si="3"/>
        <v>-3.2477923309429224E-2</v>
      </c>
      <c r="D103" s="8">
        <v>-3.6645816121798735E-2</v>
      </c>
    </row>
    <row r="104" spans="1:4">
      <c r="A104" s="4" t="s">
        <v>104</v>
      </c>
      <c r="B104" s="5">
        <v>167.53</v>
      </c>
      <c r="C104" s="6">
        <f t="shared" si="3"/>
        <v>2.6217457886676954E-2</v>
      </c>
      <c r="D104" s="8">
        <v>-5.284408027550147E-3</v>
      </c>
    </row>
    <row r="106" spans="1:4">
      <c r="A106" s="1" t="s">
        <v>105</v>
      </c>
      <c r="B106" s="1"/>
      <c r="C106" s="1"/>
      <c r="D106" s="1"/>
    </row>
    <row r="107" spans="1:4">
      <c r="A107" s="1" t="s">
        <v>106</v>
      </c>
      <c r="B107" s="1"/>
      <c r="C107" s="1"/>
      <c r="D107" s="1"/>
    </row>
    <row r="108" spans="1:4">
      <c r="A108" s="1" t="s">
        <v>107</v>
      </c>
      <c r="B108" s="1"/>
      <c r="C108" s="1"/>
      <c r="D108" s="1"/>
    </row>
    <row r="109" spans="1:4">
      <c r="A109" s="1" t="s">
        <v>108</v>
      </c>
      <c r="B109" s="1"/>
      <c r="C109" s="1"/>
      <c r="D109" s="1"/>
    </row>
    <row r="110" spans="1:4">
      <c r="A110" s="1" t="s">
        <v>109</v>
      </c>
      <c r="B110" s="1"/>
      <c r="C110" s="1"/>
      <c r="D110" s="1"/>
    </row>
  </sheetData>
  <mergeCells count="6">
    <mergeCell ref="A110:D110"/>
    <mergeCell ref="A1:D1"/>
    <mergeCell ref="A106:D106"/>
    <mergeCell ref="A107:D107"/>
    <mergeCell ref="A108:D108"/>
    <mergeCell ref="A109:D109"/>
  </mergeCells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信義房價指數(台灣)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王信閎</cp:lastModifiedBy>
  <cp:revision>0</cp:revision>
  <dcterms:created xsi:type="dcterms:W3CDTF">2026-06-11T08:15:29Z</dcterms:created>
  <dcterms:modified xsi:type="dcterms:W3CDTF">2026-06-11T08:35:35Z</dcterms:modified>
  <dc:language>en-US</dc:language>
</cp:coreProperties>
</file>