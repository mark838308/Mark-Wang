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91" windowHeight="10067" activeTab="2"/>
  </bookViews>
  <sheets>
    <sheet name="股票損益" sheetId="1" r:id="rId1"/>
    <sheet name="房貸收入試算" sheetId="2" r:id="rId2"/>
    <sheet name="淨值表" sheetId="3" r:id="rId3"/>
    <sheet name="東哥券差借券紀錄" sheetId="4" state="hidden" r:id="rId4"/>
  </sheet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D14" authorId="0">
      <text>
        <r>
          <rPr>
            <b/>
            <sz val="9"/>
            <rFont val="新細明體"/>
            <charset val="136"/>
          </rPr>
          <t>user:</t>
        </r>
        <r>
          <rPr>
            <sz val="9"/>
            <rFont val="新細明體"/>
            <charset val="136"/>
          </rPr>
          <t xml:space="preserve">
</t>
        </r>
        <r>
          <rPr>
            <sz val="9"/>
            <rFont val="新細明體"/>
            <charset val="136"/>
          </rPr>
          <t>年終110萬+2個月+(剛好台股也漲)</t>
        </r>
      </text>
    </comment>
    <comment ref="D27" authorId="0">
      <text>
        <r>
          <rPr>
            <b/>
            <sz val="9"/>
            <rFont val="新細明體"/>
            <charset val="136"/>
          </rPr>
          <t>user:</t>
        </r>
        <r>
          <rPr>
            <sz val="9"/>
            <rFont val="新細明體"/>
            <charset val="136"/>
          </rPr>
          <t xml:space="preserve">
</t>
        </r>
        <r>
          <rPr>
            <sz val="9"/>
            <rFont val="新細明體"/>
            <charset val="136"/>
          </rPr>
          <t>年終150萬+2個月</t>
        </r>
      </text>
    </comment>
  </commentList>
</comments>
</file>

<file path=xl/sharedStrings.xml><?xml version="1.0" encoding="utf-8"?>
<sst xmlns="http://schemas.openxmlformats.org/spreadsheetml/2006/main" count="123">
  <si>
    <t>股利+借券</t>
  </si>
  <si>
    <t>正二</t>
  </si>
  <si>
    <t>台積電</t>
  </si>
  <si>
    <t>股市已實現</t>
  </si>
  <si>
    <t>資產總值</t>
  </si>
  <si>
    <t>信貸</t>
  </si>
  <si>
    <t>質借一次</t>
  </si>
  <si>
    <t>假設報酬</t>
  </si>
  <si>
    <t>每年收入</t>
  </si>
  <si>
    <t>每年利息</t>
  </si>
  <si>
    <t>每年利息支出</t>
  </si>
  <si>
    <t>淨收入</t>
  </si>
  <si>
    <t>裕慶-KY</t>
  </si>
  <si>
    <t>正二(借券)</t>
  </si>
  <si>
    <t>股市未實現</t>
  </si>
  <si>
    <t>扣除去年底未實現</t>
  </si>
  <si>
    <t>每月</t>
  </si>
  <si>
    <t>裕慶(借券)</t>
  </si>
  <si>
    <t>質借兩次</t>
  </si>
  <si>
    <t>借出的股票</t>
  </si>
  <si>
    <t>張數</t>
  </si>
  <si>
    <t>成本</t>
  </si>
  <si>
    <t>現價</t>
  </si>
  <si>
    <t>出借收入</t>
  </si>
  <si>
    <t>未實</t>
  </si>
  <si>
    <t>裕慶</t>
  </si>
  <si>
    <t>已實</t>
  </si>
  <si>
    <t>共賺</t>
  </si>
  <si>
    <t>扣掉去年未實(這才是真正的YTD)</t>
  </si>
  <si>
    <t>皇鼎</t>
  </si>
  <si>
    <t>費半</t>
  </si>
  <si>
    <t>國泰費城半導體</t>
  </si>
  <si>
    <t>中信0-1年美債</t>
  </si>
  <si>
    <t>八貫(借券)</t>
  </si>
  <si>
    <t>八貫</t>
  </si>
  <si>
    <t>費半(借券)</t>
  </si>
  <si>
    <t>NASDAQ</t>
  </si>
  <si>
    <t>千附精密</t>
  </si>
  <si>
    <t>八貫目標2025年時到210有機會的話下半年就有可能</t>
  </si>
  <si>
    <t>皇鼎目標40(看好2024EPS8，可能2025反應)</t>
  </si>
  <si>
    <t>富邦美債</t>
  </si>
  <si>
    <t>中信高評級</t>
  </si>
  <si>
    <t>富邦台50</t>
  </si>
  <si>
    <t>遠雄港</t>
  </si>
  <si>
    <t>皇鼎(借券)</t>
  </si>
  <si>
    <t>2023股利</t>
  </si>
  <si>
    <t>東哥</t>
  </si>
  <si>
    <t>台新戊特</t>
  </si>
  <si>
    <t>東哥券差借券</t>
  </si>
  <si>
    <t>慕康</t>
  </si>
  <si>
    <t>鴻翊</t>
  </si>
  <si>
    <t>永豐餘</t>
  </si>
  <si>
    <t>亞果遊艇</t>
  </si>
  <si>
    <t>元太</t>
  </si>
  <si>
    <t>尖點</t>
  </si>
  <si>
    <t>台新</t>
  </si>
  <si>
    <t>兆豐</t>
  </si>
  <si>
    <t>華上</t>
  </si>
  <si>
    <t>白銀</t>
  </si>
  <si>
    <t>黃豆</t>
  </si>
  <si>
    <t>集盛</t>
  </si>
  <si>
    <t>富邦深100</t>
  </si>
  <si>
    <t>銅</t>
  </si>
  <si>
    <t>中鋼</t>
  </si>
  <si>
    <t>江申</t>
  </si>
  <si>
    <t>精英</t>
  </si>
  <si>
    <t>豪展</t>
  </si>
  <si>
    <t>大同</t>
  </si>
  <si>
    <t>群創</t>
  </si>
  <si>
    <t>友達</t>
  </si>
  <si>
    <t>鴻海</t>
  </si>
  <si>
    <t>薪資年成長</t>
  </si>
  <si>
    <t>存款本金</t>
  </si>
  <si>
    <t>所得稅計算</t>
  </si>
  <si>
    <t>過幾年</t>
  </si>
  <si>
    <t>年配息</t>
  </si>
  <si>
    <t>收入</t>
  </si>
  <si>
    <t>bonus</t>
  </si>
  <si>
    <t>一年收入</t>
  </si>
  <si>
    <t>薪資所得特別扣除額</t>
  </si>
  <si>
    <t>所得稅</t>
  </si>
  <si>
    <t>平均一個月</t>
  </si>
  <si>
    <t>薪資所得</t>
  </si>
  <si>
    <t>股利所得</t>
  </si>
  <si>
    <t>股利免稅額</t>
  </si>
  <si>
    <t>免稅額</t>
  </si>
  <si>
    <t>標準扣除額</t>
  </si>
  <si>
    <t>total</t>
  </si>
  <si>
    <t xml:space="preserve"> 綜合所得稅淨額</t>
  </si>
  <si>
    <t>加上股票利息後</t>
  </si>
  <si>
    <t>累進差額 (單位：新臺幣/元)</t>
  </si>
  <si>
    <t>扣除所得稅後</t>
  </si>
  <si>
    <t>綜合所得稅淨額區間 (單位：新臺幣/元)</t>
  </si>
  <si>
    <t>稅率</t>
  </si>
  <si>
    <t>0 - 560,000元*</t>
  </si>
  <si>
    <t>560,001元* - 1,260,000元*</t>
  </si>
  <si>
    <t>1,260,001元* - 2,520,000元*</t>
  </si>
  <si>
    <t>2,520,001元* - 4,720,000元*</t>
  </si>
  <si>
    <t>4,720,001元*以上</t>
  </si>
  <si>
    <t>所得</t>
  </si>
  <si>
    <t>稅後所得</t>
  </si>
  <si>
    <t>總台新資產</t>
  </si>
  <si>
    <t>元大正2</t>
  </si>
  <si>
    <t>扣除爸媽的錢</t>
  </si>
  <si>
    <t>但有200萬是贈與的</t>
  </si>
  <si>
    <t>群益正2</t>
  </si>
  <si>
    <t>補加上房貸已繳的錢</t>
  </si>
  <si>
    <t>第11期工程款</t>
  </si>
  <si>
    <t>總共</t>
  </si>
  <si>
    <t>LINE</t>
  </si>
  <si>
    <t>正二*2</t>
  </si>
  <si>
    <t>現金股利</t>
  </si>
  <si>
    <t>股利</t>
  </si>
  <si>
    <t>稅6/11</t>
  </si>
  <si>
    <t>股票尚未交割金額</t>
  </si>
  <si>
    <t>台股目前</t>
  </si>
  <si>
    <t>Total</t>
  </si>
  <si>
    <t>如果漲到多少</t>
  </si>
  <si>
    <t>漲幅</t>
  </si>
  <si>
    <t>將會賺</t>
  </si>
  <si>
    <t>到時財富</t>
  </si>
  <si>
    <t>轉出</t>
  </si>
  <si>
    <t>轉入</t>
  </si>
</sst>
</file>

<file path=xl/styles.xml><?xml version="1.0" encoding="utf-8"?>
<styleSheet xmlns="http://schemas.openxmlformats.org/spreadsheetml/2006/main">
  <numFmts count="13"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  <numFmt numFmtId="176" formatCode="0.00_ ;[Red]\-0.00\ "/>
    <numFmt numFmtId="177" formatCode="yyyy/m/d;@"/>
    <numFmt numFmtId="178" formatCode="#,##0_ ;[Red]\-#,##0\ "/>
    <numFmt numFmtId="179" formatCode="0_);[Red]\(0\)"/>
    <numFmt numFmtId="180" formatCode="m/d;@"/>
    <numFmt numFmtId="181" formatCode="0.0%"/>
    <numFmt numFmtId="182" formatCode="#,##0.00_ ;[Red]\-#,##0.00\ "/>
    <numFmt numFmtId="183" formatCode="0.00_ "/>
    <numFmt numFmtId="184" formatCode="_-* #,##0_-;\-* #,##0_-;_-* &quot;-&quot;??_-;_-@_-"/>
  </numFmts>
  <fonts count="23">
    <font>
      <sz val="12"/>
      <color theme="1"/>
      <name val="新細明體"/>
      <charset val="134"/>
      <scheme val="minor"/>
    </font>
    <font>
      <sz val="12"/>
      <color rgb="FF202020"/>
      <name val="微軟正黑體"/>
      <charset val="134"/>
    </font>
    <font>
      <sz val="12"/>
      <color rgb="FF6B514A"/>
      <name val="微軟正黑體"/>
      <charset val="134"/>
    </font>
    <font>
      <b/>
      <sz val="12"/>
      <color rgb="FFFF0000"/>
      <name val="新細明體"/>
      <charset val="134"/>
      <scheme val="minor"/>
    </font>
    <font>
      <b/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9C6500"/>
      <name val="新細明體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" fillId="0" borderId="15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4" fillId="4" borderId="10" applyNumberFormat="0" applyAlignment="0" applyProtection="0">
      <alignment vertical="center"/>
    </xf>
    <xf numFmtId="0" fontId="21" fillId="29" borderId="17" applyNumberFormat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178" fontId="0" fillId="0" borderId="0" xfId="0" applyNumberFormat="1">
      <alignment vertical="center"/>
    </xf>
    <xf numFmtId="14" fontId="0" fillId="0" borderId="0" xfId="0" applyNumberFormat="1">
      <alignment vertical="center"/>
    </xf>
    <xf numFmtId="177" fontId="0" fillId="0" borderId="0" xfId="0" applyNumberFormat="1">
      <alignment vertical="center"/>
    </xf>
    <xf numFmtId="180" fontId="0" fillId="0" borderId="0" xfId="0" applyNumberFormat="1">
      <alignment vertical="center"/>
    </xf>
    <xf numFmtId="178" fontId="0" fillId="2" borderId="0" xfId="0" applyNumberFormat="1" applyFill="1">
      <alignment vertical="center"/>
    </xf>
    <xf numFmtId="9" fontId="0" fillId="0" borderId="0" xfId="9" applyNumberFormat="1">
      <alignment vertical="center"/>
    </xf>
    <xf numFmtId="178" fontId="0" fillId="0" borderId="0" xfId="0" applyNumberFormat="1" applyFill="1">
      <alignment vertical="center"/>
    </xf>
    <xf numFmtId="180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0" xfId="4" applyNumberFormat="1">
      <alignment vertical="center"/>
    </xf>
    <xf numFmtId="10" fontId="0" fillId="0" borderId="0" xfId="9" applyNumberFormat="1">
      <alignment vertical="center"/>
    </xf>
    <xf numFmtId="9" fontId="0" fillId="0" borderId="0" xfId="9">
      <alignment vertical="center"/>
    </xf>
    <xf numFmtId="9" fontId="0" fillId="0" borderId="0" xfId="0" applyNumberFormat="1">
      <alignment vertical="center"/>
    </xf>
    <xf numFmtId="179" fontId="0" fillId="0" borderId="0" xfId="0" applyNumberFormat="1">
      <alignment vertical="center"/>
    </xf>
    <xf numFmtId="182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84" fontId="0" fillId="0" borderId="0" xfId="4" applyNumberFormat="1">
      <alignment vertical="center"/>
    </xf>
    <xf numFmtId="0" fontId="3" fillId="0" borderId="2" xfId="0" applyFont="1" applyBorder="1">
      <alignment vertical="center"/>
    </xf>
    <xf numFmtId="0" fontId="0" fillId="0" borderId="3" xfId="0" applyBorder="1">
      <alignment vertical="center"/>
    </xf>
    <xf numFmtId="178" fontId="0" fillId="0" borderId="4" xfId="0" applyNumberFormat="1" applyBorder="1">
      <alignment vertical="center"/>
    </xf>
    <xf numFmtId="178" fontId="0" fillId="0" borderId="3" xfId="0" applyNumberFormat="1" applyBorder="1">
      <alignment vertical="center"/>
    </xf>
    <xf numFmtId="0" fontId="3" fillId="0" borderId="3" xfId="0" applyFont="1" applyBorder="1" applyAlignment="1">
      <alignment horizontal="right" vertical="center"/>
    </xf>
    <xf numFmtId="0" fontId="0" fillId="0" borderId="5" xfId="0" applyBorder="1">
      <alignment vertical="center"/>
    </xf>
    <xf numFmtId="180" fontId="0" fillId="0" borderId="0" xfId="0" applyNumberFormat="1" applyFill="1">
      <alignment vertical="center"/>
    </xf>
    <xf numFmtId="178" fontId="0" fillId="3" borderId="0" xfId="0" applyNumberFormat="1" applyFill="1">
      <alignment vertical="center"/>
    </xf>
    <xf numFmtId="180" fontId="0" fillId="0" borderId="6" xfId="0" applyNumberFormat="1" applyBorder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 applyAlignment="1">
      <alignment horizontal="right" vertical="center"/>
    </xf>
    <xf numFmtId="176" fontId="0" fillId="0" borderId="0" xfId="0" applyNumberFormat="1">
      <alignment vertical="center"/>
    </xf>
    <xf numFmtId="180" fontId="0" fillId="0" borderId="5" xfId="0" applyNumberFormat="1" applyBorder="1">
      <alignment vertical="center"/>
    </xf>
    <xf numFmtId="180" fontId="0" fillId="0" borderId="0" xfId="0" applyNumberFormat="1" applyAlignment="1">
      <alignment horizontal="right" vertical="center"/>
    </xf>
    <xf numFmtId="0" fontId="0" fillId="0" borderId="0" xfId="0" applyBorder="1">
      <alignment vertical="center"/>
    </xf>
    <xf numFmtId="178" fontId="0" fillId="0" borderId="0" xfId="4" applyNumberFormat="1" applyBorder="1">
      <alignment vertical="center"/>
    </xf>
    <xf numFmtId="178" fontId="0" fillId="0" borderId="0" xfId="0" applyNumberFormat="1" applyBorder="1">
      <alignment vertical="center"/>
    </xf>
    <xf numFmtId="180" fontId="0" fillId="0" borderId="0" xfId="0" applyNumberFormat="1" applyBorder="1">
      <alignment vertical="center"/>
    </xf>
    <xf numFmtId="178" fontId="0" fillId="0" borderId="7" xfId="0" applyNumberFormat="1" applyBorder="1">
      <alignment vertical="center"/>
    </xf>
    <xf numFmtId="178" fontId="0" fillId="0" borderId="8" xfId="0" applyNumberFormat="1" applyBorder="1">
      <alignment vertical="center"/>
    </xf>
    <xf numFmtId="181" fontId="0" fillId="0" borderId="0" xfId="9" applyNumberFormat="1">
      <alignment vertical="center"/>
    </xf>
    <xf numFmtId="178" fontId="0" fillId="0" borderId="9" xfId="0" applyNumberFormat="1" applyBorder="1">
      <alignment vertical="center"/>
    </xf>
    <xf numFmtId="0" fontId="0" fillId="0" borderId="6" xfId="0" applyBorder="1">
      <alignment vertical="center"/>
    </xf>
    <xf numFmtId="178" fontId="0" fillId="3" borderId="1" xfId="0" applyNumberFormat="1" applyFill="1" applyBorder="1">
      <alignment vertical="center"/>
    </xf>
    <xf numFmtId="176" fontId="0" fillId="0" borderId="0" xfId="0" applyNumberFormat="1" applyBorder="1">
      <alignment vertical="center"/>
    </xf>
    <xf numFmtId="178" fontId="0" fillId="3" borderId="9" xfId="0" applyNumberFormat="1" applyFill="1" applyBorder="1">
      <alignment vertical="center"/>
    </xf>
    <xf numFmtId="0" fontId="0" fillId="0" borderId="7" xfId="0" applyBorder="1">
      <alignment vertical="center"/>
    </xf>
    <xf numFmtId="183" fontId="0" fillId="0" borderId="0" xfId="0" applyNumberFormat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5"/>
          <c:y val="0.0481816075978689"/>
          <c:w val="0.818944444444444"/>
          <c:h val="0.71795228167709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淨值表!$B$2:$B$30</c:f>
              <c:numCache>
                <c:formatCode>yyyy/m/d;@</c:formatCode>
                <c:ptCount val="29"/>
                <c:pt idx="0" c:formatCode="yyyy/m/d;@">
                  <c:v>45331</c:v>
                </c:pt>
                <c:pt idx="1" c:formatCode="yyyy/m/d;@">
                  <c:v>45356</c:v>
                </c:pt>
                <c:pt idx="2" c:formatCode="yyyy/m/d;@">
                  <c:v>45382</c:v>
                </c:pt>
                <c:pt idx="3" c:formatCode="yyyy/m/d;@">
                  <c:v>45412</c:v>
                </c:pt>
                <c:pt idx="4" c:formatCode="yyyy/m/d;@">
                  <c:v>45443</c:v>
                </c:pt>
                <c:pt idx="5" c:formatCode="yyyy/m/d;@">
                  <c:v>45473</c:v>
                </c:pt>
                <c:pt idx="6" c:formatCode="yyyy/m/d;@">
                  <c:v>45504</c:v>
                </c:pt>
                <c:pt idx="7" c:formatCode="yyyy/m/d;@">
                  <c:v>45535</c:v>
                </c:pt>
                <c:pt idx="8" c:formatCode="yyyy/m/d;@">
                  <c:v>45565</c:v>
                </c:pt>
                <c:pt idx="9" c:formatCode="yyyy/m/d;@">
                  <c:v>45596</c:v>
                </c:pt>
                <c:pt idx="10" c:formatCode="yyyy/m/d;@">
                  <c:v>45626</c:v>
                </c:pt>
                <c:pt idx="11" c:formatCode="yyyy/m/d;@">
                  <c:v>45657</c:v>
                </c:pt>
                <c:pt idx="12" c:formatCode="yyyy/m/d;@">
                  <c:v>45688</c:v>
                </c:pt>
                <c:pt idx="13" c:formatCode="yyyy/m/d;@">
                  <c:v>45747</c:v>
                </c:pt>
                <c:pt idx="14" c:formatCode="yyyy/m/d;@">
                  <c:v>45749</c:v>
                </c:pt>
                <c:pt idx="15" c:formatCode="yyyy/m/d;@">
                  <c:v>45777</c:v>
                </c:pt>
                <c:pt idx="16" c:formatCode="yyyy/m/d;@">
                  <c:v>45806</c:v>
                </c:pt>
                <c:pt idx="17" c:formatCode="yyyy/m/d;@">
                  <c:v>45838</c:v>
                </c:pt>
                <c:pt idx="18" c:formatCode="yyyy/m/d;@">
                  <c:v>45869</c:v>
                </c:pt>
                <c:pt idx="19" c:formatCode="yyyy/m/d;@">
                  <c:v>45899</c:v>
                </c:pt>
                <c:pt idx="20" c:formatCode="yyyy/m/d;@">
                  <c:v>45930</c:v>
                </c:pt>
                <c:pt idx="21" c:formatCode="yyyy/m/d;@">
                  <c:v>45961</c:v>
                </c:pt>
                <c:pt idx="22" c:formatCode="yyyy/m/d;@">
                  <c:v>45991</c:v>
                </c:pt>
                <c:pt idx="23" c:formatCode="yyyy/m/d;@">
                  <c:v>46022</c:v>
                </c:pt>
                <c:pt idx="24" c:formatCode="yyyy/m/d;@">
                  <c:v>46053</c:v>
                </c:pt>
                <c:pt idx="25" c:formatCode="yyyy/m/d;@">
                  <c:v>46081</c:v>
                </c:pt>
                <c:pt idx="26" c:formatCode="yyyy/m/d;@">
                  <c:v>46112</c:v>
                </c:pt>
                <c:pt idx="27" c:formatCode="yyyy/m/d;@">
                  <c:v>46142</c:v>
                </c:pt>
                <c:pt idx="28" c:formatCode="yyyy/m/d;@">
                  <c:v>46173</c:v>
                </c:pt>
              </c:numCache>
            </c:numRef>
          </c:cat>
          <c:val>
            <c:numRef>
              <c:f>淨值表!$C$2:$C$30</c:f>
              <c:numCache>
                <c:formatCode>#,##0_ ;[Red]\-#,##0\ </c:formatCode>
                <c:ptCount val="29"/>
                <c:pt idx="0" c:formatCode="#,##0_ ;[Red]\-#,##0\ ">
                  <c:v>6600000</c:v>
                </c:pt>
                <c:pt idx="1" c:formatCode="#,##0_ ;[Red]\-#,##0\ ">
                  <c:v>7524343</c:v>
                </c:pt>
                <c:pt idx="2" c:formatCode="#,##0_ ;[Red]\-#,##0\ ">
                  <c:v>7975408</c:v>
                </c:pt>
                <c:pt idx="3" c:formatCode="#,##0_ ;[Red]\-#,##0\ ">
                  <c:v>7665229</c:v>
                </c:pt>
                <c:pt idx="4" c:formatCode="#,##0_ ;[Red]\-#,##0\ ">
                  <c:v>7569493</c:v>
                </c:pt>
                <c:pt idx="5" c:formatCode="#,##0_ ;[Red]\-#,##0\ ">
                  <c:v>8215139</c:v>
                </c:pt>
                <c:pt idx="6" c:formatCode="#,##0_ ;[Red]\-#,##0\ ">
                  <c:v>7827661</c:v>
                </c:pt>
                <c:pt idx="7" c:formatCode="#,##0_ ;[Red]\-#,##0\ ">
                  <c:v>7637937</c:v>
                </c:pt>
                <c:pt idx="8" c:formatCode="#,##0_ ;[Red]\-#,##0\ ">
                  <c:v>7839993</c:v>
                </c:pt>
                <c:pt idx="9" c:formatCode="#,##0_ ;[Red]\-#,##0\ ">
                  <c:v>8017685</c:v>
                </c:pt>
                <c:pt idx="10" c:formatCode="#,##0_ ;[Red]\-#,##0\ ">
                  <c:v>8101815</c:v>
                </c:pt>
                <c:pt idx="11" c:formatCode="#,##0_ ;[Red]\-#,##0\ ">
                  <c:v>8506389</c:v>
                </c:pt>
                <c:pt idx="12" c:formatCode="#,##0_ ;[Red]\-#,##0\ ">
                  <c:v>10316721</c:v>
                </c:pt>
                <c:pt idx="13" c:formatCode="#,##0_ ;[Red]\-#,##0\ ">
                  <c:v>8764502</c:v>
                </c:pt>
                <c:pt idx="14" c:formatCode="#,##0_ ;[Red]\-#,##0\ ">
                  <c:v>9239455</c:v>
                </c:pt>
                <c:pt idx="15" c:formatCode="#,##0_ ;[Red]\-#,##0\ ">
                  <c:v>8638664</c:v>
                </c:pt>
                <c:pt idx="16" c:formatCode="#,##0_ ;[Red]\-#,##0\ ">
                  <c:v>9157060</c:v>
                </c:pt>
                <c:pt idx="17" c:formatCode="#,##0_ ;[Red]\-#,##0\ ">
                  <c:v>9627683</c:v>
                </c:pt>
                <c:pt idx="18" c:formatCode="#,##0_ ;[Red]\-#,##0\ ">
                  <c:v>10728568</c:v>
                </c:pt>
                <c:pt idx="19" c:formatCode="#,##0_ ;[Red]\-#,##0\ ">
                  <c:v>10849001</c:v>
                </c:pt>
                <c:pt idx="20" c:formatCode="#,##0_ ;[Red]\-#,##0\ ">
                  <c:v>12393462</c:v>
                </c:pt>
                <c:pt idx="21" c:formatCode="#,##0_ ;[Red]\-#,##0\ ">
                  <c:v>14234577</c:v>
                </c:pt>
                <c:pt idx="22" c:formatCode="#,##0_ ;[Red]\-#,##0\ ">
                  <c:v>13639890</c:v>
                </c:pt>
                <c:pt idx="23" c:formatCode="#,##0_ ;[Red]\-#,##0\ ">
                  <c:v>14942275</c:v>
                </c:pt>
                <c:pt idx="24" c:formatCode="#,##0_ ;[Red]\-#,##0\ ">
                  <c:v>17573034</c:v>
                </c:pt>
                <c:pt idx="25" c:formatCode="#,##0_ ;[Red]\-#,##0\ ">
                  <c:v>21685552</c:v>
                </c:pt>
                <c:pt idx="26" c:formatCode="#,##0_ ;[Red]\-#,##0\ ">
                  <c:v>18447495</c:v>
                </c:pt>
                <c:pt idx="27" c:formatCode="#,##0_ ;[Red]\-#,##0\ ">
                  <c:v>25704540</c:v>
                </c:pt>
                <c:pt idx="28" c:formatCode="#,##0_ ;[Red]\-#,##0\ ">
                  <c:v>29860592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1100761"/>
        <c:axId val="533450541"/>
      </c:lineChart>
      <c:dateAx>
        <c:axId val="73110076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TW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450541"/>
        <c:crosses val="autoZero"/>
        <c:auto val="1"/>
        <c:lblOffset val="100"/>
        <c:baseTimeUnit val="days"/>
        <c:majorUnit val="6"/>
        <c:majorTimeUnit val="months"/>
      </c:dateAx>
      <c:valAx>
        <c:axId val="533450541"/>
        <c:scaling>
          <c:orientation val="minMax"/>
          <c:max val="31000000"/>
          <c:min val="6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TW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11007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TW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500380</xdr:colOff>
      <xdr:row>11</xdr:row>
      <xdr:rowOff>168275</xdr:rowOff>
    </xdr:from>
    <xdr:to>
      <xdr:col>15</xdr:col>
      <xdr:colOff>576580</xdr:colOff>
      <xdr:row>32</xdr:row>
      <xdr:rowOff>22860</xdr:rowOff>
    </xdr:to>
    <xdr:graphicFrame>
      <xdr:nvGraphicFramePr>
        <xdr:cNvPr id="2" name="圖表 1"/>
        <xdr:cNvGraphicFramePr/>
      </xdr:nvGraphicFramePr>
      <xdr:xfrm>
        <a:off x="4653280" y="2440940"/>
        <a:ext cx="6995160" cy="417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C213"/>
  <sheetViews>
    <sheetView workbookViewId="0">
      <selection activeCell="C29" sqref="C29"/>
    </sheetView>
  </sheetViews>
  <sheetFormatPr defaultColWidth="8.88888888888889" defaultRowHeight="16.2"/>
  <cols>
    <col min="1" max="1" width="11" customWidth="1"/>
    <col min="2" max="2" width="10.1111111111111"/>
    <col min="3" max="3" width="14.6666666666667" customWidth="1"/>
    <col min="4" max="4" width="12.2222222222222" style="1"/>
    <col min="5" max="5" width="11.3333333333333" style="1" customWidth="1"/>
    <col min="7" max="7" width="12.6666666666667" customWidth="1"/>
    <col min="8" max="8" width="11.5555555555556"/>
    <col min="9" max="9" width="13.1111111111111" customWidth="1"/>
    <col min="10" max="10" width="14.6666666666667" style="1" customWidth="1"/>
    <col min="11" max="12" width="11.5555555555556" style="1"/>
    <col min="13" max="15" width="10.6666666666667" style="1" customWidth="1"/>
    <col min="16" max="17" width="10.4444444444444" style="1" customWidth="1"/>
    <col min="18" max="18" width="11.5555555555556" style="1"/>
    <col min="19" max="19" width="10.4444444444444" style="1"/>
    <col min="20" max="20" width="11.5555555555556"/>
    <col min="21" max="21" width="15.6666666666667" customWidth="1"/>
    <col min="22" max="22" width="10.4444444444444"/>
  </cols>
  <sheetData>
    <row r="1" spans="1:3">
      <c r="A1" s="19">
        <f>D32+D50+D70+D87+D110+D120</f>
        <v>8235533</v>
      </c>
      <c r="C1" s="19"/>
    </row>
    <row r="2" spans="1:16">
      <c r="A2" s="19">
        <f>A1+M8</f>
        <v>21566919</v>
      </c>
      <c r="C2" s="19"/>
      <c r="O2" s="1">
        <f>O6*R6</f>
        <v>600000</v>
      </c>
      <c r="P2" s="1">
        <f>O2/12</f>
        <v>50000</v>
      </c>
    </row>
    <row r="3" ht="16.95" spans="3:16">
      <c r="C3" s="19"/>
      <c r="O3" s="1">
        <f>(O6+P6)*R6-P6*T6</f>
        <v>640000</v>
      </c>
      <c r="P3" s="1">
        <f>O3/12</f>
        <v>53333.3333333333</v>
      </c>
    </row>
    <row r="4" ht="16.95" spans="2:10">
      <c r="B4" s="20">
        <v>2026</v>
      </c>
      <c r="C4" s="21"/>
      <c r="D4" s="22">
        <f>SUM($D5:$D10)</f>
        <v>9188910</v>
      </c>
      <c r="E4" s="23"/>
      <c r="F4" s="21"/>
      <c r="G4" s="24" t="s">
        <v>0</v>
      </c>
      <c r="H4" s="21"/>
      <c r="I4" s="22">
        <f>SUM($I5:$I18)</f>
        <v>117104</v>
      </c>
      <c r="J4" s="38"/>
    </row>
    <row r="5" spans="2:22">
      <c r="B5" s="25"/>
      <c r="C5" t="s">
        <v>1</v>
      </c>
      <c r="D5" s="1">
        <v>1273965</v>
      </c>
      <c r="G5" s="26">
        <v>45665</v>
      </c>
      <c r="H5" t="s">
        <v>2</v>
      </c>
      <c r="I5" s="1">
        <v>48000</v>
      </c>
      <c r="J5" s="39"/>
      <c r="L5" s="1" t="s">
        <v>3</v>
      </c>
      <c r="M5" s="1">
        <v>9306014</v>
      </c>
      <c r="O5" s="1" t="s">
        <v>4</v>
      </c>
      <c r="P5" s="1" t="s">
        <v>5</v>
      </c>
      <c r="Q5" s="1" t="s">
        <v>6</v>
      </c>
      <c r="R5" s="1" t="s">
        <v>7</v>
      </c>
      <c r="S5" s="1" t="s">
        <v>8</v>
      </c>
      <c r="T5" s="1" t="s">
        <v>9</v>
      </c>
      <c r="U5" s="1" t="s">
        <v>10</v>
      </c>
      <c r="V5" s="1" t="s">
        <v>11</v>
      </c>
    </row>
    <row r="6" spans="2:22">
      <c r="B6" s="25"/>
      <c r="C6" t="s">
        <v>12</v>
      </c>
      <c r="D6" s="1">
        <v>-73320</v>
      </c>
      <c r="G6" s="4">
        <v>46055</v>
      </c>
      <c r="H6" t="s">
        <v>13</v>
      </c>
      <c r="I6" s="1">
        <v>6650</v>
      </c>
      <c r="J6" s="39"/>
      <c r="L6" s="1" t="s">
        <v>14</v>
      </c>
      <c r="M6" s="1">
        <v>9259482</v>
      </c>
      <c r="N6" s="1">
        <f>Q12</f>
        <v>0</v>
      </c>
      <c r="O6" s="1">
        <v>12000000</v>
      </c>
      <c r="P6" s="1">
        <v>2000000</v>
      </c>
      <c r="Q6" s="1">
        <f>(O6+P6)*1.6</f>
        <v>22400000</v>
      </c>
      <c r="R6" s="40">
        <v>0.05</v>
      </c>
      <c r="S6" s="1">
        <f>Q6*R6</f>
        <v>1120000</v>
      </c>
      <c r="T6" s="40">
        <v>0.03</v>
      </c>
      <c r="U6" s="1">
        <f>(Q6-O6)*T6</f>
        <v>312000</v>
      </c>
      <c r="V6" s="1">
        <f>S6-U6</f>
        <v>808000</v>
      </c>
    </row>
    <row r="7" ht="16.95" spans="2:23">
      <c r="B7" s="25"/>
      <c r="C7" t="s">
        <v>2</v>
      </c>
      <c r="D7" s="1">
        <v>7988265</v>
      </c>
      <c r="E7" s="15"/>
      <c r="G7" s="4">
        <v>46121</v>
      </c>
      <c r="H7" t="s">
        <v>2</v>
      </c>
      <c r="I7" s="1">
        <v>61710</v>
      </c>
      <c r="J7" s="39"/>
      <c r="L7" s="29" t="s">
        <v>15</v>
      </c>
      <c r="M7" s="9">
        <v>5234110</v>
      </c>
      <c r="R7" s="40"/>
      <c r="S7" s="1">
        <f t="shared" ref="S7:V7" si="0">S6/12</f>
        <v>93333.3333333333</v>
      </c>
      <c r="T7" s="40"/>
      <c r="U7" s="1">
        <f t="shared" si="0"/>
        <v>26000</v>
      </c>
      <c r="V7" s="1">
        <f t="shared" si="0"/>
        <v>67333.3333333333</v>
      </c>
      <c r="W7" t="s">
        <v>16</v>
      </c>
    </row>
    <row r="8" spans="2:22">
      <c r="B8" s="25"/>
      <c r="E8" s="15"/>
      <c r="G8" s="4">
        <v>46142</v>
      </c>
      <c r="H8" t="s">
        <v>17</v>
      </c>
      <c r="I8" s="1">
        <v>744</v>
      </c>
      <c r="J8" s="39"/>
      <c r="L8"/>
      <c r="M8" s="1">
        <f>M5+M6-M7+N6</f>
        <v>13331386</v>
      </c>
      <c r="Q8" s="1" t="s">
        <v>18</v>
      </c>
      <c r="T8" s="1"/>
      <c r="U8" s="1"/>
      <c r="V8" s="1"/>
    </row>
    <row r="9" spans="2:22">
      <c r="B9" s="25"/>
      <c r="E9" s="15"/>
      <c r="G9" s="4"/>
      <c r="I9" s="1"/>
      <c r="J9" s="39"/>
      <c r="Q9" s="1">
        <f>(O6+P6)*1.96</f>
        <v>27440000</v>
      </c>
      <c r="S9" s="1">
        <f>Q9*R6</f>
        <v>1372000</v>
      </c>
      <c r="T9" s="1"/>
      <c r="U9" s="1">
        <f>(Q9-O6)*T6</f>
        <v>463200</v>
      </c>
      <c r="V9" s="1">
        <f>S9-U9</f>
        <v>908800</v>
      </c>
    </row>
    <row r="10" spans="2:22">
      <c r="B10" s="25"/>
      <c r="E10" s="15"/>
      <c r="G10" s="4"/>
      <c r="I10" s="1"/>
      <c r="J10" s="39"/>
      <c r="L10" s="1" t="s">
        <v>19</v>
      </c>
      <c r="S10" s="1">
        <f t="shared" ref="S10:V10" si="1">S9/12</f>
        <v>114333.333333333</v>
      </c>
      <c r="T10" s="1"/>
      <c r="U10" s="1">
        <f t="shared" si="1"/>
        <v>38600</v>
      </c>
      <c r="V10" s="1">
        <f t="shared" si="1"/>
        <v>75733.3333333333</v>
      </c>
    </row>
    <row r="11" spans="2:22">
      <c r="B11" s="25"/>
      <c r="E11" s="15"/>
      <c r="G11" s="4"/>
      <c r="I11" s="1"/>
      <c r="J11" s="39"/>
      <c r="M11" s="1" t="s">
        <v>20</v>
      </c>
      <c r="N11" s="1" t="s">
        <v>21</v>
      </c>
      <c r="O11" s="1" t="s">
        <v>22</v>
      </c>
      <c r="P11" s="1" t="s">
        <v>23</v>
      </c>
      <c r="Q11" s="1" t="s">
        <v>24</v>
      </c>
      <c r="T11" s="1"/>
      <c r="U11" s="1"/>
      <c r="V11" s="1"/>
    </row>
    <row r="12" spans="2:22">
      <c r="B12" s="25"/>
      <c r="G12" s="4"/>
      <c r="I12" s="1"/>
      <c r="J12" s="39"/>
      <c r="L12" s="1" t="s">
        <v>25</v>
      </c>
      <c r="M12" s="1">
        <v>0</v>
      </c>
      <c r="N12" s="15">
        <v>179.5</v>
      </c>
      <c r="O12" s="15">
        <v>160</v>
      </c>
      <c r="P12" s="1">
        <v>0</v>
      </c>
      <c r="Q12" s="1">
        <f>(O12-N12)*M12*1000+P12</f>
        <v>0</v>
      </c>
      <c r="R12" s="1">
        <f>O12*M12*1000</f>
        <v>0</v>
      </c>
      <c r="S12" s="11"/>
      <c r="T12" s="1"/>
      <c r="U12" s="1"/>
      <c r="V12" s="1"/>
    </row>
    <row r="13" spans="2:22">
      <c r="B13" s="25"/>
      <c r="C13" t="s">
        <v>24</v>
      </c>
      <c r="D13" s="1">
        <f>M6</f>
        <v>9259482</v>
      </c>
      <c r="G13" s="4"/>
      <c r="I13" s="1"/>
      <c r="J13" s="39"/>
      <c r="N13" s="15"/>
      <c r="O13" s="40">
        <f>(O12-N12)/N12</f>
        <v>-0.108635097493036</v>
      </c>
      <c r="P13"/>
      <c r="Q13"/>
      <c r="R13" s="7"/>
      <c r="S13"/>
      <c r="T13" s="1"/>
      <c r="U13" s="1"/>
      <c r="V13" s="1"/>
    </row>
    <row r="14" spans="2:22">
      <c r="B14" s="25"/>
      <c r="C14" t="s">
        <v>26</v>
      </c>
      <c r="D14" s="1">
        <f>D4+I4</f>
        <v>9306014</v>
      </c>
      <c r="G14" s="4"/>
      <c r="I14" s="1"/>
      <c r="J14" s="39"/>
      <c r="Q14"/>
      <c r="S14"/>
      <c r="T14" s="1"/>
      <c r="U14" s="1"/>
      <c r="V14" s="1"/>
    </row>
    <row r="15" spans="2:22">
      <c r="B15" s="25"/>
      <c r="C15" t="s">
        <v>27</v>
      </c>
      <c r="D15" s="1">
        <f>D13+D14</f>
        <v>18565496</v>
      </c>
      <c r="G15" s="4"/>
      <c r="I15" s="1"/>
      <c r="J15" s="39"/>
      <c r="Q15"/>
      <c r="S15"/>
      <c r="T15" s="1"/>
      <c r="U15" s="1"/>
      <c r="V15" s="1"/>
    </row>
    <row r="16" spans="2:10">
      <c r="B16" s="25"/>
      <c r="C16" t="s">
        <v>28</v>
      </c>
      <c r="D16" s="27">
        <f>D15-D29</f>
        <v>13331386</v>
      </c>
      <c r="G16" s="4"/>
      <c r="I16" s="1"/>
      <c r="J16" s="39"/>
    </row>
    <row r="17" spans="2:10">
      <c r="B17" s="25"/>
      <c r="G17" s="4"/>
      <c r="I17" s="1"/>
      <c r="J17" s="39"/>
    </row>
    <row r="18" ht="16.95" spans="2:10">
      <c r="B18" s="28"/>
      <c r="C18" s="29"/>
      <c r="D18" s="9"/>
      <c r="E18" s="9"/>
      <c r="F18" s="29"/>
      <c r="G18" s="30"/>
      <c r="H18" s="29"/>
      <c r="I18" s="9"/>
      <c r="J18" s="41"/>
    </row>
    <row r="19" spans="3:3">
      <c r="C19" s="19"/>
    </row>
    <row r="20" ht="16.95" spans="3:3">
      <c r="C20" s="19"/>
    </row>
    <row r="21" ht="16.95" spans="2:15">
      <c r="B21" s="20">
        <v>2025</v>
      </c>
      <c r="C21" s="21"/>
      <c r="D21" s="23"/>
      <c r="E21" s="23"/>
      <c r="F21" s="21"/>
      <c r="G21" s="24" t="s">
        <v>0</v>
      </c>
      <c r="H21" s="21"/>
      <c r="I21" s="22">
        <f>SUM($I22:$I36)</f>
        <v>490723</v>
      </c>
      <c r="J21" s="38"/>
      <c r="N21" s="4"/>
      <c r="O21"/>
    </row>
    <row r="22" spans="2:15">
      <c r="B22" s="25"/>
      <c r="C22" t="s">
        <v>29</v>
      </c>
      <c r="D22" s="1">
        <v>-139300</v>
      </c>
      <c r="G22" s="26">
        <v>45666</v>
      </c>
      <c r="H22" t="s">
        <v>2</v>
      </c>
      <c r="I22" s="1">
        <v>12000</v>
      </c>
      <c r="J22" s="39"/>
      <c r="N22" s="4"/>
      <c r="O22"/>
    </row>
    <row r="23" spans="2:15">
      <c r="B23" s="25"/>
      <c r="C23" t="s">
        <v>30</v>
      </c>
      <c r="D23" s="1">
        <v>-210100</v>
      </c>
      <c r="G23" s="4">
        <v>45706</v>
      </c>
      <c r="H23" t="s">
        <v>31</v>
      </c>
      <c r="I23" s="1">
        <v>201960</v>
      </c>
      <c r="J23" s="39"/>
      <c r="N23" s="4"/>
      <c r="O23"/>
    </row>
    <row r="24" spans="2:15">
      <c r="B24" s="25"/>
      <c r="C24" t="s">
        <v>32</v>
      </c>
      <c r="D24" s="1">
        <v>-91300</v>
      </c>
      <c r="G24" s="4">
        <v>45723</v>
      </c>
      <c r="H24" t="s">
        <v>33</v>
      </c>
      <c r="I24" s="1">
        <v>17325</v>
      </c>
      <c r="J24" s="39"/>
      <c r="N24" s="4"/>
      <c r="O24"/>
    </row>
    <row r="25" spans="2:15">
      <c r="B25" s="25"/>
      <c r="C25" t="s">
        <v>34</v>
      </c>
      <c r="D25" s="1">
        <v>-610300</v>
      </c>
      <c r="G25" s="4">
        <v>45733</v>
      </c>
      <c r="H25" t="s">
        <v>35</v>
      </c>
      <c r="I25" s="1">
        <v>360</v>
      </c>
      <c r="J25" s="39"/>
      <c r="O25" s="15"/>
    </row>
    <row r="26" spans="2:29">
      <c r="B26" s="25"/>
      <c r="C26" t="s">
        <v>36</v>
      </c>
      <c r="D26" s="1">
        <v>180900</v>
      </c>
      <c r="G26" s="4">
        <v>45737</v>
      </c>
      <c r="H26" t="s">
        <v>33</v>
      </c>
      <c r="I26" s="1">
        <v>2078</v>
      </c>
      <c r="J26" s="39"/>
      <c r="O26" s="15"/>
      <c r="Z26" s="1"/>
      <c r="AA26" s="1"/>
      <c r="AB26" s="1"/>
      <c r="AC26" s="1"/>
    </row>
    <row r="27" spans="2:29">
      <c r="B27" s="25"/>
      <c r="C27" t="s">
        <v>37</v>
      </c>
      <c r="D27" s="1">
        <v>-165600</v>
      </c>
      <c r="G27" s="4">
        <v>45757</v>
      </c>
      <c r="H27" t="s">
        <v>2</v>
      </c>
      <c r="I27" s="1">
        <v>20250</v>
      </c>
      <c r="J27" s="39"/>
      <c r="Z27" s="1"/>
      <c r="AA27" s="1"/>
      <c r="AB27" s="1"/>
      <c r="AC27" s="1"/>
    </row>
    <row r="28" spans="2:29">
      <c r="B28" s="25"/>
      <c r="D28" s="31"/>
      <c r="G28" s="4">
        <v>45763</v>
      </c>
      <c r="H28" t="s">
        <v>34</v>
      </c>
      <c r="I28" s="1">
        <v>175500</v>
      </c>
      <c r="J28" s="39"/>
      <c r="Z28" s="1"/>
      <c r="AA28" s="1"/>
      <c r="AB28" s="1"/>
      <c r="AC28" s="1"/>
    </row>
    <row r="29" spans="2:29">
      <c r="B29" s="25"/>
      <c r="C29" t="s">
        <v>24</v>
      </c>
      <c r="D29" s="1">
        <v>5234110</v>
      </c>
      <c r="G29" s="4">
        <v>45848</v>
      </c>
      <c r="H29" t="s">
        <v>2</v>
      </c>
      <c r="I29" s="1">
        <v>20250</v>
      </c>
      <c r="J29" s="39"/>
      <c r="Z29" s="1"/>
      <c r="AA29" s="1"/>
      <c r="AB29" s="1"/>
      <c r="AC29" s="1"/>
    </row>
    <row r="30" spans="2:29">
      <c r="B30" s="25"/>
      <c r="C30" t="s">
        <v>26</v>
      </c>
      <c r="D30" s="1">
        <f>SUM(D22:D27)+I21</f>
        <v>-544977</v>
      </c>
      <c r="G30" s="4">
        <v>45939</v>
      </c>
      <c r="H30" t="s">
        <v>2</v>
      </c>
      <c r="I30" s="1">
        <v>41000</v>
      </c>
      <c r="J30" s="39"/>
      <c r="Z30" s="1"/>
      <c r="AA30" s="1"/>
      <c r="AB30" s="1"/>
      <c r="AC30" s="1"/>
    </row>
    <row r="31" spans="2:29">
      <c r="B31" s="25"/>
      <c r="C31" t="s">
        <v>27</v>
      </c>
      <c r="D31" s="1">
        <f>D29+D30</f>
        <v>4689133</v>
      </c>
      <c r="G31" s="4"/>
      <c r="I31" s="1"/>
      <c r="J31" s="39"/>
      <c r="Z31" s="1"/>
      <c r="AA31" s="1"/>
      <c r="AB31" s="1"/>
      <c r="AC31" s="1"/>
    </row>
    <row r="32" spans="2:29">
      <c r="B32" s="25"/>
      <c r="C32" t="s">
        <v>28</v>
      </c>
      <c r="D32" s="27">
        <f>D31-D47</f>
        <v>4458133</v>
      </c>
      <c r="G32" s="4"/>
      <c r="I32" s="1"/>
      <c r="J32" s="39"/>
      <c r="W32" s="1"/>
      <c r="X32" s="1"/>
      <c r="Y32" s="1"/>
      <c r="Z32" s="1"/>
      <c r="AA32" s="1"/>
      <c r="AB32" s="1"/>
      <c r="AC32" s="1"/>
    </row>
    <row r="33" spans="2:29">
      <c r="B33" s="25"/>
      <c r="G33" s="4"/>
      <c r="I33" s="1"/>
      <c r="J33" s="39"/>
      <c r="W33" s="1"/>
      <c r="X33" s="1"/>
      <c r="Y33" s="1"/>
      <c r="Z33" s="1"/>
      <c r="AA33" s="1"/>
      <c r="AB33" s="1"/>
      <c r="AC33" s="1"/>
    </row>
    <row r="34" spans="2:29">
      <c r="B34" s="25"/>
      <c r="C34" t="s">
        <v>38</v>
      </c>
      <c r="G34" s="4"/>
      <c r="I34" s="1"/>
      <c r="J34" s="39"/>
      <c r="W34" s="1"/>
      <c r="X34" s="1"/>
      <c r="Y34" s="1"/>
      <c r="Z34" s="1"/>
      <c r="AA34" s="1"/>
      <c r="AB34" s="1"/>
      <c r="AC34" s="1"/>
    </row>
    <row r="35" spans="2:29">
      <c r="B35" s="25"/>
      <c r="C35" t="s">
        <v>39</v>
      </c>
      <c r="G35" s="4"/>
      <c r="I35" s="1"/>
      <c r="J35" s="39"/>
      <c r="W35" s="1"/>
      <c r="X35" s="1"/>
      <c r="Y35" s="1"/>
      <c r="Z35" s="1"/>
      <c r="AA35" s="1"/>
      <c r="AB35" s="1"/>
      <c r="AC35" s="1"/>
    </row>
    <row r="36" ht="16.95" spans="2:29">
      <c r="B36" s="28"/>
      <c r="C36" s="29"/>
      <c r="D36" s="9"/>
      <c r="E36" s="9"/>
      <c r="F36" s="29"/>
      <c r="G36" s="30"/>
      <c r="H36" s="29"/>
      <c r="I36" s="9"/>
      <c r="J36" s="41"/>
      <c r="W36" s="1"/>
      <c r="X36" s="1"/>
      <c r="Y36" s="1"/>
      <c r="Z36" s="1"/>
      <c r="AA36" s="1"/>
      <c r="AB36" s="1"/>
      <c r="AC36" s="1"/>
    </row>
    <row r="37" spans="20:29"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6.95" spans="20:29"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6.95" spans="2:29">
      <c r="B39" s="20">
        <v>2024</v>
      </c>
      <c r="C39" s="21"/>
      <c r="D39" s="23"/>
      <c r="E39" s="23"/>
      <c r="F39" s="21"/>
      <c r="G39" s="24" t="s">
        <v>0</v>
      </c>
      <c r="H39" s="21"/>
      <c r="I39" s="22">
        <f>SUM(I$40:I$56)</f>
        <v>307025</v>
      </c>
      <c r="J39" s="38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>
      <c r="B40" s="25"/>
      <c r="C40" t="s">
        <v>40</v>
      </c>
      <c r="D40" s="1">
        <v>-19000</v>
      </c>
      <c r="G40" s="4">
        <v>45303</v>
      </c>
      <c r="H40" t="s">
        <v>41</v>
      </c>
      <c r="I40" s="1">
        <v>6210</v>
      </c>
      <c r="J40" s="39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>
      <c r="B41" s="25"/>
      <c r="C41" t="s">
        <v>42</v>
      </c>
      <c r="D41" s="1">
        <v>657000</v>
      </c>
      <c r="G41" s="4">
        <v>45343</v>
      </c>
      <c r="H41" t="s">
        <v>41</v>
      </c>
      <c r="I41" s="1">
        <v>12080</v>
      </c>
      <c r="J41" s="39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>
      <c r="B42" s="25"/>
      <c r="C42" t="s">
        <v>41</v>
      </c>
      <c r="D42" s="1">
        <v>-10000</v>
      </c>
      <c r="G42" s="4">
        <v>45376</v>
      </c>
      <c r="H42" t="s">
        <v>41</v>
      </c>
      <c r="I42" s="1">
        <v>3900</v>
      </c>
      <c r="J42" s="39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>
      <c r="B43" s="25"/>
      <c r="C43" t="s">
        <v>43</v>
      </c>
      <c r="D43" s="1">
        <v>663000</v>
      </c>
      <c r="G43" s="4">
        <v>45393</v>
      </c>
      <c r="H43" t="s">
        <v>2</v>
      </c>
      <c r="I43" s="1">
        <v>7000</v>
      </c>
      <c r="J43" s="39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>
      <c r="B44" s="25"/>
      <c r="C44" t="s">
        <v>30</v>
      </c>
      <c r="D44" s="1">
        <v>38600</v>
      </c>
      <c r="G44" s="4">
        <v>45400</v>
      </c>
      <c r="H44" t="s">
        <v>34</v>
      </c>
      <c r="I44" s="1">
        <v>155000</v>
      </c>
      <c r="J44" s="39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10">
      <c r="B45" s="25"/>
      <c r="C45" t="s">
        <v>29</v>
      </c>
      <c r="D45" s="1">
        <v>-74000</v>
      </c>
      <c r="E45" s="15"/>
      <c r="G45" s="4">
        <v>45470</v>
      </c>
      <c r="H45" t="s">
        <v>44</v>
      </c>
      <c r="I45" s="1">
        <v>3879</v>
      </c>
      <c r="J45" s="39"/>
    </row>
    <row r="46" spans="2:10">
      <c r="B46" s="25"/>
      <c r="G46" s="4">
        <v>45484</v>
      </c>
      <c r="H46" t="s">
        <v>2</v>
      </c>
      <c r="I46" s="1">
        <v>7000</v>
      </c>
      <c r="J46" s="39"/>
    </row>
    <row r="47" spans="2:10">
      <c r="B47" s="25"/>
      <c r="C47" t="s">
        <v>24</v>
      </c>
      <c r="D47" s="1">
        <v>231000</v>
      </c>
      <c r="G47" s="4">
        <v>45489</v>
      </c>
      <c r="H47" t="s">
        <v>33</v>
      </c>
      <c r="I47" s="1">
        <v>13902</v>
      </c>
      <c r="J47" s="39"/>
    </row>
    <row r="48" spans="2:10">
      <c r="B48" s="25"/>
      <c r="C48" t="s">
        <v>26</v>
      </c>
      <c r="D48" s="1">
        <f>SUM(D40:D45)+I39</f>
        <v>1562625</v>
      </c>
      <c r="G48" s="4">
        <v>45506</v>
      </c>
      <c r="H48" t="s">
        <v>29</v>
      </c>
      <c r="I48" s="1">
        <v>81600</v>
      </c>
      <c r="J48" s="39"/>
    </row>
    <row r="49" spans="2:10">
      <c r="B49" s="25"/>
      <c r="C49" t="s">
        <v>27</v>
      </c>
      <c r="D49" s="1">
        <f>D47+D48</f>
        <v>1793625</v>
      </c>
      <c r="G49" s="4">
        <v>45513</v>
      </c>
      <c r="H49" t="s">
        <v>42</v>
      </c>
      <c r="I49" s="1">
        <v>783</v>
      </c>
      <c r="J49" s="39"/>
    </row>
    <row r="50" spans="2:10">
      <c r="B50" s="25"/>
      <c r="C50" t="s">
        <v>28</v>
      </c>
      <c r="D50" s="27">
        <f>D49-D67</f>
        <v>1455625</v>
      </c>
      <c r="G50" s="4">
        <v>45523</v>
      </c>
      <c r="H50" t="s">
        <v>44</v>
      </c>
      <c r="I50" s="1">
        <v>1161</v>
      </c>
      <c r="J50" s="39"/>
    </row>
    <row r="51" spans="2:10">
      <c r="B51" s="25"/>
      <c r="G51" s="4">
        <v>45525</v>
      </c>
      <c r="H51" t="s">
        <v>35</v>
      </c>
      <c r="I51" s="1">
        <v>1237</v>
      </c>
      <c r="J51" s="39"/>
    </row>
    <row r="52" spans="2:10">
      <c r="B52" s="25"/>
      <c r="C52" t="s">
        <v>38</v>
      </c>
      <c r="G52" s="4">
        <v>45574</v>
      </c>
      <c r="H52" t="s">
        <v>2</v>
      </c>
      <c r="I52" s="1">
        <v>12000</v>
      </c>
      <c r="J52" s="39"/>
    </row>
    <row r="53" spans="2:10">
      <c r="B53" s="32"/>
      <c r="C53" t="s">
        <v>39</v>
      </c>
      <c r="G53" s="4">
        <v>45643</v>
      </c>
      <c r="H53" t="s">
        <v>44</v>
      </c>
      <c r="I53" s="1">
        <v>1273</v>
      </c>
      <c r="J53" s="39"/>
    </row>
    <row r="54" spans="2:10">
      <c r="B54" s="32"/>
      <c r="J54" s="39"/>
    </row>
    <row r="55" spans="2:10">
      <c r="B55" s="32"/>
      <c r="G55" s="33"/>
      <c r="I55" s="1"/>
      <c r="J55" s="39"/>
    </row>
    <row r="56" ht="16.95" spans="2:10">
      <c r="B56" s="28"/>
      <c r="C56" s="29"/>
      <c r="D56" s="9"/>
      <c r="E56" s="9"/>
      <c r="F56" s="29"/>
      <c r="G56" s="30"/>
      <c r="H56" s="29"/>
      <c r="I56" s="9"/>
      <c r="J56" s="41"/>
    </row>
    <row r="57" spans="2:2">
      <c r="B57" s="4"/>
    </row>
    <row r="58" ht="16.95" spans="2:2">
      <c r="B58" s="4"/>
    </row>
    <row r="59" ht="16.95" spans="2:10">
      <c r="B59" s="20">
        <v>2023</v>
      </c>
      <c r="C59" s="21"/>
      <c r="D59" s="23"/>
      <c r="E59" s="23"/>
      <c r="F59" s="21"/>
      <c r="G59" s="24" t="s">
        <v>45</v>
      </c>
      <c r="H59" s="21"/>
      <c r="I59" s="22">
        <f>SUM(I60:I66)</f>
        <v>103800</v>
      </c>
      <c r="J59" s="38"/>
    </row>
    <row r="60" spans="2:10">
      <c r="B60" s="25"/>
      <c r="C60" s="34" t="s">
        <v>46</v>
      </c>
      <c r="D60" s="35">
        <v>346100</v>
      </c>
      <c r="E60" s="36"/>
      <c r="F60" s="34"/>
      <c r="G60" s="37">
        <v>45135</v>
      </c>
      <c r="H60" s="34" t="s">
        <v>47</v>
      </c>
      <c r="I60" s="36">
        <v>4750</v>
      </c>
      <c r="J60" s="39"/>
    </row>
    <row r="61" spans="2:10">
      <c r="B61" s="25"/>
      <c r="C61" s="34" t="s">
        <v>48</v>
      </c>
      <c r="D61" s="35">
        <v>32738</v>
      </c>
      <c r="E61" s="36"/>
      <c r="F61" s="34"/>
      <c r="G61" s="37">
        <v>45149</v>
      </c>
      <c r="H61" s="34" t="s">
        <v>40</v>
      </c>
      <c r="I61" s="36">
        <v>2300</v>
      </c>
      <c r="J61" s="39"/>
    </row>
    <row r="62" spans="2:10">
      <c r="B62" s="25"/>
      <c r="C62" s="34" t="s">
        <v>42</v>
      </c>
      <c r="D62" s="35">
        <v>-14900</v>
      </c>
      <c r="E62" s="36"/>
      <c r="F62" s="34"/>
      <c r="G62" s="37">
        <v>45149</v>
      </c>
      <c r="H62" s="34" t="s">
        <v>42</v>
      </c>
      <c r="I62" s="36">
        <v>54266</v>
      </c>
      <c r="J62" s="39"/>
    </row>
    <row r="63" spans="2:10">
      <c r="B63" s="25"/>
      <c r="C63" s="34" t="s">
        <v>49</v>
      </c>
      <c r="D63" s="35">
        <v>-171900</v>
      </c>
      <c r="E63" s="36"/>
      <c r="F63" s="34"/>
      <c r="G63" s="37">
        <v>45244</v>
      </c>
      <c r="H63" s="34" t="s">
        <v>40</v>
      </c>
      <c r="I63" s="36">
        <v>4790</v>
      </c>
      <c r="J63" s="39"/>
    </row>
    <row r="64" spans="2:10">
      <c r="B64" s="25"/>
      <c r="C64" s="34" t="s">
        <v>50</v>
      </c>
      <c r="D64" s="35">
        <v>-68600</v>
      </c>
      <c r="E64" s="36"/>
      <c r="F64" s="34"/>
      <c r="G64" s="37">
        <v>45244</v>
      </c>
      <c r="H64" s="34" t="s">
        <v>41</v>
      </c>
      <c r="I64" s="36">
        <v>635</v>
      </c>
      <c r="J64" s="39"/>
    </row>
    <row r="65" spans="2:10">
      <c r="B65" s="25"/>
      <c r="C65" s="34" t="s">
        <v>51</v>
      </c>
      <c r="D65" s="35">
        <v>18500</v>
      </c>
      <c r="E65" s="36"/>
      <c r="F65" s="34"/>
      <c r="G65" s="37">
        <v>45272</v>
      </c>
      <c r="H65" s="34" t="s">
        <v>42</v>
      </c>
      <c r="I65" s="36">
        <v>34599</v>
      </c>
      <c r="J65" s="39"/>
    </row>
    <row r="66" spans="2:10">
      <c r="B66" s="25"/>
      <c r="C66" s="34"/>
      <c r="D66" s="35"/>
      <c r="E66" s="36"/>
      <c r="F66" s="34"/>
      <c r="G66" s="37">
        <v>45272</v>
      </c>
      <c r="H66" s="34" t="s">
        <v>41</v>
      </c>
      <c r="I66" s="36">
        <v>2460</v>
      </c>
      <c r="J66" s="39"/>
    </row>
    <row r="67" spans="2:10">
      <c r="B67" s="25"/>
      <c r="C67" s="34" t="s">
        <v>24</v>
      </c>
      <c r="D67" s="35">
        <v>338000</v>
      </c>
      <c r="E67" s="36"/>
      <c r="F67" s="34"/>
      <c r="G67" s="34"/>
      <c r="H67" s="34"/>
      <c r="I67" s="34"/>
      <c r="J67" s="39"/>
    </row>
    <row r="68" spans="2:10">
      <c r="B68" s="25"/>
      <c r="C68" s="34" t="s">
        <v>26</v>
      </c>
      <c r="D68" s="35">
        <f>SUM(D60:D65)+I59</f>
        <v>245738</v>
      </c>
      <c r="E68" s="36"/>
      <c r="F68" s="34"/>
      <c r="G68" s="34"/>
      <c r="H68" s="34"/>
      <c r="I68" s="34"/>
      <c r="J68" s="39"/>
    </row>
    <row r="69" spans="2:10">
      <c r="B69" s="25"/>
      <c r="C69" s="34" t="s">
        <v>27</v>
      </c>
      <c r="D69" s="36">
        <f>D67+D68</f>
        <v>583738</v>
      </c>
      <c r="E69" s="36"/>
      <c r="F69" s="34"/>
      <c r="G69" s="34"/>
      <c r="H69" s="34"/>
      <c r="I69" s="34"/>
      <c r="J69" s="39"/>
    </row>
    <row r="70" ht="16.95" spans="2:10">
      <c r="B70" s="42"/>
      <c r="C70" s="29" t="s">
        <v>28</v>
      </c>
      <c r="D70" s="43">
        <f>D69-D84</f>
        <v>443038</v>
      </c>
      <c r="E70" s="9"/>
      <c r="F70" s="29"/>
      <c r="G70" s="29"/>
      <c r="H70" s="29"/>
      <c r="I70" s="29"/>
      <c r="J70" s="41"/>
    </row>
    <row r="71" spans="2:10">
      <c r="B71" s="34"/>
      <c r="C71" s="34"/>
      <c r="D71" s="36"/>
      <c r="E71" s="36"/>
      <c r="F71" s="34"/>
      <c r="G71" s="34"/>
      <c r="H71" s="34"/>
      <c r="I71" s="34"/>
      <c r="J71" s="36"/>
    </row>
    <row r="72" ht="16.95" spans="2:10">
      <c r="B72" s="34"/>
      <c r="C72" s="34"/>
      <c r="D72" s="44"/>
      <c r="E72" s="36"/>
      <c r="F72" s="34"/>
      <c r="G72" s="34"/>
      <c r="H72" s="34"/>
      <c r="I72" s="34"/>
      <c r="J72" s="36"/>
    </row>
    <row r="73" spans="2:10">
      <c r="B73" s="20">
        <v>2022</v>
      </c>
      <c r="C73" s="21"/>
      <c r="D73" s="38"/>
      <c r="E73" s="36"/>
      <c r="F73" s="34"/>
      <c r="G73" s="34"/>
      <c r="H73" s="34"/>
      <c r="I73" s="34"/>
      <c r="J73" s="36"/>
    </row>
    <row r="74" spans="2:10">
      <c r="B74" s="25"/>
      <c r="C74" s="34" t="s">
        <v>46</v>
      </c>
      <c r="D74" s="39">
        <v>890500</v>
      </c>
      <c r="F74" s="34"/>
      <c r="G74" s="34"/>
      <c r="H74" s="34"/>
      <c r="I74" s="34"/>
      <c r="J74" s="36"/>
    </row>
    <row r="75" spans="2:10">
      <c r="B75" s="25"/>
      <c r="C75" s="34" t="s">
        <v>52</v>
      </c>
      <c r="D75" s="39">
        <v>-9600</v>
      </c>
      <c r="F75" s="34"/>
      <c r="G75" s="34"/>
      <c r="H75" s="34"/>
      <c r="I75" s="34"/>
      <c r="J75" s="36"/>
    </row>
    <row r="76" spans="2:10">
      <c r="B76" s="25"/>
      <c r="C76" s="34" t="s">
        <v>42</v>
      </c>
      <c r="D76" s="39">
        <v>-38800</v>
      </c>
      <c r="F76" s="34"/>
      <c r="G76" s="34"/>
      <c r="H76" s="34"/>
      <c r="I76" s="34"/>
      <c r="J76" s="36"/>
    </row>
    <row r="77" spans="2:10">
      <c r="B77" s="25"/>
      <c r="C77" s="34" t="s">
        <v>53</v>
      </c>
      <c r="D77" s="39">
        <v>137800</v>
      </c>
      <c r="F77" s="34"/>
      <c r="G77" s="34"/>
      <c r="H77" s="34"/>
      <c r="I77" s="34"/>
      <c r="J77" s="36"/>
    </row>
    <row r="78" spans="2:10">
      <c r="B78" s="25"/>
      <c r="C78" s="34" t="s">
        <v>54</v>
      </c>
      <c r="D78" s="39">
        <v>-49300</v>
      </c>
      <c r="F78" s="34"/>
      <c r="G78" s="34"/>
      <c r="H78" s="34"/>
      <c r="I78" s="34"/>
      <c r="J78" s="36"/>
    </row>
    <row r="79" spans="2:10">
      <c r="B79" s="25"/>
      <c r="C79" s="34" t="s">
        <v>55</v>
      </c>
      <c r="D79" s="39">
        <v>15600</v>
      </c>
      <c r="F79" s="34"/>
      <c r="G79" s="34"/>
      <c r="H79" s="34"/>
      <c r="I79" s="34"/>
      <c r="J79" s="36"/>
    </row>
    <row r="80" spans="2:10">
      <c r="B80" s="25"/>
      <c r="C80" s="34" t="s">
        <v>56</v>
      </c>
      <c r="D80" s="39">
        <v>-19600</v>
      </c>
      <c r="F80" s="34"/>
      <c r="G80" s="34"/>
      <c r="H80" s="34"/>
      <c r="I80" s="34"/>
      <c r="J80" s="36"/>
    </row>
    <row r="81" spans="2:10">
      <c r="B81" s="25"/>
      <c r="C81" s="34" t="s">
        <v>57</v>
      </c>
      <c r="D81" s="39">
        <v>58600</v>
      </c>
      <c r="F81" s="34"/>
      <c r="G81" s="34"/>
      <c r="H81" s="34"/>
      <c r="I81" s="34"/>
      <c r="J81" s="36"/>
    </row>
    <row r="82" spans="2:10">
      <c r="B82" s="25"/>
      <c r="C82" t="s">
        <v>48</v>
      </c>
      <c r="D82" s="39">
        <v>75005</v>
      </c>
      <c r="F82" s="34"/>
      <c r="G82" s="34"/>
      <c r="H82" s="34"/>
      <c r="I82" s="34"/>
      <c r="J82" s="36"/>
    </row>
    <row r="83" spans="2:10">
      <c r="B83" s="25"/>
      <c r="C83" s="34"/>
      <c r="D83" s="39"/>
      <c r="F83" s="34"/>
      <c r="G83" s="34"/>
      <c r="H83" s="34"/>
      <c r="I83" s="34"/>
      <c r="J83" s="36"/>
    </row>
    <row r="84" spans="2:10">
      <c r="B84" s="25"/>
      <c r="C84" s="34" t="s">
        <v>24</v>
      </c>
      <c r="D84" s="39">
        <v>140700</v>
      </c>
      <c r="F84" s="34"/>
      <c r="G84" s="34"/>
      <c r="H84" s="34"/>
      <c r="I84" s="34"/>
      <c r="J84" s="36"/>
    </row>
    <row r="85" spans="2:10">
      <c r="B85" s="25"/>
      <c r="C85" s="34" t="s">
        <v>26</v>
      </c>
      <c r="D85" s="39">
        <f>SUM(D74:D82)</f>
        <v>1060205</v>
      </c>
      <c r="F85" s="34"/>
      <c r="G85" s="34"/>
      <c r="H85" s="34"/>
      <c r="I85" s="34"/>
      <c r="J85" s="36"/>
    </row>
    <row r="86" spans="2:10">
      <c r="B86" s="25"/>
      <c r="C86" s="34" t="s">
        <v>27</v>
      </c>
      <c r="D86" s="39">
        <f>D84+D85</f>
        <v>1200905</v>
      </c>
      <c r="F86" s="34"/>
      <c r="G86" s="34"/>
      <c r="H86" s="34"/>
      <c r="I86" s="34"/>
      <c r="J86" s="36"/>
    </row>
    <row r="87" ht="16.95" spans="2:4">
      <c r="B87" s="42"/>
      <c r="C87" s="29" t="s">
        <v>28</v>
      </c>
      <c r="D87" s="45">
        <f>D86-D107</f>
        <v>488305</v>
      </c>
    </row>
    <row r="88" spans="4:4">
      <c r="D88" s="31"/>
    </row>
    <row r="89" ht="16.95" spans="4:4">
      <c r="D89" s="31"/>
    </row>
    <row r="90" spans="2:4">
      <c r="B90" s="20">
        <v>2021</v>
      </c>
      <c r="C90" s="21"/>
      <c r="D90" s="46"/>
    </row>
    <row r="91" spans="2:4">
      <c r="B91" s="25"/>
      <c r="C91" t="s">
        <v>58</v>
      </c>
      <c r="D91" s="39">
        <v>11300</v>
      </c>
    </row>
    <row r="92" spans="2:4">
      <c r="B92" s="25"/>
      <c r="C92" t="s">
        <v>59</v>
      </c>
      <c r="D92" s="39">
        <v>33300</v>
      </c>
    </row>
    <row r="93" spans="2:4">
      <c r="B93" s="25"/>
      <c r="C93" t="s">
        <v>60</v>
      </c>
      <c r="D93" s="39">
        <v>108700</v>
      </c>
    </row>
    <row r="94" spans="2:4">
      <c r="B94" s="25"/>
      <c r="C94" t="s">
        <v>61</v>
      </c>
      <c r="D94" s="39">
        <v>-14800</v>
      </c>
    </row>
    <row r="95" spans="2:4">
      <c r="B95" s="25"/>
      <c r="C95" t="s">
        <v>62</v>
      </c>
      <c r="D95" s="39">
        <v>35300</v>
      </c>
    </row>
    <row r="96" spans="2:4">
      <c r="B96" s="25"/>
      <c r="C96" t="s">
        <v>63</v>
      </c>
      <c r="D96" s="39">
        <v>-8900</v>
      </c>
    </row>
    <row r="97" spans="2:4">
      <c r="B97" s="25"/>
      <c r="C97" t="s">
        <v>64</v>
      </c>
      <c r="D97" s="39">
        <v>-6000</v>
      </c>
    </row>
    <row r="98" spans="2:4">
      <c r="B98" s="25"/>
      <c r="C98" t="s">
        <v>53</v>
      </c>
      <c r="D98" s="39">
        <v>56100</v>
      </c>
    </row>
    <row r="99" spans="2:4">
      <c r="B99" s="25"/>
      <c r="C99" t="s">
        <v>65</v>
      </c>
      <c r="D99" s="39">
        <v>1900</v>
      </c>
    </row>
    <row r="100" spans="2:4">
      <c r="B100" s="25"/>
      <c r="C100" t="s">
        <v>66</v>
      </c>
      <c r="D100" s="39">
        <v>-12700</v>
      </c>
    </row>
    <row r="101" spans="2:4">
      <c r="B101" s="25"/>
      <c r="C101" t="s">
        <v>67</v>
      </c>
      <c r="D101" s="39">
        <v>77700</v>
      </c>
    </row>
    <row r="102" spans="2:4">
      <c r="B102" s="25"/>
      <c r="C102" t="s">
        <v>68</v>
      </c>
      <c r="D102" s="39">
        <v>-13200</v>
      </c>
    </row>
    <row r="103" spans="2:4">
      <c r="B103" s="25"/>
      <c r="C103" t="s">
        <v>69</v>
      </c>
      <c r="D103" s="39">
        <v>-10500</v>
      </c>
    </row>
    <row r="104" spans="2:4">
      <c r="B104" s="25"/>
      <c r="C104" t="s">
        <v>46</v>
      </c>
      <c r="D104" s="39">
        <v>244900</v>
      </c>
    </row>
    <row r="105" spans="2:4">
      <c r="B105" s="25"/>
      <c r="C105" t="s">
        <v>48</v>
      </c>
      <c r="D105" s="39">
        <v>67032</v>
      </c>
    </row>
    <row r="106" spans="2:4">
      <c r="B106" s="25"/>
      <c r="D106" s="39"/>
    </row>
    <row r="107" spans="2:4">
      <c r="B107" s="25"/>
      <c r="C107" t="s">
        <v>24</v>
      </c>
      <c r="D107" s="39">
        <v>712600</v>
      </c>
    </row>
    <row r="108" spans="2:4">
      <c r="B108" s="25"/>
      <c r="C108" t="s">
        <v>26</v>
      </c>
      <c r="D108" s="39">
        <f>SUM(D91:D105)</f>
        <v>570132</v>
      </c>
    </row>
    <row r="109" spans="2:4">
      <c r="B109" s="25"/>
      <c r="C109" t="s">
        <v>27</v>
      </c>
      <c r="D109" s="39">
        <f>D107+D108</f>
        <v>1282732</v>
      </c>
    </row>
    <row r="110" ht="16.95" spans="2:4">
      <c r="B110" s="42"/>
      <c r="C110" s="29" t="s">
        <v>28</v>
      </c>
      <c r="D110" s="45">
        <f>D109-D118</f>
        <v>1219032</v>
      </c>
    </row>
    <row r="112" ht="16.95"/>
    <row r="113" spans="2:4">
      <c r="B113" s="20">
        <v>2020</v>
      </c>
      <c r="C113" s="21"/>
      <c r="D113" s="38"/>
    </row>
    <row r="114" spans="2:4">
      <c r="B114" s="25"/>
      <c r="C114" t="s">
        <v>58</v>
      </c>
      <c r="D114" s="39">
        <v>49400</v>
      </c>
    </row>
    <row r="115" spans="2:4">
      <c r="B115" s="25"/>
      <c r="C115" t="s">
        <v>59</v>
      </c>
      <c r="D115" s="39">
        <v>64300</v>
      </c>
    </row>
    <row r="116" spans="2:4">
      <c r="B116" s="25"/>
      <c r="C116" t="s">
        <v>70</v>
      </c>
      <c r="D116" s="39">
        <v>-6000</v>
      </c>
    </row>
    <row r="117" spans="2:4">
      <c r="B117" s="25"/>
      <c r="D117" s="39"/>
    </row>
    <row r="118" spans="2:4">
      <c r="B118" s="25"/>
      <c r="C118" t="s">
        <v>24</v>
      </c>
      <c r="D118" s="39">
        <v>63700</v>
      </c>
    </row>
    <row r="119" spans="2:4">
      <c r="B119" s="25"/>
      <c r="C119" t="s">
        <v>26</v>
      </c>
      <c r="D119" s="39">
        <f>SUM(D114:D116)</f>
        <v>107700</v>
      </c>
    </row>
    <row r="120" ht="16.95" spans="2:4">
      <c r="B120" s="42"/>
      <c r="C120" s="29" t="s">
        <v>27</v>
      </c>
      <c r="D120" s="45">
        <f>D118+D119</f>
        <v>171400</v>
      </c>
    </row>
    <row r="121" spans="4:4">
      <c r="D121" s="31"/>
    </row>
    <row r="122" spans="4:4">
      <c r="D122" s="31"/>
    </row>
    <row r="123" spans="4:4">
      <c r="D123" s="31"/>
    </row>
    <row r="124" spans="4:4">
      <c r="D124" s="31"/>
    </row>
    <row r="125" spans="4:4">
      <c r="D125" s="31"/>
    </row>
    <row r="126" spans="4:4">
      <c r="D126" s="31"/>
    </row>
    <row r="127" spans="4:4">
      <c r="D127" s="31"/>
    </row>
    <row r="128" spans="4:4">
      <c r="D128" s="31"/>
    </row>
    <row r="129" spans="4:4">
      <c r="D129" s="31"/>
    </row>
    <row r="130" spans="4:4">
      <c r="D130" s="31"/>
    </row>
    <row r="131" spans="4:4">
      <c r="D131" s="31"/>
    </row>
    <row r="132" spans="4:4">
      <c r="D132" s="31"/>
    </row>
    <row r="133" spans="4:4">
      <c r="D133" s="31"/>
    </row>
    <row r="134" spans="4:4">
      <c r="D134" s="31"/>
    </row>
    <row r="135" spans="4:4">
      <c r="D135" s="31"/>
    </row>
    <row r="136" spans="4:4">
      <c r="D136" s="31"/>
    </row>
    <row r="137" spans="4:4">
      <c r="D137" s="31"/>
    </row>
    <row r="138" spans="4:4">
      <c r="D138" s="31"/>
    </row>
    <row r="139" spans="4:4">
      <c r="D139" s="31"/>
    </row>
    <row r="140" spans="4:4">
      <c r="D140" s="31"/>
    </row>
    <row r="141" spans="4:4">
      <c r="D141" s="31"/>
    </row>
    <row r="142" spans="4:4">
      <c r="D142" s="31"/>
    </row>
    <row r="143" spans="4:4">
      <c r="D143" s="31"/>
    </row>
    <row r="144" spans="4:4">
      <c r="D144" s="31"/>
    </row>
    <row r="145" spans="4:4">
      <c r="D145" s="31"/>
    </row>
    <row r="146" spans="4:4">
      <c r="D146" s="31"/>
    </row>
    <row r="147" spans="4:4">
      <c r="D147" s="31"/>
    </row>
    <row r="148" spans="4:4">
      <c r="D148" s="31"/>
    </row>
    <row r="149" spans="4:4">
      <c r="D149" s="31"/>
    </row>
    <row r="150" spans="4:4">
      <c r="D150" s="31"/>
    </row>
    <row r="151" spans="4:4">
      <c r="D151" s="31"/>
    </row>
    <row r="152" spans="4:4">
      <c r="D152" s="31"/>
    </row>
    <row r="153" spans="4:4">
      <c r="D153" s="31"/>
    </row>
    <row r="154" spans="4:4">
      <c r="D154" s="31"/>
    </row>
    <row r="155" spans="4:4">
      <c r="D155" s="31"/>
    </row>
    <row r="156" spans="4:4">
      <c r="D156" s="31"/>
    </row>
    <row r="157" spans="4:4">
      <c r="D157" s="31"/>
    </row>
    <row r="158" spans="4:4">
      <c r="D158" s="31"/>
    </row>
    <row r="159" spans="4:4">
      <c r="D159" s="31"/>
    </row>
    <row r="160" spans="4:4">
      <c r="D160" s="31"/>
    </row>
    <row r="161" spans="4:4">
      <c r="D161" s="31"/>
    </row>
    <row r="162" spans="4:4">
      <c r="D162" s="31"/>
    </row>
    <row r="163" spans="4:4">
      <c r="D163" s="31"/>
    </row>
    <row r="164" spans="4:4">
      <c r="D164" s="31"/>
    </row>
    <row r="165" spans="4:4">
      <c r="D165" s="31"/>
    </row>
    <row r="166" spans="4:4">
      <c r="D166" s="31"/>
    </row>
    <row r="167" spans="4:4">
      <c r="D167" s="31"/>
    </row>
    <row r="168" spans="4:4">
      <c r="D168" s="31"/>
    </row>
    <row r="169" spans="4:4">
      <c r="D169" s="31"/>
    </row>
    <row r="170" spans="4:4">
      <c r="D170" s="31"/>
    </row>
    <row r="171" spans="4:4">
      <c r="D171" s="31"/>
    </row>
    <row r="172" spans="4:4">
      <c r="D172" s="31"/>
    </row>
    <row r="173" spans="4:4">
      <c r="D173" s="31"/>
    </row>
    <row r="174" spans="4:4">
      <c r="D174" s="31"/>
    </row>
    <row r="175" spans="4:4">
      <c r="D175" s="31"/>
    </row>
    <row r="176" spans="4:4">
      <c r="D176" s="31"/>
    </row>
    <row r="177" spans="4:4">
      <c r="D177" s="31"/>
    </row>
    <row r="178" spans="4:4">
      <c r="D178" s="31"/>
    </row>
    <row r="179" spans="4:4">
      <c r="D179" s="31"/>
    </row>
    <row r="180" spans="4:4">
      <c r="D180" s="31"/>
    </row>
    <row r="181" spans="4:4">
      <c r="D181" s="31"/>
    </row>
    <row r="182" spans="4:4">
      <c r="D182" s="31"/>
    </row>
    <row r="183" spans="4:4">
      <c r="D183" s="31"/>
    </row>
    <row r="184" spans="4:4">
      <c r="D184" s="31"/>
    </row>
    <row r="185" spans="4:4">
      <c r="D185" s="31"/>
    </row>
    <row r="186" spans="4:4">
      <c r="D186" s="31"/>
    </row>
    <row r="187" spans="4:4">
      <c r="D187" s="31"/>
    </row>
    <row r="188" spans="4:4">
      <c r="D188" s="31"/>
    </row>
    <row r="189" spans="4:4">
      <c r="D189" s="31"/>
    </row>
    <row r="190" spans="4:4">
      <c r="D190" s="31"/>
    </row>
    <row r="191" spans="4:4">
      <c r="D191" s="31"/>
    </row>
    <row r="192" spans="4:4">
      <c r="D192" s="31"/>
    </row>
    <row r="193" spans="4:4">
      <c r="D193" s="31"/>
    </row>
    <row r="194" spans="4:4">
      <c r="D194" s="31"/>
    </row>
    <row r="195" spans="4:4">
      <c r="D195" s="31"/>
    </row>
    <row r="196" spans="4:4">
      <c r="D196" s="31"/>
    </row>
    <row r="197" spans="4:4">
      <c r="D197" s="31"/>
    </row>
    <row r="198" spans="4:4">
      <c r="D198" s="31"/>
    </row>
    <row r="199" spans="4:4">
      <c r="D199" s="31"/>
    </row>
    <row r="200" spans="4:4">
      <c r="D200" s="31"/>
    </row>
    <row r="201" spans="4:4">
      <c r="D201" s="31"/>
    </row>
    <row r="202" spans="4:4">
      <c r="D202" s="31"/>
    </row>
    <row r="203" spans="4:4">
      <c r="D203" s="31"/>
    </row>
    <row r="204" spans="4:4">
      <c r="D204" s="31"/>
    </row>
    <row r="205" spans="4:4">
      <c r="D205" s="31"/>
    </row>
    <row r="206" spans="4:4">
      <c r="D206" s="31"/>
    </row>
    <row r="207" spans="4:4">
      <c r="D207" s="31"/>
    </row>
    <row r="208" spans="4:4">
      <c r="D208" s="31"/>
    </row>
    <row r="209" spans="4:4">
      <c r="D209" s="31"/>
    </row>
    <row r="210" spans="4:4">
      <c r="D210" s="31"/>
    </row>
    <row r="211" spans="4:4">
      <c r="D211" s="47"/>
    </row>
    <row r="212" spans="4:4">
      <c r="D212" s="47"/>
    </row>
    <row r="213" spans="4:4">
      <c r="D213" s="47"/>
    </row>
  </sheetData>
  <sortState ref="G5:I11">
    <sortCondition ref="H5:H11"/>
  </sortState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O131"/>
  <sheetViews>
    <sheetView workbookViewId="0">
      <selection activeCell="I4" sqref="I4"/>
    </sheetView>
  </sheetViews>
  <sheetFormatPr defaultColWidth="8.88888888888889" defaultRowHeight="16.2"/>
  <cols>
    <col min="2" max="2" width="9.11111111111111" customWidth="1"/>
    <col min="3" max="3" width="10.4444444444444"/>
    <col min="4" max="4" width="12.7777777777778" customWidth="1"/>
    <col min="5" max="5" width="13.2222222222222"/>
    <col min="6" max="6" width="13.4444444444444" customWidth="1"/>
    <col min="7" max="8" width="13.1111111111111" customWidth="1"/>
    <col min="9" max="9" width="11.5555555555556"/>
    <col min="10" max="10" width="10.4444444444444"/>
    <col min="11" max="11" width="23.1111111111111" customWidth="1"/>
    <col min="12" max="12" width="10.4444444444444"/>
  </cols>
  <sheetData>
    <row r="1" spans="4:15">
      <c r="D1" t="s">
        <v>71</v>
      </c>
      <c r="E1" s="13">
        <v>0.03</v>
      </c>
      <c r="H1" s="1" t="s">
        <v>72</v>
      </c>
      <c r="I1" s="1">
        <v>10000000</v>
      </c>
      <c r="J1" s="1"/>
      <c r="K1" s="1" t="s">
        <v>73</v>
      </c>
      <c r="L1" s="1"/>
      <c r="M1" s="1"/>
      <c r="N1" s="1"/>
      <c r="O1" s="1"/>
    </row>
    <row r="2" spans="4:15">
      <c r="D2" t="s">
        <v>74</v>
      </c>
      <c r="E2" s="14">
        <v>0</v>
      </c>
      <c r="H2" s="1" t="s">
        <v>75</v>
      </c>
      <c r="I2" s="16">
        <v>0.03</v>
      </c>
      <c r="J2" s="1"/>
      <c r="K2" s="1" t="s">
        <v>76</v>
      </c>
      <c r="L2" s="1">
        <f>F9</f>
        <v>1366560</v>
      </c>
      <c r="M2" s="1"/>
      <c r="N2" s="1"/>
      <c r="O2" s="1"/>
    </row>
    <row r="3" spans="4:15">
      <c r="D3" t="s">
        <v>77</v>
      </c>
      <c r="E3">
        <v>0</v>
      </c>
      <c r="H3" s="1" t="s">
        <v>78</v>
      </c>
      <c r="I3" s="1">
        <f>I1*I2</f>
        <v>300000</v>
      </c>
      <c r="J3" s="1"/>
      <c r="K3" s="17" t="s">
        <v>79</v>
      </c>
      <c r="L3" s="1">
        <v>207000</v>
      </c>
      <c r="M3" s="1"/>
      <c r="N3" s="1"/>
      <c r="O3" s="1"/>
    </row>
    <row r="4" spans="4:15">
      <c r="D4" t="s">
        <v>80</v>
      </c>
      <c r="E4" s="1">
        <f>K18</f>
        <v>73112</v>
      </c>
      <c r="H4" s="1" t="s">
        <v>81</v>
      </c>
      <c r="I4" s="1">
        <f>I3/12</f>
        <v>25000</v>
      </c>
      <c r="J4" s="1"/>
      <c r="K4" s="17" t="s">
        <v>82</v>
      </c>
      <c r="L4" s="1">
        <f>L2-L3</f>
        <v>1159560</v>
      </c>
      <c r="M4" s="1"/>
      <c r="N4" s="1"/>
      <c r="O4" s="1"/>
    </row>
    <row r="5" spans="7:15">
      <c r="G5" s="1"/>
      <c r="H5" s="1"/>
      <c r="I5" s="1"/>
      <c r="J5" s="1"/>
      <c r="K5" s="17" t="s">
        <v>83</v>
      </c>
      <c r="L5" s="1">
        <f>I3</f>
        <v>300000</v>
      </c>
      <c r="M5" s="1"/>
      <c r="N5" s="1"/>
      <c r="O5" s="1"/>
    </row>
    <row r="6" spans="2:15">
      <c r="B6" s="1">
        <f>C6*(1+E1)^E2</f>
        <v>95040</v>
      </c>
      <c r="C6" s="1">
        <v>95040</v>
      </c>
      <c r="D6" s="1">
        <v>14</v>
      </c>
      <c r="E6" s="1">
        <f>C6*D6</f>
        <v>1330560</v>
      </c>
      <c r="F6" s="1">
        <f>E6*(1+E1)^E2</f>
        <v>1330560</v>
      </c>
      <c r="G6" s="1"/>
      <c r="H6" s="1"/>
      <c r="I6" s="1"/>
      <c r="J6" s="1"/>
      <c r="K6" s="17" t="s">
        <v>84</v>
      </c>
      <c r="L6" s="1">
        <v>270000</v>
      </c>
      <c r="M6" s="1"/>
      <c r="N6" s="1"/>
      <c r="O6" s="1"/>
    </row>
    <row r="7" spans="3:15">
      <c r="C7" s="1">
        <v>3000</v>
      </c>
      <c r="D7" s="1">
        <v>12</v>
      </c>
      <c r="E7" s="1">
        <f>C7*D7</f>
        <v>36000</v>
      </c>
      <c r="F7" s="1">
        <f>E7</f>
        <v>36000</v>
      </c>
      <c r="G7" s="1"/>
      <c r="H7" s="1"/>
      <c r="I7" s="1"/>
      <c r="J7" s="1"/>
      <c r="K7" s="17" t="s">
        <v>85</v>
      </c>
      <c r="L7" s="1">
        <v>0</v>
      </c>
      <c r="M7" s="1"/>
      <c r="N7" s="1"/>
      <c r="O7" s="1"/>
    </row>
    <row r="8" spans="3:15">
      <c r="C8" s="1"/>
      <c r="D8" s="1" t="s">
        <v>77</v>
      </c>
      <c r="E8" s="1">
        <f>$E$3</f>
        <v>0</v>
      </c>
      <c r="F8" s="1">
        <f>$E$3</f>
        <v>0</v>
      </c>
      <c r="G8" s="1"/>
      <c r="H8" s="1"/>
      <c r="I8" s="1"/>
      <c r="J8" s="1"/>
      <c r="K8" s="18" t="s">
        <v>86</v>
      </c>
      <c r="L8" s="1">
        <v>124000</v>
      </c>
      <c r="M8" s="1"/>
      <c r="N8" s="1"/>
      <c r="O8" s="1"/>
    </row>
    <row r="9" spans="2:15">
      <c r="B9" s="1">
        <f>E9/12</f>
        <v>113880</v>
      </c>
      <c r="C9" s="1"/>
      <c r="D9" s="1" t="s">
        <v>87</v>
      </c>
      <c r="E9" s="1">
        <f>SUM(E6:E8)</f>
        <v>1366560</v>
      </c>
      <c r="F9" s="1">
        <f>SUM(F6:F8)</f>
        <v>1366560</v>
      </c>
      <c r="G9" s="1"/>
      <c r="H9" s="1">
        <f>F9/12</f>
        <v>113880</v>
      </c>
      <c r="I9" s="1"/>
      <c r="J9" s="1"/>
      <c r="K9" s="1" t="s">
        <v>88</v>
      </c>
      <c r="L9" s="1">
        <f>(L4+MAX(0,L5-L6))-L8</f>
        <v>1065560</v>
      </c>
      <c r="M9" s="1"/>
      <c r="N9" s="1"/>
      <c r="O9" s="1"/>
    </row>
    <row r="10" spans="2:15">
      <c r="B10" s="1">
        <f>E10/12</f>
        <v>138880</v>
      </c>
      <c r="C10" s="1"/>
      <c r="D10" s="1" t="s">
        <v>89</v>
      </c>
      <c r="E10" s="1">
        <f>E9+$I$3</f>
        <v>1666560</v>
      </c>
      <c r="F10" s="1">
        <f>F9+$I$3</f>
        <v>1666560</v>
      </c>
      <c r="G10" s="1"/>
      <c r="H10" s="1">
        <f>F10/12</f>
        <v>138880</v>
      </c>
      <c r="I10" s="1"/>
      <c r="J10" s="1"/>
      <c r="K10" s="1"/>
      <c r="L10" s="1"/>
      <c r="M10" s="1" t="s">
        <v>90</v>
      </c>
      <c r="N10" s="1"/>
      <c r="O10" s="1"/>
    </row>
    <row r="11" spans="3:15">
      <c r="C11" s="1"/>
      <c r="D11" s="1" t="s">
        <v>91</v>
      </c>
      <c r="E11" s="1">
        <f>E10-$E$4</f>
        <v>1593448</v>
      </c>
      <c r="F11" s="1">
        <f>F10-$E$4</f>
        <v>1593448</v>
      </c>
      <c r="G11" s="1"/>
      <c r="H11" s="1"/>
      <c r="I11" s="1"/>
      <c r="J11" s="1"/>
      <c r="K11" s="1" t="s">
        <v>92</v>
      </c>
      <c r="L11" s="1" t="s">
        <v>93</v>
      </c>
      <c r="N11" s="1"/>
      <c r="O11" s="1"/>
    </row>
    <row r="12" spans="3:15">
      <c r="C12" s="1"/>
      <c r="D12" s="1" t="s">
        <v>81</v>
      </c>
      <c r="E12" s="1">
        <f>E11/12</f>
        <v>132787.333333333</v>
      </c>
      <c r="F12" s="1">
        <f>F11/12</f>
        <v>132787.333333333</v>
      </c>
      <c r="G12" s="1"/>
      <c r="H12" s="1"/>
      <c r="I12" s="1"/>
      <c r="J12" s="1"/>
      <c r="K12" s="1" t="s">
        <v>94</v>
      </c>
      <c r="L12" s="12">
        <v>0.05</v>
      </c>
      <c r="M12" s="1">
        <v>0</v>
      </c>
      <c r="N12" s="1"/>
      <c r="O12" s="1"/>
    </row>
    <row r="13" spans="2:15">
      <c r="B13">
        <v>80000</v>
      </c>
      <c r="C13" s="1"/>
      <c r="D13" s="1"/>
      <c r="E13" s="1"/>
      <c r="F13" s="1"/>
      <c r="G13" s="1"/>
      <c r="H13" s="1"/>
      <c r="I13" s="1"/>
      <c r="J13" s="1"/>
      <c r="K13" s="1" t="s">
        <v>95</v>
      </c>
      <c r="L13" s="12">
        <v>0.12</v>
      </c>
      <c r="M13" s="1">
        <v>39200</v>
      </c>
      <c r="N13" s="1"/>
      <c r="O13" s="1"/>
    </row>
    <row r="14" spans="2:15">
      <c r="B14" s="13">
        <f>B13/E12</f>
        <v>0.602467102785908</v>
      </c>
      <c r="C14" s="1"/>
      <c r="D14" s="1"/>
      <c r="E14" s="1"/>
      <c r="F14" s="1"/>
      <c r="G14" s="1"/>
      <c r="H14" s="1"/>
      <c r="I14" s="1"/>
      <c r="J14" s="1"/>
      <c r="K14" s="1" t="s">
        <v>96</v>
      </c>
      <c r="L14" s="12">
        <v>0.2</v>
      </c>
      <c r="M14" s="1">
        <v>140000</v>
      </c>
      <c r="N14" s="1"/>
      <c r="O14" s="1"/>
    </row>
    <row r="15" spans="3:15">
      <c r="C15" s="1"/>
      <c r="D15" s="1"/>
      <c r="E15" s="12"/>
      <c r="F15" s="1"/>
      <c r="G15" s="1"/>
      <c r="H15" s="1"/>
      <c r="I15" s="1"/>
      <c r="J15" s="1"/>
      <c r="K15" s="1" t="s">
        <v>97</v>
      </c>
      <c r="L15" s="12">
        <v>0.3</v>
      </c>
      <c r="M15" s="1">
        <v>392000</v>
      </c>
      <c r="N15" s="1"/>
      <c r="O15" s="1"/>
    </row>
    <row r="16" spans="3:15">
      <c r="C16" s="1"/>
      <c r="D16" s="1"/>
      <c r="E16" s="1"/>
      <c r="F16" s="1"/>
      <c r="G16" s="1"/>
      <c r="H16" s="1"/>
      <c r="I16" s="1"/>
      <c r="J16" s="1"/>
      <c r="K16" s="1" t="s">
        <v>98</v>
      </c>
      <c r="L16" s="12">
        <v>0.4</v>
      </c>
      <c r="M16" s="1">
        <v>864000</v>
      </c>
      <c r="N16" s="1"/>
      <c r="O16" s="1"/>
    </row>
    <row r="17" spans="5:15"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5:15">
      <c r="E18" s="1"/>
      <c r="F18" s="1"/>
      <c r="G18" s="1"/>
      <c r="H18" s="1"/>
      <c r="I18" s="1"/>
      <c r="J18" s="1"/>
      <c r="K18" s="1">
        <f>L9*L14-M14</f>
        <v>73112</v>
      </c>
      <c r="L18" s="1"/>
      <c r="M18" s="1"/>
      <c r="N18" s="1"/>
      <c r="O18" s="1"/>
    </row>
    <row r="19" spans="5:15">
      <c r="E19" s="1"/>
      <c r="F19" s="1"/>
      <c r="G19" s="1"/>
      <c r="H19" s="1"/>
      <c r="I19" s="1"/>
      <c r="J19" s="1"/>
      <c r="L19" s="1"/>
      <c r="M19" s="1"/>
      <c r="N19" s="1"/>
      <c r="O19" s="1"/>
    </row>
    <row r="20" spans="5:15">
      <c r="E20" s="1"/>
      <c r="F20" s="1"/>
      <c r="G20" s="1"/>
      <c r="H20" s="1"/>
      <c r="I20" t="s">
        <v>99</v>
      </c>
      <c r="J20" s="1">
        <v>3500000</v>
      </c>
      <c r="L20" s="1"/>
      <c r="M20" s="1"/>
      <c r="N20" s="1"/>
      <c r="O20" s="1"/>
    </row>
    <row r="21" spans="5:15">
      <c r="E21" s="1"/>
      <c r="F21" s="1"/>
      <c r="G21" s="1"/>
      <c r="H21" s="1"/>
      <c r="I21" s="1" t="s">
        <v>100</v>
      </c>
      <c r="J21" s="1">
        <f>IF(J20&lt;560000,J20-J20*L12,IF(J20&lt;1260000,J20-(J20*L13-M13),IF(J20&lt;2520000,J20-(J20*L14-M14),IF(J20&lt;4720000,J20-(J20*L15-M15),J20-(J20*L16-M16)))))</f>
        <v>2842000</v>
      </c>
      <c r="K21" s="1"/>
      <c r="L21" s="1"/>
      <c r="M21" s="1"/>
      <c r="N21" s="1"/>
      <c r="O21" s="1"/>
    </row>
    <row r="22" spans="5:15"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3:1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3:1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3:15">
      <c r="C25" s="1"/>
      <c r="D25" s="1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3:1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3:1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3:1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3:1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3:1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3:1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3:1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3:1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3:1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3:1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3:1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3:1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3:1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3:1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3:1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3:1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3:1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3:1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3:1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3:1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3:1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3:1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3:1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3:1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3:1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3:1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3:1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3:1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3:1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7:15">
      <c r="G56" s="1"/>
      <c r="H56" s="1"/>
      <c r="I56" s="1"/>
      <c r="J56" s="1"/>
      <c r="K56" s="1"/>
      <c r="L56" s="1"/>
      <c r="M56" s="1"/>
      <c r="N56" s="1"/>
      <c r="O56" s="1"/>
    </row>
    <row r="57" spans="7:15">
      <c r="G57" s="1"/>
      <c r="H57" s="1"/>
      <c r="I57" s="1"/>
      <c r="J57" s="1"/>
      <c r="K57" s="1"/>
      <c r="L57" s="1"/>
      <c r="M57" s="1"/>
      <c r="N57" s="1"/>
      <c r="O57" s="1"/>
    </row>
    <row r="58" spans="7:15">
      <c r="G58" s="1"/>
      <c r="H58" s="1"/>
      <c r="I58" s="1"/>
      <c r="J58" s="1"/>
      <c r="K58" s="1"/>
      <c r="L58" s="1"/>
      <c r="M58" s="1"/>
      <c r="N58" s="1"/>
      <c r="O58" s="1"/>
    </row>
    <row r="59" spans="7:15">
      <c r="G59" s="1"/>
      <c r="H59" s="1"/>
      <c r="I59" s="1"/>
      <c r="J59" s="1"/>
      <c r="K59" s="1"/>
      <c r="L59" s="1"/>
      <c r="M59" s="1"/>
      <c r="N59" s="1"/>
      <c r="O59" s="1"/>
    </row>
    <row r="60" spans="7:15">
      <c r="G60" s="1"/>
      <c r="H60" s="1"/>
      <c r="I60" s="1"/>
      <c r="J60" s="1"/>
      <c r="K60" s="1"/>
      <c r="L60" s="1"/>
      <c r="M60" s="1"/>
      <c r="N60" s="1"/>
      <c r="O60" s="1"/>
    </row>
    <row r="61" spans="7:15">
      <c r="G61" s="1"/>
      <c r="H61" s="1"/>
      <c r="I61" s="1"/>
      <c r="J61" s="1"/>
      <c r="K61" s="1"/>
      <c r="L61" s="1"/>
      <c r="M61" s="1"/>
      <c r="N61" s="1"/>
      <c r="O61" s="1"/>
    </row>
    <row r="62" spans="7:15">
      <c r="G62" s="1"/>
      <c r="H62" s="1"/>
      <c r="I62" s="1"/>
      <c r="J62" s="1"/>
      <c r="K62" s="1"/>
      <c r="L62" s="1"/>
      <c r="M62" s="1"/>
      <c r="N62" s="1"/>
      <c r="O62" s="1"/>
    </row>
    <row r="63" spans="7:15">
      <c r="G63" s="1"/>
      <c r="H63" s="1"/>
      <c r="I63" s="1"/>
      <c r="J63" s="1"/>
      <c r="K63" s="1"/>
      <c r="L63" s="1"/>
      <c r="M63" s="1"/>
      <c r="N63" s="1"/>
      <c r="O63" s="1"/>
    </row>
    <row r="64" spans="7:15">
      <c r="G64" s="1"/>
      <c r="H64" s="1"/>
      <c r="I64" s="1"/>
      <c r="J64" s="1"/>
      <c r="K64" s="1"/>
      <c r="L64" s="1"/>
      <c r="M64" s="1"/>
      <c r="N64" s="1"/>
      <c r="O64" s="1"/>
    </row>
    <row r="65" spans="7:15">
      <c r="G65" s="1"/>
      <c r="H65" s="1"/>
      <c r="I65" s="1"/>
      <c r="J65" s="1"/>
      <c r="K65" s="1"/>
      <c r="L65" s="1"/>
      <c r="M65" s="1"/>
      <c r="N65" s="1"/>
      <c r="O65" s="1"/>
    </row>
    <row r="66" spans="7:15">
      <c r="G66" s="1"/>
      <c r="H66" s="1"/>
      <c r="I66" s="1"/>
      <c r="J66" s="1"/>
      <c r="K66" s="1"/>
      <c r="L66" s="1"/>
      <c r="M66" s="1"/>
      <c r="N66" s="1"/>
      <c r="O66" s="1"/>
    </row>
    <row r="67" spans="7:15">
      <c r="G67" s="1"/>
      <c r="H67" s="1"/>
      <c r="I67" s="1"/>
      <c r="J67" s="1"/>
      <c r="K67" s="1"/>
      <c r="L67" s="1"/>
      <c r="M67" s="1"/>
      <c r="N67" s="1"/>
      <c r="O67" s="1"/>
    </row>
    <row r="68" spans="7:15">
      <c r="G68" s="1"/>
      <c r="H68" s="1"/>
      <c r="I68" s="1"/>
      <c r="J68" s="1"/>
      <c r="K68" s="1"/>
      <c r="L68" s="1"/>
      <c r="M68" s="1"/>
      <c r="N68" s="1"/>
      <c r="O68" s="1"/>
    </row>
    <row r="69" spans="7:15">
      <c r="G69" s="1"/>
      <c r="H69" s="1"/>
      <c r="I69" s="1"/>
      <c r="J69" s="1"/>
      <c r="K69" s="1"/>
      <c r="L69" s="1"/>
      <c r="M69" s="1"/>
      <c r="N69" s="1"/>
      <c r="O69" s="1"/>
    </row>
    <row r="70" spans="7:15">
      <c r="G70" s="1"/>
      <c r="H70" s="1"/>
      <c r="I70" s="1"/>
      <c r="J70" s="1"/>
      <c r="K70" s="1"/>
      <c r="L70" s="1"/>
      <c r="M70" s="1"/>
      <c r="N70" s="1"/>
      <c r="O70" s="1"/>
    </row>
    <row r="71" spans="7:15">
      <c r="G71" s="1"/>
      <c r="H71" s="1"/>
      <c r="I71" s="1"/>
      <c r="J71" s="1"/>
      <c r="K71" s="1"/>
      <c r="L71" s="1"/>
      <c r="M71" s="1"/>
      <c r="N71" s="1"/>
      <c r="O71" s="1"/>
    </row>
    <row r="72" spans="7:15">
      <c r="G72" s="1"/>
      <c r="H72" s="1"/>
      <c r="I72" s="1"/>
      <c r="J72" s="1"/>
      <c r="K72" s="1"/>
      <c r="L72" s="1"/>
      <c r="M72" s="1"/>
      <c r="N72" s="1"/>
      <c r="O72" s="1"/>
    </row>
    <row r="73" spans="7:15">
      <c r="G73" s="1"/>
      <c r="H73" s="1"/>
      <c r="I73" s="1"/>
      <c r="J73" s="1"/>
      <c r="K73" s="1"/>
      <c r="L73" s="1"/>
      <c r="M73" s="1"/>
      <c r="N73" s="1"/>
      <c r="O73" s="1"/>
    </row>
    <row r="74" spans="7:15">
      <c r="G74" s="1"/>
      <c r="H74" s="1"/>
      <c r="I74" s="1"/>
      <c r="J74" s="1"/>
      <c r="K74" s="1"/>
      <c r="L74" s="1"/>
      <c r="M74" s="1"/>
      <c r="N74" s="1"/>
      <c r="O74" s="1"/>
    </row>
    <row r="75" spans="7:15">
      <c r="G75" s="1"/>
      <c r="H75" s="1"/>
      <c r="I75" s="1"/>
      <c r="J75" s="1"/>
      <c r="K75" s="1"/>
      <c r="L75" s="1"/>
      <c r="M75" s="1"/>
      <c r="N75" s="1"/>
      <c r="O75" s="1"/>
    </row>
    <row r="76" spans="7:15">
      <c r="G76" s="1"/>
      <c r="H76" s="1"/>
      <c r="I76" s="1"/>
      <c r="J76" s="1"/>
      <c r="K76" s="1"/>
      <c r="L76" s="1"/>
      <c r="M76" s="1"/>
      <c r="N76" s="1"/>
      <c r="O76" s="1"/>
    </row>
    <row r="77" spans="7:15">
      <c r="G77" s="1"/>
      <c r="H77" s="1"/>
      <c r="I77" s="1"/>
      <c r="J77" s="1"/>
      <c r="K77" s="1"/>
      <c r="L77" s="1"/>
      <c r="M77" s="1"/>
      <c r="N77" s="1"/>
      <c r="O77" s="1"/>
    </row>
    <row r="78" spans="7:15">
      <c r="G78" s="1"/>
      <c r="H78" s="1"/>
      <c r="I78" s="1"/>
      <c r="J78" s="1"/>
      <c r="K78" s="1"/>
      <c r="L78" s="1"/>
      <c r="M78" s="1"/>
      <c r="N78" s="1"/>
      <c r="O78" s="1"/>
    </row>
    <row r="79" spans="7:15">
      <c r="G79" s="1"/>
      <c r="H79" s="1"/>
      <c r="I79" s="1"/>
      <c r="J79" s="1"/>
      <c r="K79" s="1"/>
      <c r="L79" s="1"/>
      <c r="M79" s="1"/>
      <c r="N79" s="1"/>
      <c r="O79" s="1"/>
    </row>
    <row r="80" spans="7:15">
      <c r="G80" s="1"/>
      <c r="H80" s="1"/>
      <c r="I80" s="1"/>
      <c r="J80" s="1"/>
      <c r="K80" s="1"/>
      <c r="L80" s="1"/>
      <c r="M80" s="1"/>
      <c r="N80" s="1"/>
      <c r="O80" s="1"/>
    </row>
    <row r="81" spans="7:15">
      <c r="G81" s="1"/>
      <c r="H81" s="1"/>
      <c r="I81" s="1"/>
      <c r="J81" s="1"/>
      <c r="K81" s="1"/>
      <c r="L81" s="1"/>
      <c r="M81" s="1"/>
      <c r="N81" s="1"/>
      <c r="O81" s="1"/>
    </row>
    <row r="82" spans="7:15">
      <c r="G82" s="1"/>
      <c r="H82" s="1"/>
      <c r="I82" s="1"/>
      <c r="J82" s="1"/>
      <c r="K82" s="1"/>
      <c r="L82" s="1"/>
      <c r="M82" s="1"/>
      <c r="N82" s="1"/>
      <c r="O82" s="1"/>
    </row>
    <row r="83" spans="7:15">
      <c r="G83" s="1"/>
      <c r="H83" s="1"/>
      <c r="I83" s="1"/>
      <c r="J83" s="1"/>
      <c r="K83" s="1"/>
      <c r="L83" s="1"/>
      <c r="M83" s="1"/>
      <c r="N83" s="1"/>
      <c r="O83" s="1"/>
    </row>
    <row r="84" spans="7:15">
      <c r="G84" s="1"/>
      <c r="H84" s="1"/>
      <c r="I84" s="1"/>
      <c r="J84" s="1"/>
      <c r="K84" s="1"/>
      <c r="L84" s="1"/>
      <c r="M84" s="1"/>
      <c r="N84" s="1"/>
      <c r="O84" s="1"/>
    </row>
    <row r="85" spans="7:15">
      <c r="G85" s="1"/>
      <c r="H85" s="1"/>
      <c r="I85" s="1"/>
      <c r="J85" s="1"/>
      <c r="K85" s="1"/>
      <c r="L85" s="1"/>
      <c r="M85" s="1"/>
      <c r="N85" s="1"/>
      <c r="O85" s="1"/>
    </row>
    <row r="86" spans="7:15">
      <c r="G86" s="1"/>
      <c r="H86" s="1"/>
      <c r="I86" s="1"/>
      <c r="J86" s="1"/>
      <c r="K86" s="1"/>
      <c r="L86" s="1"/>
      <c r="M86" s="1"/>
      <c r="N86" s="1"/>
      <c r="O86" s="1"/>
    </row>
    <row r="87" spans="7:15">
      <c r="G87" s="1"/>
      <c r="H87" s="1"/>
      <c r="I87" s="1"/>
      <c r="J87" s="1"/>
      <c r="K87" s="1"/>
      <c r="L87" s="1"/>
      <c r="M87" s="1"/>
      <c r="N87" s="1"/>
      <c r="O87" s="1"/>
    </row>
    <row r="88" spans="7:15">
      <c r="G88" s="1"/>
      <c r="H88" s="1"/>
      <c r="I88" s="1"/>
      <c r="J88" s="1"/>
      <c r="K88" s="1"/>
      <c r="L88" s="1"/>
      <c r="M88" s="1"/>
      <c r="N88" s="1"/>
      <c r="O88" s="1"/>
    </row>
    <row r="89" spans="7:15">
      <c r="G89" s="1"/>
      <c r="H89" s="1"/>
      <c r="I89" s="1"/>
      <c r="J89" s="1"/>
      <c r="K89" s="1"/>
      <c r="L89" s="1"/>
      <c r="M89" s="1"/>
      <c r="N89" s="1"/>
      <c r="O89" s="1"/>
    </row>
    <row r="90" spans="7:15">
      <c r="G90" s="1"/>
      <c r="H90" s="1"/>
      <c r="I90" s="1"/>
      <c r="J90" s="1"/>
      <c r="K90" s="1"/>
      <c r="L90" s="1"/>
      <c r="M90" s="1"/>
      <c r="N90" s="1"/>
      <c r="O90" s="1"/>
    </row>
    <row r="91" spans="7:15">
      <c r="G91" s="1"/>
      <c r="H91" s="1"/>
      <c r="I91" s="1"/>
      <c r="J91" s="1"/>
      <c r="K91" s="1"/>
      <c r="L91" s="1"/>
      <c r="M91" s="1"/>
      <c r="N91" s="1"/>
      <c r="O91" s="1"/>
    </row>
    <row r="92" spans="7:15">
      <c r="G92" s="1"/>
      <c r="H92" s="1"/>
      <c r="I92" s="1"/>
      <c r="J92" s="1"/>
      <c r="K92" s="1"/>
      <c r="L92" s="1"/>
      <c r="M92" s="1"/>
      <c r="N92" s="1"/>
      <c r="O92" s="1"/>
    </row>
    <row r="93" spans="7:15">
      <c r="G93" s="1"/>
      <c r="H93" s="1"/>
      <c r="I93" s="1"/>
      <c r="J93" s="1"/>
      <c r="K93" s="1"/>
      <c r="L93" s="1"/>
      <c r="M93" s="1"/>
      <c r="N93" s="1"/>
      <c r="O93" s="1"/>
    </row>
    <row r="94" spans="7:15">
      <c r="G94" s="1"/>
      <c r="H94" s="1"/>
      <c r="I94" s="1"/>
      <c r="J94" s="1"/>
      <c r="K94" s="1"/>
      <c r="L94" s="1"/>
      <c r="M94" s="1"/>
      <c r="N94" s="1"/>
      <c r="O94" s="1"/>
    </row>
    <row r="95" spans="7:15">
      <c r="G95" s="1"/>
      <c r="H95" s="1"/>
      <c r="I95" s="1"/>
      <c r="J95" s="1"/>
      <c r="K95" s="1"/>
      <c r="L95" s="1"/>
      <c r="M95" s="1"/>
      <c r="N95" s="1"/>
      <c r="O95" s="1"/>
    </row>
    <row r="96" spans="7:15">
      <c r="G96" s="1"/>
      <c r="H96" s="1"/>
      <c r="I96" s="1"/>
      <c r="J96" s="1"/>
      <c r="K96" s="1"/>
      <c r="L96" s="1"/>
      <c r="M96" s="1"/>
      <c r="N96" s="1"/>
      <c r="O96" s="1"/>
    </row>
    <row r="97" spans="7:15">
      <c r="G97" s="1"/>
      <c r="H97" s="1"/>
      <c r="I97" s="1"/>
      <c r="J97" s="1"/>
      <c r="K97" s="1"/>
      <c r="L97" s="1"/>
      <c r="M97" s="1"/>
      <c r="N97" s="1"/>
      <c r="O97" s="1"/>
    </row>
    <row r="98" spans="7:15">
      <c r="G98" s="1"/>
      <c r="H98" s="1"/>
      <c r="I98" s="1"/>
      <c r="J98" s="1"/>
      <c r="K98" s="1"/>
      <c r="L98" s="1"/>
      <c r="M98" s="1"/>
      <c r="N98" s="1"/>
      <c r="O98" s="1"/>
    </row>
    <row r="99" spans="7:15">
      <c r="G99" s="1"/>
      <c r="H99" s="1"/>
      <c r="I99" s="1"/>
      <c r="J99" s="1"/>
      <c r="K99" s="1"/>
      <c r="L99" s="1"/>
      <c r="M99" s="1"/>
      <c r="N99" s="1"/>
      <c r="O99" s="1"/>
    </row>
    <row r="100" spans="7:15">
      <c r="G100" s="1"/>
      <c r="H100" s="1"/>
      <c r="I100" s="1"/>
      <c r="J100" s="1"/>
      <c r="K100" s="1"/>
      <c r="L100" s="1"/>
      <c r="M100" s="1"/>
      <c r="N100" s="1"/>
      <c r="O100" s="1"/>
    </row>
    <row r="101" spans="7:15">
      <c r="G101" s="1"/>
      <c r="H101" s="1"/>
      <c r="I101" s="1"/>
      <c r="J101" s="1"/>
      <c r="K101" s="1"/>
      <c r="L101" s="1"/>
      <c r="M101" s="1"/>
      <c r="N101" s="1"/>
      <c r="O101" s="1"/>
    </row>
    <row r="102" spans="7:15">
      <c r="G102" s="1"/>
      <c r="H102" s="1"/>
      <c r="I102" s="1"/>
      <c r="J102" s="1"/>
      <c r="K102" s="1"/>
      <c r="L102" s="1"/>
      <c r="M102" s="1"/>
      <c r="N102" s="1"/>
      <c r="O102" s="1"/>
    </row>
    <row r="103" spans="7:15">
      <c r="G103" s="1"/>
      <c r="H103" s="1"/>
      <c r="I103" s="1"/>
      <c r="J103" s="1"/>
      <c r="K103" s="1"/>
      <c r="L103" s="1"/>
      <c r="M103" s="1"/>
      <c r="N103" s="1"/>
      <c r="O103" s="1"/>
    </row>
    <row r="104" spans="7:15">
      <c r="G104" s="1"/>
      <c r="H104" s="1"/>
      <c r="I104" s="1"/>
      <c r="J104" s="1"/>
      <c r="K104" s="1"/>
      <c r="L104" s="1"/>
      <c r="M104" s="1"/>
      <c r="N104" s="1"/>
      <c r="O104" s="1"/>
    </row>
    <row r="105" spans="7:15">
      <c r="G105" s="1"/>
      <c r="H105" s="1"/>
      <c r="I105" s="1"/>
      <c r="J105" s="1"/>
      <c r="K105" s="1"/>
      <c r="L105" s="1"/>
      <c r="M105" s="1"/>
      <c r="N105" s="1"/>
      <c r="O105" s="1"/>
    </row>
    <row r="106" spans="7:15">
      <c r="G106" s="1"/>
      <c r="H106" s="1"/>
      <c r="I106" s="1"/>
      <c r="J106" s="1"/>
      <c r="K106" s="1"/>
      <c r="L106" s="1"/>
      <c r="M106" s="1"/>
      <c r="N106" s="1"/>
      <c r="O106" s="1"/>
    </row>
    <row r="107" spans="7:15">
      <c r="G107" s="1"/>
      <c r="H107" s="1"/>
      <c r="I107" s="1"/>
      <c r="J107" s="1"/>
      <c r="K107" s="1"/>
      <c r="L107" s="1"/>
      <c r="M107" s="1"/>
      <c r="N107" s="1"/>
      <c r="O107" s="1"/>
    </row>
    <row r="108" spans="7:15">
      <c r="G108" s="1"/>
      <c r="H108" s="1"/>
      <c r="I108" s="1"/>
      <c r="J108" s="1"/>
      <c r="K108" s="1"/>
      <c r="L108" s="1"/>
      <c r="M108" s="1"/>
      <c r="N108" s="1"/>
      <c r="O108" s="1"/>
    </row>
    <row r="109" spans="7:15">
      <c r="G109" s="1"/>
      <c r="H109" s="1"/>
      <c r="I109" s="1"/>
      <c r="J109" s="1"/>
      <c r="K109" s="1"/>
      <c r="L109" s="1"/>
      <c r="M109" s="1"/>
      <c r="N109" s="1"/>
      <c r="O109" s="1"/>
    </row>
    <row r="110" spans="7:15">
      <c r="G110" s="1"/>
      <c r="H110" s="1"/>
      <c r="I110" s="1"/>
      <c r="J110" s="1"/>
      <c r="K110" s="1"/>
      <c r="L110" s="1"/>
      <c r="M110" s="1"/>
      <c r="N110" s="1"/>
      <c r="O110" s="1"/>
    </row>
    <row r="111" spans="7:15">
      <c r="G111" s="1"/>
      <c r="H111" s="1"/>
      <c r="I111" s="1"/>
      <c r="J111" s="1"/>
      <c r="K111" s="1"/>
      <c r="L111" s="1"/>
      <c r="M111" s="1"/>
      <c r="N111" s="1"/>
      <c r="O111" s="1"/>
    </row>
    <row r="112" spans="7:15">
      <c r="G112" s="1"/>
      <c r="H112" s="1"/>
      <c r="I112" s="1"/>
      <c r="J112" s="1"/>
      <c r="K112" s="1"/>
      <c r="L112" s="1"/>
      <c r="M112" s="1"/>
      <c r="N112" s="1"/>
      <c r="O112" s="1"/>
    </row>
    <row r="113" spans="7:15">
      <c r="G113" s="1"/>
      <c r="H113" s="1"/>
      <c r="I113" s="1"/>
      <c r="J113" s="1"/>
      <c r="K113" s="1"/>
      <c r="L113" s="1"/>
      <c r="M113" s="1"/>
      <c r="N113" s="1"/>
      <c r="O113" s="1"/>
    </row>
    <row r="114" spans="7:15">
      <c r="G114" s="1"/>
      <c r="H114" s="1"/>
      <c r="I114" s="1"/>
      <c r="J114" s="1"/>
      <c r="K114" s="1"/>
      <c r="L114" s="1"/>
      <c r="M114" s="1"/>
      <c r="N114" s="1"/>
      <c r="O114" s="1"/>
    </row>
    <row r="115" spans="7:15">
      <c r="G115" s="1"/>
      <c r="H115" s="1"/>
      <c r="I115" s="1"/>
      <c r="J115" s="1"/>
      <c r="K115" s="1"/>
      <c r="L115" s="1"/>
      <c r="M115" s="1"/>
      <c r="N115" s="1"/>
      <c r="O115" s="1"/>
    </row>
    <row r="116" spans="7:15">
      <c r="G116" s="1"/>
      <c r="H116" s="1"/>
      <c r="I116" s="1"/>
      <c r="J116" s="1"/>
      <c r="K116" s="1"/>
      <c r="L116" s="1"/>
      <c r="M116" s="1"/>
      <c r="N116" s="1"/>
      <c r="O116" s="1"/>
    </row>
    <row r="117" spans="7:15">
      <c r="G117" s="1"/>
      <c r="H117" s="1"/>
      <c r="I117" s="1"/>
      <c r="J117" s="1"/>
      <c r="K117" s="1"/>
      <c r="L117" s="1"/>
      <c r="M117" s="1"/>
      <c r="N117" s="1"/>
      <c r="O117" s="1"/>
    </row>
    <row r="118" spans="7:15">
      <c r="G118" s="1"/>
      <c r="H118" s="1"/>
      <c r="I118" s="1"/>
      <c r="J118" s="1"/>
      <c r="K118" s="1"/>
      <c r="L118" s="1"/>
      <c r="M118" s="1"/>
      <c r="N118" s="1"/>
      <c r="O118" s="1"/>
    </row>
    <row r="119" spans="7:15">
      <c r="G119" s="1"/>
      <c r="H119" s="1"/>
      <c r="I119" s="1"/>
      <c r="J119" s="1"/>
      <c r="K119" s="1"/>
      <c r="L119" s="1"/>
      <c r="M119" s="1"/>
      <c r="N119" s="1"/>
      <c r="O119" s="1"/>
    </row>
    <row r="120" spans="7:15">
      <c r="G120" s="1"/>
      <c r="H120" s="1"/>
      <c r="I120" s="1"/>
      <c r="J120" s="1"/>
      <c r="K120" s="1"/>
      <c r="L120" s="1"/>
      <c r="M120" s="1"/>
      <c r="N120" s="1"/>
      <c r="O120" s="1"/>
    </row>
    <row r="121" spans="7:15">
      <c r="G121" s="1"/>
      <c r="H121" s="1"/>
      <c r="I121" s="1"/>
      <c r="J121" s="1"/>
      <c r="K121" s="1"/>
      <c r="L121" s="1"/>
      <c r="M121" s="1"/>
      <c r="N121" s="1"/>
      <c r="O121" s="1"/>
    </row>
    <row r="122" spans="7:15">
      <c r="G122" s="1"/>
      <c r="H122" s="1"/>
      <c r="I122" s="1"/>
      <c r="J122" s="1"/>
      <c r="K122" s="1"/>
      <c r="L122" s="1"/>
      <c r="M122" s="1"/>
      <c r="N122" s="1"/>
      <c r="O122" s="1"/>
    </row>
    <row r="123" spans="7:15">
      <c r="G123" s="1"/>
      <c r="H123" s="1"/>
      <c r="I123" s="1"/>
      <c r="J123" s="1"/>
      <c r="K123" s="1"/>
      <c r="L123" s="1"/>
      <c r="M123" s="1"/>
      <c r="N123" s="1"/>
      <c r="O123" s="1"/>
    </row>
    <row r="124" spans="7:15">
      <c r="G124" s="1"/>
      <c r="H124" s="1"/>
      <c r="I124" s="1"/>
      <c r="J124" s="1"/>
      <c r="K124" s="1"/>
      <c r="L124" s="1"/>
      <c r="M124" s="1"/>
      <c r="N124" s="1"/>
      <c r="O124" s="1"/>
    </row>
    <row r="125" spans="7:15">
      <c r="G125" s="1"/>
      <c r="H125" s="1"/>
      <c r="I125" s="1"/>
      <c r="J125" s="1"/>
      <c r="K125" s="1"/>
      <c r="L125" s="1"/>
      <c r="M125" s="1"/>
      <c r="N125" s="1"/>
      <c r="O125" s="1"/>
    </row>
    <row r="126" spans="7:15">
      <c r="G126" s="1"/>
      <c r="H126" s="1"/>
      <c r="I126" s="1"/>
      <c r="J126" s="1"/>
      <c r="K126" s="1"/>
      <c r="L126" s="1"/>
      <c r="M126" s="1"/>
      <c r="N126" s="1"/>
      <c r="O126" s="1"/>
    </row>
    <row r="127" spans="7:15">
      <c r="G127" s="1"/>
      <c r="H127" s="1"/>
      <c r="K127" s="1"/>
      <c r="L127" s="1"/>
      <c r="M127" s="1"/>
      <c r="N127" s="1"/>
      <c r="O127" s="1"/>
    </row>
    <row r="128" spans="7:15">
      <c r="G128" s="1"/>
      <c r="H128" s="1"/>
      <c r="K128" s="1"/>
      <c r="L128" s="1"/>
      <c r="M128" s="1"/>
      <c r="N128" s="1"/>
      <c r="O128" s="1"/>
    </row>
    <row r="129" spans="11:15">
      <c r="K129" s="1"/>
      <c r="L129" s="1"/>
      <c r="M129" s="1"/>
      <c r="N129" s="1"/>
      <c r="O129" s="1"/>
    </row>
    <row r="130" spans="11:15">
      <c r="K130" s="1"/>
      <c r="L130" s="1"/>
      <c r="M130" s="1"/>
      <c r="N130" s="1"/>
      <c r="O130" s="1"/>
    </row>
    <row r="131" spans="11:12">
      <c r="K131" s="1"/>
      <c r="L131" s="1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R187"/>
  <sheetViews>
    <sheetView tabSelected="1" topLeftCell="B3" workbookViewId="0">
      <selection activeCell="R13" sqref="R13"/>
    </sheetView>
  </sheetViews>
  <sheetFormatPr defaultColWidth="8.88888888888889" defaultRowHeight="16.2"/>
  <cols>
    <col min="2" max="2" width="9.66666666666667" style="3" customWidth="1"/>
    <col min="3" max="3" width="11.5555555555556" style="1"/>
    <col min="4" max="4" width="11.1111111111111" style="1"/>
    <col min="5" max="5" width="8.88888888888889" style="1"/>
    <col min="6" max="6" width="10.4444444444444" style="1"/>
    <col min="7" max="8" width="8.88888888888889" style="1"/>
    <col min="9" max="9" width="23.1111111111111" style="1" customWidth="1"/>
    <col min="10" max="11" width="11.5555555555556" style="1"/>
    <col min="12" max="12" width="8.88888888888889" style="1"/>
    <col min="13" max="13" width="9.66666666666667" style="4"/>
    <col min="14" max="14" width="9.44444444444444" style="1"/>
    <col min="15" max="15" width="8.88888888888889" style="1"/>
    <col min="17" max="17" width="15"/>
    <col min="18" max="18" width="12.8888888888889"/>
  </cols>
  <sheetData>
    <row r="2" spans="2:3">
      <c r="B2" s="3">
        <v>45331</v>
      </c>
      <c r="C2" s="5">
        <v>6600000</v>
      </c>
    </row>
    <row r="3" spans="2:18">
      <c r="B3" s="3">
        <v>45356</v>
      </c>
      <c r="C3" s="1">
        <v>7524343</v>
      </c>
      <c r="D3" s="1">
        <f>IF(C3="","",C3-C2)</f>
        <v>924343</v>
      </c>
      <c r="E3" s="6">
        <f>IF(C3="","",(C3-C2)/C2)</f>
        <v>0.14005196969697</v>
      </c>
      <c r="I3" s="1" t="s">
        <v>101</v>
      </c>
      <c r="J3" s="1">
        <v>33451393</v>
      </c>
      <c r="Q3" t="s">
        <v>102</v>
      </c>
      <c r="R3" s="10">
        <v>17571458</v>
      </c>
    </row>
    <row r="4" spans="2:18">
      <c r="B4" s="3">
        <v>45382</v>
      </c>
      <c r="C4" s="1">
        <v>7975408</v>
      </c>
      <c r="D4" s="1">
        <f>IF(C4="","",C4-C3)</f>
        <v>451065</v>
      </c>
      <c r="E4" s="6">
        <f>IF(C4="","",(C4-C3)/C3)</f>
        <v>0.0599474266391099</v>
      </c>
      <c r="I4" s="1" t="s">
        <v>103</v>
      </c>
      <c r="J4" s="1">
        <v>-7860000</v>
      </c>
      <c r="K4" s="1" t="s">
        <v>104</v>
      </c>
      <c r="Q4" t="s">
        <v>105</v>
      </c>
      <c r="R4" s="10">
        <v>6365389</v>
      </c>
    </row>
    <row r="5" spans="2:18">
      <c r="B5" s="3">
        <v>45412</v>
      </c>
      <c r="C5" s="1">
        <v>7665229</v>
      </c>
      <c r="D5" s="1">
        <f t="shared" ref="D4:D35" si="0">IF(C5="","",C5-C4)</f>
        <v>-310179</v>
      </c>
      <c r="E5" s="6">
        <f t="shared" ref="E4:E35" si="1">IF(C5="","",(C5-C4)/C4)</f>
        <v>-0.0388919287890977</v>
      </c>
      <c r="I5" s="1" t="s">
        <v>106</v>
      </c>
      <c r="J5" s="1">
        <v>5790000</v>
      </c>
      <c r="K5" s="1" t="s">
        <v>107</v>
      </c>
      <c r="Q5" t="s">
        <v>2</v>
      </c>
      <c r="R5" s="10">
        <v>9139389</v>
      </c>
    </row>
    <row r="6" spans="2:18">
      <c r="B6" s="3">
        <v>45443</v>
      </c>
      <c r="C6" s="1">
        <v>7569493</v>
      </c>
      <c r="D6" s="1">
        <f t="shared" si="0"/>
        <v>-95736</v>
      </c>
      <c r="E6" s="6">
        <f t="shared" si="1"/>
        <v>-0.0124896464280454</v>
      </c>
      <c r="I6" s="1" t="s">
        <v>5</v>
      </c>
      <c r="J6" s="1">
        <v>-1342643</v>
      </c>
      <c r="Q6" t="s">
        <v>108</v>
      </c>
      <c r="R6" s="10">
        <f>SUM(R3:R5)</f>
        <v>33076236</v>
      </c>
    </row>
    <row r="7" ht="16.95" spans="2:18">
      <c r="B7" s="3">
        <v>45473</v>
      </c>
      <c r="C7" s="1">
        <v>8215139</v>
      </c>
      <c r="D7" s="1">
        <f t="shared" si="0"/>
        <v>645646</v>
      </c>
      <c r="E7" s="6">
        <f t="shared" si="1"/>
        <v>0.0852958051483765</v>
      </c>
      <c r="I7" s="1" t="s">
        <v>109</v>
      </c>
      <c r="J7" s="1">
        <v>29842</v>
      </c>
      <c r="M7" s="8"/>
      <c r="N7" s="9">
        <f>SUM(N8:N99)</f>
        <v>-208000</v>
      </c>
      <c r="Q7" t="s">
        <v>110</v>
      </c>
      <c r="R7" s="10">
        <f>SUM(R3:R5)+R3+R4</f>
        <v>57013083</v>
      </c>
    </row>
    <row r="8" spans="2:15">
      <c r="B8" s="3">
        <v>45504</v>
      </c>
      <c r="C8" s="1">
        <v>7827661</v>
      </c>
      <c r="D8" s="1">
        <f t="shared" si="0"/>
        <v>-387478</v>
      </c>
      <c r="E8" s="6">
        <f t="shared" si="1"/>
        <v>-0.0471663352257339</v>
      </c>
      <c r="I8" s="1" t="s">
        <v>111</v>
      </c>
      <c r="J8" s="1">
        <f>N7</f>
        <v>-208000</v>
      </c>
      <c r="L8" s="1" t="s">
        <v>112</v>
      </c>
      <c r="M8" s="4" t="s">
        <v>113</v>
      </c>
      <c r="N8" s="1">
        <v>-208000</v>
      </c>
      <c r="O8" s="4"/>
    </row>
    <row r="9" spans="2:18">
      <c r="B9" s="3">
        <v>45535</v>
      </c>
      <c r="C9" s="1">
        <v>7637937</v>
      </c>
      <c r="D9" s="1">
        <f t="shared" si="0"/>
        <v>-189724</v>
      </c>
      <c r="E9" s="6">
        <f t="shared" si="1"/>
        <v>-0.0242376362491937</v>
      </c>
      <c r="I9" s="9" t="s">
        <v>114</v>
      </c>
      <c r="J9" s="9"/>
      <c r="L9" s="4"/>
      <c r="O9" s="4"/>
      <c r="Q9" t="s">
        <v>115</v>
      </c>
      <c r="R9" s="10">
        <v>43636</v>
      </c>
    </row>
    <row r="10" spans="2:18">
      <c r="B10" s="3">
        <v>45565</v>
      </c>
      <c r="C10" s="1">
        <v>7839993</v>
      </c>
      <c r="D10" s="1">
        <f t="shared" si="0"/>
        <v>202056</v>
      </c>
      <c r="E10" s="6">
        <f t="shared" si="1"/>
        <v>0.0264542637625841</v>
      </c>
      <c r="I10" s="1" t="s">
        <v>116</v>
      </c>
      <c r="J10" s="1">
        <f>SUM(J3:J9)</f>
        <v>29860592</v>
      </c>
      <c r="K10" s="1">
        <f>J10-J5</f>
        <v>24070592</v>
      </c>
      <c r="Q10" t="s">
        <v>117</v>
      </c>
      <c r="R10" s="10">
        <v>50000</v>
      </c>
    </row>
    <row r="11" spans="2:18">
      <c r="B11" s="3">
        <v>45596</v>
      </c>
      <c r="C11" s="1">
        <v>8017685</v>
      </c>
      <c r="D11" s="1">
        <f t="shared" si="0"/>
        <v>177692</v>
      </c>
      <c r="E11" s="6">
        <f t="shared" si="1"/>
        <v>0.0226648161548103</v>
      </c>
      <c r="K11" s="1">
        <f>K10-J4</f>
        <v>31930592</v>
      </c>
      <c r="Q11" t="s">
        <v>118</v>
      </c>
      <c r="R11" s="11">
        <f>(R10-R9)/R9</f>
        <v>0.145842882024017</v>
      </c>
    </row>
    <row r="12" spans="2:18">
      <c r="B12" s="3">
        <v>45626</v>
      </c>
      <c r="C12" s="1">
        <v>8101815</v>
      </c>
      <c r="D12" s="1">
        <f t="shared" si="0"/>
        <v>84130</v>
      </c>
      <c r="E12" s="6">
        <f t="shared" si="1"/>
        <v>0.0104930537929589</v>
      </c>
      <c r="Q12" t="s">
        <v>119</v>
      </c>
      <c r="R12" s="10">
        <f>R7*R11</f>
        <v>8314952.33779448</v>
      </c>
    </row>
    <row r="13" spans="2:18">
      <c r="B13" s="3">
        <v>45657</v>
      </c>
      <c r="C13" s="1">
        <v>8506389</v>
      </c>
      <c r="D13" s="1">
        <f t="shared" si="0"/>
        <v>404574</v>
      </c>
      <c r="E13" s="6">
        <f t="shared" si="1"/>
        <v>0.0499362179955973</v>
      </c>
      <c r="I13"/>
      <c r="Q13" t="s">
        <v>120</v>
      </c>
      <c r="R13" s="10">
        <f>J10+R12</f>
        <v>38175544.3377945</v>
      </c>
    </row>
    <row r="14" spans="2:9">
      <c r="B14" s="3">
        <v>45688</v>
      </c>
      <c r="C14" s="5">
        <v>10316721</v>
      </c>
      <c r="D14" s="7">
        <f t="shared" si="0"/>
        <v>1810332</v>
      </c>
      <c r="E14" s="6">
        <f t="shared" si="1"/>
        <v>0.212820269564441</v>
      </c>
      <c r="I14"/>
    </row>
    <row r="15" spans="2:5">
      <c r="B15" s="3">
        <v>45747</v>
      </c>
      <c r="C15" s="1">
        <v>8764502</v>
      </c>
      <c r="D15" s="1">
        <f t="shared" si="0"/>
        <v>-1552219</v>
      </c>
      <c r="E15" s="6">
        <f t="shared" si="1"/>
        <v>-0.150456622797108</v>
      </c>
    </row>
    <row r="16" spans="2:18">
      <c r="B16" s="3">
        <v>45749</v>
      </c>
      <c r="C16" s="1">
        <v>9239455</v>
      </c>
      <c r="D16" s="1">
        <f t="shared" si="0"/>
        <v>474953</v>
      </c>
      <c r="E16" s="6">
        <f t="shared" si="1"/>
        <v>0.0541905290226416</v>
      </c>
      <c r="R16">
        <v>38419</v>
      </c>
    </row>
    <row r="17" spans="2:5">
      <c r="B17" s="3">
        <v>45777</v>
      </c>
      <c r="C17" s="1">
        <v>8638664</v>
      </c>
      <c r="D17" s="1">
        <f t="shared" si="0"/>
        <v>-600791</v>
      </c>
      <c r="E17" s="6">
        <f t="shared" si="1"/>
        <v>-0.0650245063155781</v>
      </c>
    </row>
    <row r="18" spans="2:18">
      <c r="B18" s="3">
        <v>45806</v>
      </c>
      <c r="C18" s="1">
        <v>9157060</v>
      </c>
      <c r="D18" s="1">
        <f t="shared" si="0"/>
        <v>518396</v>
      </c>
      <c r="E18" s="6">
        <f t="shared" si="1"/>
        <v>0.0600088161780572</v>
      </c>
      <c r="R18" s="12"/>
    </row>
    <row r="19" spans="2:5">
      <c r="B19" s="3">
        <v>45838</v>
      </c>
      <c r="C19" s="1">
        <v>9627683</v>
      </c>
      <c r="D19" s="1">
        <f t="shared" si="0"/>
        <v>470623</v>
      </c>
      <c r="E19" s="6">
        <f t="shared" si="1"/>
        <v>0.0513945524000061</v>
      </c>
    </row>
    <row r="20" spans="2:5">
      <c r="B20" s="3">
        <v>45869</v>
      </c>
      <c r="C20" s="1">
        <v>10728568</v>
      </c>
      <c r="D20" s="1">
        <f t="shared" si="0"/>
        <v>1100885</v>
      </c>
      <c r="E20" s="6">
        <f t="shared" si="1"/>
        <v>0.114345788077983</v>
      </c>
    </row>
    <row r="21" spans="2:5">
      <c r="B21" s="3">
        <v>45899</v>
      </c>
      <c r="C21" s="1">
        <v>10849001</v>
      </c>
      <c r="D21" s="1">
        <f t="shared" si="0"/>
        <v>120433</v>
      </c>
      <c r="E21" s="6">
        <f t="shared" si="1"/>
        <v>0.0112254496592649</v>
      </c>
    </row>
    <row r="22" spans="2:5">
      <c r="B22" s="3">
        <v>45930</v>
      </c>
      <c r="C22" s="1">
        <v>12393462</v>
      </c>
      <c r="D22" s="1">
        <f t="shared" si="0"/>
        <v>1544461</v>
      </c>
      <c r="E22" s="6">
        <f t="shared" si="1"/>
        <v>0.142359743537677</v>
      </c>
    </row>
    <row r="23" spans="2:5">
      <c r="B23" s="3">
        <v>45961</v>
      </c>
      <c r="C23" s="1">
        <v>14234577</v>
      </c>
      <c r="D23" s="1">
        <f t="shared" si="0"/>
        <v>1841115</v>
      </c>
      <c r="E23" s="6">
        <f t="shared" si="1"/>
        <v>0.148555343131725</v>
      </c>
    </row>
    <row r="24" spans="2:5">
      <c r="B24" s="3">
        <v>45991</v>
      </c>
      <c r="C24" s="1">
        <v>13639890</v>
      </c>
      <c r="D24" s="1">
        <f t="shared" si="0"/>
        <v>-594687</v>
      </c>
      <c r="E24" s="6">
        <f t="shared" si="1"/>
        <v>-0.0417776376495066</v>
      </c>
    </row>
    <row r="25" spans="2:5">
      <c r="B25" s="3">
        <v>46022</v>
      </c>
      <c r="C25" s="1">
        <v>14942275</v>
      </c>
      <c r="D25" s="1">
        <f t="shared" si="0"/>
        <v>1302385</v>
      </c>
      <c r="E25" s="6">
        <f t="shared" si="1"/>
        <v>0.0954835412895559</v>
      </c>
    </row>
    <row r="26" spans="2:5">
      <c r="B26" s="3">
        <v>46053</v>
      </c>
      <c r="C26" s="7">
        <v>17573034</v>
      </c>
      <c r="D26" s="1">
        <f t="shared" si="0"/>
        <v>2630759</v>
      </c>
      <c r="E26" s="6">
        <f t="shared" si="1"/>
        <v>0.176061476582381</v>
      </c>
    </row>
    <row r="27" spans="2:5">
      <c r="B27" s="3">
        <v>46081</v>
      </c>
      <c r="C27" s="5">
        <v>21685552</v>
      </c>
      <c r="D27" s="7">
        <f t="shared" si="0"/>
        <v>4112518</v>
      </c>
      <c r="E27" s="6">
        <f t="shared" si="1"/>
        <v>0.234024358002153</v>
      </c>
    </row>
    <row r="28" spans="2:5">
      <c r="B28" s="3">
        <v>46112</v>
      </c>
      <c r="C28" s="1">
        <v>18447495</v>
      </c>
      <c r="D28" s="1">
        <f t="shared" si="0"/>
        <v>-3238057</v>
      </c>
      <c r="E28" s="6">
        <f t="shared" si="1"/>
        <v>-0.149318633899658</v>
      </c>
    </row>
    <row r="29" spans="2:5">
      <c r="B29" s="3">
        <v>46142</v>
      </c>
      <c r="C29" s="1">
        <v>25704540</v>
      </c>
      <c r="D29" s="1">
        <f t="shared" si="0"/>
        <v>7257045</v>
      </c>
      <c r="E29" s="6">
        <f t="shared" si="1"/>
        <v>0.393389183734702</v>
      </c>
    </row>
    <row r="30" spans="2:5">
      <c r="B30" s="3">
        <v>46173</v>
      </c>
      <c r="C30" s="1">
        <f>J10</f>
        <v>29860592</v>
      </c>
      <c r="D30" s="1">
        <f t="shared" si="0"/>
        <v>4156052</v>
      </c>
      <c r="E30" s="6">
        <f t="shared" si="1"/>
        <v>0.161685523257759</v>
      </c>
    </row>
    <row r="31" spans="2:5">
      <c r="B31" s="3">
        <v>46203</v>
      </c>
      <c r="D31" s="1" t="str">
        <f t="shared" si="0"/>
        <v/>
      </c>
      <c r="E31" s="6" t="str">
        <f t="shared" si="1"/>
        <v/>
      </c>
    </row>
    <row r="32" spans="2:5">
      <c r="B32" s="3">
        <v>46234</v>
      </c>
      <c r="D32" s="1" t="str">
        <f t="shared" si="0"/>
        <v/>
      </c>
      <c r="E32" s="6" t="str">
        <f t="shared" si="1"/>
        <v/>
      </c>
    </row>
    <row r="33" spans="2:5">
      <c r="B33" s="3">
        <v>46265</v>
      </c>
      <c r="D33" s="1" t="str">
        <f t="shared" si="0"/>
        <v/>
      </c>
      <c r="E33" s="6" t="str">
        <f t="shared" si="1"/>
        <v/>
      </c>
    </row>
    <row r="34" spans="2:5">
      <c r="B34" s="3">
        <v>46295</v>
      </c>
      <c r="D34" s="1" t="str">
        <f t="shared" si="0"/>
        <v/>
      </c>
      <c r="E34" s="6" t="str">
        <f t="shared" si="1"/>
        <v/>
      </c>
    </row>
    <row r="35" spans="2:5">
      <c r="B35" s="3">
        <v>46326</v>
      </c>
      <c r="D35" s="1" t="str">
        <f t="shared" si="0"/>
        <v/>
      </c>
      <c r="E35" s="6" t="str">
        <f t="shared" si="1"/>
        <v/>
      </c>
    </row>
    <row r="36" spans="2:5">
      <c r="B36" s="3">
        <v>46356</v>
      </c>
      <c r="D36" s="1" t="str">
        <f t="shared" ref="D36:D67" si="2">IF(C36="","",C36-C35)</f>
        <v/>
      </c>
      <c r="E36" s="6" t="str">
        <f t="shared" ref="E36:E67" si="3">IF(C36="","",(C36-C35)/C35)</f>
        <v/>
      </c>
    </row>
    <row r="37" spans="2:5">
      <c r="B37" s="3">
        <v>46387</v>
      </c>
      <c r="D37" s="1" t="str">
        <f t="shared" si="2"/>
        <v/>
      </c>
      <c r="E37" s="6" t="str">
        <f t="shared" si="3"/>
        <v/>
      </c>
    </row>
    <row r="38" spans="4:5">
      <c r="D38" s="1" t="str">
        <f t="shared" si="2"/>
        <v/>
      </c>
      <c r="E38" s="6" t="str">
        <f t="shared" si="3"/>
        <v/>
      </c>
    </row>
    <row r="39" spans="4:5">
      <c r="D39" s="1" t="str">
        <f t="shared" si="2"/>
        <v/>
      </c>
      <c r="E39" s="6" t="str">
        <f t="shared" si="3"/>
        <v/>
      </c>
    </row>
    <row r="40" spans="4:5">
      <c r="D40" s="1" t="str">
        <f t="shared" si="2"/>
        <v/>
      </c>
      <c r="E40" s="6" t="str">
        <f t="shared" si="3"/>
        <v/>
      </c>
    </row>
    <row r="41" spans="4:5">
      <c r="D41" s="1" t="str">
        <f t="shared" si="2"/>
        <v/>
      </c>
      <c r="E41" s="6" t="str">
        <f t="shared" si="3"/>
        <v/>
      </c>
    </row>
    <row r="42" spans="4:5">
      <c r="D42" s="1" t="str">
        <f t="shared" si="2"/>
        <v/>
      </c>
      <c r="E42" s="6" t="str">
        <f t="shared" si="3"/>
        <v/>
      </c>
    </row>
    <row r="43" spans="4:5">
      <c r="D43" s="1" t="str">
        <f t="shared" si="2"/>
        <v/>
      </c>
      <c r="E43" s="6" t="str">
        <f t="shared" si="3"/>
        <v/>
      </c>
    </row>
    <row r="44" spans="4:5">
      <c r="D44" s="1" t="str">
        <f t="shared" si="2"/>
        <v/>
      </c>
      <c r="E44" s="6" t="str">
        <f t="shared" si="3"/>
        <v/>
      </c>
    </row>
    <row r="45" spans="4:5">
      <c r="D45" s="1" t="str">
        <f t="shared" si="2"/>
        <v/>
      </c>
      <c r="E45" s="6" t="str">
        <f t="shared" si="3"/>
        <v/>
      </c>
    </row>
    <row r="46" spans="4:5">
      <c r="D46" s="1" t="str">
        <f t="shared" si="2"/>
        <v/>
      </c>
      <c r="E46" s="6" t="str">
        <f t="shared" si="3"/>
        <v/>
      </c>
    </row>
    <row r="47" spans="4:5">
      <c r="D47" s="1" t="str">
        <f t="shared" si="2"/>
        <v/>
      </c>
      <c r="E47" s="6" t="str">
        <f t="shared" si="3"/>
        <v/>
      </c>
    </row>
    <row r="48" spans="4:5">
      <c r="D48" s="1" t="str">
        <f t="shared" si="2"/>
        <v/>
      </c>
      <c r="E48" s="6" t="str">
        <f t="shared" si="3"/>
        <v/>
      </c>
    </row>
    <row r="49" spans="4:5">
      <c r="D49" s="1" t="str">
        <f t="shared" si="2"/>
        <v/>
      </c>
      <c r="E49" s="6" t="str">
        <f t="shared" si="3"/>
        <v/>
      </c>
    </row>
    <row r="50" spans="4:5">
      <c r="D50" s="1" t="str">
        <f t="shared" si="2"/>
        <v/>
      </c>
      <c r="E50" s="6" t="str">
        <f t="shared" si="3"/>
        <v/>
      </c>
    </row>
    <row r="51" spans="4:5">
      <c r="D51" s="1" t="str">
        <f t="shared" si="2"/>
        <v/>
      </c>
      <c r="E51" s="6" t="str">
        <f t="shared" si="3"/>
        <v/>
      </c>
    </row>
    <row r="52" spans="4:5">
      <c r="D52" s="1" t="str">
        <f t="shared" si="2"/>
        <v/>
      </c>
      <c r="E52" s="6" t="str">
        <f t="shared" si="3"/>
        <v/>
      </c>
    </row>
    <row r="53" spans="4:5">
      <c r="D53" s="1" t="str">
        <f t="shared" si="2"/>
        <v/>
      </c>
      <c r="E53" s="6" t="str">
        <f t="shared" si="3"/>
        <v/>
      </c>
    </row>
    <row r="54" spans="4:5">
      <c r="D54" s="1" t="str">
        <f t="shared" si="2"/>
        <v/>
      </c>
      <c r="E54" s="6" t="str">
        <f t="shared" si="3"/>
        <v/>
      </c>
    </row>
    <row r="55" spans="4:5">
      <c r="D55" s="1" t="str">
        <f t="shared" si="2"/>
        <v/>
      </c>
      <c r="E55" s="6" t="str">
        <f t="shared" si="3"/>
        <v/>
      </c>
    </row>
    <row r="56" spans="4:5">
      <c r="D56" s="1" t="str">
        <f t="shared" si="2"/>
        <v/>
      </c>
      <c r="E56" s="6" t="str">
        <f t="shared" si="3"/>
        <v/>
      </c>
    </row>
    <row r="57" spans="4:5">
      <c r="D57" s="1" t="str">
        <f t="shared" si="2"/>
        <v/>
      </c>
      <c r="E57" s="6" t="str">
        <f t="shared" si="3"/>
        <v/>
      </c>
    </row>
    <row r="58" spans="4:5">
      <c r="D58" s="1" t="str">
        <f t="shared" si="2"/>
        <v/>
      </c>
      <c r="E58" s="6" t="str">
        <f t="shared" si="3"/>
        <v/>
      </c>
    </row>
    <row r="59" spans="4:5">
      <c r="D59" s="1" t="str">
        <f t="shared" si="2"/>
        <v/>
      </c>
      <c r="E59" s="6" t="str">
        <f t="shared" si="3"/>
        <v/>
      </c>
    </row>
    <row r="60" spans="4:5">
      <c r="D60" s="1" t="str">
        <f t="shared" si="2"/>
        <v/>
      </c>
      <c r="E60" s="6" t="str">
        <f t="shared" si="3"/>
        <v/>
      </c>
    </row>
    <row r="61" spans="4:5">
      <c r="D61" s="1" t="str">
        <f t="shared" si="2"/>
        <v/>
      </c>
      <c r="E61" s="6" t="str">
        <f t="shared" si="3"/>
        <v/>
      </c>
    </row>
    <row r="62" spans="4:5">
      <c r="D62" s="1" t="str">
        <f t="shared" si="2"/>
        <v/>
      </c>
      <c r="E62" s="6" t="str">
        <f t="shared" si="3"/>
        <v/>
      </c>
    </row>
    <row r="63" spans="4:5">
      <c r="D63" s="1" t="str">
        <f t="shared" si="2"/>
        <v/>
      </c>
      <c r="E63" s="6" t="str">
        <f t="shared" si="3"/>
        <v/>
      </c>
    </row>
    <row r="64" spans="4:5">
      <c r="D64" s="1" t="str">
        <f t="shared" si="2"/>
        <v/>
      </c>
      <c r="E64" s="6" t="str">
        <f t="shared" si="3"/>
        <v/>
      </c>
    </row>
    <row r="65" spans="4:5">
      <c r="D65" s="1" t="str">
        <f t="shared" si="2"/>
        <v/>
      </c>
      <c r="E65" s="6" t="str">
        <f t="shared" si="3"/>
        <v/>
      </c>
    </row>
    <row r="66" spans="4:5">
      <c r="D66" s="1" t="str">
        <f t="shared" si="2"/>
        <v/>
      </c>
      <c r="E66" s="6" t="str">
        <f t="shared" si="3"/>
        <v/>
      </c>
    </row>
    <row r="67" spans="4:5">
      <c r="D67" s="1" t="str">
        <f t="shared" si="2"/>
        <v/>
      </c>
      <c r="E67" s="6" t="str">
        <f t="shared" si="3"/>
        <v/>
      </c>
    </row>
    <row r="68" spans="4:5">
      <c r="D68" s="1" t="str">
        <f t="shared" ref="D68:D99" si="4">IF(C68="","",C68-C67)</f>
        <v/>
      </c>
      <c r="E68" s="6" t="str">
        <f t="shared" ref="E68:E99" si="5">IF(C68="","",(C68-C67)/C67)</f>
        <v/>
      </c>
    </row>
    <row r="69" spans="4:5">
      <c r="D69" s="1" t="str">
        <f t="shared" si="4"/>
        <v/>
      </c>
      <c r="E69" s="6" t="str">
        <f t="shared" si="5"/>
        <v/>
      </c>
    </row>
    <row r="70" spans="4:5">
      <c r="D70" s="1" t="str">
        <f t="shared" si="4"/>
        <v/>
      </c>
      <c r="E70" s="6" t="str">
        <f t="shared" si="5"/>
        <v/>
      </c>
    </row>
    <row r="71" spans="4:5">
      <c r="D71" s="1" t="str">
        <f t="shared" si="4"/>
        <v/>
      </c>
      <c r="E71" s="6" t="str">
        <f t="shared" si="5"/>
        <v/>
      </c>
    </row>
    <row r="72" spans="4:5">
      <c r="D72" s="1" t="str">
        <f t="shared" si="4"/>
        <v/>
      </c>
      <c r="E72" s="6" t="str">
        <f t="shared" si="5"/>
        <v/>
      </c>
    </row>
    <row r="73" spans="4:5">
      <c r="D73" s="1" t="str">
        <f t="shared" si="4"/>
        <v/>
      </c>
      <c r="E73" s="6" t="str">
        <f t="shared" si="5"/>
        <v/>
      </c>
    </row>
    <row r="74" spans="4:5">
      <c r="D74" s="1" t="str">
        <f t="shared" si="4"/>
        <v/>
      </c>
      <c r="E74" s="6" t="str">
        <f t="shared" si="5"/>
        <v/>
      </c>
    </row>
    <row r="75" spans="4:5">
      <c r="D75" s="1" t="str">
        <f t="shared" si="4"/>
        <v/>
      </c>
      <c r="E75" s="6" t="str">
        <f t="shared" si="5"/>
        <v/>
      </c>
    </row>
    <row r="76" spans="4:5">
      <c r="D76" s="1" t="str">
        <f t="shared" si="4"/>
        <v/>
      </c>
      <c r="E76" s="6" t="str">
        <f t="shared" si="5"/>
        <v/>
      </c>
    </row>
    <row r="77" spans="4:5">
      <c r="D77" s="1" t="str">
        <f t="shared" si="4"/>
        <v/>
      </c>
      <c r="E77" s="6" t="str">
        <f t="shared" si="5"/>
        <v/>
      </c>
    </row>
    <row r="78" spans="4:5">
      <c r="D78" s="1" t="str">
        <f t="shared" si="4"/>
        <v/>
      </c>
      <c r="E78" s="6" t="str">
        <f t="shared" si="5"/>
        <v/>
      </c>
    </row>
    <row r="79" spans="4:5">
      <c r="D79" s="1" t="str">
        <f t="shared" si="4"/>
        <v/>
      </c>
      <c r="E79" s="6" t="str">
        <f t="shared" si="5"/>
        <v/>
      </c>
    </row>
    <row r="80" spans="4:5">
      <c r="D80" s="1" t="str">
        <f t="shared" si="4"/>
        <v/>
      </c>
      <c r="E80" s="6" t="str">
        <f t="shared" si="5"/>
        <v/>
      </c>
    </row>
    <row r="81" spans="4:5">
      <c r="D81" s="1" t="str">
        <f t="shared" si="4"/>
        <v/>
      </c>
      <c r="E81" s="6" t="str">
        <f t="shared" si="5"/>
        <v/>
      </c>
    </row>
    <row r="82" spans="4:5">
      <c r="D82" s="1" t="str">
        <f t="shared" si="4"/>
        <v/>
      </c>
      <c r="E82" s="6" t="str">
        <f t="shared" si="5"/>
        <v/>
      </c>
    </row>
    <row r="83" spans="4:5">
      <c r="D83" s="1" t="str">
        <f t="shared" si="4"/>
        <v/>
      </c>
      <c r="E83" s="6" t="str">
        <f t="shared" si="5"/>
        <v/>
      </c>
    </row>
    <row r="84" spans="4:5">
      <c r="D84" s="1" t="str">
        <f t="shared" si="4"/>
        <v/>
      </c>
      <c r="E84" s="6" t="str">
        <f t="shared" si="5"/>
        <v/>
      </c>
    </row>
    <row r="85" spans="4:5">
      <c r="D85" s="1" t="str">
        <f t="shared" si="4"/>
        <v/>
      </c>
      <c r="E85" s="6" t="str">
        <f t="shared" si="5"/>
        <v/>
      </c>
    </row>
    <row r="86" spans="4:5">
      <c r="D86" s="1" t="str">
        <f t="shared" si="4"/>
        <v/>
      </c>
      <c r="E86" s="6" t="str">
        <f t="shared" si="5"/>
        <v/>
      </c>
    </row>
    <row r="87" spans="4:5">
      <c r="D87" s="1" t="str">
        <f t="shared" si="4"/>
        <v/>
      </c>
      <c r="E87" s="6" t="str">
        <f t="shared" si="5"/>
        <v/>
      </c>
    </row>
    <row r="88" spans="4:5">
      <c r="D88" s="1" t="str">
        <f t="shared" si="4"/>
        <v/>
      </c>
      <c r="E88" s="6" t="str">
        <f t="shared" si="5"/>
        <v/>
      </c>
    </row>
    <row r="89" spans="4:5">
      <c r="D89" s="1" t="str">
        <f t="shared" si="4"/>
        <v/>
      </c>
      <c r="E89" s="6" t="str">
        <f t="shared" si="5"/>
        <v/>
      </c>
    </row>
    <row r="90" spans="4:5">
      <c r="D90" s="1" t="str">
        <f t="shared" si="4"/>
        <v/>
      </c>
      <c r="E90" s="6" t="str">
        <f t="shared" si="5"/>
        <v/>
      </c>
    </row>
    <row r="91" spans="4:5">
      <c r="D91" s="1" t="str">
        <f t="shared" si="4"/>
        <v/>
      </c>
      <c r="E91" s="6" t="str">
        <f t="shared" si="5"/>
        <v/>
      </c>
    </row>
    <row r="92" spans="4:5">
      <c r="D92" s="1" t="str">
        <f t="shared" si="4"/>
        <v/>
      </c>
      <c r="E92" s="6" t="str">
        <f t="shared" si="5"/>
        <v/>
      </c>
    </row>
    <row r="93" spans="4:5">
      <c r="D93" s="1" t="str">
        <f t="shared" si="4"/>
        <v/>
      </c>
      <c r="E93" s="6" t="str">
        <f t="shared" si="5"/>
        <v/>
      </c>
    </row>
    <row r="94" spans="4:5">
      <c r="D94" s="1" t="str">
        <f t="shared" si="4"/>
        <v/>
      </c>
      <c r="E94" s="6" t="str">
        <f t="shared" si="5"/>
        <v/>
      </c>
    </row>
    <row r="95" spans="4:5">
      <c r="D95" s="1" t="str">
        <f t="shared" si="4"/>
        <v/>
      </c>
      <c r="E95" s="6" t="str">
        <f t="shared" si="5"/>
        <v/>
      </c>
    </row>
    <row r="96" spans="4:5">
      <c r="D96" s="1" t="str">
        <f t="shared" si="4"/>
        <v/>
      </c>
      <c r="E96" s="6" t="str">
        <f t="shared" si="5"/>
        <v/>
      </c>
    </row>
    <row r="97" spans="4:5">
      <c r="D97" s="1" t="str">
        <f t="shared" si="4"/>
        <v/>
      </c>
      <c r="E97" s="6" t="str">
        <f t="shared" si="5"/>
        <v/>
      </c>
    </row>
    <row r="98" spans="4:5">
      <c r="D98" s="1" t="str">
        <f t="shared" si="4"/>
        <v/>
      </c>
      <c r="E98" s="6" t="str">
        <f t="shared" si="5"/>
        <v/>
      </c>
    </row>
    <row r="99" spans="4:5">
      <c r="D99" s="1" t="str">
        <f t="shared" si="4"/>
        <v/>
      </c>
      <c r="E99" s="6" t="str">
        <f t="shared" si="5"/>
        <v/>
      </c>
    </row>
    <row r="100" spans="4:5">
      <c r="D100" s="1" t="str">
        <f t="shared" ref="D100:D131" si="6">IF(C100="","",C100-C99)</f>
        <v/>
      </c>
      <c r="E100" s="6" t="str">
        <f t="shared" ref="E100:E131" si="7">IF(C100="","",(C100-C99)/C99)</f>
        <v/>
      </c>
    </row>
    <row r="101" spans="4:5">
      <c r="D101" s="1" t="str">
        <f t="shared" si="6"/>
        <v/>
      </c>
      <c r="E101" s="6" t="str">
        <f t="shared" si="7"/>
        <v/>
      </c>
    </row>
    <row r="102" spans="4:5">
      <c r="D102" s="1" t="str">
        <f t="shared" si="6"/>
        <v/>
      </c>
      <c r="E102" s="6" t="str">
        <f t="shared" si="7"/>
        <v/>
      </c>
    </row>
    <row r="103" spans="4:5">
      <c r="D103" s="1" t="str">
        <f t="shared" si="6"/>
        <v/>
      </c>
      <c r="E103" s="6" t="str">
        <f t="shared" si="7"/>
        <v/>
      </c>
    </row>
    <row r="104" spans="4:5">
      <c r="D104" s="1" t="str">
        <f t="shared" si="6"/>
        <v/>
      </c>
      <c r="E104" s="6" t="str">
        <f t="shared" si="7"/>
        <v/>
      </c>
    </row>
    <row r="105" spans="4:5">
      <c r="D105" s="1" t="str">
        <f t="shared" si="6"/>
        <v/>
      </c>
      <c r="E105" s="6" t="str">
        <f t="shared" si="7"/>
        <v/>
      </c>
    </row>
    <row r="106" spans="4:5">
      <c r="D106" s="1" t="str">
        <f t="shared" si="6"/>
        <v/>
      </c>
      <c r="E106" s="6" t="str">
        <f t="shared" si="7"/>
        <v/>
      </c>
    </row>
    <row r="107" spans="4:5">
      <c r="D107" s="1" t="str">
        <f t="shared" si="6"/>
        <v/>
      </c>
      <c r="E107" s="6" t="str">
        <f t="shared" si="7"/>
        <v/>
      </c>
    </row>
    <row r="108" spans="4:5">
      <c r="D108" s="1" t="str">
        <f t="shared" si="6"/>
        <v/>
      </c>
      <c r="E108" s="6" t="str">
        <f t="shared" si="7"/>
        <v/>
      </c>
    </row>
    <row r="109" spans="4:5">
      <c r="D109" s="1" t="str">
        <f t="shared" si="6"/>
        <v/>
      </c>
      <c r="E109" s="6" t="str">
        <f t="shared" si="7"/>
        <v/>
      </c>
    </row>
    <row r="110" spans="4:5">
      <c r="D110" s="1" t="str">
        <f t="shared" si="6"/>
        <v/>
      </c>
      <c r="E110" s="6" t="str">
        <f t="shared" si="7"/>
        <v/>
      </c>
    </row>
    <row r="111" spans="4:5">
      <c r="D111" s="1" t="str">
        <f t="shared" si="6"/>
        <v/>
      </c>
      <c r="E111" s="6" t="str">
        <f t="shared" si="7"/>
        <v/>
      </c>
    </row>
    <row r="112" spans="4:5">
      <c r="D112" s="1" t="str">
        <f t="shared" si="6"/>
        <v/>
      </c>
      <c r="E112" s="6" t="str">
        <f t="shared" si="7"/>
        <v/>
      </c>
    </row>
    <row r="113" spans="4:5">
      <c r="D113" s="1" t="str">
        <f t="shared" si="6"/>
        <v/>
      </c>
      <c r="E113" s="6" t="str">
        <f t="shared" si="7"/>
        <v/>
      </c>
    </row>
    <row r="114" spans="4:5">
      <c r="D114" s="1" t="str">
        <f t="shared" si="6"/>
        <v/>
      </c>
      <c r="E114" s="6" t="str">
        <f t="shared" si="7"/>
        <v/>
      </c>
    </row>
    <row r="115" spans="4:5">
      <c r="D115" s="1" t="str">
        <f t="shared" si="6"/>
        <v/>
      </c>
      <c r="E115" s="6" t="str">
        <f t="shared" si="7"/>
        <v/>
      </c>
    </row>
    <row r="116" spans="4:5">
      <c r="D116" s="1" t="str">
        <f t="shared" si="6"/>
        <v/>
      </c>
      <c r="E116" s="6" t="str">
        <f t="shared" si="7"/>
        <v/>
      </c>
    </row>
    <row r="117" spans="4:5">
      <c r="D117" s="1" t="str">
        <f t="shared" si="6"/>
        <v/>
      </c>
      <c r="E117" s="6" t="str">
        <f t="shared" si="7"/>
        <v/>
      </c>
    </row>
    <row r="118" spans="4:5">
      <c r="D118" s="1" t="str">
        <f t="shared" si="6"/>
        <v/>
      </c>
      <c r="E118" s="6" t="str">
        <f t="shared" si="7"/>
        <v/>
      </c>
    </row>
    <row r="119" spans="4:5">
      <c r="D119" s="1" t="str">
        <f t="shared" si="6"/>
        <v/>
      </c>
      <c r="E119" s="6" t="str">
        <f t="shared" si="7"/>
        <v/>
      </c>
    </row>
    <row r="120" spans="4:5">
      <c r="D120" s="1" t="str">
        <f t="shared" si="6"/>
        <v/>
      </c>
      <c r="E120" s="6" t="str">
        <f t="shared" si="7"/>
        <v/>
      </c>
    </row>
    <row r="121" spans="4:5">
      <c r="D121" s="1" t="str">
        <f t="shared" si="6"/>
        <v/>
      </c>
      <c r="E121" s="6" t="str">
        <f t="shared" si="7"/>
        <v/>
      </c>
    </row>
    <row r="122" spans="4:5">
      <c r="D122" s="1" t="str">
        <f t="shared" si="6"/>
        <v/>
      </c>
      <c r="E122" s="6" t="str">
        <f t="shared" si="7"/>
        <v/>
      </c>
    </row>
    <row r="123" spans="4:5">
      <c r="D123" s="1" t="str">
        <f t="shared" si="6"/>
        <v/>
      </c>
      <c r="E123" s="6" t="str">
        <f t="shared" si="7"/>
        <v/>
      </c>
    </row>
    <row r="124" spans="4:5">
      <c r="D124" s="1" t="str">
        <f t="shared" si="6"/>
        <v/>
      </c>
      <c r="E124" s="6" t="str">
        <f t="shared" si="7"/>
        <v/>
      </c>
    </row>
    <row r="125" spans="4:5">
      <c r="D125" s="1" t="str">
        <f t="shared" si="6"/>
        <v/>
      </c>
      <c r="E125" s="6" t="str">
        <f t="shared" si="7"/>
        <v/>
      </c>
    </row>
    <row r="126" spans="4:5">
      <c r="D126" s="1" t="str">
        <f t="shared" si="6"/>
        <v/>
      </c>
      <c r="E126" s="6" t="str">
        <f t="shared" si="7"/>
        <v/>
      </c>
    </row>
    <row r="127" spans="4:5">
      <c r="D127" s="1" t="str">
        <f t="shared" si="6"/>
        <v/>
      </c>
      <c r="E127" s="6" t="str">
        <f t="shared" si="7"/>
        <v/>
      </c>
    </row>
    <row r="128" spans="4:5">
      <c r="D128" s="1" t="str">
        <f t="shared" si="6"/>
        <v/>
      </c>
      <c r="E128" s="6" t="str">
        <f t="shared" si="7"/>
        <v/>
      </c>
    </row>
    <row r="129" spans="4:5">
      <c r="D129" s="1" t="str">
        <f t="shared" si="6"/>
        <v/>
      </c>
      <c r="E129" s="6" t="str">
        <f t="shared" si="7"/>
        <v/>
      </c>
    </row>
    <row r="130" spans="4:5">
      <c r="D130" s="1" t="str">
        <f t="shared" si="6"/>
        <v/>
      </c>
      <c r="E130" s="6" t="str">
        <f t="shared" si="7"/>
        <v/>
      </c>
    </row>
    <row r="131" spans="4:5">
      <c r="D131" s="1" t="str">
        <f t="shared" si="6"/>
        <v/>
      </c>
      <c r="E131" s="6" t="str">
        <f t="shared" si="7"/>
        <v/>
      </c>
    </row>
    <row r="132" spans="4:5">
      <c r="D132" s="1" t="str">
        <f t="shared" ref="D132:D163" si="8">IF(C132="","",C132-C131)</f>
        <v/>
      </c>
      <c r="E132" s="6" t="str">
        <f t="shared" ref="E132:E163" si="9">IF(C132="","",(C132-C131)/C131)</f>
        <v/>
      </c>
    </row>
    <row r="133" spans="4:5">
      <c r="D133" s="1" t="str">
        <f t="shared" si="8"/>
        <v/>
      </c>
      <c r="E133" s="6" t="str">
        <f t="shared" si="9"/>
        <v/>
      </c>
    </row>
    <row r="134" spans="4:5">
      <c r="D134" s="1" t="str">
        <f t="shared" si="8"/>
        <v/>
      </c>
      <c r="E134" s="6" t="str">
        <f t="shared" si="9"/>
        <v/>
      </c>
    </row>
    <row r="135" spans="4:5">
      <c r="D135" s="1" t="str">
        <f t="shared" si="8"/>
        <v/>
      </c>
      <c r="E135" s="6" t="str">
        <f t="shared" si="9"/>
        <v/>
      </c>
    </row>
    <row r="136" spans="4:5">
      <c r="D136" s="1" t="str">
        <f t="shared" si="8"/>
        <v/>
      </c>
      <c r="E136" s="6" t="str">
        <f t="shared" si="9"/>
        <v/>
      </c>
    </row>
    <row r="137" spans="4:5">
      <c r="D137" s="1" t="str">
        <f t="shared" si="8"/>
        <v/>
      </c>
      <c r="E137" s="6" t="str">
        <f t="shared" si="9"/>
        <v/>
      </c>
    </row>
    <row r="138" spans="4:5">
      <c r="D138" s="1" t="str">
        <f t="shared" si="8"/>
        <v/>
      </c>
      <c r="E138" s="6" t="str">
        <f t="shared" si="9"/>
        <v/>
      </c>
    </row>
    <row r="139" spans="4:5">
      <c r="D139" s="1" t="str">
        <f t="shared" si="8"/>
        <v/>
      </c>
      <c r="E139" s="6" t="str">
        <f t="shared" si="9"/>
        <v/>
      </c>
    </row>
    <row r="140" spans="4:5">
      <c r="D140" s="1" t="str">
        <f t="shared" si="8"/>
        <v/>
      </c>
      <c r="E140" s="6" t="str">
        <f t="shared" si="9"/>
        <v/>
      </c>
    </row>
    <row r="141" spans="4:5">
      <c r="D141" s="1" t="str">
        <f t="shared" si="8"/>
        <v/>
      </c>
      <c r="E141" s="6" t="str">
        <f t="shared" si="9"/>
        <v/>
      </c>
    </row>
    <row r="142" spans="4:5">
      <c r="D142" s="1" t="str">
        <f t="shared" si="8"/>
        <v/>
      </c>
      <c r="E142" s="6" t="str">
        <f t="shared" si="9"/>
        <v/>
      </c>
    </row>
    <row r="143" spans="4:5">
      <c r="D143" s="1" t="str">
        <f t="shared" si="8"/>
        <v/>
      </c>
      <c r="E143" s="6" t="str">
        <f t="shared" si="9"/>
        <v/>
      </c>
    </row>
    <row r="144" spans="4:5">
      <c r="D144" s="1" t="str">
        <f t="shared" si="8"/>
        <v/>
      </c>
      <c r="E144" s="6" t="str">
        <f t="shared" si="9"/>
        <v/>
      </c>
    </row>
    <row r="145" spans="4:5">
      <c r="D145" s="1" t="str">
        <f t="shared" si="8"/>
        <v/>
      </c>
      <c r="E145" s="6" t="str">
        <f t="shared" si="9"/>
        <v/>
      </c>
    </row>
    <row r="146" spans="4:5">
      <c r="D146" s="1" t="str">
        <f t="shared" si="8"/>
        <v/>
      </c>
      <c r="E146" s="6" t="str">
        <f t="shared" si="9"/>
        <v/>
      </c>
    </row>
    <row r="147" spans="4:5">
      <c r="D147" s="1" t="str">
        <f t="shared" si="8"/>
        <v/>
      </c>
      <c r="E147" s="6" t="str">
        <f t="shared" si="9"/>
        <v/>
      </c>
    </row>
    <row r="148" spans="4:5">
      <c r="D148" s="1" t="str">
        <f t="shared" si="8"/>
        <v/>
      </c>
      <c r="E148" s="6" t="str">
        <f t="shared" si="9"/>
        <v/>
      </c>
    </row>
    <row r="149" spans="4:5">
      <c r="D149" s="1" t="str">
        <f t="shared" si="8"/>
        <v/>
      </c>
      <c r="E149" s="6" t="str">
        <f t="shared" si="9"/>
        <v/>
      </c>
    </row>
    <row r="150" spans="4:5">
      <c r="D150" s="1" t="str">
        <f t="shared" si="8"/>
        <v/>
      </c>
      <c r="E150" s="6" t="str">
        <f t="shared" si="9"/>
        <v/>
      </c>
    </row>
    <row r="151" spans="4:5">
      <c r="D151" s="1" t="str">
        <f t="shared" si="8"/>
        <v/>
      </c>
      <c r="E151" s="6" t="str">
        <f t="shared" si="9"/>
        <v/>
      </c>
    </row>
    <row r="152" spans="4:5">
      <c r="D152" s="1" t="str">
        <f t="shared" si="8"/>
        <v/>
      </c>
      <c r="E152" s="6" t="str">
        <f t="shared" si="9"/>
        <v/>
      </c>
    </row>
    <row r="153" spans="4:5">
      <c r="D153" s="1" t="str">
        <f t="shared" si="8"/>
        <v/>
      </c>
      <c r="E153" s="6" t="str">
        <f t="shared" si="9"/>
        <v/>
      </c>
    </row>
    <row r="154" spans="4:5">
      <c r="D154" s="1" t="str">
        <f t="shared" si="8"/>
        <v/>
      </c>
      <c r="E154" s="6" t="str">
        <f t="shared" si="9"/>
        <v/>
      </c>
    </row>
    <row r="155" spans="4:5">
      <c r="D155" s="1" t="str">
        <f t="shared" si="8"/>
        <v/>
      </c>
      <c r="E155" s="6" t="str">
        <f t="shared" si="9"/>
        <v/>
      </c>
    </row>
    <row r="156" spans="4:5">
      <c r="D156" s="1" t="str">
        <f t="shared" si="8"/>
        <v/>
      </c>
      <c r="E156" s="6" t="str">
        <f t="shared" si="9"/>
        <v/>
      </c>
    </row>
    <row r="157" spans="4:5">
      <c r="D157" s="1" t="str">
        <f t="shared" si="8"/>
        <v/>
      </c>
      <c r="E157" s="6" t="str">
        <f t="shared" si="9"/>
        <v/>
      </c>
    </row>
    <row r="158" spans="4:5">
      <c r="D158" s="1" t="str">
        <f t="shared" si="8"/>
        <v/>
      </c>
      <c r="E158" s="6" t="str">
        <f t="shared" si="9"/>
        <v/>
      </c>
    </row>
    <row r="159" spans="4:5">
      <c r="D159" s="1" t="str">
        <f t="shared" si="8"/>
        <v/>
      </c>
      <c r="E159" s="6" t="str">
        <f t="shared" si="9"/>
        <v/>
      </c>
    </row>
    <row r="160" spans="4:5">
      <c r="D160" s="1" t="str">
        <f t="shared" si="8"/>
        <v/>
      </c>
      <c r="E160" s="6" t="str">
        <f t="shared" si="9"/>
        <v/>
      </c>
    </row>
    <row r="161" spans="4:5">
      <c r="D161" s="1" t="str">
        <f t="shared" si="8"/>
        <v/>
      </c>
      <c r="E161" s="6" t="str">
        <f t="shared" si="9"/>
        <v/>
      </c>
    </row>
    <row r="162" spans="4:5">
      <c r="D162" s="1" t="str">
        <f t="shared" si="8"/>
        <v/>
      </c>
      <c r="E162" s="6" t="str">
        <f t="shared" si="9"/>
        <v/>
      </c>
    </row>
    <row r="163" spans="4:5">
      <c r="D163" s="1" t="str">
        <f t="shared" si="8"/>
        <v/>
      </c>
      <c r="E163" s="6" t="str">
        <f t="shared" si="9"/>
        <v/>
      </c>
    </row>
    <row r="164" spans="4:5">
      <c r="D164" s="1" t="str">
        <f t="shared" ref="D164:D187" si="10">IF(C164="","",C164-C163)</f>
        <v/>
      </c>
      <c r="E164" s="6" t="str">
        <f t="shared" ref="E164:E187" si="11">IF(C164="","",(C164-C163)/C163)</f>
        <v/>
      </c>
    </row>
    <row r="165" spans="4:5">
      <c r="D165" s="1" t="str">
        <f t="shared" si="10"/>
        <v/>
      </c>
      <c r="E165" s="6" t="str">
        <f t="shared" si="11"/>
        <v/>
      </c>
    </row>
    <row r="166" spans="4:5">
      <c r="D166" s="1" t="str">
        <f t="shared" si="10"/>
        <v/>
      </c>
      <c r="E166" s="6" t="str">
        <f t="shared" si="11"/>
        <v/>
      </c>
    </row>
    <row r="167" spans="4:5">
      <c r="D167" s="1" t="str">
        <f t="shared" si="10"/>
        <v/>
      </c>
      <c r="E167" s="6" t="str">
        <f t="shared" si="11"/>
        <v/>
      </c>
    </row>
    <row r="168" spans="4:5">
      <c r="D168" s="1" t="str">
        <f t="shared" si="10"/>
        <v/>
      </c>
      <c r="E168" s="6" t="str">
        <f t="shared" si="11"/>
        <v/>
      </c>
    </row>
    <row r="169" spans="4:5">
      <c r="D169" s="1" t="str">
        <f t="shared" si="10"/>
        <v/>
      </c>
      <c r="E169" s="6" t="str">
        <f t="shared" si="11"/>
        <v/>
      </c>
    </row>
    <row r="170" spans="4:5">
      <c r="D170" s="1" t="str">
        <f t="shared" si="10"/>
        <v/>
      </c>
      <c r="E170" s="6" t="str">
        <f t="shared" si="11"/>
        <v/>
      </c>
    </row>
    <row r="171" spans="4:5">
      <c r="D171" s="1" t="str">
        <f t="shared" si="10"/>
        <v/>
      </c>
      <c r="E171" s="6" t="str">
        <f t="shared" si="11"/>
        <v/>
      </c>
    </row>
    <row r="172" spans="4:5">
      <c r="D172" s="1" t="str">
        <f t="shared" si="10"/>
        <v/>
      </c>
      <c r="E172" s="6" t="str">
        <f t="shared" si="11"/>
        <v/>
      </c>
    </row>
    <row r="173" spans="4:5">
      <c r="D173" s="1" t="str">
        <f t="shared" si="10"/>
        <v/>
      </c>
      <c r="E173" s="6" t="str">
        <f t="shared" si="11"/>
        <v/>
      </c>
    </row>
    <row r="174" spans="4:5">
      <c r="D174" s="1" t="str">
        <f t="shared" si="10"/>
        <v/>
      </c>
      <c r="E174" s="6" t="str">
        <f t="shared" si="11"/>
        <v/>
      </c>
    </row>
    <row r="175" spans="4:5">
      <c r="D175" s="1" t="str">
        <f t="shared" si="10"/>
        <v/>
      </c>
      <c r="E175" s="6" t="str">
        <f t="shared" si="11"/>
        <v/>
      </c>
    </row>
    <row r="176" spans="4:5">
      <c r="D176" s="1" t="str">
        <f t="shared" si="10"/>
        <v/>
      </c>
      <c r="E176" s="6" t="str">
        <f t="shared" si="11"/>
        <v/>
      </c>
    </row>
    <row r="177" spans="4:5">
      <c r="D177" s="1" t="str">
        <f t="shared" si="10"/>
        <v/>
      </c>
      <c r="E177" s="6" t="str">
        <f t="shared" si="11"/>
        <v/>
      </c>
    </row>
    <row r="178" spans="4:5">
      <c r="D178" s="1" t="str">
        <f t="shared" si="10"/>
        <v/>
      </c>
      <c r="E178" s="6" t="str">
        <f t="shared" si="11"/>
        <v/>
      </c>
    </row>
    <row r="179" spans="4:5">
      <c r="D179" s="1" t="str">
        <f t="shared" si="10"/>
        <v/>
      </c>
      <c r="E179" s="6" t="str">
        <f t="shared" si="11"/>
        <v/>
      </c>
    </row>
    <row r="180" spans="4:5">
      <c r="D180" s="1" t="str">
        <f t="shared" si="10"/>
        <v/>
      </c>
      <c r="E180" s="6" t="str">
        <f t="shared" si="11"/>
        <v/>
      </c>
    </row>
    <row r="181" spans="4:5">
      <c r="D181" s="1" t="str">
        <f t="shared" si="10"/>
        <v/>
      </c>
      <c r="E181" s="6" t="str">
        <f t="shared" si="11"/>
        <v/>
      </c>
    </row>
    <row r="182" spans="4:5">
      <c r="D182" s="1" t="str">
        <f t="shared" si="10"/>
        <v/>
      </c>
      <c r="E182" s="6" t="str">
        <f t="shared" si="11"/>
        <v/>
      </c>
    </row>
    <row r="183" spans="4:5">
      <c r="D183" s="1" t="str">
        <f t="shared" si="10"/>
        <v/>
      </c>
      <c r="E183" s="6" t="str">
        <f t="shared" si="11"/>
        <v/>
      </c>
    </row>
    <row r="184" spans="4:5">
      <c r="D184" s="1" t="str">
        <f t="shared" si="10"/>
        <v/>
      </c>
      <c r="E184" s="6" t="str">
        <f t="shared" si="11"/>
        <v/>
      </c>
    </row>
    <row r="185" spans="4:5">
      <c r="D185" s="1" t="str">
        <f t="shared" si="10"/>
        <v/>
      </c>
      <c r="E185" s="6" t="str">
        <f t="shared" si="11"/>
        <v/>
      </c>
    </row>
    <row r="186" spans="4:5">
      <c r="D186" s="1" t="str">
        <f t="shared" si="10"/>
        <v/>
      </c>
      <c r="E186" s="6" t="str">
        <f t="shared" si="11"/>
        <v/>
      </c>
    </row>
    <row r="187" spans="4:5">
      <c r="D187" s="1" t="str">
        <f t="shared" si="10"/>
        <v/>
      </c>
      <c r="E187" s="6" t="str">
        <f t="shared" si="11"/>
        <v/>
      </c>
    </row>
  </sheetData>
  <pageMargins left="0.75" right="0.75" top="1" bottom="1" header="0.511805555555556" footer="0.511805555555556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C1:G19"/>
  <sheetViews>
    <sheetView workbookViewId="0">
      <selection activeCell="G18" sqref="G18"/>
    </sheetView>
  </sheetViews>
  <sheetFormatPr defaultColWidth="8.88888888888889" defaultRowHeight="16.2" outlineLevelCol="6"/>
  <cols>
    <col min="3" max="3" width="10.8888888888889"/>
    <col min="7" max="7" width="8.88888888888889" style="1"/>
  </cols>
  <sheetData>
    <row r="1" spans="4:5">
      <c r="D1" t="s">
        <v>121</v>
      </c>
      <c r="E1" t="s">
        <v>122</v>
      </c>
    </row>
    <row r="2" spans="3:4">
      <c r="C2" s="2">
        <v>44546</v>
      </c>
      <c r="D2">
        <v>7</v>
      </c>
    </row>
    <row r="3" spans="3:7">
      <c r="C3" s="2">
        <v>44551</v>
      </c>
      <c r="E3">
        <v>7</v>
      </c>
      <c r="G3" s="1">
        <v>67023</v>
      </c>
    </row>
    <row r="4" spans="3:4">
      <c r="C4" s="2">
        <v>44699</v>
      </c>
      <c r="D4">
        <v>1</v>
      </c>
    </row>
    <row r="5" spans="3:7">
      <c r="C5" s="2">
        <v>44704</v>
      </c>
      <c r="E5">
        <v>1</v>
      </c>
      <c r="G5" s="1">
        <v>5009</v>
      </c>
    </row>
    <row r="6" spans="3:4">
      <c r="C6" s="2">
        <v>44711</v>
      </c>
      <c r="D6">
        <v>6</v>
      </c>
    </row>
    <row r="7" spans="3:7">
      <c r="C7" s="2">
        <v>44714</v>
      </c>
      <c r="E7">
        <v>6</v>
      </c>
      <c r="G7" s="1">
        <v>30528</v>
      </c>
    </row>
    <row r="8" spans="3:4">
      <c r="C8" s="2">
        <v>44736</v>
      </c>
      <c r="D8">
        <v>4</v>
      </c>
    </row>
    <row r="9" spans="3:7">
      <c r="C9" s="2">
        <v>44741</v>
      </c>
      <c r="E9">
        <v>4</v>
      </c>
      <c r="G9" s="1">
        <v>19056</v>
      </c>
    </row>
    <row r="10" spans="3:4">
      <c r="C10" s="2">
        <v>44790</v>
      </c>
      <c r="D10">
        <v>2</v>
      </c>
    </row>
    <row r="11" spans="3:7">
      <c r="C11" s="2">
        <v>44795</v>
      </c>
      <c r="E11">
        <v>2</v>
      </c>
      <c r="G11" s="1">
        <v>12771</v>
      </c>
    </row>
    <row r="12" spans="3:4">
      <c r="C12" s="2">
        <v>44881</v>
      </c>
      <c r="D12">
        <v>1</v>
      </c>
    </row>
    <row r="13" spans="3:7">
      <c r="C13" s="2">
        <v>44886</v>
      </c>
      <c r="E13">
        <v>1</v>
      </c>
      <c r="G13" s="1">
        <v>7641</v>
      </c>
    </row>
    <row r="14" spans="3:4">
      <c r="C14" s="2">
        <v>44943</v>
      </c>
      <c r="D14">
        <v>1</v>
      </c>
    </row>
    <row r="15" spans="3:7">
      <c r="C15" s="2">
        <v>44958</v>
      </c>
      <c r="E15">
        <v>1</v>
      </c>
      <c r="G15" s="1">
        <v>10206</v>
      </c>
    </row>
    <row r="16" spans="3:4">
      <c r="C16" s="2">
        <v>44978</v>
      </c>
      <c r="D16">
        <v>1</v>
      </c>
    </row>
    <row r="17" spans="3:7">
      <c r="C17" s="2">
        <v>44981</v>
      </c>
      <c r="E17">
        <v>1</v>
      </c>
      <c r="G17" s="1">
        <v>10922</v>
      </c>
    </row>
    <row r="18" spans="3:4">
      <c r="C18" s="2">
        <v>45007</v>
      </c>
      <c r="D18">
        <v>1</v>
      </c>
    </row>
    <row r="19" spans="3:7">
      <c r="C19" s="2">
        <v>45012</v>
      </c>
      <c r="E19">
        <v>1</v>
      </c>
      <c r="G19" s="1">
        <v>11610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股票損益</vt:lpstr>
      <vt:lpstr>房貸收入試算</vt:lpstr>
      <vt:lpstr>淨值表</vt:lpstr>
      <vt:lpstr>東哥券差借券紀錄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2023-12-12T04:59:00Z</dcterms:created>
  <dcterms:modified xsi:type="dcterms:W3CDTF">2026-05-28T19:14:25Z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