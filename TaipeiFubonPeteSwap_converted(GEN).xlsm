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080131\Desktop\"/>
    </mc:Choice>
  </mc:AlternateContent>
  <bookViews>
    <workbookView xWindow="240" yWindow="765" windowWidth="14010" windowHeight="6570" tabRatio="792"/>
  </bookViews>
  <sheets>
    <sheet name="Pricer" sheetId="1" r:id="rId1"/>
    <sheet name="BBGIRSCCS" sheetId="14" r:id="rId2"/>
    <sheet name="工作表1" sheetId="15" r:id="rId3"/>
    <sheet name="工作表2" sheetId="17" r:id="rId4"/>
    <sheet name="ACPS" sheetId="18" r:id="rId5"/>
    <sheet name="Trading Product" sheetId="19" r:id="rId6"/>
  </sheets>
  <externalReferences>
    <externalReference r:id="rId7"/>
  </externalReferences>
  <definedNames>
    <definedName name="美元多利">Pricer!$S$73:$X$87</definedName>
  </definedNames>
  <calcPr calcId="152511"/>
</workbook>
</file>

<file path=xl/calcChain.xml><?xml version="1.0" encoding="utf-8"?>
<calcChain xmlns="http://schemas.openxmlformats.org/spreadsheetml/2006/main">
  <c r="C14" i="17" l="1"/>
  <c r="D14" i="17"/>
  <c r="F14" i="17"/>
  <c r="B14" i="17"/>
  <c r="G14" i="17" s="1"/>
  <c r="C12" i="17"/>
  <c r="D12" i="17"/>
  <c r="E12" i="17"/>
  <c r="E14" i="17" s="1"/>
  <c r="F12" i="17"/>
  <c r="B12" i="17"/>
  <c r="R22" i="1"/>
  <c r="M12" i="14"/>
  <c r="M13" i="14"/>
  <c r="M14" i="14"/>
  <c r="M15" i="14"/>
  <c r="P15" i="14"/>
  <c r="M16" i="14"/>
  <c r="M17" i="14"/>
  <c r="O26" i="14"/>
  <c r="U2" i="1"/>
  <c r="N37" i="1"/>
  <c r="O37" i="1"/>
  <c r="A47" i="1"/>
  <c r="D67" i="1" s="1"/>
  <c r="B47" i="1"/>
  <c r="E60" i="1" s="1"/>
  <c r="M86" i="1"/>
  <c r="M87" i="1"/>
  <c r="U87" i="1"/>
  <c r="M89" i="1"/>
  <c r="M90" i="1"/>
  <c r="A95" i="1"/>
  <c r="B95" i="1"/>
  <c r="C95" i="1"/>
  <c r="D95" i="1"/>
  <c r="E95" i="1"/>
  <c r="G95" i="1"/>
  <c r="H95" i="1"/>
  <c r="I95" i="1"/>
  <c r="J95" i="1"/>
  <c r="K95" i="1"/>
  <c r="L95" i="1"/>
  <c r="A96" i="1"/>
  <c r="B96" i="1"/>
  <c r="G96" i="1"/>
  <c r="L96" i="1"/>
  <c r="A97" i="1"/>
  <c r="A98" i="1"/>
  <c r="A99" i="1"/>
  <c r="B99" i="1"/>
  <c r="F99" i="1"/>
  <c r="G99" i="1"/>
  <c r="L99" i="1"/>
  <c r="Q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I10" i="1"/>
  <c r="E49" i="1"/>
  <c r="E52" i="1"/>
  <c r="E67" i="1"/>
  <c r="E51" i="1"/>
  <c r="E57" i="1"/>
  <c r="E68" i="1"/>
  <c r="E59" i="1"/>
  <c r="E48" i="1"/>
  <c r="E50" i="1"/>
  <c r="B45" i="1"/>
  <c r="E69" i="1"/>
  <c r="E55" i="1"/>
  <c r="E63" i="1"/>
  <c r="E58" i="1"/>
  <c r="T93" i="1"/>
  <c r="X93" i="1"/>
  <c r="E62" i="1"/>
  <c r="E53" i="1"/>
  <c r="E66" i="1"/>
  <c r="E61" i="1"/>
  <c r="E44" i="1"/>
  <c r="E54" i="1"/>
  <c r="E56" i="1"/>
  <c r="E65" i="1"/>
  <c r="E64" i="1"/>
  <c r="H13" i="1"/>
  <c r="H14" i="1"/>
  <c r="I9" i="1"/>
  <c r="H20" i="1"/>
  <c r="I15" i="1"/>
  <c r="I20" i="1"/>
  <c r="H6" i="1"/>
  <c r="I16" i="1"/>
  <c r="H11" i="1"/>
  <c r="H17" i="1"/>
  <c r="I17" i="1"/>
  <c r="I6" i="1"/>
  <c r="H12" i="1"/>
  <c r="H15" i="1"/>
  <c r="I11" i="1"/>
  <c r="I12" i="1"/>
  <c r="H10" i="1"/>
  <c r="H9" i="1"/>
  <c r="H16" i="1"/>
  <c r="I23" i="1"/>
  <c r="I13" i="1"/>
  <c r="I14" i="1"/>
  <c r="H23" i="1"/>
  <c r="E25" i="1"/>
  <c r="D25" i="1"/>
  <c r="D62" i="1"/>
  <c r="D52" i="1"/>
  <c r="D60" i="1"/>
  <c r="D51" i="1"/>
  <c r="D58" i="1"/>
  <c r="D68" i="1"/>
  <c r="D59" i="1"/>
  <c r="D48" i="1"/>
  <c r="AC94" i="1"/>
  <c r="D55" i="1"/>
  <c r="D54" i="1"/>
  <c r="D50" i="1"/>
  <c r="D56" i="1"/>
  <c r="D44" i="1"/>
  <c r="D53" i="1"/>
  <c r="D66" i="1"/>
  <c r="R93" i="1"/>
  <c r="V93" i="1" s="1"/>
  <c r="D65" i="1"/>
  <c r="D49" i="1"/>
  <c r="D63" i="1"/>
  <c r="D57" i="1"/>
  <c r="D61" i="1"/>
  <c r="D69" i="1"/>
  <c r="A40" i="1"/>
  <c r="D64" i="1"/>
  <c r="D20" i="1"/>
  <c r="E20" i="1"/>
  <c r="E14" i="1"/>
  <c r="D14" i="1"/>
  <c r="D26" i="1"/>
  <c r="E26" i="1"/>
  <c r="E13" i="1"/>
  <c r="D13" i="1"/>
  <c r="D23" i="1"/>
  <c r="E23" i="1"/>
  <c r="D17" i="1"/>
  <c r="E17" i="1"/>
  <c r="E12" i="1"/>
  <c r="D12" i="1"/>
  <c r="E7" i="1"/>
  <c r="D7" i="1"/>
  <c r="D9" i="1"/>
  <c r="E9" i="1"/>
  <c r="E6" i="1"/>
  <c r="D6" i="1"/>
  <c r="E24" i="1"/>
  <c r="D24" i="1"/>
  <c r="E27" i="1"/>
  <c r="D27" i="1"/>
  <c r="E10" i="1"/>
  <c r="D10" i="1"/>
  <c r="D11" i="1"/>
  <c r="D19" i="1"/>
  <c r="E22" i="1"/>
  <c r="E19" i="1"/>
  <c r="E15" i="1"/>
  <c r="D15" i="1"/>
  <c r="D22" i="1"/>
  <c r="E11" i="1"/>
  <c r="E18" i="1"/>
  <c r="D21" i="1"/>
  <c r="D18" i="1"/>
  <c r="E21" i="1"/>
  <c r="D8" i="1"/>
  <c r="E16" i="1"/>
  <c r="D16" i="1"/>
  <c r="E8" i="1"/>
  <c r="R117" i="1"/>
  <c r="R107" i="1"/>
  <c r="R115" i="1"/>
  <c r="R104" i="1"/>
  <c r="R109" i="1"/>
  <c r="R101" i="1"/>
  <c r="R103" i="1"/>
  <c r="R113" i="1"/>
  <c r="R110" i="1"/>
  <c r="R108" i="1"/>
  <c r="R118" i="1"/>
  <c r="R100" i="1"/>
  <c r="R105" i="1"/>
  <c r="R119" i="1"/>
  <c r="R116" i="1"/>
  <c r="R114" i="1"/>
  <c r="R112" i="1"/>
  <c r="R99" i="1"/>
  <c r="R111" i="1"/>
  <c r="R106" i="1"/>
  <c r="R102" i="1"/>
  <c r="S99" i="1"/>
  <c r="S109" i="1"/>
  <c r="S102" i="1"/>
  <c r="S101" i="1"/>
  <c r="S108" i="1"/>
  <c r="S105" i="1"/>
  <c r="S110" i="1"/>
  <c r="S119" i="1"/>
  <c r="S100" i="1"/>
  <c r="S118" i="1"/>
  <c r="S104" i="1"/>
  <c r="S115" i="1"/>
  <c r="S106" i="1"/>
  <c r="S117" i="1"/>
  <c r="S107" i="1"/>
  <c r="S113" i="1"/>
  <c r="S103" i="1"/>
  <c r="S116" i="1"/>
  <c r="S111" i="1"/>
  <c r="S112" i="1"/>
  <c r="S114" i="1"/>
  <c r="D87" i="1"/>
  <c r="B48" i="1"/>
  <c r="U100" i="1"/>
  <c r="L81" i="1"/>
  <c r="K75" i="1"/>
  <c r="W33" i="1"/>
  <c r="F78" i="1"/>
  <c r="L5" i="1"/>
  <c r="F19" i="14"/>
  <c r="T114" i="1"/>
  <c r="F28" i="14"/>
  <c r="G20" i="14"/>
  <c r="E25" i="14"/>
  <c r="G8" i="15"/>
  <c r="T101" i="1"/>
  <c r="G14" i="14"/>
  <c r="E21" i="14"/>
  <c r="X20" i="1"/>
  <c r="T103" i="1"/>
  <c r="U11" i="1"/>
  <c r="T102" i="1"/>
  <c r="G16" i="14"/>
  <c r="N91" i="1"/>
  <c r="D28" i="14"/>
  <c r="C10" i="14"/>
  <c r="U106" i="1"/>
  <c r="M5" i="1"/>
  <c r="U115" i="1"/>
  <c r="X32" i="1"/>
  <c r="T21" i="1"/>
  <c r="G11" i="15"/>
  <c r="F31" i="14"/>
  <c r="U34" i="1"/>
  <c r="L78" i="1"/>
  <c r="U28" i="1"/>
  <c r="F11" i="14"/>
  <c r="K77" i="1"/>
  <c r="T8" i="1"/>
  <c r="K88" i="1"/>
  <c r="G32" i="14"/>
  <c r="H10" i="15"/>
  <c r="T112" i="1"/>
  <c r="H13" i="15"/>
  <c r="E91" i="1"/>
  <c r="L83" i="1"/>
  <c r="D20" i="14"/>
  <c r="X17" i="1"/>
  <c r="F20" i="14"/>
  <c r="U110" i="1"/>
  <c r="L88" i="1"/>
  <c r="N80" i="1"/>
  <c r="P25" i="1"/>
  <c r="G28" i="14"/>
  <c r="G7" i="15"/>
  <c r="N88" i="1"/>
  <c r="L82" i="1"/>
  <c r="Y9" i="1"/>
  <c r="E81" i="1"/>
  <c r="G22" i="14"/>
  <c r="K34" i="1"/>
  <c r="D46" i="1"/>
  <c r="E12" i="14"/>
  <c r="F90" i="1"/>
  <c r="H12" i="15"/>
  <c r="X15" i="1"/>
  <c r="G12" i="14"/>
  <c r="F13" i="14"/>
  <c r="N79" i="1"/>
  <c r="Q25" i="1"/>
  <c r="E14" i="14"/>
  <c r="N86" i="1"/>
  <c r="E27" i="14"/>
  <c r="H94" i="1"/>
  <c r="L85" i="1"/>
  <c r="E77" i="1"/>
  <c r="D33" i="14"/>
  <c r="L84" i="1"/>
  <c r="F14" i="14"/>
  <c r="Y23" i="1"/>
  <c r="N81" i="1"/>
  <c r="E87" i="1"/>
  <c r="E30" i="14"/>
  <c r="K91" i="1"/>
  <c r="L80" i="1"/>
  <c r="Y13" i="1"/>
  <c r="S12" i="1"/>
  <c r="T111" i="1"/>
  <c r="L91" i="1"/>
  <c r="E23" i="14"/>
  <c r="T32" i="1"/>
  <c r="G16" i="15"/>
  <c r="A48" i="1"/>
  <c r="T116" i="1"/>
  <c r="F79" i="1"/>
  <c r="O25" i="1"/>
  <c r="AC95" i="1"/>
  <c r="E28" i="14"/>
  <c r="F17" i="14"/>
  <c r="G9" i="15"/>
  <c r="U113" i="1"/>
  <c r="E85" i="1"/>
  <c r="E15" i="14"/>
  <c r="E75" i="1"/>
  <c r="F29" i="14"/>
  <c r="N77" i="1"/>
  <c r="K80" i="1"/>
  <c r="T18" i="1"/>
  <c r="U8" i="1"/>
  <c r="U18" i="1"/>
  <c r="Y12" i="1"/>
  <c r="D30" i="14"/>
  <c r="D25" i="14"/>
  <c r="U104" i="1"/>
  <c r="U10" i="1"/>
  <c r="O26" i="1"/>
  <c r="U17" i="1"/>
  <c r="D86" i="1"/>
  <c r="U105" i="1"/>
  <c r="E78" i="1"/>
  <c r="D17" i="14"/>
  <c r="T117" i="1"/>
  <c r="E80" i="1"/>
  <c r="H8" i="15"/>
  <c r="D77" i="1"/>
  <c r="G1" i="1"/>
  <c r="B94" i="1"/>
  <c r="O27" i="1"/>
  <c r="U116" i="1"/>
  <c r="N6" i="1"/>
  <c r="K79" i="1"/>
  <c r="E32" i="14"/>
  <c r="H7" i="15"/>
  <c r="D84" i="1"/>
  <c r="K76" i="1"/>
  <c r="U99" i="1"/>
  <c r="G15" i="14"/>
  <c r="F21" i="14"/>
  <c r="L77" i="1"/>
  <c r="T115" i="1"/>
  <c r="AE78" i="1"/>
  <c r="F77" i="1"/>
  <c r="T107" i="1"/>
  <c r="F18" i="14"/>
  <c r="F76" i="1"/>
  <c r="K82" i="1"/>
  <c r="P24" i="1"/>
  <c r="E82" i="1"/>
  <c r="F22" i="14"/>
  <c r="D76" i="1"/>
  <c r="H9" i="15"/>
  <c r="D31" i="14"/>
  <c r="W35" i="1"/>
  <c r="D83" i="1"/>
  <c r="G13" i="15"/>
  <c r="D82" i="1"/>
  <c r="F85" i="1"/>
  <c r="D23" i="14"/>
  <c r="N82" i="1"/>
  <c r="B1" i="1"/>
  <c r="D78" i="1"/>
  <c r="D24" i="14"/>
  <c r="V28" i="1"/>
  <c r="Y15" i="1"/>
  <c r="T17" i="1"/>
  <c r="D89" i="1"/>
  <c r="D75" i="1"/>
  <c r="E45" i="1"/>
  <c r="F89" i="1"/>
  <c r="X16" i="1"/>
  <c r="N90" i="1"/>
  <c r="U21" i="1"/>
  <c r="E16" i="14"/>
  <c r="G21" i="14"/>
  <c r="E89" i="1"/>
  <c r="U119" i="1"/>
  <c r="N76" i="1"/>
  <c r="W30" i="1"/>
  <c r="E46" i="1"/>
  <c r="E31" i="14"/>
  <c r="T105" i="1"/>
  <c r="T7" i="1"/>
  <c r="W32" i="1"/>
  <c r="U117" i="1"/>
  <c r="G30" i="14"/>
  <c r="G24" i="14"/>
  <c r="G10" i="15"/>
  <c r="H15" i="15"/>
  <c r="F91" i="1"/>
  <c r="D14" i="14"/>
  <c r="U12" i="1"/>
  <c r="U107" i="1"/>
  <c r="F32" i="14"/>
  <c r="P27" i="1"/>
  <c r="T106" i="1"/>
  <c r="T10" i="1"/>
  <c r="F15" i="14"/>
  <c r="S28" i="1"/>
  <c r="H6" i="15"/>
  <c r="D45" i="1"/>
  <c r="E79" i="1"/>
  <c r="D11" i="14"/>
  <c r="D80" i="1"/>
  <c r="C9" i="14"/>
  <c r="L79" i="1"/>
  <c r="D29" i="14"/>
  <c r="F16" i="14"/>
  <c r="D18" i="14"/>
  <c r="D21" i="14"/>
  <c r="E29" i="14"/>
  <c r="D85" i="1"/>
  <c r="Y14" i="1"/>
  <c r="F24" i="14"/>
  <c r="P26" i="1"/>
  <c r="D88" i="1"/>
  <c r="T6" i="1"/>
  <c r="L34" i="1"/>
  <c r="G11" i="14"/>
  <c r="X9" i="1"/>
  <c r="U118" i="1"/>
  <c r="Y20" i="1"/>
  <c r="G6" i="15"/>
  <c r="T99" i="1"/>
  <c r="U101" i="1"/>
  <c r="T11" i="1"/>
  <c r="T33" i="1"/>
  <c r="E19" i="14"/>
  <c r="F86" i="1"/>
  <c r="D16" i="14"/>
  <c r="D19" i="14"/>
  <c r="U111" i="1"/>
  <c r="X12" i="1"/>
  <c r="G31" i="14"/>
  <c r="V30" i="1"/>
  <c r="U35" i="1"/>
  <c r="T12" i="1"/>
  <c r="U108" i="1"/>
  <c r="Q26" i="1"/>
  <c r="K32" i="1"/>
  <c r="K85" i="1"/>
  <c r="G17" i="14"/>
  <c r="X34" i="1"/>
  <c r="G13" i="14"/>
  <c r="O24" i="1"/>
  <c r="E90" i="1"/>
  <c r="T118" i="1"/>
  <c r="N89" i="1"/>
  <c r="F81" i="1"/>
  <c r="L32" i="1"/>
  <c r="U36" i="1"/>
  <c r="D81" i="1"/>
  <c r="T28" i="1"/>
  <c r="N84" i="1"/>
  <c r="X23" i="1"/>
  <c r="H11" i="15"/>
  <c r="U22" i="1"/>
  <c r="N87" i="1"/>
  <c r="F12" i="14"/>
  <c r="C3" i="14"/>
  <c r="T36" i="1"/>
  <c r="K83" i="1"/>
  <c r="Y16" i="1"/>
  <c r="T22" i="1"/>
  <c r="H16" i="15"/>
  <c r="F23" i="14"/>
  <c r="X36" i="1"/>
  <c r="U6" i="1"/>
  <c r="E86" i="1"/>
  <c r="T104" i="1"/>
  <c r="F80" i="1"/>
  <c r="K84" i="1"/>
  <c r="D32" i="14"/>
  <c r="T109" i="1"/>
  <c r="E76" i="1"/>
  <c r="T100" i="1"/>
  <c r="D12" i="14"/>
  <c r="F33" i="14"/>
  <c r="F82" i="1"/>
  <c r="G14" i="15"/>
  <c r="F87" i="1"/>
  <c r="E20" i="14"/>
  <c r="G23" i="14"/>
  <c r="W36" i="1"/>
  <c r="E17" i="14"/>
  <c r="E22" i="14"/>
  <c r="Q27" i="1"/>
  <c r="N75" i="1"/>
  <c r="E24" i="14"/>
  <c r="Y17" i="1"/>
  <c r="X33" i="1"/>
  <c r="T108" i="1"/>
  <c r="U33" i="1"/>
  <c r="H14" i="15"/>
  <c r="T35" i="1"/>
  <c r="X35" i="1"/>
  <c r="F27" i="14"/>
  <c r="G33" i="14"/>
  <c r="U7" i="1"/>
  <c r="G18" i="14"/>
  <c r="S8" i="1"/>
  <c r="L75" i="1"/>
  <c r="G5" i="15"/>
  <c r="T119" i="1"/>
  <c r="X13" i="1"/>
  <c r="U32" i="1"/>
  <c r="F88" i="1"/>
  <c r="E18" i="14"/>
  <c r="G19" i="14"/>
  <c r="X14" i="1"/>
  <c r="T110" i="1"/>
  <c r="K81" i="1"/>
  <c r="D15" i="14"/>
  <c r="K78" i="1"/>
  <c r="T34" i="1"/>
  <c r="E88" i="1"/>
  <c r="D27" i="14"/>
  <c r="E13" i="14"/>
  <c r="N83" i="1"/>
  <c r="F75" i="1"/>
  <c r="U102" i="1"/>
  <c r="F30" i="14"/>
  <c r="N78" i="1"/>
  <c r="U103" i="1"/>
  <c r="U112" i="1"/>
  <c r="W34" i="1"/>
  <c r="G29" i="14"/>
  <c r="U109" i="1"/>
  <c r="H5" i="15"/>
  <c r="D90" i="1"/>
  <c r="E11" i="14"/>
  <c r="L76" i="1"/>
  <c r="G27" i="14"/>
  <c r="D13" i="14"/>
  <c r="D91" i="1"/>
  <c r="G12" i="15"/>
  <c r="G15" i="15"/>
  <c r="D79" i="1"/>
  <c r="N85" i="1"/>
  <c r="T113" i="1"/>
  <c r="E33" i="14"/>
  <c r="U114" i="1"/>
  <c r="Z33" i="1" l="1"/>
  <c r="G81" i="1"/>
  <c r="G77" i="1"/>
  <c r="C16" i="14"/>
  <c r="C28" i="14"/>
  <c r="G78" i="1"/>
  <c r="T19" i="1"/>
  <c r="M88" i="1"/>
  <c r="D5" i="1"/>
  <c r="D96" i="1" s="1"/>
  <c r="C14" i="14"/>
  <c r="M80" i="1"/>
  <c r="I5" i="1"/>
  <c r="V20" i="1"/>
  <c r="M82" i="1"/>
  <c r="M77" i="1"/>
  <c r="R23" i="1"/>
  <c r="U23" i="1"/>
  <c r="V15" i="1"/>
  <c r="C27" i="14"/>
  <c r="M83" i="1"/>
  <c r="V9" i="1"/>
  <c r="G89" i="1"/>
  <c r="G75" i="1"/>
  <c r="G88" i="1"/>
  <c r="C17" i="14"/>
  <c r="V23" i="1"/>
  <c r="C13" i="14"/>
  <c r="Z34" i="1"/>
  <c r="T23" i="1"/>
  <c r="G85" i="1"/>
  <c r="M78" i="1"/>
  <c r="AA35" i="1"/>
  <c r="V12" i="1"/>
  <c r="O10" i="14"/>
  <c r="C15" i="14"/>
  <c r="C23" i="14"/>
  <c r="C22" i="14"/>
  <c r="M76" i="1"/>
  <c r="M81" i="1"/>
  <c r="G82" i="1"/>
  <c r="AA36" i="1"/>
  <c r="V16" i="1"/>
  <c r="C25" i="14"/>
  <c r="O25" i="14" s="1"/>
  <c r="G76" i="1"/>
  <c r="V14" i="1"/>
  <c r="C11" i="14"/>
  <c r="O11" i="14" s="1"/>
  <c r="C31" i="14"/>
  <c r="E5" i="1"/>
  <c r="E96" i="1" s="1"/>
  <c r="E99" i="1" s="1"/>
  <c r="M91" i="1"/>
  <c r="V17" i="1"/>
  <c r="H5" i="1"/>
  <c r="G80" i="1"/>
  <c r="Z36" i="1"/>
  <c r="M79" i="1"/>
  <c r="AA34" i="1"/>
  <c r="C20" i="14"/>
  <c r="N5" i="1"/>
  <c r="X78" i="1"/>
  <c r="G87" i="1"/>
  <c r="G90" i="1"/>
  <c r="C21" i="14"/>
  <c r="U19" i="1"/>
  <c r="G91" i="1"/>
  <c r="M75" i="1"/>
  <c r="AA32" i="1"/>
  <c r="C32" i="14"/>
  <c r="O32" i="14" s="1"/>
  <c r="C18" i="14"/>
  <c r="W114" i="1"/>
  <c r="V103" i="1"/>
  <c r="W118" i="1"/>
  <c r="W103" i="1"/>
  <c r="V107" i="1"/>
  <c r="V109" i="1"/>
  <c r="W106" i="1"/>
  <c r="W116" i="1"/>
  <c r="W101" i="1"/>
  <c r="W100" i="1"/>
  <c r="W115" i="1"/>
  <c r="V102" i="1"/>
  <c r="W99" i="1"/>
  <c r="W109" i="1"/>
  <c r="V111" i="1"/>
  <c r="V112" i="1"/>
  <c r="V110" i="1"/>
  <c r="V101" i="1"/>
  <c r="W111" i="1"/>
  <c r="W113" i="1"/>
  <c r="V106" i="1"/>
  <c r="W117" i="1"/>
  <c r="W104" i="1"/>
  <c r="V114" i="1"/>
  <c r="W119" i="1"/>
  <c r="W105" i="1"/>
  <c r="V100" i="1"/>
  <c r="W102" i="1"/>
  <c r="V116" i="1"/>
  <c r="V113" i="1"/>
  <c r="V105" i="1"/>
  <c r="W107" i="1"/>
  <c r="V104" i="1"/>
  <c r="V99" i="1"/>
  <c r="V108" i="1"/>
  <c r="V118" i="1"/>
  <c r="W112" i="1"/>
  <c r="V117" i="1"/>
  <c r="V115" i="1"/>
  <c r="W108" i="1"/>
  <c r="V119" i="1"/>
  <c r="W110" i="1"/>
  <c r="V13" i="1"/>
  <c r="C30" i="14"/>
  <c r="M84" i="1"/>
  <c r="Z35" i="1"/>
  <c r="C19" i="14"/>
  <c r="C29" i="14"/>
  <c r="C24" i="14"/>
  <c r="Z32" i="1"/>
  <c r="Y106" i="1"/>
  <c r="Y114" i="1"/>
  <c r="Y103" i="1"/>
  <c r="X99" i="1"/>
  <c r="X101" i="1"/>
  <c r="X105" i="1"/>
  <c r="Y105" i="1"/>
  <c r="Y116" i="1"/>
  <c r="Y104" i="1"/>
  <c r="X116" i="1"/>
  <c r="Z116" i="1" s="1"/>
  <c r="X100" i="1"/>
  <c r="Y99" i="1"/>
  <c r="Y115" i="1"/>
  <c r="Y113" i="1"/>
  <c r="X112" i="1"/>
  <c r="X113" i="1"/>
  <c r="Y101" i="1"/>
  <c r="Y112" i="1"/>
  <c r="X117" i="1"/>
  <c r="X103" i="1"/>
  <c r="X102" i="1"/>
  <c r="Y109" i="1"/>
  <c r="Y108" i="1"/>
  <c r="X106" i="1"/>
  <c r="X108" i="1"/>
  <c r="X107" i="1"/>
  <c r="Y118" i="1"/>
  <c r="AA118" i="1" s="1"/>
  <c r="Y111" i="1"/>
  <c r="Y119" i="1"/>
  <c r="X109" i="1"/>
  <c r="X115" i="1"/>
  <c r="X118" i="1"/>
  <c r="Y107" i="1"/>
  <c r="Y102" i="1"/>
  <c r="X114" i="1"/>
  <c r="Y100" i="1"/>
  <c r="X119" i="1"/>
  <c r="X104" i="1"/>
  <c r="Y117" i="1"/>
  <c r="Y110" i="1"/>
  <c r="X111" i="1"/>
  <c r="X110" i="1"/>
  <c r="G79" i="1"/>
  <c r="C33" i="14"/>
  <c r="O33" i="14" s="1"/>
  <c r="AA33" i="1"/>
  <c r="C12" i="14"/>
  <c r="G86" i="1"/>
  <c r="M85" i="1"/>
  <c r="X45" i="1"/>
  <c r="A2" i="1"/>
  <c r="I88" i="1"/>
  <c r="I82" i="1"/>
  <c r="H79" i="1"/>
  <c r="H82" i="1"/>
  <c r="I75" i="1"/>
  <c r="I77" i="1"/>
  <c r="I85" i="1"/>
  <c r="I79" i="1"/>
  <c r="H91" i="1"/>
  <c r="H90" i="1"/>
  <c r="H80" i="1"/>
  <c r="I84" i="1"/>
  <c r="I76" i="1"/>
  <c r="I91" i="1"/>
  <c r="H75" i="1"/>
  <c r="I81" i="1"/>
  <c r="H89" i="1"/>
  <c r="I80" i="1"/>
  <c r="H84" i="1"/>
  <c r="H86" i="1"/>
  <c r="H77" i="1"/>
  <c r="H76" i="1"/>
  <c r="I86" i="1"/>
  <c r="I87" i="1"/>
  <c r="I83" i="1"/>
  <c r="H83" i="1"/>
  <c r="H81" i="1"/>
  <c r="H87" i="1"/>
  <c r="I89" i="1"/>
  <c r="I78" i="1"/>
  <c r="H88" i="1"/>
  <c r="I90" i="1"/>
  <c r="H78" i="1"/>
  <c r="H85" i="1"/>
  <c r="AA107" i="1" l="1"/>
  <c r="Z112" i="1"/>
  <c r="AA117" i="1"/>
  <c r="AA109" i="1"/>
  <c r="Z117" i="1"/>
  <c r="Z113" i="1"/>
  <c r="Z107" i="1"/>
  <c r="AA105" i="1"/>
  <c r="Z119" i="1"/>
  <c r="Z103" i="1"/>
  <c r="AA112" i="1"/>
  <c r="AC112" i="1" s="1"/>
  <c r="AA101" i="1"/>
  <c r="AA106" i="1"/>
  <c r="AC106" i="1" s="1"/>
  <c r="AA111" i="1"/>
  <c r="AA108" i="1"/>
  <c r="Z111" i="1"/>
  <c r="AA103" i="1"/>
  <c r="AA102" i="1"/>
  <c r="AA119" i="1"/>
  <c r="Z118" i="1"/>
  <c r="AA99" i="1"/>
  <c r="U9" i="1" s="1"/>
  <c r="E110" i="1"/>
  <c r="E97" i="1"/>
  <c r="Z108" i="1"/>
  <c r="E100" i="1"/>
  <c r="Z106" i="1"/>
  <c r="AA116" i="1"/>
  <c r="E118" i="1"/>
  <c r="AB35" i="1"/>
  <c r="E108" i="1"/>
  <c r="Z104" i="1"/>
  <c r="E104" i="1"/>
  <c r="Z115" i="1"/>
  <c r="Z102" i="1"/>
  <c r="Z101" i="1"/>
  <c r="E98" i="1"/>
  <c r="E111" i="1"/>
  <c r="E107" i="1"/>
  <c r="E103" i="1"/>
  <c r="E109" i="1"/>
  <c r="E119" i="1"/>
  <c r="AA110" i="1"/>
  <c r="Z105" i="1"/>
  <c r="Z114" i="1"/>
  <c r="E114" i="1"/>
  <c r="AC107" i="1"/>
  <c r="E102" i="1"/>
  <c r="E105" i="1"/>
  <c r="E116" i="1"/>
  <c r="E106" i="1"/>
  <c r="AA115" i="1"/>
  <c r="E115" i="1"/>
  <c r="AB36" i="1"/>
  <c r="Z100" i="1"/>
  <c r="Z110" i="1"/>
  <c r="E112" i="1"/>
  <c r="E113" i="1"/>
  <c r="AA104" i="1"/>
  <c r="AC104" i="1" s="1"/>
  <c r="E101" i="1"/>
  <c r="E117" i="1"/>
  <c r="O84" i="1"/>
  <c r="J84" i="1"/>
  <c r="O75" i="1"/>
  <c r="J75" i="1"/>
  <c r="P84" i="1"/>
  <c r="P90" i="1"/>
  <c r="P75" i="1"/>
  <c r="O90" i="1"/>
  <c r="J90" i="1"/>
  <c r="P85" i="1"/>
  <c r="O82" i="1"/>
  <c r="J82" i="1"/>
  <c r="P82" i="1"/>
  <c r="O85" i="1"/>
  <c r="J85" i="1"/>
  <c r="O83" i="1"/>
  <c r="J83" i="1"/>
  <c r="O86" i="1"/>
  <c r="J86" i="1"/>
  <c r="P83" i="1"/>
  <c r="P87" i="1"/>
  <c r="J87" i="1"/>
  <c r="O87" i="1"/>
  <c r="P86" i="1"/>
  <c r="P80" i="1"/>
  <c r="P91" i="1"/>
  <c r="J80" i="1"/>
  <c r="O80" i="1"/>
  <c r="J77" i="1"/>
  <c r="O77" i="1"/>
  <c r="P79" i="1"/>
  <c r="O91" i="1"/>
  <c r="J91" i="1"/>
  <c r="P77" i="1"/>
  <c r="J79" i="1"/>
  <c r="O79" i="1"/>
  <c r="P88" i="1"/>
  <c r="J78" i="1"/>
  <c r="O78" i="1"/>
  <c r="O88" i="1"/>
  <c r="J88" i="1"/>
  <c r="P78" i="1"/>
  <c r="P81" i="1"/>
  <c r="P89" i="1"/>
  <c r="J81" i="1"/>
  <c r="O81" i="1"/>
  <c r="O76" i="1"/>
  <c r="J76" i="1"/>
  <c r="J89" i="1"/>
  <c r="O89" i="1"/>
  <c r="P76" i="1"/>
  <c r="L15" i="14"/>
  <c r="O15" i="14"/>
  <c r="P30" i="14"/>
  <c r="O30" i="14"/>
  <c r="H30" i="14"/>
  <c r="O28" i="14"/>
  <c r="P28" i="14"/>
  <c r="H27" i="14"/>
  <c r="O27" i="14"/>
  <c r="L16" i="14"/>
  <c r="O16" i="14"/>
  <c r="AA100" i="1"/>
  <c r="Z99" i="1"/>
  <c r="Q21" i="14"/>
  <c r="P21" i="14"/>
  <c r="AA114" i="1"/>
  <c r="AC114" i="1" s="1"/>
  <c r="Q23" i="1"/>
  <c r="Q29" i="1"/>
  <c r="I96" i="1"/>
  <c r="AB32" i="1"/>
  <c r="P24" i="14"/>
  <c r="Q24" i="14"/>
  <c r="J96" i="1"/>
  <c r="Z109" i="1"/>
  <c r="AA113" i="1"/>
  <c r="P29" i="14"/>
  <c r="H29" i="14"/>
  <c r="O29" i="14"/>
  <c r="AB34" i="1"/>
  <c r="P19" i="14"/>
  <c r="Q19" i="14"/>
  <c r="Y25" i="1"/>
  <c r="P31" i="14"/>
  <c r="A31" i="14"/>
  <c r="O31" i="14"/>
  <c r="H31" i="14"/>
  <c r="O13" i="14"/>
  <c r="L13" i="14"/>
  <c r="O14" i="14"/>
  <c r="L14" i="14"/>
  <c r="L12" i="14"/>
  <c r="O12" i="14"/>
  <c r="Q18" i="14"/>
  <c r="P18" i="14"/>
  <c r="O18" i="14" s="1"/>
  <c r="Q22" i="14"/>
  <c r="P22" i="14"/>
  <c r="L17" i="14"/>
  <c r="O17" i="14"/>
  <c r="Q20" i="14"/>
  <c r="P20" i="14"/>
  <c r="P23" i="14"/>
  <c r="Q23" i="14"/>
  <c r="D99" i="1"/>
  <c r="D109" i="1"/>
  <c r="D115" i="1"/>
  <c r="D113" i="1"/>
  <c r="D105" i="1"/>
  <c r="D107" i="1"/>
  <c r="D116" i="1"/>
  <c r="D111" i="1"/>
  <c r="D106" i="1"/>
  <c r="D119" i="1"/>
  <c r="D112" i="1"/>
  <c r="D110" i="1"/>
  <c r="D114" i="1"/>
  <c r="D103" i="1"/>
  <c r="D97" i="1"/>
  <c r="D108" i="1"/>
  <c r="D101" i="1"/>
  <c r="D117" i="1"/>
  <c r="D104" i="1"/>
  <c r="D100" i="1"/>
  <c r="D118" i="1"/>
  <c r="D98" i="1"/>
  <c r="D102" i="1"/>
  <c r="AB33" i="1"/>
  <c r="G27" i="1"/>
  <c r="S7" i="1"/>
  <c r="P117" i="1"/>
  <c r="J16" i="1"/>
  <c r="G10" i="1"/>
  <c r="G17" i="1"/>
  <c r="G21" i="1"/>
  <c r="X49" i="1"/>
  <c r="P109" i="1"/>
  <c r="X58" i="1"/>
  <c r="G12" i="1"/>
  <c r="J14" i="1"/>
  <c r="S11" i="1"/>
  <c r="G22" i="1"/>
  <c r="J24" i="1"/>
  <c r="G16" i="1"/>
  <c r="P118" i="1"/>
  <c r="X47" i="1"/>
  <c r="X59" i="1"/>
  <c r="P106" i="1"/>
  <c r="C20" i="1"/>
  <c r="P115" i="1"/>
  <c r="J20" i="1"/>
  <c r="X65" i="1"/>
  <c r="X50" i="1"/>
  <c r="P101" i="1"/>
  <c r="G9" i="1"/>
  <c r="C18" i="1"/>
  <c r="G25" i="1"/>
  <c r="G23" i="1"/>
  <c r="J17" i="1"/>
  <c r="C5" i="1"/>
  <c r="G6" i="1"/>
  <c r="P114" i="1"/>
  <c r="X48" i="1"/>
  <c r="C14" i="1"/>
  <c r="C24" i="1"/>
  <c r="X56" i="1"/>
  <c r="X54" i="1"/>
  <c r="X61" i="1"/>
  <c r="J21" i="1"/>
  <c r="P119" i="1"/>
  <c r="C27" i="1"/>
  <c r="G26" i="1"/>
  <c r="G14" i="1"/>
  <c r="C11" i="1"/>
  <c r="G8" i="1"/>
  <c r="X60" i="1"/>
  <c r="X62" i="1"/>
  <c r="C19" i="1"/>
  <c r="C21" i="1"/>
  <c r="C6" i="1"/>
  <c r="C9" i="1"/>
  <c r="P103" i="1"/>
  <c r="X66" i="1"/>
  <c r="P113" i="1"/>
  <c r="G13" i="1"/>
  <c r="P96" i="1"/>
  <c r="J5" i="1"/>
  <c r="G20" i="1"/>
  <c r="G24" i="1"/>
  <c r="P111" i="1"/>
  <c r="P104" i="1"/>
  <c r="C25" i="1"/>
  <c r="P107" i="1"/>
  <c r="J19" i="1"/>
  <c r="C8" i="1"/>
  <c r="J22" i="1"/>
  <c r="J27" i="1"/>
  <c r="P97" i="1"/>
  <c r="J13" i="1"/>
  <c r="X52" i="1"/>
  <c r="C12" i="1"/>
  <c r="J6" i="1"/>
  <c r="P98" i="1"/>
  <c r="J18" i="1"/>
  <c r="G19" i="1"/>
  <c r="G5" i="1"/>
  <c r="G15" i="1"/>
  <c r="C10" i="1"/>
  <c r="X46" i="1"/>
  <c r="X51" i="1"/>
  <c r="P100" i="1"/>
  <c r="C23" i="1"/>
  <c r="C13" i="1"/>
  <c r="C26" i="1"/>
  <c r="X57" i="1"/>
  <c r="P108" i="1"/>
  <c r="G18" i="1"/>
  <c r="C16" i="1"/>
  <c r="P112" i="1"/>
  <c r="P110" i="1"/>
  <c r="P102" i="1"/>
  <c r="X55" i="1"/>
  <c r="J25" i="1"/>
  <c r="C22" i="1"/>
  <c r="C15" i="1"/>
  <c r="P116" i="1"/>
  <c r="C17" i="1"/>
  <c r="X64" i="1"/>
  <c r="P105" i="1"/>
  <c r="J23" i="1"/>
  <c r="X63" i="1"/>
  <c r="X53" i="1"/>
  <c r="G11" i="1"/>
  <c r="J15" i="1"/>
  <c r="J12" i="1"/>
  <c r="J26" i="1"/>
  <c r="J8" i="1"/>
  <c r="AB109" i="1" l="1"/>
  <c r="AB119" i="1"/>
  <c r="AB101" i="1"/>
  <c r="AC119" i="1"/>
  <c r="AC102" i="1"/>
  <c r="AC108" i="1"/>
  <c r="AB111" i="1"/>
  <c r="AC110" i="1"/>
  <c r="AB108" i="1"/>
  <c r="AC105" i="1"/>
  <c r="AC115" i="1"/>
  <c r="AC99" i="1"/>
  <c r="U13" i="1"/>
  <c r="AC113" i="1"/>
  <c r="AC100" i="1"/>
  <c r="AC101" i="1"/>
  <c r="AB102" i="1"/>
  <c r="Q80" i="1"/>
  <c r="AC117" i="1"/>
  <c r="AC118" i="1"/>
  <c r="AC116" i="1"/>
  <c r="H2" i="1"/>
  <c r="H3" i="1" s="1"/>
  <c r="AB114" i="1"/>
  <c r="AB116" i="1"/>
  <c r="AB112" i="1"/>
  <c r="AB107" i="1"/>
  <c r="AB115" i="1"/>
  <c r="AC103" i="1"/>
  <c r="AC111" i="1"/>
  <c r="AB110" i="1"/>
  <c r="AB104" i="1"/>
  <c r="AB100" i="1"/>
  <c r="Q88" i="1"/>
  <c r="Q87" i="1"/>
  <c r="AC109" i="1"/>
  <c r="AB106" i="1"/>
  <c r="AB113" i="1"/>
  <c r="AB118" i="1"/>
  <c r="Q91" i="1"/>
  <c r="Q83" i="1"/>
  <c r="AB117" i="1"/>
  <c r="Q76" i="1"/>
  <c r="Q81" i="1"/>
  <c r="Q85" i="1"/>
  <c r="Q77" i="1"/>
  <c r="Q90" i="1"/>
  <c r="F16" i="1"/>
  <c r="G108" i="1" s="1"/>
  <c r="H108" i="1"/>
  <c r="H113" i="1"/>
  <c r="F21" i="1"/>
  <c r="G113" i="1" s="1"/>
  <c r="K12" i="1"/>
  <c r="K104" i="1"/>
  <c r="W75" i="1"/>
  <c r="Q116" i="1"/>
  <c r="Q112" i="1"/>
  <c r="F18" i="1"/>
  <c r="G110" i="1" s="1"/>
  <c r="H110" i="1"/>
  <c r="F24" i="1"/>
  <c r="G116" i="1" s="1"/>
  <c r="H116" i="1"/>
  <c r="F15" i="1"/>
  <c r="G107" i="1" s="1"/>
  <c r="H107" i="1"/>
  <c r="Q97" i="1"/>
  <c r="F20" i="1"/>
  <c r="G112" i="1" s="1"/>
  <c r="H112" i="1"/>
  <c r="C113" i="1"/>
  <c r="B21" i="1"/>
  <c r="B113" i="1" s="1"/>
  <c r="Q119" i="1"/>
  <c r="F9" i="1"/>
  <c r="G101" i="1" s="1"/>
  <c r="H101" i="1"/>
  <c r="J9" i="1"/>
  <c r="K26" i="1"/>
  <c r="K118" i="1"/>
  <c r="F6" i="1"/>
  <c r="G97" i="1" s="1"/>
  <c r="H97" i="1"/>
  <c r="K24" i="1"/>
  <c r="K116" i="1"/>
  <c r="H109" i="1"/>
  <c r="F17" i="1"/>
  <c r="G109" i="1" s="1"/>
  <c r="B17" i="1"/>
  <c r="B109" i="1" s="1"/>
  <c r="C109" i="1"/>
  <c r="B15" i="1"/>
  <c r="B107" i="1" s="1"/>
  <c r="C107" i="1"/>
  <c r="F14" i="1"/>
  <c r="G106" i="1" s="1"/>
  <c r="H106" i="1"/>
  <c r="K105" i="1"/>
  <c r="W76" i="1"/>
  <c r="K13" i="1"/>
  <c r="L105" i="1" s="1"/>
  <c r="H96" i="1"/>
  <c r="G7" i="1"/>
  <c r="K27" i="1"/>
  <c r="K119" i="1"/>
  <c r="R6" i="1"/>
  <c r="R10" i="1"/>
  <c r="K96" i="1"/>
  <c r="K99" i="1" s="1"/>
  <c r="J7" i="1"/>
  <c r="K8" i="1" s="1"/>
  <c r="C119" i="1"/>
  <c r="B27" i="1"/>
  <c r="B119" i="1" s="1"/>
  <c r="K113" i="1"/>
  <c r="K21" i="1"/>
  <c r="Q105" i="1"/>
  <c r="C96" i="1"/>
  <c r="C99" i="1" s="1"/>
  <c r="C7" i="1"/>
  <c r="K112" i="1"/>
  <c r="W79" i="1"/>
  <c r="K20" i="1"/>
  <c r="L112" i="1" s="1"/>
  <c r="H114" i="1"/>
  <c r="F22" i="1"/>
  <c r="G114" i="1" s="1"/>
  <c r="F10" i="1"/>
  <c r="G102" i="1" s="1"/>
  <c r="H102" i="1"/>
  <c r="J10" i="1"/>
  <c r="K107" i="1"/>
  <c r="K15" i="1"/>
  <c r="B22" i="1"/>
  <c r="B114" i="1" s="1"/>
  <c r="C114" i="1"/>
  <c r="H118" i="1"/>
  <c r="F26" i="1"/>
  <c r="G118" i="1" s="1"/>
  <c r="C118" i="1"/>
  <c r="B26" i="1"/>
  <c r="B118" i="1" s="1"/>
  <c r="F19" i="1"/>
  <c r="G111" i="1" s="1"/>
  <c r="H111" i="1"/>
  <c r="K114" i="1"/>
  <c r="K22" i="1"/>
  <c r="P99" i="1"/>
  <c r="C111" i="1"/>
  <c r="B19" i="1"/>
  <c r="B111" i="1" s="1"/>
  <c r="K109" i="1"/>
  <c r="K17" i="1"/>
  <c r="Q115" i="1"/>
  <c r="K108" i="1"/>
  <c r="K16" i="1"/>
  <c r="F11" i="1"/>
  <c r="G103" i="1" s="1"/>
  <c r="H103" i="1"/>
  <c r="J11" i="1"/>
  <c r="K25" i="1"/>
  <c r="K117" i="1"/>
  <c r="Q111" i="1"/>
  <c r="B13" i="1"/>
  <c r="B105" i="1" s="1"/>
  <c r="C105" i="1"/>
  <c r="K110" i="1"/>
  <c r="K18" i="1"/>
  <c r="C100" i="1"/>
  <c r="B8" i="1"/>
  <c r="B100" i="1" s="1"/>
  <c r="H105" i="1"/>
  <c r="F13" i="1"/>
  <c r="G105" i="1" s="1"/>
  <c r="Q109" i="1"/>
  <c r="Q101" i="1"/>
  <c r="H115" i="1"/>
  <c r="F23" i="1"/>
  <c r="G115" i="1" s="1"/>
  <c r="B20" i="1"/>
  <c r="B112" i="1" s="1"/>
  <c r="C112" i="1"/>
  <c r="K106" i="1"/>
  <c r="K14" i="1"/>
  <c r="Q117" i="1"/>
  <c r="Q104" i="1"/>
  <c r="B10" i="1"/>
  <c r="B102" i="1" s="1"/>
  <c r="C102" i="1"/>
  <c r="C115" i="1"/>
  <c r="B23" i="1"/>
  <c r="B115" i="1" s="1"/>
  <c r="Q98" i="1"/>
  <c r="W81" i="1"/>
  <c r="K19" i="1"/>
  <c r="K111" i="1"/>
  <c r="Q113" i="1"/>
  <c r="Q114" i="1"/>
  <c r="H117" i="1"/>
  <c r="F25" i="1"/>
  <c r="G117" i="1" s="1"/>
  <c r="Q106" i="1"/>
  <c r="F12" i="1"/>
  <c r="G104" i="1" s="1"/>
  <c r="H104" i="1"/>
  <c r="Q102" i="1"/>
  <c r="B9" i="1"/>
  <c r="B101" i="1" s="1"/>
  <c r="C101" i="1"/>
  <c r="C97" i="1"/>
  <c r="B6" i="1"/>
  <c r="B97" i="1" s="1"/>
  <c r="Q100" i="1"/>
  <c r="K6" i="1"/>
  <c r="L97" i="1" s="1"/>
  <c r="K97" i="1"/>
  <c r="Q107" i="1"/>
  <c r="H100" i="1"/>
  <c r="F8" i="1"/>
  <c r="G100" i="1" s="1"/>
  <c r="B24" i="1"/>
  <c r="B116" i="1" s="1"/>
  <c r="C116" i="1"/>
  <c r="K100" i="1"/>
  <c r="Q118" i="1"/>
  <c r="C110" i="1"/>
  <c r="B18" i="1"/>
  <c r="B110" i="1" s="1"/>
  <c r="H119" i="1"/>
  <c r="F27" i="1"/>
  <c r="G119" i="1" s="1"/>
  <c r="K115" i="1"/>
  <c r="K23" i="1"/>
  <c r="O23" i="1" s="1"/>
  <c r="Q110" i="1"/>
  <c r="B16" i="1"/>
  <c r="B108" i="1" s="1"/>
  <c r="C108" i="1"/>
  <c r="Q108" i="1"/>
  <c r="B12" i="1"/>
  <c r="B104" i="1" s="1"/>
  <c r="C104" i="1"/>
  <c r="C117" i="1"/>
  <c r="B25" i="1"/>
  <c r="B117" i="1" s="1"/>
  <c r="Q103" i="1"/>
  <c r="C103" i="1"/>
  <c r="B11" i="1"/>
  <c r="B103" i="1" s="1"/>
  <c r="C106" i="1"/>
  <c r="B14" i="1"/>
  <c r="B106" i="1" s="1"/>
  <c r="J99" i="1"/>
  <c r="J112" i="1"/>
  <c r="J97" i="1"/>
  <c r="J105" i="1"/>
  <c r="J109" i="1"/>
  <c r="J103" i="1"/>
  <c r="J102" i="1"/>
  <c r="J101" i="1"/>
  <c r="J115" i="1"/>
  <c r="J106" i="1"/>
  <c r="J108" i="1"/>
  <c r="J104" i="1"/>
  <c r="J107" i="1"/>
  <c r="M24" i="14"/>
  <c r="O24" i="14"/>
  <c r="Q22" i="1"/>
  <c r="Q21" i="1" s="1"/>
  <c r="Q20" i="1" s="1"/>
  <c r="M23" i="14"/>
  <c r="O23" i="14"/>
  <c r="Q82" i="1"/>
  <c r="O21" i="14"/>
  <c r="M21" i="14"/>
  <c r="U26" i="1"/>
  <c r="U25" i="1"/>
  <c r="Q78" i="1"/>
  <c r="AB99" i="1"/>
  <c r="G2" i="1"/>
  <c r="T13" i="1"/>
  <c r="T9" i="1"/>
  <c r="AB103" i="1"/>
  <c r="O19" i="14"/>
  <c r="M19" i="14"/>
  <c r="I99" i="1"/>
  <c r="I107" i="1"/>
  <c r="I109" i="1"/>
  <c r="I108" i="1"/>
  <c r="I112" i="1"/>
  <c r="I102" i="1"/>
  <c r="I106" i="1"/>
  <c r="I101" i="1"/>
  <c r="I104" i="1"/>
  <c r="I97" i="1"/>
  <c r="I115" i="1"/>
  <c r="I105" i="1"/>
  <c r="I103" i="1"/>
  <c r="Q79" i="1"/>
  <c r="AB105" i="1"/>
  <c r="Q75" i="1"/>
  <c r="M22" i="14"/>
  <c r="O22" i="14"/>
  <c r="Q89" i="1"/>
  <c r="Q86" i="1"/>
  <c r="O20" i="14"/>
  <c r="M20" i="14"/>
  <c r="Q84" i="1"/>
  <c r="P23" i="1" l="1"/>
  <c r="N23" i="1" s="1"/>
  <c r="O34" i="1"/>
  <c r="N104" i="1"/>
  <c r="N119" i="1"/>
  <c r="N114" i="1"/>
  <c r="N118" i="1"/>
  <c r="N109" i="1"/>
  <c r="N107" i="1"/>
  <c r="K102" i="1"/>
  <c r="K10" i="1"/>
  <c r="L102" i="1" s="1"/>
  <c r="N102" i="1"/>
  <c r="L18" i="1"/>
  <c r="M18" i="1"/>
  <c r="W82" i="1"/>
  <c r="L110" i="1"/>
  <c r="L116" i="1"/>
  <c r="AB6" i="1"/>
  <c r="M24" i="1" s="1"/>
  <c r="I24" i="1" s="1"/>
  <c r="J116" i="1" s="1"/>
  <c r="AA6" i="1"/>
  <c r="L24" i="1" s="1"/>
  <c r="H24" i="1" s="1"/>
  <c r="I116" i="1" s="1"/>
  <c r="N116" i="1"/>
  <c r="L114" i="1"/>
  <c r="L22" i="1"/>
  <c r="M22" i="1"/>
  <c r="L119" i="1"/>
  <c r="AA9" i="1"/>
  <c r="L27" i="1" s="1"/>
  <c r="H27" i="1" s="1"/>
  <c r="I119" i="1" s="1"/>
  <c r="AB9" i="1"/>
  <c r="M27" i="1" s="1"/>
  <c r="I27" i="1" s="1"/>
  <c r="J119" i="1" s="1"/>
  <c r="N97" i="1"/>
  <c r="H98" i="1"/>
  <c r="F7" i="1"/>
  <c r="G98" i="1" s="1"/>
  <c r="N110" i="1"/>
  <c r="L100" i="1"/>
  <c r="L106" i="1"/>
  <c r="W77" i="1"/>
  <c r="N111" i="1"/>
  <c r="AD79" i="1"/>
  <c r="AC79" i="1" s="1"/>
  <c r="V79" i="1"/>
  <c r="H99" i="1"/>
  <c r="N96" i="1"/>
  <c r="N99" i="1" s="1"/>
  <c r="L118" i="1"/>
  <c r="AA8" i="1"/>
  <c r="L26" i="1" s="1"/>
  <c r="H26" i="1" s="1"/>
  <c r="I118" i="1" s="1"/>
  <c r="AB8" i="1"/>
  <c r="M26" i="1" s="1"/>
  <c r="I26" i="1" s="1"/>
  <c r="J118" i="1" s="1"/>
  <c r="L117" i="1"/>
  <c r="AB7" i="1"/>
  <c r="M25" i="1" s="1"/>
  <c r="I25" i="1" s="1"/>
  <c r="J117" i="1" s="1"/>
  <c r="AA7" i="1"/>
  <c r="L25" i="1" s="1"/>
  <c r="H25" i="1" s="1"/>
  <c r="I117" i="1" s="1"/>
  <c r="C98" i="1"/>
  <c r="B7" i="1"/>
  <c r="B98" i="1" s="1"/>
  <c r="AD76" i="1"/>
  <c r="AC76" i="1" s="1"/>
  <c r="V76" i="1"/>
  <c r="K9" i="1"/>
  <c r="L101" i="1" s="1"/>
  <c r="K101" i="1"/>
  <c r="N117" i="1"/>
  <c r="K103" i="1"/>
  <c r="K11" i="1"/>
  <c r="L103" i="1" s="1"/>
  <c r="N101" i="1"/>
  <c r="AD75" i="1"/>
  <c r="AC75" i="1" s="1"/>
  <c r="V75" i="1"/>
  <c r="N103" i="1"/>
  <c r="N106" i="1"/>
  <c r="N100" i="1"/>
  <c r="N115" i="1"/>
  <c r="L21" i="1"/>
  <c r="M21" i="1"/>
  <c r="L113" i="1"/>
  <c r="L104" i="1"/>
  <c r="W85" i="1"/>
  <c r="L108" i="1"/>
  <c r="W83" i="1"/>
  <c r="Q19" i="1"/>
  <c r="Q18" i="1" s="1"/>
  <c r="Q17" i="1" s="1"/>
  <c r="O33" i="1" s="1"/>
  <c r="P20" i="1"/>
  <c r="O20" i="1"/>
  <c r="L19" i="1"/>
  <c r="L111" i="1"/>
  <c r="N113" i="1"/>
  <c r="G3" i="1"/>
  <c r="J37" i="1"/>
  <c r="H35" i="1" s="1"/>
  <c r="X79" i="1"/>
  <c r="AD81" i="1"/>
  <c r="AC81" i="1" s="1"/>
  <c r="V81" i="1"/>
  <c r="W84" i="1"/>
  <c r="L107" i="1"/>
  <c r="N112" i="1"/>
  <c r="N108" i="1"/>
  <c r="L115" i="1"/>
  <c r="W80" i="1"/>
  <c r="N105" i="1"/>
  <c r="W78" i="1"/>
  <c r="L109" i="1"/>
  <c r="K7" i="1"/>
  <c r="K98" i="1"/>
  <c r="I22" i="1" l="1"/>
  <c r="J114" i="1" s="1"/>
  <c r="P22" i="1"/>
  <c r="H22" i="1"/>
  <c r="I114" i="1" s="1"/>
  <c r="O22" i="1"/>
  <c r="N22" i="1" s="1"/>
  <c r="Q16" i="1"/>
  <c r="P17" i="1"/>
  <c r="O17" i="1"/>
  <c r="Q32" i="1"/>
  <c r="T1" i="1"/>
  <c r="AD83" i="1"/>
  <c r="AC83" i="1" s="1"/>
  <c r="V83" i="1"/>
  <c r="M8" i="1"/>
  <c r="AD77" i="1"/>
  <c r="AC77" i="1" s="1"/>
  <c r="V77" i="1"/>
  <c r="I21" i="1"/>
  <c r="J113" i="1" s="1"/>
  <c r="P21" i="1"/>
  <c r="L8" i="1"/>
  <c r="U1" i="1"/>
  <c r="H32" i="1"/>
  <c r="G35" i="1"/>
  <c r="I35" i="1" s="1"/>
  <c r="G36" i="1"/>
  <c r="L7" i="1"/>
  <c r="L98" i="1"/>
  <c r="M7" i="1"/>
  <c r="H21" i="1"/>
  <c r="I113" i="1" s="1"/>
  <c r="O21" i="1"/>
  <c r="AD82" i="1"/>
  <c r="AC82" i="1" s="1"/>
  <c r="V82" i="1"/>
  <c r="I18" i="1"/>
  <c r="J110" i="1" s="1"/>
  <c r="P18" i="1"/>
  <c r="H18" i="1"/>
  <c r="I110" i="1" s="1"/>
  <c r="O18" i="1"/>
  <c r="AD84" i="1"/>
  <c r="AC84" i="1" s="1"/>
  <c r="V84" i="1"/>
  <c r="AD85" i="1"/>
  <c r="AC85" i="1" s="1"/>
  <c r="V85" i="1"/>
  <c r="AD78" i="1"/>
  <c r="AC78" i="1" s="1"/>
  <c r="V78" i="1"/>
  <c r="M19" i="1"/>
  <c r="H19" i="1"/>
  <c r="I111" i="1" s="1"/>
  <c r="O19" i="1"/>
  <c r="N98" i="1"/>
  <c r="AD80" i="1"/>
  <c r="AC80" i="1" s="1"/>
  <c r="V80" i="1"/>
  <c r="N20" i="1"/>
  <c r="N17" i="1" l="1"/>
  <c r="G37" i="1"/>
  <c r="N21" i="1"/>
  <c r="N18" i="1"/>
  <c r="I7" i="1"/>
  <c r="J98" i="1" s="1"/>
  <c r="I32" i="1"/>
  <c r="D32" i="1"/>
  <c r="I33" i="1"/>
  <c r="D33" i="1"/>
  <c r="Q15" i="1"/>
  <c r="O16" i="1"/>
  <c r="P16" i="1"/>
  <c r="I19" i="1"/>
  <c r="J111" i="1" s="1"/>
  <c r="P19" i="1"/>
  <c r="N19" i="1" s="1"/>
  <c r="H7" i="1"/>
  <c r="I98" i="1" s="1"/>
  <c r="I36" i="1"/>
  <c r="I8" i="1"/>
  <c r="J100" i="1" s="1"/>
  <c r="H8" i="1"/>
  <c r="I100" i="1" s="1"/>
  <c r="N16" i="1" l="1"/>
  <c r="Q14" i="1"/>
  <c r="P15" i="1"/>
  <c r="O15" i="1"/>
  <c r="N15" i="1" s="1"/>
  <c r="Q13" i="1" l="1"/>
  <c r="P14" i="1"/>
  <c r="O14" i="1"/>
  <c r="O32" i="1"/>
  <c r="N14" i="1" l="1"/>
  <c r="Q12" i="1"/>
  <c r="P13" i="1"/>
  <c r="O13" i="1"/>
  <c r="N13" i="1" s="1"/>
  <c r="Q11" i="1" l="1"/>
  <c r="P12" i="1"/>
  <c r="O12" i="1"/>
  <c r="N12" i="1" s="1"/>
  <c r="Q10" i="1" l="1"/>
  <c r="O11" i="1"/>
  <c r="P11" i="1"/>
  <c r="N11" i="1" l="1"/>
  <c r="Q9" i="1"/>
  <c r="P10" i="1"/>
  <c r="O10" i="1"/>
  <c r="N10" i="1" s="1"/>
  <c r="Q8" i="1" l="1"/>
  <c r="O9" i="1"/>
  <c r="P9" i="1"/>
  <c r="N9" i="1" l="1"/>
  <c r="Q7" i="1"/>
  <c r="P8" i="1"/>
  <c r="O8" i="1"/>
  <c r="N8" i="1" s="1"/>
  <c r="O7" i="1" l="1"/>
  <c r="P7" i="1"/>
  <c r="N7" i="1" l="1"/>
</calcChain>
</file>

<file path=xl/sharedStrings.xml><?xml version="1.0" encoding="utf-8"?>
<sst xmlns="http://schemas.openxmlformats.org/spreadsheetml/2006/main" count="495" uniqueCount="325">
  <si>
    <t>Tenor</t>
    <phoneticPr fontId="2" type="noConversion"/>
  </si>
  <si>
    <t>Dates</t>
    <phoneticPr fontId="2" type="noConversion"/>
  </si>
  <si>
    <t xml:space="preserve">Bid </t>
    <phoneticPr fontId="2" type="noConversion"/>
  </si>
  <si>
    <t>Offer</t>
    <phoneticPr fontId="2" type="noConversion"/>
  </si>
  <si>
    <t>USD</t>
    <phoneticPr fontId="2" type="noConversion"/>
  </si>
  <si>
    <t>EUR</t>
    <phoneticPr fontId="2" type="noConversion"/>
  </si>
  <si>
    <t>GBP</t>
    <phoneticPr fontId="2" type="noConversion"/>
  </si>
  <si>
    <t>AUD</t>
    <phoneticPr fontId="2" type="noConversion"/>
  </si>
  <si>
    <t>NZD</t>
    <phoneticPr fontId="2" type="noConversion"/>
  </si>
  <si>
    <t>JPY</t>
    <phoneticPr fontId="2" type="noConversion"/>
  </si>
  <si>
    <t>CHF</t>
    <phoneticPr fontId="2" type="noConversion"/>
  </si>
  <si>
    <t>CAD</t>
    <phoneticPr fontId="2" type="noConversion"/>
  </si>
  <si>
    <t>Spot</t>
    <phoneticPr fontId="2" type="noConversion"/>
  </si>
  <si>
    <t>ON</t>
    <phoneticPr fontId="2" type="noConversion"/>
  </si>
  <si>
    <t>TN</t>
    <phoneticPr fontId="2" type="noConversion"/>
  </si>
  <si>
    <t>SW</t>
    <phoneticPr fontId="2" type="noConversion"/>
  </si>
  <si>
    <t>2W</t>
    <phoneticPr fontId="2" type="noConversion"/>
  </si>
  <si>
    <t>3W</t>
    <phoneticPr fontId="2" type="noConversion"/>
  </si>
  <si>
    <t>1M</t>
    <phoneticPr fontId="2" type="noConversion"/>
  </si>
  <si>
    <t>2M</t>
    <phoneticPr fontId="2" type="noConversion"/>
  </si>
  <si>
    <t>3M</t>
    <phoneticPr fontId="2" type="noConversion"/>
  </si>
  <si>
    <t>4M</t>
    <phoneticPr fontId="2" type="noConversion"/>
  </si>
  <si>
    <t>5M</t>
    <phoneticPr fontId="2" type="noConversion"/>
  </si>
  <si>
    <t>6M</t>
    <phoneticPr fontId="2" type="noConversion"/>
  </si>
  <si>
    <t>2Y</t>
  </si>
  <si>
    <t>Days</t>
    <phoneticPr fontId="2" type="noConversion"/>
  </si>
  <si>
    <t>TWD</t>
    <phoneticPr fontId="2" type="noConversion"/>
  </si>
  <si>
    <t>Date</t>
    <phoneticPr fontId="2" type="noConversion"/>
  </si>
  <si>
    <t>Days</t>
    <phoneticPr fontId="2" type="noConversion"/>
  </si>
  <si>
    <t>Pts Bid</t>
    <phoneticPr fontId="2" type="noConversion"/>
  </si>
  <si>
    <t>Offer</t>
    <phoneticPr fontId="2" type="noConversion"/>
  </si>
  <si>
    <t>GBP</t>
  </si>
  <si>
    <t>USD</t>
  </si>
  <si>
    <t>EUR</t>
  </si>
  <si>
    <t>TWD</t>
  </si>
  <si>
    <t>HKD</t>
  </si>
  <si>
    <t>AUD</t>
  </si>
  <si>
    <t>NZD</t>
  </si>
  <si>
    <t>JPY</t>
  </si>
  <si>
    <t>CHF</t>
  </si>
  <si>
    <t>SGD</t>
  </si>
  <si>
    <t>THB</t>
  </si>
  <si>
    <t>ZAR</t>
  </si>
  <si>
    <t>CAD</t>
  </si>
  <si>
    <t>SEK</t>
  </si>
  <si>
    <t>DIRECT</t>
    <phoneticPr fontId="2" type="noConversion"/>
  </si>
  <si>
    <t>INDIRECT</t>
    <phoneticPr fontId="2" type="noConversion"/>
  </si>
  <si>
    <t>參照區</t>
    <phoneticPr fontId="2" type="noConversion"/>
  </si>
  <si>
    <t>Broken Dates</t>
    <phoneticPr fontId="2" type="noConversion"/>
  </si>
  <si>
    <t>Forward Forwards</t>
    <phoneticPr fontId="2" type="noConversion"/>
  </si>
  <si>
    <t>TOD</t>
    <phoneticPr fontId="2" type="noConversion"/>
  </si>
  <si>
    <t>TOM</t>
    <phoneticPr fontId="2" type="noConversion"/>
  </si>
  <si>
    <t>7M</t>
    <phoneticPr fontId="2" type="noConversion"/>
  </si>
  <si>
    <t>8M</t>
    <phoneticPr fontId="2" type="noConversion"/>
  </si>
  <si>
    <t>9M</t>
    <phoneticPr fontId="2" type="noConversion"/>
  </si>
  <si>
    <t>10M</t>
    <phoneticPr fontId="2" type="noConversion"/>
  </si>
  <si>
    <t>11M</t>
    <phoneticPr fontId="2" type="noConversion"/>
  </si>
  <si>
    <t>1Y</t>
    <phoneticPr fontId="2" type="noConversion"/>
  </si>
  <si>
    <t>3Y</t>
  </si>
  <si>
    <t>4Y</t>
  </si>
  <si>
    <t>5Y</t>
  </si>
  <si>
    <t>UKG</t>
    <phoneticPr fontId="2" type="noConversion"/>
  </si>
  <si>
    <t>GBP</t>
    <phoneticPr fontId="2" type="noConversion"/>
  </si>
  <si>
    <t>USD</t>
    <phoneticPr fontId="2" type="noConversion"/>
  </si>
  <si>
    <t>SGD</t>
    <phoneticPr fontId="2" type="noConversion"/>
  </si>
  <si>
    <t>HKD</t>
    <phoneticPr fontId="2" type="noConversion"/>
  </si>
  <si>
    <t>THB</t>
    <phoneticPr fontId="2" type="noConversion"/>
  </si>
  <si>
    <t>ZAR</t>
    <phoneticPr fontId="2" type="noConversion"/>
  </si>
  <si>
    <t>SEK</t>
    <phoneticPr fontId="2" type="noConversion"/>
  </si>
  <si>
    <t>任意</t>
    <phoneticPr fontId="2" type="noConversion"/>
  </si>
  <si>
    <t>IRS</t>
    <phoneticPr fontId="2" type="noConversion"/>
  </si>
  <si>
    <t>CCS</t>
    <phoneticPr fontId="2" type="noConversion"/>
  </si>
  <si>
    <t>4Y</t>
    <phoneticPr fontId="2" type="noConversion"/>
  </si>
  <si>
    <t>7Y</t>
    <phoneticPr fontId="2" type="noConversion"/>
  </si>
  <si>
    <t>2Y</t>
    <phoneticPr fontId="2" type="noConversion"/>
  </si>
  <si>
    <t>3Y</t>
    <phoneticPr fontId="2" type="noConversion"/>
  </si>
  <si>
    <t>5Y</t>
    <phoneticPr fontId="2" type="noConversion"/>
  </si>
  <si>
    <t>MID</t>
    <phoneticPr fontId="2" type="noConversion"/>
  </si>
  <si>
    <t>USDD</t>
    <phoneticPr fontId="2" type="noConversion"/>
  </si>
  <si>
    <t>MTTOK03</t>
    <phoneticPr fontId="2" type="noConversion"/>
  </si>
  <si>
    <t>IDEPO</t>
    <phoneticPr fontId="2" type="noConversion"/>
  </si>
  <si>
    <t>條件　</t>
    <phoneticPr fontId="2" type="noConversion"/>
  </si>
  <si>
    <t>OFFER</t>
    <phoneticPr fontId="2" type="noConversion"/>
  </si>
  <si>
    <t>BID</t>
    <phoneticPr fontId="2" type="noConversion"/>
  </si>
  <si>
    <t>Mid</t>
    <phoneticPr fontId="2" type="noConversion"/>
  </si>
  <si>
    <t>Bid</t>
    <phoneticPr fontId="2" type="noConversion"/>
  </si>
  <si>
    <t>Ask</t>
    <phoneticPr fontId="2" type="noConversion"/>
  </si>
  <si>
    <t>TWD</t>
    <phoneticPr fontId="2" type="noConversion"/>
  </si>
  <si>
    <t>Rate</t>
    <phoneticPr fontId="2" type="noConversion"/>
  </si>
  <si>
    <t>Bid</t>
  </si>
  <si>
    <t>6*12</t>
    <phoneticPr fontId="2" type="noConversion"/>
  </si>
  <si>
    <t>6*9</t>
    <phoneticPr fontId="2" type="noConversion"/>
  </si>
  <si>
    <t>9*12</t>
    <phoneticPr fontId="2" type="noConversion"/>
  </si>
  <si>
    <t>SN</t>
    <phoneticPr fontId="2" type="noConversion"/>
  </si>
  <si>
    <t>1Y</t>
    <phoneticPr fontId="2" type="noConversion"/>
  </si>
  <si>
    <t>Spread</t>
    <phoneticPr fontId="2" type="noConversion"/>
  </si>
  <si>
    <t>1M-5M</t>
    <phoneticPr fontId="2" type="noConversion"/>
  </si>
  <si>
    <t>6M-1Y</t>
    <phoneticPr fontId="2" type="noConversion"/>
  </si>
  <si>
    <t xml:space="preserve">     </t>
    <phoneticPr fontId="2" type="noConversion"/>
  </si>
  <si>
    <t>3*6</t>
    <phoneticPr fontId="2" type="noConversion"/>
  </si>
  <si>
    <t>FRA</t>
    <phoneticPr fontId="2" type="noConversion"/>
  </si>
  <si>
    <t>DEPO</t>
    <phoneticPr fontId="2" type="noConversion"/>
  </si>
  <si>
    <t>IMPLIED</t>
    <phoneticPr fontId="2" type="noConversion"/>
  </si>
  <si>
    <t>Calculate FRA Rate</t>
    <phoneticPr fontId="2" type="noConversion"/>
  </si>
  <si>
    <t>MKT</t>
    <phoneticPr fontId="2" type="noConversion"/>
  </si>
  <si>
    <t>9M</t>
    <phoneticPr fontId="2" type="noConversion"/>
  </si>
  <si>
    <t>Bid</t>
    <phoneticPr fontId="2" type="noConversion"/>
  </si>
  <si>
    <t>9*12</t>
    <phoneticPr fontId="2" type="noConversion"/>
  </si>
  <si>
    <t>12M</t>
    <phoneticPr fontId="2" type="noConversion"/>
  </si>
  <si>
    <t>Val Today</t>
    <phoneticPr fontId="2" type="noConversion"/>
  </si>
  <si>
    <t>O/N</t>
    <phoneticPr fontId="2" type="noConversion"/>
  </si>
  <si>
    <t>T/N</t>
    <phoneticPr fontId="2" type="noConversion"/>
  </si>
  <si>
    <t>6M</t>
    <phoneticPr fontId="2" type="noConversion"/>
  </si>
  <si>
    <t>1M</t>
    <phoneticPr fontId="2" type="noConversion"/>
  </si>
  <si>
    <t>3M</t>
    <phoneticPr fontId="2" type="noConversion"/>
  </si>
  <si>
    <t>S.P.</t>
    <phoneticPr fontId="2" type="noConversion"/>
  </si>
  <si>
    <t>Date</t>
    <phoneticPr fontId="2" type="noConversion"/>
  </si>
  <si>
    <t>Date Count</t>
    <phoneticPr fontId="2" type="noConversion"/>
  </si>
  <si>
    <t>2W</t>
    <phoneticPr fontId="2" type="noConversion"/>
  </si>
  <si>
    <t xml:space="preserve"> </t>
    <phoneticPr fontId="2" type="noConversion"/>
  </si>
  <si>
    <t>USD</t>
    <phoneticPr fontId="2" type="noConversion"/>
  </si>
  <si>
    <t>TWD</t>
    <phoneticPr fontId="2" type="noConversion"/>
  </si>
  <si>
    <t>Days</t>
    <phoneticPr fontId="2" type="noConversion"/>
  </si>
  <si>
    <t>S.W</t>
    <phoneticPr fontId="2" type="noConversion"/>
  </si>
  <si>
    <t xml:space="preserve">Spot </t>
    <phoneticPr fontId="2" type="noConversion"/>
  </si>
  <si>
    <t>FWD</t>
    <phoneticPr fontId="2" type="noConversion"/>
  </si>
  <si>
    <t>Bid</t>
    <phoneticPr fontId="2" type="noConversion"/>
  </si>
  <si>
    <t>Ask</t>
    <phoneticPr fontId="2" type="noConversion"/>
  </si>
  <si>
    <t>Pts Offer</t>
    <phoneticPr fontId="2" type="noConversion"/>
  </si>
  <si>
    <t>2y-5y</t>
    <phoneticPr fontId="2" type="noConversion"/>
  </si>
  <si>
    <t>USA</t>
    <phoneticPr fontId="2" type="noConversion"/>
  </si>
  <si>
    <t>EMU</t>
    <phoneticPr fontId="2" type="noConversion"/>
  </si>
  <si>
    <t>UKG</t>
    <phoneticPr fontId="2" type="noConversion"/>
  </si>
  <si>
    <t>AUS</t>
    <phoneticPr fontId="2" type="noConversion"/>
  </si>
  <si>
    <t>NZL</t>
    <phoneticPr fontId="2" type="noConversion"/>
  </si>
  <si>
    <t>JAP</t>
    <phoneticPr fontId="2" type="noConversion"/>
  </si>
  <si>
    <t>SWI</t>
    <phoneticPr fontId="2" type="noConversion"/>
  </si>
  <si>
    <t>SIN</t>
    <phoneticPr fontId="2" type="noConversion"/>
  </si>
  <si>
    <t>HKG</t>
    <phoneticPr fontId="2" type="noConversion"/>
  </si>
  <si>
    <t>THA</t>
    <phoneticPr fontId="2" type="noConversion"/>
  </si>
  <si>
    <t>RSA</t>
    <phoneticPr fontId="2" type="noConversion"/>
  </si>
  <si>
    <t>CAN</t>
    <phoneticPr fontId="2" type="noConversion"/>
  </si>
  <si>
    <t>TWN</t>
    <phoneticPr fontId="2" type="noConversion"/>
  </si>
  <si>
    <t>SWE</t>
    <phoneticPr fontId="2" type="noConversion"/>
  </si>
  <si>
    <t>10Y</t>
    <phoneticPr fontId="2" type="noConversion"/>
  </si>
  <si>
    <t>美元多利</t>
    <phoneticPr fontId="2" type="noConversion"/>
  </si>
  <si>
    <t>澳幣多利</t>
    <phoneticPr fontId="2" type="noConversion"/>
  </si>
  <si>
    <t>JPY1Y</t>
    <phoneticPr fontId="2" type="noConversion"/>
  </si>
  <si>
    <t>EUR1Y</t>
    <phoneticPr fontId="2" type="noConversion"/>
  </si>
  <si>
    <t>IRS</t>
    <phoneticPr fontId="2" type="noConversion"/>
  </si>
  <si>
    <t>3V6</t>
    <phoneticPr fontId="2" type="noConversion"/>
  </si>
  <si>
    <t>IRS 6M</t>
    <phoneticPr fontId="2" type="noConversion"/>
  </si>
  <si>
    <t>Mid</t>
    <phoneticPr fontId="2" type="noConversion"/>
  </si>
  <si>
    <t>CNH</t>
    <phoneticPr fontId="2" type="noConversion"/>
  </si>
  <si>
    <t>CHN</t>
    <phoneticPr fontId="2" type="noConversion"/>
  </si>
  <si>
    <t>CNH</t>
    <phoneticPr fontId="2" type="noConversion"/>
  </si>
  <si>
    <t>SN</t>
  </si>
  <si>
    <t>1Y</t>
  </si>
  <si>
    <t>MKT data</t>
    <phoneticPr fontId="2" type="noConversion"/>
  </si>
  <si>
    <t>Mid or Lst</t>
    <phoneticPr fontId="2" type="noConversion"/>
  </si>
  <si>
    <t>90 D CP</t>
  </si>
  <si>
    <t>180D CP</t>
  </si>
  <si>
    <t>ICSG</t>
    <phoneticPr fontId="2" type="noConversion"/>
  </si>
  <si>
    <t>Offer</t>
    <phoneticPr fontId="2" type="noConversion"/>
  </si>
  <si>
    <t>DIRECT</t>
  </si>
  <si>
    <t>1W</t>
  </si>
  <si>
    <t>12M</t>
  </si>
  <si>
    <t>SP</t>
  </si>
  <si>
    <t>Calculate crossing</t>
  </si>
  <si>
    <t xml:space="preserve">Forward Scaling </t>
  </si>
  <si>
    <t>Result</t>
  </si>
  <si>
    <t>CCy1</t>
  </si>
  <si>
    <t>Ask</t>
  </si>
  <si>
    <t>CCy2</t>
  </si>
  <si>
    <t>Ccy1 Direct</t>
  </si>
  <si>
    <t>Ccy2 Direct</t>
  </si>
  <si>
    <t>CrossNow</t>
  </si>
  <si>
    <t>bid</t>
  </si>
  <si>
    <t>ask</t>
  </si>
  <si>
    <t>Points</t>
  </si>
  <si>
    <t>Scaling:</t>
  </si>
  <si>
    <t>TWDQM3TC2Y=</t>
  </si>
  <si>
    <t>TWDQM3TC3Y=</t>
  </si>
  <si>
    <t>TWDQM3TC4Y=</t>
  </si>
  <si>
    <t>TWDQM3TC5Y=</t>
  </si>
  <si>
    <t>TWUSSB6L2Y=</t>
  </si>
  <si>
    <t>TWUSSM6L2Y=</t>
  </si>
  <si>
    <t>TWUSSB6L3Y=</t>
  </si>
  <si>
    <t>TWUSSM6L3Y=</t>
  </si>
  <si>
    <t>TWUSSB6L4Y=</t>
  </si>
  <si>
    <t>TWUSSM6L4Y=</t>
  </si>
  <si>
    <t>TWUSSB6L5Y=</t>
  </si>
  <si>
    <t>TWUSSM6L5Y=</t>
  </si>
  <si>
    <t>TWUSSM6L7Y=</t>
  </si>
  <si>
    <t>TWNDIRS2Y=</t>
  </si>
  <si>
    <t>TWNDIRS3Y=</t>
  </si>
  <si>
    <t>TWNDIRS4Y=</t>
  </si>
  <si>
    <t>ASK</t>
    <phoneticPr fontId="2" type="noConversion"/>
  </si>
  <si>
    <t>TRDS</t>
    <phoneticPr fontId="2" type="noConversion"/>
  </si>
  <si>
    <t>TWDQM3TC1Y=</t>
    <phoneticPr fontId="31" type="noConversion"/>
  </si>
  <si>
    <t>TWDQM3TC7Y=</t>
    <phoneticPr fontId="2" type="noConversion"/>
  </si>
  <si>
    <t>TWDQM3TC10Y=</t>
    <phoneticPr fontId="2" type="noConversion"/>
  </si>
  <si>
    <t>TWUSSB6L1Y=</t>
    <phoneticPr fontId="2" type="noConversion"/>
  </si>
  <si>
    <t>TWUSSM6L1Y=</t>
    <phoneticPr fontId="2" type="noConversion"/>
  </si>
  <si>
    <t>TWUSSB6L7Y=</t>
    <phoneticPr fontId="2" type="noConversion"/>
  </si>
  <si>
    <t>TWUSSB6L10Y=</t>
    <phoneticPr fontId="2" type="noConversion"/>
  </si>
  <si>
    <t>TWUSSM6L10Y=</t>
    <phoneticPr fontId="2" type="noConversion"/>
  </si>
  <si>
    <t>6m</t>
    <phoneticPr fontId="2" type="noConversion"/>
  </si>
  <si>
    <t>TWUSSB6L6M=</t>
    <phoneticPr fontId="2" type="noConversion"/>
  </si>
  <si>
    <t>TWUSSM6L6M=</t>
    <phoneticPr fontId="2" type="noConversion"/>
  </si>
  <si>
    <t>TWNDIRS1Y=</t>
    <phoneticPr fontId="2" type="noConversion"/>
  </si>
  <si>
    <t>5Y NDD</t>
    <phoneticPr fontId="2" type="noConversion"/>
  </si>
  <si>
    <t>TWNDIRS5Y=</t>
    <phoneticPr fontId="2" type="noConversion"/>
  </si>
  <si>
    <t>TWNDIRS7Y=</t>
    <phoneticPr fontId="2" type="noConversion"/>
  </si>
  <si>
    <t>TWNDIRS10Y=</t>
    <phoneticPr fontId="2" type="noConversion"/>
  </si>
  <si>
    <t>2Y</t>
    <phoneticPr fontId="2" type="noConversion"/>
  </si>
  <si>
    <t>USDTWD Onshore Swap Points</t>
  </si>
  <si>
    <t>For DCAP Use</t>
  </si>
  <si>
    <t>Object ID</t>
  </si>
  <si>
    <t>O/N</t>
  </si>
  <si>
    <t>TR O+ ON</t>
  </si>
  <si>
    <t>1 Week</t>
  </si>
  <si>
    <t>TR O+ 1W</t>
  </si>
  <si>
    <t>1 Month</t>
  </si>
  <si>
    <t>TR O+ 1M</t>
  </si>
  <si>
    <t>2 Month</t>
  </si>
  <si>
    <t>TR O+ 2M</t>
  </si>
  <si>
    <t>3 Month</t>
  </si>
  <si>
    <t>TR O+ 3M</t>
  </si>
  <si>
    <t>6 Month</t>
  </si>
  <si>
    <t>TR O+ 6M</t>
  </si>
  <si>
    <t>9 Month</t>
  </si>
  <si>
    <t>TR O+ 9M</t>
  </si>
  <si>
    <t>12 Month</t>
  </si>
  <si>
    <t>TR O+12M</t>
  </si>
  <si>
    <t>2 Year</t>
  </si>
  <si>
    <t>TR O+ 2Y</t>
  </si>
  <si>
    <t>3 Year</t>
  </si>
  <si>
    <t>TR O+ 3Y</t>
  </si>
  <si>
    <t>4 Year</t>
  </si>
  <si>
    <t>TR O+ 4Y</t>
  </si>
  <si>
    <t>5 Year</t>
  </si>
  <si>
    <t>TR O+ 5Y</t>
  </si>
  <si>
    <t>NTUSWOF  TPRA Curncy</t>
  </si>
  <si>
    <t>NTUSWOF  TPRA Curncy</t>
    <phoneticPr fontId="2" type="noConversion"/>
  </si>
  <si>
    <t>NTUSWO1 TPRA Curncy</t>
  </si>
  <si>
    <t>TPRA</t>
    <phoneticPr fontId="2" type="noConversion"/>
  </si>
  <si>
    <t>TPRA</t>
    <phoneticPr fontId="2" type="noConversion"/>
  </si>
  <si>
    <t>3Y</t>
    <phoneticPr fontId="2" type="noConversion"/>
  </si>
  <si>
    <t>2Y</t>
    <phoneticPr fontId="2" type="noConversion"/>
  </si>
  <si>
    <t>CCS to SWAP</t>
    <phoneticPr fontId="2" type="noConversion"/>
  </si>
  <si>
    <t>3Y</t>
    <phoneticPr fontId="2" type="noConversion"/>
  </si>
  <si>
    <t>4Y</t>
    <phoneticPr fontId="2" type="noConversion"/>
  </si>
  <si>
    <t>5Y</t>
    <phoneticPr fontId="2" type="noConversion"/>
  </si>
  <si>
    <t>主機</t>
    <phoneticPr fontId="2" type="noConversion"/>
  </si>
  <si>
    <t>4顯</t>
    <phoneticPr fontId="2" type="noConversion"/>
  </si>
  <si>
    <t>螢幕</t>
    <phoneticPr fontId="2" type="noConversion"/>
  </si>
  <si>
    <t>2顯</t>
    <phoneticPr fontId="2" type="noConversion"/>
  </si>
  <si>
    <t>筆電</t>
    <phoneticPr fontId="2" type="noConversion"/>
  </si>
  <si>
    <t>SKY</t>
    <phoneticPr fontId="2" type="noConversion"/>
  </si>
  <si>
    <t>Martin</t>
    <phoneticPr fontId="2" type="noConversion"/>
  </si>
  <si>
    <t>Austin</t>
    <phoneticPr fontId="2" type="noConversion"/>
  </si>
  <si>
    <t>Pete</t>
    <phoneticPr fontId="2" type="noConversion"/>
  </si>
  <si>
    <t>Henry(ALI)</t>
    <phoneticPr fontId="2" type="noConversion"/>
  </si>
  <si>
    <t>宥恩</t>
    <phoneticPr fontId="2" type="noConversion"/>
  </si>
  <si>
    <t>居都</t>
    <phoneticPr fontId="2" type="noConversion"/>
  </si>
  <si>
    <t>Vicky</t>
    <phoneticPr fontId="2" type="noConversion"/>
  </si>
  <si>
    <t>Tony</t>
    <phoneticPr fontId="2" type="noConversion"/>
  </si>
  <si>
    <t>集保</t>
    <phoneticPr fontId="2" type="noConversion"/>
  </si>
  <si>
    <t>petewu01</t>
    <phoneticPr fontId="2" type="noConversion"/>
  </si>
  <si>
    <t>1024Pete</t>
    <phoneticPr fontId="2" type="noConversion"/>
  </si>
  <si>
    <t>1W</t>
    <phoneticPr fontId="2" type="noConversion"/>
  </si>
  <si>
    <t>1M</t>
    <phoneticPr fontId="2" type="noConversion"/>
  </si>
  <si>
    <t>2M</t>
    <phoneticPr fontId="2" type="noConversion"/>
  </si>
  <si>
    <t>3M</t>
    <phoneticPr fontId="2" type="noConversion"/>
  </si>
  <si>
    <t>6M</t>
    <phoneticPr fontId="2" type="noConversion"/>
  </si>
  <si>
    <t>9M</t>
    <phoneticPr fontId="2" type="noConversion"/>
  </si>
  <si>
    <t>1Y</t>
    <phoneticPr fontId="2" type="noConversion"/>
  </si>
  <si>
    <t>4M</t>
  </si>
  <si>
    <t>5M</t>
  </si>
  <si>
    <t>中菲</t>
    <phoneticPr fontId="2" type="noConversion"/>
  </si>
  <si>
    <t>pete</t>
    <phoneticPr fontId="2" type="noConversion"/>
  </si>
  <si>
    <t>Pete1024</t>
    <phoneticPr fontId="2" type="noConversion"/>
  </si>
  <si>
    <t xml:space="preserve"> </t>
    <phoneticPr fontId="2" type="noConversion"/>
  </si>
  <si>
    <t>所需 limit</t>
    <phoneticPr fontId="2" type="noConversion"/>
  </si>
  <si>
    <t>FX Delta</t>
    <phoneticPr fontId="2" type="noConversion"/>
  </si>
  <si>
    <t>DV01</t>
    <phoneticPr fontId="2" type="noConversion"/>
  </si>
  <si>
    <t>TWD NDF/NDS</t>
    <phoneticPr fontId="2" type="noConversion"/>
  </si>
  <si>
    <t>Average Ticket Size</t>
    <phoneticPr fontId="2" type="noConversion"/>
  </si>
  <si>
    <t>USD 5 mio</t>
    <phoneticPr fontId="2" type="noConversion"/>
  </si>
  <si>
    <t>Average Bid/Offer</t>
    <phoneticPr fontId="2" type="noConversion"/>
  </si>
  <si>
    <t>Not Liquid / RFQ</t>
    <phoneticPr fontId="2" type="noConversion"/>
  </si>
  <si>
    <t xml:space="preserve">Term </t>
    <phoneticPr fontId="2" type="noConversion"/>
  </si>
  <si>
    <t>UP to 5Y</t>
    <phoneticPr fontId="2" type="noConversion"/>
  </si>
  <si>
    <t xml:space="preserve">Settlement </t>
    <phoneticPr fontId="2" type="noConversion"/>
  </si>
  <si>
    <t>T+1</t>
    <phoneticPr fontId="2" type="noConversion"/>
  </si>
  <si>
    <t>Coupon Frequency</t>
    <phoneticPr fontId="2" type="noConversion"/>
  </si>
  <si>
    <t>Quarterly</t>
    <phoneticPr fontId="2" type="noConversion"/>
  </si>
  <si>
    <t xml:space="preserve">Convention </t>
    <phoneticPr fontId="2" type="noConversion"/>
  </si>
  <si>
    <t>Act/360</t>
    <phoneticPr fontId="2" type="noConversion"/>
  </si>
  <si>
    <t>Floating-rate reference</t>
    <phoneticPr fontId="2" type="noConversion"/>
  </si>
  <si>
    <t>3M US Libor</t>
    <phoneticPr fontId="2" type="noConversion"/>
  </si>
  <si>
    <t>Quote Ticker reference (Reuters)</t>
    <phoneticPr fontId="2" type="noConversion"/>
  </si>
  <si>
    <t>VNDISWP=MBVN ; VNDISWAP=TCBV</t>
    <phoneticPr fontId="2" type="noConversion"/>
  </si>
  <si>
    <t>CCS (Cross Currency Swap)</t>
    <phoneticPr fontId="2" type="noConversion"/>
  </si>
  <si>
    <t>Broker</t>
    <phoneticPr fontId="2" type="noConversion"/>
  </si>
  <si>
    <t>NA</t>
    <phoneticPr fontId="2" type="noConversion"/>
  </si>
  <si>
    <t>IRS (Interest Rate Swap)</t>
    <phoneticPr fontId="2" type="noConversion"/>
  </si>
  <si>
    <t>Customized</t>
    <phoneticPr fontId="2" type="noConversion"/>
  </si>
  <si>
    <t>Quarterly / Monthly</t>
    <phoneticPr fontId="2" type="noConversion"/>
  </si>
  <si>
    <t>3M VNIBOR / 1M VNIBOR</t>
    <phoneticPr fontId="2" type="noConversion"/>
  </si>
  <si>
    <t>VNDISWAP=TCBV</t>
    <phoneticPr fontId="2" type="noConversion"/>
  </si>
  <si>
    <t>NO</t>
  </si>
  <si>
    <t>Counterparty</t>
  </si>
  <si>
    <t>Full-Name</t>
  </si>
  <si>
    <t>ICBVVNVX</t>
  </si>
  <si>
    <t>VietinBank</t>
  </si>
  <si>
    <t>VTCBVNVX</t>
  </si>
  <si>
    <t>TechcomBank</t>
  </si>
  <si>
    <t>MSCBVNVX</t>
  </si>
  <si>
    <t>Military Bank</t>
  </si>
  <si>
    <t>BIDV</t>
  </si>
  <si>
    <t>BIDV Bank</t>
  </si>
  <si>
    <t>BFTVVNVX</t>
  </si>
  <si>
    <t>VCB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</si>
</sst>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4">
    <numFmt numFmtId="43" formatCode="_-* #,##0.00_-;\-* #,##0.00_-;_-* &quot;-&quot;??_-;_-@_-"/>
    <numFmt numFmtId="176" formatCode="_(&quot;$&quot;* #,##0_);_(&quot;$&quot;* \(#,##0\);_(&quot;$&quot;* &quot;-&quot;_);_(@_)"/>
    <numFmt numFmtId="177" formatCode="_(* #,##0.00_);_(* \(#,##0.00\);_(* &quot;-&quot;??_);_(@_)"/>
    <numFmt numFmtId="178" formatCode="0.000_)"/>
    <numFmt numFmtId="179" formatCode="0_);[Red]\(0\)"/>
    <numFmt numFmtId="180" formatCode="0.000_ "/>
    <numFmt numFmtId="181" formatCode="0.00_ "/>
    <numFmt numFmtId="182" formatCode="0.0_ "/>
    <numFmt numFmtId="183" formatCode="0_ "/>
    <numFmt numFmtId="184" formatCode="0.0000%"/>
    <numFmt numFmtId="185" formatCode="0.000000_ "/>
    <numFmt numFmtId="186" formatCode="0.0000_ "/>
    <numFmt numFmtId="187" formatCode="0.00000000_ "/>
    <numFmt numFmtId="188" formatCode="0.00_)"/>
    <numFmt numFmtId="189" formatCode="0_)"/>
    <numFmt numFmtId="190" formatCode="0.0000"/>
    <numFmt numFmtId="191" formatCode="0.0000_)"/>
    <numFmt numFmtId="192" formatCode="0.000000_)"/>
    <numFmt numFmtId="193" formatCode="0.0_);[Red]\(0.0\)"/>
    <numFmt numFmtId="194" formatCode="0.00000_);[Red]\(0.00000\)"/>
    <numFmt numFmtId="195" formatCode="0;__x0000_"/>
    <numFmt numFmtId="196" formatCode="0;_㐀"/>
    <numFmt numFmtId="197" formatCode="m/d"/>
    <numFmt numFmtId="198" formatCode="0.00000_)"/>
    <numFmt numFmtId="199" formatCode="0.0000_);[Red]\(0.0000\)"/>
    <numFmt numFmtId="200" formatCode="0.000_);[Red]\(0.000\)"/>
    <numFmt numFmtId="201" formatCode="_(* #,##0.00000_);_(* \(#,##0.00000\);_(* &quot;-&quot;??_);_(@_)"/>
    <numFmt numFmtId="202" formatCode="#,##0.00_ ;[Red]\-#,##0.00\ "/>
    <numFmt numFmtId="203" formatCode="0.00_);[Red]\(0.00\)"/>
    <numFmt numFmtId="204" formatCode="0.0_)"/>
    <numFmt numFmtId="205" formatCode="#,##0_ ;[Red]\-#,##0\ "/>
    <numFmt numFmtId="206" formatCode="0.0"/>
    <numFmt numFmtId="207" formatCode="_-* #,##0_-;\-* #,##0_-;_-* &quot;-&quot;??_-;_-@_-"/>
    <numFmt numFmtId="208" formatCode="[$-409]d\-mmm\-yy;@"/>
    <numFmt numFmtId="209" formatCode="_-* #,##0.0_-;\-* #,##0.0_-;_-* &quot;-&quot;??_-;_-@_-"/>
    <numFmt numFmtId="210" formatCode="#,##0.0000_ ;[Red]\-#,##0.0000\ "/>
    <numFmt numFmtId="211" formatCode="m&quot;月&quot;d&quot;日&quot;"/>
    <numFmt numFmtId="212" formatCode="0.00000_ "/>
    <numFmt numFmtId="213" formatCode="_-* ###\ ###\ ##0_-;_-* \-###\ ###\ ##0_-;_-* &quot;－&quot;_-;_-@_-"/>
    <numFmt numFmtId="214" formatCode="#\ ??/32"/>
    <numFmt numFmtId="215" formatCode="0.000%"/>
    <numFmt numFmtId="216" formatCode="0.0000000_ "/>
    <numFmt numFmtId="217" formatCode="_-* #,##0.0000_-;\-* #,##0.0000_-;_-* &quot;-&quot;??_-;_-@_-"/>
    <numFmt numFmtId="218" formatCode="0.00000"/>
  </numFmts>
  <fonts count="63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0"/>
      <name val="Arial Unicode MS"/>
      <family val="2"/>
      <charset val="136"/>
    </font>
    <font>
      <sz val="8"/>
      <name val="Arial Unicode MS"/>
      <family val="2"/>
      <charset val="136"/>
    </font>
    <font>
      <b/>
      <sz val="10"/>
      <color indexed="12"/>
      <name val="Arial Unicode MS"/>
      <family val="2"/>
      <charset val="136"/>
    </font>
    <font>
      <b/>
      <sz val="10"/>
      <name val="Arial Unicode MS"/>
      <family val="2"/>
      <charset val="136"/>
    </font>
    <font>
      <b/>
      <sz val="10"/>
      <color indexed="13"/>
      <name val="Arial Unicode MS"/>
      <family val="2"/>
      <charset val="136"/>
    </font>
    <font>
      <sz val="12"/>
      <name val="Arial Unicode MS"/>
      <family val="2"/>
      <charset val="136"/>
    </font>
    <font>
      <b/>
      <sz val="9"/>
      <color indexed="63"/>
      <name val="Tahoma"/>
      <family val="2"/>
    </font>
    <font>
      <sz val="10"/>
      <name val="Arial"/>
      <family val="2"/>
    </font>
    <font>
      <sz val="10"/>
      <name val="Courier"/>
      <family val="3"/>
    </font>
    <font>
      <sz val="10"/>
      <name val="Trebuchet MS"/>
      <family val="2"/>
    </font>
    <font>
      <b/>
      <sz val="10"/>
      <name val="細明體"/>
      <family val="3"/>
      <charset val="136"/>
    </font>
    <font>
      <b/>
      <sz val="16"/>
      <name val="Trebuchet MS"/>
      <family val="2"/>
    </font>
    <font>
      <sz val="9"/>
      <name val="Arial Unicode MS"/>
      <family val="2"/>
      <charset val="136"/>
    </font>
    <font>
      <sz val="9"/>
      <color indexed="8"/>
      <name val="Arial Unicode MS"/>
      <family val="2"/>
      <charset val="136"/>
    </font>
    <font>
      <sz val="10"/>
      <color indexed="18"/>
      <name val="Arial Unicode MS"/>
      <family val="2"/>
      <charset val="136"/>
    </font>
    <font>
      <b/>
      <sz val="8"/>
      <color indexed="18"/>
      <name val="Arial Unicode MS"/>
      <family val="2"/>
      <charset val="136"/>
    </font>
    <font>
      <b/>
      <sz val="11"/>
      <name val="Reuters"/>
      <family val="2"/>
    </font>
    <font>
      <b/>
      <sz val="11"/>
      <color indexed="62"/>
      <name val="Reuters"/>
      <family val="2"/>
    </font>
    <font>
      <sz val="11"/>
      <name val="Reuters"/>
      <family val="2"/>
    </font>
    <font>
      <b/>
      <sz val="11"/>
      <color indexed="39"/>
      <name val="Reuters"/>
      <family val="2"/>
    </font>
    <font>
      <b/>
      <sz val="11"/>
      <color indexed="12"/>
      <name val="Reuters"/>
      <family val="2"/>
    </font>
    <font>
      <b/>
      <sz val="11"/>
      <color indexed="8"/>
      <name val="Reuters"/>
      <family val="2"/>
    </font>
    <font>
      <sz val="11"/>
      <color indexed="8"/>
      <name val="Reuters"/>
      <family val="2"/>
    </font>
    <font>
      <sz val="12"/>
      <name val="Reuters"/>
      <family val="2"/>
    </font>
    <font>
      <b/>
      <sz val="12"/>
      <color indexed="50"/>
      <name val="Reuters"/>
      <family val="2"/>
    </font>
    <font>
      <b/>
      <sz val="11"/>
      <color indexed="50"/>
      <name val="Reuters"/>
      <family val="2"/>
    </font>
    <font>
      <sz val="10"/>
      <color indexed="13"/>
      <name val="Arial Unicode MS"/>
      <family val="2"/>
      <charset val="136"/>
    </font>
    <font>
      <b/>
      <sz val="10"/>
      <color indexed="9"/>
      <name val="Arial Unicode MS"/>
      <family val="2"/>
      <charset val="136"/>
    </font>
    <font>
      <sz val="8"/>
      <name val="Arial"/>
      <family val="2"/>
    </font>
    <font>
      <sz val="9"/>
      <name val="華康細明體"/>
      <family val="3"/>
      <charset val="136"/>
    </font>
    <font>
      <b/>
      <i/>
      <sz val="16"/>
      <name val="Helv"/>
      <family val="2"/>
    </font>
    <font>
      <b/>
      <sz val="10"/>
      <name val="Arial"/>
      <family val="2"/>
    </font>
    <font>
      <sz val="12"/>
      <name val="宋体"/>
      <family val="3"/>
      <charset val="136"/>
    </font>
    <font>
      <b/>
      <sz val="12"/>
      <name val="Arial Unicode MS"/>
      <family val="2"/>
      <charset val="136"/>
    </font>
    <font>
      <sz val="10"/>
      <color indexed="10"/>
      <name val="Arial Unicode MS"/>
      <family val="2"/>
      <charset val="136"/>
    </font>
    <font>
      <sz val="10"/>
      <color indexed="12"/>
      <name val="Arial"/>
      <family val="2"/>
    </font>
    <font>
      <b/>
      <sz val="10"/>
      <color indexed="10"/>
      <name val="Tahoma"/>
      <family val="2"/>
    </font>
    <font>
      <b/>
      <sz val="11"/>
      <color indexed="10"/>
      <name val="Reuters"/>
      <family val="2"/>
    </font>
    <font>
      <b/>
      <sz val="10"/>
      <color indexed="10"/>
      <name val="Arial Unicode MS"/>
      <family val="2"/>
      <charset val="136"/>
    </font>
    <font>
      <sz val="10"/>
      <name val="新細明體"/>
      <family val="1"/>
      <charset val="136"/>
    </font>
    <font>
      <sz val="10"/>
      <name val="Times New Roman"/>
      <family val="1"/>
    </font>
    <font>
      <b/>
      <sz val="14"/>
      <name val="新細明體"/>
      <family val="1"/>
      <charset val="136"/>
    </font>
    <font>
      <b/>
      <sz val="14"/>
      <color indexed="18"/>
      <name val="Arial"/>
      <family val="2"/>
    </font>
    <font>
      <b/>
      <sz val="14"/>
      <name val="Arial"/>
      <family val="2"/>
    </font>
    <font>
      <sz val="10"/>
      <name val="Tahoma"/>
      <family val="2"/>
    </font>
    <font>
      <b/>
      <sz val="14"/>
      <color indexed="56"/>
      <name val="Arial"/>
      <family val="2"/>
    </font>
    <font>
      <b/>
      <sz val="14"/>
      <color indexed="12"/>
      <name val="Arial"/>
      <family val="2"/>
    </font>
    <font>
      <sz val="10"/>
      <color indexed="9"/>
      <name val="新細明體"/>
      <family val="1"/>
      <charset val="136"/>
    </font>
    <font>
      <b/>
      <sz val="12"/>
      <name val="Arial"/>
      <family val="2"/>
    </font>
    <font>
      <b/>
      <sz val="12"/>
      <color indexed="60"/>
      <name val="Arial"/>
      <family val="2"/>
    </font>
    <font>
      <b/>
      <sz val="10"/>
      <name val="Arial Unicode MS"/>
      <family val="2"/>
    </font>
    <font>
      <sz val="10"/>
      <color indexed="8"/>
      <name val="Arial Unicode MS"/>
      <family val="2"/>
      <charset val="136"/>
    </font>
    <font>
      <sz val="14"/>
      <name val="Arial Unicode MS"/>
      <family val="2"/>
      <charset val="136"/>
    </font>
    <font>
      <b/>
      <sz val="12"/>
      <color rgb="FF0070C0"/>
      <name val="Arial"/>
      <family val="2"/>
    </font>
    <font>
      <b/>
      <sz val="14"/>
      <color rgb="FFFF0000"/>
      <name val="Arial"/>
      <family val="2"/>
    </font>
    <font>
      <b/>
      <sz val="16"/>
      <color rgb="FFFF0000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新細明體"/>
      <family val="1"/>
      <charset val="136"/>
    </font>
    <font>
      <sz val="11"/>
      <color rgb="FF000000"/>
      <name val="新細明體"/>
      <family val="1"/>
      <charset val="136"/>
    </font>
    <font>
      <sz val="10"/>
      <color rgb="FF000000"/>
      <name val="Arial Unicode MS"/>
      <family val="2"/>
      <charset val="136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slantDashDot">
        <color indexed="18"/>
      </top>
      <bottom/>
      <diagonal/>
    </border>
    <border>
      <left style="slantDashDot">
        <color indexed="18"/>
      </left>
      <right/>
      <top/>
      <bottom/>
      <diagonal/>
    </border>
    <border>
      <left style="slantDashDot">
        <color indexed="18"/>
      </left>
      <right/>
      <top/>
      <bottom style="slantDashDot">
        <color indexed="18"/>
      </bottom>
      <diagonal/>
    </border>
    <border>
      <left/>
      <right/>
      <top/>
      <bottom style="slantDashDot">
        <color indexed="18"/>
      </bottom>
      <diagonal/>
    </border>
    <border>
      <left/>
      <right/>
      <top style="mediumDashed">
        <color indexed="12"/>
      </top>
      <bottom/>
      <diagonal/>
    </border>
    <border>
      <left/>
      <right style="mediumDashed">
        <color indexed="12"/>
      </right>
      <top style="mediumDashed">
        <color indexed="12"/>
      </top>
      <bottom/>
      <diagonal/>
    </border>
    <border>
      <left/>
      <right style="mediumDashed">
        <color indexed="12"/>
      </right>
      <top/>
      <bottom/>
      <diagonal/>
    </border>
    <border>
      <left/>
      <right/>
      <top/>
      <bottom style="mediumDashed">
        <color indexed="12"/>
      </bottom>
      <diagonal/>
    </border>
    <border>
      <left/>
      <right style="mediumDashed">
        <color indexed="12"/>
      </right>
      <top/>
      <bottom style="mediumDashed">
        <color indexed="12"/>
      </bottom>
      <diagonal/>
    </border>
    <border>
      <left/>
      <right style="mediumDashDot">
        <color indexed="18"/>
      </right>
      <top/>
      <bottom/>
      <diagonal/>
    </border>
    <border>
      <left style="mediumDashed">
        <color indexed="61"/>
      </left>
      <right/>
      <top style="mediumDashed">
        <color indexed="61"/>
      </top>
      <bottom/>
      <diagonal/>
    </border>
    <border>
      <left/>
      <right style="mediumDashed">
        <color indexed="61"/>
      </right>
      <top style="mediumDashed">
        <color indexed="61"/>
      </top>
      <bottom/>
      <diagonal/>
    </border>
    <border>
      <left style="mediumDashed">
        <color indexed="61"/>
      </left>
      <right/>
      <top/>
      <bottom/>
      <diagonal/>
    </border>
    <border>
      <left/>
      <right/>
      <top style="thick">
        <color indexed="39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Dashed">
        <color indexed="24"/>
      </left>
      <right/>
      <top style="mediumDashed">
        <color indexed="24"/>
      </top>
      <bottom/>
      <diagonal/>
    </border>
    <border>
      <left/>
      <right/>
      <top style="mediumDashed">
        <color indexed="24"/>
      </top>
      <bottom/>
      <diagonal/>
    </border>
    <border>
      <left style="mediumDashed">
        <color indexed="24"/>
      </left>
      <right/>
      <top/>
      <bottom/>
      <diagonal/>
    </border>
    <border>
      <left style="mediumDashed">
        <color indexed="24"/>
      </left>
      <right/>
      <top/>
      <bottom style="mediumDashed">
        <color indexed="24"/>
      </bottom>
      <diagonal/>
    </border>
    <border>
      <left/>
      <right/>
      <top/>
      <bottom style="mediumDashed">
        <color indexed="24"/>
      </bottom>
      <diagonal/>
    </border>
    <border>
      <left/>
      <right style="mediumDashed">
        <color indexed="24"/>
      </right>
      <top style="mediumDashed">
        <color indexed="24"/>
      </top>
      <bottom/>
      <diagonal/>
    </border>
    <border>
      <left/>
      <right style="mediumDashed">
        <color indexed="24"/>
      </right>
      <top/>
      <bottom/>
      <diagonal/>
    </border>
    <border>
      <left/>
      <right style="mediumDashed">
        <color indexed="24"/>
      </right>
      <top/>
      <bottom style="mediumDashed">
        <color indexed="2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Dashed">
        <color indexed="61"/>
      </bottom>
      <diagonal/>
    </border>
    <border>
      <left/>
      <right style="mediumDashed">
        <color indexed="61"/>
      </right>
      <top/>
      <bottom style="mediumDashed">
        <color indexed="61"/>
      </bottom>
      <diagonal/>
    </border>
    <border>
      <left/>
      <right style="mediumDashed">
        <color indexed="61"/>
      </right>
      <top/>
      <bottom/>
      <diagonal/>
    </border>
    <border>
      <left style="mediumDashed">
        <color indexed="61"/>
      </left>
      <right/>
      <top/>
      <bottom style="mediumDashed">
        <color indexed="6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Dashed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Dashed">
        <color indexed="18"/>
      </left>
      <right/>
      <top style="mediumDashed">
        <color indexed="18"/>
      </top>
      <bottom style="mediumDashed">
        <color indexed="18"/>
      </bottom>
      <diagonal/>
    </border>
    <border>
      <left/>
      <right/>
      <top style="mediumDashed">
        <color indexed="18"/>
      </top>
      <bottom style="mediumDashed">
        <color indexed="18"/>
      </bottom>
      <diagonal/>
    </border>
    <border>
      <left/>
      <right style="mediumDashed">
        <color indexed="18"/>
      </right>
      <top style="mediumDashed">
        <color indexed="18"/>
      </top>
      <bottom style="mediumDashed">
        <color indexed="18"/>
      </bottom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</borders>
  <cellStyleXfs count="17">
    <xf numFmtId="0" fontId="0" fillId="0" borderId="0">
      <alignment vertical="center"/>
    </xf>
    <xf numFmtId="0" fontId="10" fillId="0" borderId="0"/>
    <xf numFmtId="38" fontId="31" fillId="2" borderId="0" applyNumberFormat="0" applyBorder="0" applyAlignment="0" applyProtection="0"/>
    <xf numFmtId="10" fontId="31" fillId="3" borderId="1" applyNumberFormat="0" applyBorder="0" applyAlignment="0" applyProtection="0"/>
    <xf numFmtId="0" fontId="9" fillId="2" borderId="0"/>
    <xf numFmtId="213" fontId="32" fillId="0" borderId="0"/>
    <xf numFmtId="188" fontId="33" fillId="0" borderId="0"/>
    <xf numFmtId="10" fontId="10" fillId="0" borderId="0" applyFont="0" applyFill="0" applyBorder="0" applyAlignment="0" applyProtection="0"/>
    <xf numFmtId="0" fontId="10" fillId="0" borderId="0">
      <alignment horizontal="left" wrapText="1"/>
    </xf>
    <xf numFmtId="0" fontId="10" fillId="0" borderId="0"/>
    <xf numFmtId="178" fontId="11" fillId="0" borderId="0"/>
    <xf numFmtId="0" fontId="1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35" fillId="0" borderId="0"/>
    <xf numFmtId="176" fontId="1" fillId="0" borderId="0" applyFont="0" applyFill="0" applyBorder="0" applyAlignment="0" applyProtection="0"/>
    <xf numFmtId="0" fontId="10" fillId="0" borderId="0">
      <alignment horizontal="left" wrapText="1"/>
    </xf>
  </cellStyleXfs>
  <cellXfs count="493">
    <xf numFmtId="0" fontId="0" fillId="0" borderId="0" xfId="0">
      <alignment vertical="center"/>
    </xf>
    <xf numFmtId="0" fontId="3" fillId="0" borderId="2" xfId="0" applyFont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Border="1">
      <alignment vertical="center"/>
    </xf>
    <xf numFmtId="179" fontId="3" fillId="0" borderId="0" xfId="0" applyNumberFormat="1" applyFont="1" applyBorder="1">
      <alignment vertical="center"/>
    </xf>
    <xf numFmtId="180" fontId="3" fillId="0" borderId="0" xfId="0" applyNumberFormat="1" applyFont="1" applyBorder="1">
      <alignment vertical="center"/>
    </xf>
    <xf numFmtId="180" fontId="3" fillId="0" borderId="5" xfId="0" applyNumberFormat="1" applyFont="1" applyBorder="1">
      <alignment vertical="center"/>
    </xf>
    <xf numFmtId="179" fontId="3" fillId="0" borderId="7" xfId="0" applyNumberFormat="1" applyFont="1" applyBorder="1">
      <alignment vertical="center"/>
    </xf>
    <xf numFmtId="0" fontId="3" fillId="0" borderId="7" xfId="0" applyFont="1" applyBorder="1">
      <alignment vertical="center"/>
    </xf>
    <xf numFmtId="0" fontId="3" fillId="0" borderId="9" xfId="0" applyFont="1" applyBorder="1">
      <alignment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4" fontId="3" fillId="0" borderId="0" xfId="0" applyNumberFormat="1" applyFont="1" applyBorder="1">
      <alignment vertical="center"/>
    </xf>
    <xf numFmtId="0" fontId="3" fillId="0" borderId="11" xfId="0" applyFont="1" applyBorder="1" applyAlignment="1">
      <alignment horizontal="center" vertical="center"/>
    </xf>
    <xf numFmtId="14" fontId="3" fillId="0" borderId="7" xfId="0" applyNumberFormat="1" applyFont="1" applyBorder="1">
      <alignment vertical="center"/>
    </xf>
    <xf numFmtId="180" fontId="3" fillId="0" borderId="7" xfId="0" applyNumberFormat="1" applyFont="1" applyBorder="1">
      <alignment vertical="center"/>
    </xf>
    <xf numFmtId="180" fontId="3" fillId="0" borderId="9" xfId="0" applyNumberFormat="1" applyFont="1" applyBorder="1">
      <alignment vertical="center"/>
    </xf>
    <xf numFmtId="179" fontId="6" fillId="0" borderId="0" xfId="0" applyNumberFormat="1" applyFont="1" applyBorder="1">
      <alignment vertical="center"/>
    </xf>
    <xf numFmtId="0" fontId="6" fillId="0" borderId="0" xfId="0" applyFont="1" applyBorder="1">
      <alignment vertical="center"/>
    </xf>
    <xf numFmtId="14" fontId="7" fillId="5" borderId="10" xfId="0" applyNumberFormat="1" applyFont="1" applyFill="1" applyBorder="1">
      <alignment vertical="center"/>
    </xf>
    <xf numFmtId="14" fontId="7" fillId="5" borderId="11" xfId="0" applyNumberFormat="1" applyFont="1" applyFill="1" applyBorder="1">
      <alignment vertical="center"/>
    </xf>
    <xf numFmtId="0" fontId="3" fillId="0" borderId="8" xfId="0" applyFont="1" applyBorder="1">
      <alignment vertical="center"/>
    </xf>
    <xf numFmtId="180" fontId="3" fillId="0" borderId="2" xfId="0" applyNumberFormat="1" applyFont="1" applyBorder="1" applyAlignment="1">
      <alignment horizontal="center" vertical="center"/>
    </xf>
    <xf numFmtId="0" fontId="3" fillId="0" borderId="10" xfId="0" applyFont="1" applyBorder="1">
      <alignment vertical="center"/>
    </xf>
    <xf numFmtId="180" fontId="3" fillId="0" borderId="0" xfId="0" applyNumberFormat="1" applyFont="1" applyBorder="1" applyAlignment="1">
      <alignment horizontal="center" vertical="center"/>
    </xf>
    <xf numFmtId="183" fontId="3" fillId="0" borderId="0" xfId="0" applyNumberFormat="1" applyFont="1" applyBorder="1" applyAlignment="1">
      <alignment horizontal="center" vertical="center"/>
    </xf>
    <xf numFmtId="0" fontId="3" fillId="0" borderId="11" xfId="0" applyFont="1" applyBorder="1">
      <alignment vertical="center"/>
    </xf>
    <xf numFmtId="183" fontId="3" fillId="0" borderId="7" xfId="0" applyNumberFormat="1" applyFont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4" fillId="0" borderId="0" xfId="0" applyFont="1" applyBorder="1">
      <alignment vertical="center"/>
    </xf>
    <xf numFmtId="0" fontId="3" fillId="0" borderId="12" xfId="0" applyFont="1" applyBorder="1">
      <alignment vertical="center"/>
    </xf>
    <xf numFmtId="0" fontId="3" fillId="0" borderId="13" xfId="0" applyFont="1" applyBorder="1">
      <alignment vertical="center"/>
    </xf>
    <xf numFmtId="0" fontId="3" fillId="0" borderId="13" xfId="0" applyFont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0" fontId="3" fillId="0" borderId="15" xfId="0" applyFont="1" applyBorder="1">
      <alignment vertical="center"/>
    </xf>
    <xf numFmtId="182" fontId="6" fillId="0" borderId="0" xfId="0" applyNumberFormat="1" applyFont="1" applyBorder="1">
      <alignment vertical="center"/>
    </xf>
    <xf numFmtId="182" fontId="6" fillId="0" borderId="5" xfId="0" applyNumberFormat="1" applyFont="1" applyBorder="1">
      <alignment vertical="center"/>
    </xf>
    <xf numFmtId="14" fontId="6" fillId="6" borderId="0" xfId="0" applyNumberFormat="1" applyFont="1" applyFill="1" applyBorder="1">
      <alignment vertical="center"/>
    </xf>
    <xf numFmtId="4" fontId="3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0" fontId="3" fillId="0" borderId="5" xfId="0" applyFont="1" applyBorder="1">
      <alignment vertical="center"/>
    </xf>
    <xf numFmtId="14" fontId="6" fillId="7" borderId="0" xfId="0" applyNumberFormat="1" applyFont="1" applyFill="1" applyBorder="1">
      <alignment vertical="center"/>
    </xf>
    <xf numFmtId="14" fontId="6" fillId="8" borderId="0" xfId="0" applyNumberFormat="1" applyFont="1" applyFill="1" applyBorder="1">
      <alignment vertical="center"/>
    </xf>
    <xf numFmtId="0" fontId="3" fillId="0" borderId="16" xfId="0" applyFont="1" applyBorder="1">
      <alignment vertical="center"/>
    </xf>
    <xf numFmtId="0" fontId="3" fillId="0" borderId="17" xfId="0" applyFont="1" applyBorder="1">
      <alignment vertical="center"/>
    </xf>
    <xf numFmtId="0" fontId="3" fillId="0" borderId="18" xfId="0" applyFont="1" applyBorder="1">
      <alignment vertical="center"/>
    </xf>
    <xf numFmtId="0" fontId="3" fillId="4" borderId="0" xfId="0" applyFont="1" applyFill="1" applyBorder="1">
      <alignment vertical="center"/>
    </xf>
    <xf numFmtId="0" fontId="3" fillId="0" borderId="19" xfId="0" applyFont="1" applyBorder="1">
      <alignment vertical="center"/>
    </xf>
    <xf numFmtId="0" fontId="3" fillId="0" borderId="20" xfId="0" applyFont="1" applyBorder="1">
      <alignment vertical="center"/>
    </xf>
    <xf numFmtId="14" fontId="3" fillId="0" borderId="18" xfId="0" applyNumberFormat="1" applyFont="1" applyBorder="1">
      <alignment vertical="center"/>
    </xf>
    <xf numFmtId="14" fontId="6" fillId="0" borderId="0" xfId="0" applyNumberFormat="1" applyFont="1" applyFill="1" applyBorder="1">
      <alignment vertical="center"/>
    </xf>
    <xf numFmtId="0" fontId="6" fillId="0" borderId="0" xfId="0" applyFont="1" applyFill="1">
      <alignment vertical="center"/>
    </xf>
    <xf numFmtId="14" fontId="3" fillId="0" borderId="0" xfId="0" applyNumberFormat="1" applyFont="1" applyFill="1" applyBorder="1">
      <alignment vertical="center"/>
    </xf>
    <xf numFmtId="0" fontId="3" fillId="0" borderId="0" xfId="0" applyFont="1" applyFill="1">
      <alignment vertical="center"/>
    </xf>
    <xf numFmtId="0" fontId="3" fillId="0" borderId="21" xfId="0" applyFont="1" applyBorder="1">
      <alignment vertical="center"/>
    </xf>
    <xf numFmtId="186" fontId="3" fillId="0" borderId="0" xfId="0" applyNumberFormat="1" applyFont="1" applyFill="1" applyAlignment="1">
      <alignment horizontal="center" vertical="center"/>
    </xf>
    <xf numFmtId="186" fontId="3" fillId="0" borderId="0" xfId="0" applyNumberFormat="1" applyFont="1">
      <alignment vertical="center"/>
    </xf>
    <xf numFmtId="0" fontId="3" fillId="0" borderId="1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179" fontId="3" fillId="6" borderId="10" xfId="0" applyNumberFormat="1" applyFont="1" applyFill="1" applyBorder="1">
      <alignment vertical="center"/>
    </xf>
    <xf numFmtId="179" fontId="3" fillId="0" borderId="10" xfId="0" applyNumberFormat="1" applyFont="1" applyFill="1" applyBorder="1">
      <alignment vertical="center"/>
    </xf>
    <xf numFmtId="0" fontId="3" fillId="0" borderId="0" xfId="0" applyFont="1" applyFill="1" applyBorder="1">
      <alignment vertical="center"/>
    </xf>
    <xf numFmtId="180" fontId="3" fillId="0" borderId="0" xfId="0" applyNumberFormat="1" applyFont="1" applyFill="1" applyBorder="1">
      <alignment vertical="center"/>
    </xf>
    <xf numFmtId="185" fontId="3" fillId="0" borderId="0" xfId="0" applyNumberFormat="1" applyFont="1" applyFill="1" applyBorder="1">
      <alignment vertical="center"/>
    </xf>
    <xf numFmtId="185" fontId="3" fillId="0" borderId="5" xfId="0" applyNumberFormat="1" applyFont="1" applyFill="1" applyBorder="1">
      <alignment vertical="center"/>
    </xf>
    <xf numFmtId="179" fontId="3" fillId="0" borderId="11" xfId="0" applyNumberFormat="1" applyFont="1" applyFill="1" applyBorder="1">
      <alignment vertical="center"/>
    </xf>
    <xf numFmtId="14" fontId="3" fillId="0" borderId="7" xfId="0" applyNumberFormat="1" applyFont="1" applyFill="1" applyBorder="1">
      <alignment vertical="center"/>
    </xf>
    <xf numFmtId="185" fontId="3" fillId="0" borderId="7" xfId="0" applyNumberFormat="1" applyFont="1" applyFill="1" applyBorder="1">
      <alignment vertical="center"/>
    </xf>
    <xf numFmtId="185" fontId="3" fillId="0" borderId="9" xfId="0" applyNumberFormat="1" applyFont="1" applyFill="1" applyBorder="1">
      <alignment vertical="center"/>
    </xf>
    <xf numFmtId="186" fontId="3" fillId="0" borderId="0" xfId="0" applyNumberFormat="1" applyFont="1" applyFill="1" applyBorder="1">
      <alignment vertical="center"/>
    </xf>
    <xf numFmtId="186" fontId="3" fillId="0" borderId="5" xfId="0" applyNumberFormat="1" applyFont="1" applyFill="1" applyBorder="1">
      <alignment vertical="center"/>
    </xf>
    <xf numFmtId="187" fontId="3" fillId="0" borderId="0" xfId="0" applyNumberFormat="1" applyFont="1">
      <alignment vertical="center"/>
    </xf>
    <xf numFmtId="186" fontId="3" fillId="0" borderId="0" xfId="0" applyNumberFormat="1" applyFont="1" applyBorder="1">
      <alignment vertical="center"/>
    </xf>
    <xf numFmtId="186" fontId="3" fillId="0" borderId="5" xfId="0" applyNumberFormat="1" applyFont="1" applyBorder="1">
      <alignment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3" fillId="0" borderId="0" xfId="11" applyFont="1" applyAlignment="1">
      <alignment horizontal="center" vertical="center"/>
    </xf>
    <xf numFmtId="0" fontId="3" fillId="0" borderId="8" xfId="11" applyFont="1" applyBorder="1" applyAlignment="1">
      <alignment horizontal="center" vertical="center"/>
    </xf>
    <xf numFmtId="0" fontId="3" fillId="0" borderId="2" xfId="11" applyFont="1" applyBorder="1" applyAlignment="1">
      <alignment horizontal="center" vertical="center"/>
    </xf>
    <xf numFmtId="0" fontId="3" fillId="9" borderId="6" xfId="11" applyFont="1" applyFill="1" applyBorder="1" applyAlignment="1">
      <alignment horizontal="center" vertical="center"/>
    </xf>
    <xf numFmtId="181" fontId="3" fillId="0" borderId="0" xfId="11" applyNumberFormat="1" applyFont="1" applyAlignment="1">
      <alignment horizontal="center" vertical="center"/>
    </xf>
    <xf numFmtId="0" fontId="3" fillId="10" borderId="10" xfId="11" applyFont="1" applyFill="1" applyBorder="1" applyAlignment="1">
      <alignment horizontal="center" vertical="center"/>
    </xf>
    <xf numFmtId="181" fontId="3" fillId="0" borderId="0" xfId="11" applyNumberFormat="1" applyFont="1" applyBorder="1" applyAlignment="1">
      <alignment horizontal="center" vertical="center"/>
    </xf>
    <xf numFmtId="180" fontId="3" fillId="9" borderId="5" xfId="11" applyNumberFormat="1" applyFont="1" applyFill="1" applyBorder="1" applyAlignment="1">
      <alignment horizontal="center" vertical="center"/>
    </xf>
    <xf numFmtId="180" fontId="3" fillId="0" borderId="10" xfId="0" applyNumberFormat="1" applyFont="1" applyBorder="1">
      <alignment vertical="center"/>
    </xf>
    <xf numFmtId="181" fontId="3" fillId="0" borderId="0" xfId="0" applyNumberFormat="1" applyFont="1" applyBorder="1">
      <alignment vertical="center"/>
    </xf>
    <xf numFmtId="181" fontId="3" fillId="0" borderId="5" xfId="0" applyNumberFormat="1" applyFont="1" applyBorder="1">
      <alignment vertical="center"/>
    </xf>
    <xf numFmtId="0" fontId="3" fillId="8" borderId="0" xfId="0" applyFont="1" applyFill="1" applyBorder="1">
      <alignment vertical="center"/>
    </xf>
    <xf numFmtId="0" fontId="3" fillId="8" borderId="5" xfId="0" applyFont="1" applyFill="1" applyBorder="1">
      <alignment vertical="center"/>
    </xf>
    <xf numFmtId="14" fontId="6" fillId="8" borderId="7" xfId="0" applyNumberFormat="1" applyFont="1" applyFill="1" applyBorder="1">
      <alignment vertical="center"/>
    </xf>
    <xf numFmtId="0" fontId="6" fillId="8" borderId="7" xfId="0" applyFont="1" applyFill="1" applyBorder="1">
      <alignment vertical="center"/>
    </xf>
    <xf numFmtId="0" fontId="6" fillId="8" borderId="9" xfId="0" applyFont="1" applyFill="1" applyBorder="1">
      <alignment vertical="center"/>
    </xf>
    <xf numFmtId="191" fontId="16" fillId="0" borderId="8" xfId="0" applyNumberFormat="1" applyFont="1" applyFill="1" applyBorder="1" applyAlignment="1">
      <alignment horizontal="center"/>
    </xf>
    <xf numFmtId="191" fontId="16" fillId="0" borderId="10" xfId="0" applyNumberFormat="1" applyFont="1" applyFill="1" applyBorder="1" applyAlignment="1">
      <alignment horizontal="center"/>
    </xf>
    <xf numFmtId="14" fontId="15" fillId="11" borderId="8" xfId="0" applyNumberFormat="1" applyFont="1" applyFill="1" applyBorder="1" applyAlignment="1">
      <alignment horizontal="center"/>
    </xf>
    <xf numFmtId="189" fontId="15" fillId="11" borderId="2" xfId="0" applyNumberFormat="1" applyFont="1" applyFill="1" applyBorder="1" applyAlignment="1">
      <alignment horizontal="center"/>
    </xf>
    <xf numFmtId="198" fontId="15" fillId="11" borderId="6" xfId="0" applyNumberFormat="1" applyFont="1" applyFill="1" applyBorder="1" applyAlignment="1">
      <alignment horizontal="center"/>
    </xf>
    <xf numFmtId="14" fontId="15" fillId="11" borderId="11" xfId="0" applyNumberFormat="1" applyFont="1" applyFill="1" applyBorder="1" applyAlignment="1">
      <alignment horizontal="center"/>
    </xf>
    <xf numFmtId="189" fontId="15" fillId="11" borderId="7" xfId="0" applyNumberFormat="1" applyFont="1" applyFill="1" applyBorder="1" applyAlignment="1">
      <alignment horizontal="center"/>
    </xf>
    <xf numFmtId="198" fontId="15" fillId="11" borderId="9" xfId="0" applyNumberFormat="1" applyFont="1" applyFill="1" applyBorder="1" applyAlignment="1">
      <alignment horizontal="center"/>
    </xf>
    <xf numFmtId="191" fontId="15" fillId="11" borderId="8" xfId="0" applyNumberFormat="1" applyFont="1" applyFill="1" applyBorder="1" applyAlignment="1">
      <alignment horizontal="center"/>
    </xf>
    <xf numFmtId="191" fontId="15" fillId="11" borderId="10" xfId="0" applyNumberFormat="1" applyFont="1" applyFill="1" applyBorder="1" applyAlignment="1">
      <alignment horizontal="center"/>
    </xf>
    <xf numFmtId="0" fontId="19" fillId="0" borderId="0" xfId="0" applyFont="1" applyFill="1" applyBorder="1" applyAlignment="1">
      <alignment horizontal="center"/>
    </xf>
    <xf numFmtId="201" fontId="19" fillId="0" borderId="0" xfId="12" applyNumberFormat="1" applyFont="1" applyFill="1" applyBorder="1" applyAlignment="1">
      <alignment horizontal="center"/>
    </xf>
    <xf numFmtId="202" fontId="19" fillId="0" borderId="0" xfId="12" applyNumberFormat="1" applyFont="1" applyFill="1" applyBorder="1" applyAlignment="1">
      <alignment horizontal="center"/>
    </xf>
    <xf numFmtId="0" fontId="19" fillId="0" borderId="22" xfId="0" applyFont="1" applyFill="1" applyBorder="1" applyAlignment="1">
      <alignment horizontal="center"/>
    </xf>
    <xf numFmtId="0" fontId="20" fillId="0" borderId="23" xfId="0" applyFont="1" applyFill="1" applyBorder="1" applyAlignment="1">
      <alignment horizontal="center"/>
    </xf>
    <xf numFmtId="0" fontId="19" fillId="0" borderId="24" xfId="0" applyFont="1" applyFill="1" applyBorder="1" applyAlignment="1">
      <alignment horizontal="center"/>
    </xf>
    <xf numFmtId="203" fontId="19" fillId="0" borderId="24" xfId="0" applyNumberFormat="1" applyFont="1" applyFill="1" applyBorder="1" applyAlignment="1">
      <alignment horizontal="center"/>
    </xf>
    <xf numFmtId="43" fontId="19" fillId="0" borderId="24" xfId="12" applyFont="1" applyFill="1" applyBorder="1" applyAlignment="1">
      <alignment horizontal="center"/>
    </xf>
    <xf numFmtId="0" fontId="3" fillId="0" borderId="25" xfId="0" applyFont="1" applyBorder="1">
      <alignment vertical="center"/>
    </xf>
    <xf numFmtId="0" fontId="22" fillId="0" borderId="0" xfId="0" applyNumberFormat="1" applyFont="1" applyFill="1" applyBorder="1" applyAlignment="1">
      <alignment horizontal="center"/>
    </xf>
    <xf numFmtId="190" fontId="21" fillId="0" borderId="0" xfId="0" applyNumberFormat="1" applyFont="1" applyFill="1" applyBorder="1" applyAlignment="1">
      <alignment horizontal="center"/>
    </xf>
    <xf numFmtId="204" fontId="19" fillId="0" borderId="0" xfId="0" applyNumberFormat="1" applyFont="1" applyFill="1" applyBorder="1" applyAlignment="1">
      <alignment horizontal="center"/>
    </xf>
    <xf numFmtId="179" fontId="3" fillId="0" borderId="0" xfId="0" applyNumberFormat="1" applyFont="1" applyFill="1" applyBorder="1">
      <alignment vertical="center"/>
    </xf>
    <xf numFmtId="180" fontId="3" fillId="10" borderId="10" xfId="0" applyNumberFormat="1" applyFont="1" applyFill="1" applyBorder="1">
      <alignment vertical="center"/>
    </xf>
    <xf numFmtId="180" fontId="3" fillId="10" borderId="5" xfId="0" applyNumberFormat="1" applyFont="1" applyFill="1" applyBorder="1">
      <alignment vertical="center"/>
    </xf>
    <xf numFmtId="0" fontId="3" fillId="10" borderId="0" xfId="0" applyFont="1" applyFill="1" applyBorder="1">
      <alignment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21" fillId="0" borderId="0" xfId="0" applyFont="1">
      <alignment vertical="center"/>
    </xf>
    <xf numFmtId="0" fontId="21" fillId="0" borderId="0" xfId="0" applyNumberFormat="1" applyFont="1" applyAlignment="1">
      <alignment horizontal="center"/>
    </xf>
    <xf numFmtId="188" fontId="20" fillId="0" borderId="0" xfId="0" applyNumberFormat="1" applyFont="1" applyFill="1" applyBorder="1" applyAlignment="1" applyProtection="1">
      <alignment horizontal="center"/>
      <protection hidden="1"/>
    </xf>
    <xf numFmtId="0" fontId="21" fillId="0" borderId="0" xfId="0" applyFont="1" applyAlignment="1">
      <alignment horizontal="center" vertical="center"/>
    </xf>
    <xf numFmtId="0" fontId="21" fillId="0" borderId="0" xfId="0" applyNumberFormat="1" applyFont="1" applyAlignment="1">
      <alignment horizontal="center" vertical="center"/>
    </xf>
    <xf numFmtId="38" fontId="23" fillId="0" borderId="0" xfId="0" applyNumberFormat="1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38" fontId="23" fillId="0" borderId="0" xfId="0" applyNumberFormat="1" applyFont="1" applyFill="1" applyBorder="1" applyAlignment="1">
      <alignment horizontal="right" vertical="center"/>
    </xf>
    <xf numFmtId="0" fontId="21" fillId="0" borderId="0" xfId="0" applyFont="1" applyFill="1" applyBorder="1" applyAlignment="1">
      <alignment horizontal="center" vertical="center"/>
    </xf>
    <xf numFmtId="189" fontId="19" fillId="0" borderId="0" xfId="0" applyNumberFormat="1" applyFont="1" applyFill="1" applyBorder="1" applyAlignment="1">
      <alignment horizontal="right" vertical="center"/>
    </xf>
    <xf numFmtId="38" fontId="23" fillId="0" borderId="0" xfId="0" applyNumberFormat="1" applyFont="1" applyFill="1" applyBorder="1" applyAlignment="1"/>
    <xf numFmtId="198" fontId="19" fillId="0" borderId="0" xfId="0" applyNumberFormat="1" applyFont="1" applyFill="1" applyBorder="1" applyAlignment="1">
      <alignment horizontal="center"/>
    </xf>
    <xf numFmtId="0" fontId="21" fillId="0" borderId="0" xfId="0" applyNumberFormat="1" applyFont="1" applyBorder="1" applyAlignment="1">
      <alignment horizontal="center" vertical="center"/>
    </xf>
    <xf numFmtId="3" fontId="19" fillId="0" borderId="0" xfId="0" applyNumberFormat="1" applyFont="1" applyFill="1" applyBorder="1">
      <alignment vertical="center"/>
    </xf>
    <xf numFmtId="207" fontId="26" fillId="0" borderId="0" xfId="12" applyNumberFormat="1" applyFont="1" applyFill="1" applyBorder="1" applyAlignment="1">
      <alignment horizontal="center"/>
    </xf>
    <xf numFmtId="0" fontId="21" fillId="0" borderId="0" xfId="0" applyFont="1" applyFill="1" applyBorder="1">
      <alignment vertical="center"/>
    </xf>
    <xf numFmtId="208" fontId="21" fillId="0" borderId="0" xfId="0" applyNumberFormat="1" applyFont="1" applyFill="1" applyBorder="1">
      <alignment vertical="center"/>
    </xf>
    <xf numFmtId="186" fontId="6" fillId="4" borderId="26" xfId="0" applyNumberFormat="1" applyFont="1" applyFill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33" xfId="0" applyFont="1" applyFill="1" applyBorder="1" applyAlignment="1">
      <alignment horizontal="center" vertical="center"/>
    </xf>
    <xf numFmtId="0" fontId="7" fillId="5" borderId="34" xfId="0" applyFont="1" applyFill="1" applyBorder="1" applyAlignment="1">
      <alignment horizontal="center" vertical="center"/>
    </xf>
    <xf numFmtId="0" fontId="17" fillId="4" borderId="35" xfId="0" applyFont="1" applyFill="1" applyBorder="1">
      <alignment vertical="center"/>
    </xf>
    <xf numFmtId="180" fontId="18" fillId="4" borderId="35" xfId="0" applyNumberFormat="1" applyFont="1" applyFill="1" applyBorder="1">
      <alignment vertical="center"/>
    </xf>
    <xf numFmtId="180" fontId="18" fillId="4" borderId="3" xfId="0" applyNumberFormat="1" applyFont="1" applyFill="1" applyBorder="1">
      <alignment vertical="center"/>
    </xf>
    <xf numFmtId="178" fontId="19" fillId="0" borderId="0" xfId="0" applyNumberFormat="1" applyFont="1" applyFill="1" applyBorder="1" applyAlignment="1">
      <alignment horizontal="center"/>
    </xf>
    <xf numFmtId="189" fontId="19" fillId="0" borderId="36" xfId="0" applyNumberFormat="1" applyFont="1" applyFill="1" applyBorder="1" applyAlignment="1">
      <alignment horizontal="center"/>
    </xf>
    <xf numFmtId="0" fontId="3" fillId="0" borderId="36" xfId="0" applyFont="1" applyBorder="1">
      <alignment vertical="center"/>
    </xf>
    <xf numFmtId="0" fontId="3" fillId="0" borderId="37" xfId="0" applyFont="1" applyBorder="1">
      <alignment vertical="center"/>
    </xf>
    <xf numFmtId="0" fontId="24" fillId="0" borderId="22" xfId="0" applyNumberFormat="1" applyFont="1" applyFill="1" applyBorder="1" applyAlignment="1">
      <alignment horizontal="center"/>
    </xf>
    <xf numFmtId="14" fontId="21" fillId="0" borderId="23" xfId="0" applyNumberFormat="1" applyFont="1" applyFill="1" applyBorder="1">
      <alignment vertical="center"/>
    </xf>
    <xf numFmtId="0" fontId="20" fillId="0" borderId="38" xfId="0" applyFont="1" applyFill="1" applyBorder="1" applyAlignment="1">
      <alignment horizontal="center"/>
    </xf>
    <xf numFmtId="210" fontId="20" fillId="0" borderId="38" xfId="12" applyNumberFormat="1" applyFont="1" applyFill="1" applyBorder="1" applyAlignment="1">
      <alignment horizontal="center"/>
    </xf>
    <xf numFmtId="0" fontId="3" fillId="0" borderId="38" xfId="0" applyFont="1" applyBorder="1">
      <alignment vertical="center"/>
    </xf>
    <xf numFmtId="4" fontId="3" fillId="0" borderId="39" xfId="0" applyNumberFormat="1" applyFont="1" applyBorder="1">
      <alignment vertical="center"/>
    </xf>
    <xf numFmtId="180" fontId="19" fillId="0" borderId="0" xfId="0" applyNumberFormat="1" applyFont="1" applyFill="1" applyBorder="1" applyAlignment="1" applyProtection="1">
      <alignment horizontal="center"/>
    </xf>
    <xf numFmtId="180" fontId="19" fillId="0" borderId="36" xfId="0" applyNumberFormat="1" applyFont="1" applyFill="1" applyBorder="1" applyAlignment="1">
      <alignment horizontal="center"/>
    </xf>
    <xf numFmtId="180" fontId="19" fillId="0" borderId="36" xfId="0" applyNumberFormat="1" applyFont="1" applyFill="1" applyBorder="1" applyAlignment="1" applyProtection="1">
      <alignment horizontal="center"/>
    </xf>
    <xf numFmtId="0" fontId="29" fillId="5" borderId="11" xfId="0" applyFont="1" applyFill="1" applyBorder="1">
      <alignment vertical="center"/>
    </xf>
    <xf numFmtId="0" fontId="29" fillId="5" borderId="7" xfId="0" applyFont="1" applyFill="1" applyBorder="1">
      <alignment vertical="center"/>
    </xf>
    <xf numFmtId="182" fontId="3" fillId="12" borderId="0" xfId="0" applyNumberFormat="1" applyFont="1" applyFill="1" applyBorder="1">
      <alignment vertical="center"/>
    </xf>
    <xf numFmtId="179" fontId="6" fillId="6" borderId="0" xfId="0" applyNumberFormat="1" applyFont="1" applyFill="1" applyBorder="1">
      <alignment vertical="center"/>
    </xf>
    <xf numFmtId="196" fontId="6" fillId="6" borderId="0" xfId="0" applyNumberFormat="1" applyFont="1" applyFill="1" applyBorder="1">
      <alignment vertical="center"/>
    </xf>
    <xf numFmtId="179" fontId="6" fillId="13" borderId="0" xfId="0" applyNumberFormat="1" applyFont="1" applyFill="1" applyBorder="1">
      <alignment vertical="center"/>
    </xf>
    <xf numFmtId="179" fontId="3" fillId="13" borderId="0" xfId="0" applyNumberFormat="1" applyFont="1" applyFill="1" applyBorder="1">
      <alignment vertical="center"/>
    </xf>
    <xf numFmtId="0" fontId="6" fillId="0" borderId="0" xfId="0" applyFont="1" applyFill="1" applyBorder="1" applyAlignment="1">
      <alignment horizontal="center" vertical="center"/>
    </xf>
    <xf numFmtId="182" fontId="3" fillId="0" borderId="0" xfId="0" applyNumberFormat="1" applyFont="1" applyFill="1" applyBorder="1" applyAlignment="1">
      <alignment horizontal="center" vertical="center"/>
    </xf>
    <xf numFmtId="182" fontId="3" fillId="0" borderId="0" xfId="0" applyNumberFormat="1" applyFont="1" applyFill="1" applyAlignment="1">
      <alignment horizontal="center" vertical="center"/>
    </xf>
    <xf numFmtId="183" fontId="3" fillId="0" borderId="0" xfId="0" applyNumberFormat="1" applyFont="1" applyFill="1" applyAlignment="1">
      <alignment horizontal="center" vertical="center"/>
    </xf>
    <xf numFmtId="183" fontId="3" fillId="7" borderId="0" xfId="0" applyNumberFormat="1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186" fontId="30" fillId="13" borderId="0" xfId="0" applyNumberFormat="1" applyFont="1" applyFill="1" applyBorder="1" applyAlignment="1">
      <alignment horizontal="center" vertical="center"/>
    </xf>
    <xf numFmtId="203" fontId="19" fillId="0" borderId="0" xfId="0" applyNumberFormat="1" applyFont="1" applyFill="1" applyBorder="1" applyAlignment="1">
      <alignment horizontal="center"/>
    </xf>
    <xf numFmtId="200" fontId="15" fillId="0" borderId="0" xfId="0" applyNumberFormat="1" applyFont="1" applyFill="1" applyBorder="1" applyAlignment="1">
      <alignment horizontal="center"/>
    </xf>
    <xf numFmtId="184" fontId="19" fillId="0" borderId="0" xfId="0" applyNumberFormat="1" applyFont="1" applyFill="1" applyBorder="1" applyAlignment="1">
      <alignment horizontal="center"/>
    </xf>
    <xf numFmtId="1" fontId="21" fillId="0" borderId="0" xfId="0" applyNumberFormat="1" applyFont="1" applyFill="1" applyBorder="1" applyAlignment="1">
      <alignment horizontal="center"/>
    </xf>
    <xf numFmtId="49" fontId="26" fillId="0" borderId="0" xfId="0" applyNumberFormat="1" applyFont="1" applyFill="1" applyBorder="1" applyAlignment="1">
      <alignment horizontal="center"/>
    </xf>
    <xf numFmtId="205" fontId="19" fillId="0" borderId="0" xfId="12" applyNumberFormat="1" applyFont="1" applyFill="1" applyBorder="1" applyAlignment="1">
      <alignment horizontal="center"/>
    </xf>
    <xf numFmtId="43" fontId="26" fillId="0" borderId="0" xfId="12" applyNumberFormat="1" applyFont="1" applyFill="1" applyBorder="1" applyAlignment="1">
      <alignment horizontal="center"/>
    </xf>
    <xf numFmtId="15" fontId="19" fillId="0" borderId="0" xfId="0" applyNumberFormat="1" applyFont="1" applyFill="1" applyBorder="1" applyAlignment="1">
      <alignment horizontal="center"/>
    </xf>
    <xf numFmtId="0" fontId="21" fillId="0" borderId="0" xfId="0" applyNumberFormat="1" applyFont="1" applyFill="1" applyBorder="1" applyAlignment="1">
      <alignment horizontal="center" vertical="center"/>
    </xf>
    <xf numFmtId="38" fontId="23" fillId="0" borderId="0" xfId="0" applyNumberFormat="1" applyFont="1" applyFill="1" applyBorder="1" applyAlignment="1">
      <alignment vertical="center"/>
    </xf>
    <xf numFmtId="15" fontId="19" fillId="0" borderId="0" xfId="0" applyNumberFormat="1" applyFont="1" applyFill="1" applyBorder="1" applyAlignment="1">
      <alignment horizontal="center" vertical="center"/>
    </xf>
    <xf numFmtId="15" fontId="24" fillId="0" borderId="0" xfId="0" applyNumberFormat="1" applyFont="1" applyFill="1" applyBorder="1" applyAlignment="1">
      <alignment horizontal="center" vertical="center"/>
    </xf>
    <xf numFmtId="195" fontId="3" fillId="0" borderId="0" xfId="0" applyNumberFormat="1" applyFont="1" applyFill="1" applyBorder="1" applyAlignment="1">
      <alignment horizontal="center" vertical="center"/>
    </xf>
    <xf numFmtId="190" fontId="19" fillId="0" borderId="0" xfId="0" applyNumberFormat="1" applyFont="1" applyFill="1" applyBorder="1" applyAlignment="1">
      <alignment horizontal="center" vertical="center"/>
    </xf>
    <xf numFmtId="206" fontId="19" fillId="0" borderId="0" xfId="0" applyNumberFormat="1" applyFont="1" applyFill="1" applyBorder="1" applyAlignment="1">
      <alignment horizontal="center"/>
    </xf>
    <xf numFmtId="193" fontId="21" fillId="0" borderId="0" xfId="0" applyNumberFormat="1" applyFont="1" applyFill="1" applyBorder="1" applyAlignment="1">
      <alignment horizontal="center"/>
    </xf>
    <xf numFmtId="38" fontId="25" fillId="0" borderId="0" xfId="0" applyNumberFormat="1" applyFont="1" applyFill="1" applyBorder="1">
      <alignment vertical="center"/>
    </xf>
    <xf numFmtId="205" fontId="19" fillId="0" borderId="0" xfId="0" applyNumberFormat="1" applyFont="1" applyFill="1" applyBorder="1" applyAlignment="1">
      <alignment horizontal="right"/>
    </xf>
    <xf numFmtId="0" fontId="17" fillId="0" borderId="0" xfId="0" applyFont="1" applyFill="1" applyBorder="1">
      <alignment vertical="center"/>
    </xf>
    <xf numFmtId="190" fontId="19" fillId="0" borderId="0" xfId="0" applyNumberFormat="1" applyFont="1" applyFill="1" applyBorder="1" applyAlignment="1">
      <alignment horizontal="center"/>
    </xf>
    <xf numFmtId="199" fontId="21" fillId="0" borderId="0" xfId="0" applyNumberFormat="1" applyFont="1" applyFill="1" applyBorder="1" applyAlignment="1">
      <alignment horizontal="center"/>
    </xf>
    <xf numFmtId="0" fontId="21" fillId="0" borderId="0" xfId="0" applyFont="1" applyFill="1" applyBorder="1" applyAlignment="1"/>
    <xf numFmtId="0" fontId="21" fillId="0" borderId="0" xfId="0" applyNumberFormat="1" applyFont="1" applyFill="1" applyBorder="1">
      <alignment vertical="center"/>
    </xf>
    <xf numFmtId="181" fontId="3" fillId="0" borderId="10" xfId="0" applyNumberFormat="1" applyFont="1" applyBorder="1">
      <alignment vertical="center"/>
    </xf>
    <xf numFmtId="180" fontId="3" fillId="0" borderId="0" xfId="0" applyNumberFormat="1" applyFont="1">
      <alignment vertical="center"/>
    </xf>
    <xf numFmtId="180" fontId="3" fillId="14" borderId="5" xfId="0" applyNumberFormat="1" applyFont="1" applyFill="1" applyBorder="1">
      <alignment vertical="center"/>
    </xf>
    <xf numFmtId="187" fontId="3" fillId="0" borderId="0" xfId="0" applyNumberFormat="1" applyFont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214" fontId="3" fillId="0" borderId="0" xfId="0" applyNumberFormat="1" applyFont="1">
      <alignment vertical="center"/>
    </xf>
    <xf numFmtId="212" fontId="3" fillId="0" borderId="0" xfId="0" applyNumberFormat="1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4" fontId="3" fillId="0" borderId="0" xfId="0" applyNumberFormat="1" applyFont="1">
      <alignment vertical="center"/>
    </xf>
    <xf numFmtId="38" fontId="3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0" fontId="3" fillId="15" borderId="0" xfId="0" applyNumberFormat="1" applyFont="1" applyFill="1" applyAlignment="1">
      <alignment horizontal="center" vertical="center"/>
    </xf>
    <xf numFmtId="215" fontId="3" fillId="0" borderId="0" xfId="13" applyNumberFormat="1" applyFont="1" applyAlignment="1">
      <alignment horizontal="center" vertical="center"/>
    </xf>
    <xf numFmtId="180" fontId="3" fillId="8" borderId="0" xfId="0" applyNumberFormat="1" applyFont="1" applyFill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10" fontId="3" fillId="0" borderId="40" xfId="0" applyNumberFormat="1" applyFont="1" applyBorder="1" applyAlignment="1">
      <alignment horizontal="center" vertical="center"/>
    </xf>
    <xf numFmtId="179" fontId="3" fillId="0" borderId="41" xfId="0" applyNumberFormat="1" applyFont="1" applyBorder="1" applyAlignment="1">
      <alignment horizontal="center" vertical="center"/>
    </xf>
    <xf numFmtId="215" fontId="3" fillId="0" borderId="40" xfId="13" applyNumberFormat="1" applyFont="1" applyBorder="1" applyAlignment="1">
      <alignment horizontal="center" vertical="center"/>
    </xf>
    <xf numFmtId="186" fontId="3" fillId="12" borderId="0" xfId="0" applyNumberFormat="1" applyFont="1" applyFill="1" applyAlignment="1">
      <alignment horizontal="center" vertical="center"/>
    </xf>
    <xf numFmtId="186" fontId="6" fillId="7" borderId="0" xfId="0" applyNumberFormat="1" applyFont="1" applyFill="1" applyBorder="1">
      <alignment vertical="center"/>
    </xf>
    <xf numFmtId="186" fontId="6" fillId="7" borderId="5" xfId="0" applyNumberFormat="1" applyFont="1" applyFill="1" applyBorder="1">
      <alignment vertical="center"/>
    </xf>
    <xf numFmtId="179" fontId="3" fillId="0" borderId="0" xfId="0" applyNumberFormat="1" applyFont="1">
      <alignment vertical="center"/>
    </xf>
    <xf numFmtId="203" fontId="3" fillId="0" borderId="0" xfId="0" applyNumberFormat="1" applyFont="1">
      <alignment vertical="center"/>
    </xf>
    <xf numFmtId="0" fontId="36" fillId="14" borderId="4" xfId="0" applyFont="1" applyFill="1" applyBorder="1" applyAlignment="1">
      <alignment horizontal="center"/>
    </xf>
    <xf numFmtId="0" fontId="36" fillId="14" borderId="35" xfId="0" applyFont="1" applyFill="1" applyBorder="1" applyAlignment="1">
      <alignment horizontal="center"/>
    </xf>
    <xf numFmtId="189" fontId="36" fillId="14" borderId="35" xfId="0" applyNumberFormat="1" applyFont="1" applyFill="1" applyBorder="1" applyAlignment="1">
      <alignment horizontal="center"/>
    </xf>
    <xf numFmtId="15" fontId="36" fillId="14" borderId="35" xfId="0" applyNumberFormat="1" applyFont="1" applyFill="1" applyBorder="1" applyAlignment="1">
      <alignment horizontal="center"/>
    </xf>
    <xf numFmtId="197" fontId="36" fillId="14" borderId="35" xfId="0" applyNumberFormat="1" applyFont="1" applyFill="1" applyBorder="1" applyAlignment="1">
      <alignment horizontal="center"/>
    </xf>
    <xf numFmtId="197" fontId="36" fillId="14" borderId="3" xfId="0" applyNumberFormat="1" applyFont="1" applyFill="1" applyBorder="1" applyAlignment="1">
      <alignment horizontal="center"/>
    </xf>
    <xf numFmtId="0" fontId="8" fillId="11" borderId="8" xfId="0" applyFont="1" applyFill="1" applyBorder="1" applyAlignment="1">
      <alignment horizontal="center"/>
    </xf>
    <xf numFmtId="0" fontId="8" fillId="11" borderId="10" xfId="0" applyFont="1" applyFill="1" applyBorder="1" applyAlignment="1">
      <alignment horizontal="center"/>
    </xf>
    <xf numFmtId="178" fontId="8" fillId="4" borderId="8" xfId="10" applyFont="1" applyFill="1" applyBorder="1" applyAlignment="1">
      <alignment horizontal="center"/>
    </xf>
    <xf numFmtId="178" fontId="8" fillId="4" borderId="11" xfId="10" applyFont="1" applyFill="1" applyBorder="1" applyAlignment="1">
      <alignment horizontal="center"/>
    </xf>
    <xf numFmtId="180" fontId="3" fillId="0" borderId="0" xfId="0" applyNumberFormat="1" applyFont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215" fontId="3" fillId="0" borderId="35" xfId="13" applyNumberFormat="1" applyFont="1" applyBorder="1" applyAlignment="1">
      <alignment horizontal="center" vertical="center"/>
    </xf>
    <xf numFmtId="38" fontId="3" fillId="0" borderId="3" xfId="0" applyNumberFormat="1" applyFont="1" applyBorder="1" applyAlignment="1">
      <alignment horizontal="center" vertical="center"/>
    </xf>
    <xf numFmtId="0" fontId="3" fillId="0" borderId="42" xfId="0" applyFont="1" applyBorder="1" applyAlignment="1">
      <alignment horizontal="center" vertical="center"/>
    </xf>
    <xf numFmtId="10" fontId="3" fillId="0" borderId="42" xfId="0" applyNumberFormat="1" applyFont="1" applyBorder="1" applyAlignment="1">
      <alignment horizontal="center" vertical="center"/>
    </xf>
    <xf numFmtId="215" fontId="3" fillId="0" borderId="42" xfId="13" applyNumberFormat="1" applyFont="1" applyBorder="1" applyAlignment="1">
      <alignment horizontal="center" vertical="center"/>
    </xf>
    <xf numFmtId="179" fontId="3" fillId="0" borderId="43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6" fillId="15" borderId="35" xfId="0" applyNumberFormat="1" applyFont="1" applyFill="1" applyBorder="1" applyAlignment="1">
      <alignment horizontal="center" vertical="center"/>
    </xf>
    <xf numFmtId="10" fontId="6" fillId="0" borderId="35" xfId="0" applyNumberFormat="1" applyFont="1" applyBorder="1" applyAlignment="1">
      <alignment horizontal="center" vertical="center"/>
    </xf>
    <xf numFmtId="186" fontId="6" fillId="12" borderId="4" xfId="0" applyNumberFormat="1" applyFont="1" applyFill="1" applyBorder="1" applyAlignment="1">
      <alignment horizontal="center" vertical="center"/>
    </xf>
    <xf numFmtId="180" fontId="37" fillId="0" borderId="0" xfId="0" applyNumberFormat="1" applyFont="1" applyAlignment="1">
      <alignment horizontal="center" vertical="center"/>
    </xf>
    <xf numFmtId="182" fontId="3" fillId="13" borderId="0" xfId="0" applyNumberFormat="1" applyFont="1" applyFill="1" applyAlignment="1">
      <alignment horizontal="center" vertical="center"/>
    </xf>
    <xf numFmtId="181" fontId="3" fillId="0" borderId="0" xfId="0" applyNumberFormat="1" applyFont="1" applyFill="1" applyBorder="1" applyAlignment="1">
      <alignment horizontal="center" vertical="center"/>
    </xf>
    <xf numFmtId="181" fontId="3" fillId="0" borderId="0" xfId="0" applyNumberFormat="1" applyFont="1" applyFill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14" fontId="3" fillId="11" borderId="8" xfId="0" applyNumberFormat="1" applyFont="1" applyFill="1" applyBorder="1" applyAlignment="1">
      <alignment horizontal="center"/>
    </xf>
    <xf numFmtId="14" fontId="3" fillId="11" borderId="11" xfId="0" applyNumberFormat="1" applyFont="1" applyFill="1" applyBorder="1" applyAlignment="1">
      <alignment horizontal="center"/>
    </xf>
    <xf numFmtId="212" fontId="3" fillId="0" borderId="0" xfId="0" applyNumberFormat="1" applyFont="1" applyFill="1" applyBorder="1">
      <alignment vertical="center"/>
    </xf>
    <xf numFmtId="212" fontId="3" fillId="0" borderId="0" xfId="0" applyNumberFormat="1" applyFont="1" applyFill="1" applyBorder="1" applyAlignment="1">
      <alignment horizontal="center" vertical="center"/>
    </xf>
    <xf numFmtId="212" fontId="3" fillId="0" borderId="5" xfId="0" applyNumberFormat="1" applyFont="1" applyFill="1" applyBorder="1">
      <alignment vertical="center"/>
    </xf>
    <xf numFmtId="186" fontId="3" fillId="13" borderId="11" xfId="0" applyNumberFormat="1" applyFont="1" applyFill="1" applyBorder="1">
      <alignment vertical="center"/>
    </xf>
    <xf numFmtId="186" fontId="6" fillId="0" borderId="4" xfId="0" applyNumberFormat="1" applyFont="1" applyBorder="1" applyAlignment="1">
      <alignment horizontal="center" vertical="center"/>
    </xf>
    <xf numFmtId="186" fontId="3" fillId="0" borderId="44" xfId="0" applyNumberFormat="1" applyFont="1" applyBorder="1" applyAlignment="1">
      <alignment horizontal="center" vertical="center"/>
    </xf>
    <xf numFmtId="186" fontId="3" fillId="0" borderId="45" xfId="0" applyNumberFormat="1" applyFont="1" applyBorder="1" applyAlignment="1">
      <alignment horizontal="center" vertical="center"/>
    </xf>
    <xf numFmtId="211" fontId="13" fillId="6" borderId="4" xfId="0" applyNumberFormat="1" applyFont="1" applyFill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99" fontId="3" fillId="0" borderId="0" xfId="0" applyNumberFormat="1" applyFont="1">
      <alignment vertical="center"/>
    </xf>
    <xf numFmtId="200" fontId="3" fillId="0" borderId="0" xfId="0" applyNumberFormat="1" applyFont="1">
      <alignment vertical="center"/>
    </xf>
    <xf numFmtId="180" fontId="3" fillId="6" borderId="5" xfId="0" applyNumberFormat="1" applyFont="1" applyFill="1" applyBorder="1">
      <alignment vertical="center"/>
    </xf>
    <xf numFmtId="193" fontId="6" fillId="0" borderId="0" xfId="0" applyNumberFormat="1" applyFont="1" applyAlignment="1">
      <alignment horizontal="center" vertical="center"/>
    </xf>
    <xf numFmtId="181" fontId="3" fillId="0" borderId="46" xfId="0" applyNumberFormat="1" applyFont="1" applyBorder="1">
      <alignment vertical="center"/>
    </xf>
    <xf numFmtId="181" fontId="3" fillId="0" borderId="47" xfId="0" applyNumberFormat="1" applyFont="1" applyBorder="1">
      <alignment vertical="center"/>
    </xf>
    <xf numFmtId="180" fontId="3" fillId="0" borderId="47" xfId="0" applyNumberFormat="1" applyFont="1" applyBorder="1">
      <alignment vertical="center"/>
    </xf>
    <xf numFmtId="196" fontId="6" fillId="0" borderId="47" xfId="0" applyNumberFormat="1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6" fillId="0" borderId="47" xfId="0" applyFont="1" applyBorder="1">
      <alignment vertical="center"/>
    </xf>
    <xf numFmtId="0" fontId="3" fillId="0" borderId="26" xfId="0" applyFont="1" applyBorder="1">
      <alignment vertical="center"/>
    </xf>
    <xf numFmtId="193" fontId="6" fillId="0" borderId="4" xfId="0" applyNumberFormat="1" applyFont="1" applyBorder="1" applyAlignment="1">
      <alignment vertical="center"/>
    </xf>
    <xf numFmtId="193" fontId="6" fillId="0" borderId="3" xfId="0" applyNumberFormat="1" applyFont="1" applyBorder="1" applyAlignment="1">
      <alignment vertical="center"/>
    </xf>
    <xf numFmtId="211" fontId="3" fillId="0" borderId="0" xfId="0" applyNumberFormat="1" applyFont="1">
      <alignment vertical="center"/>
    </xf>
    <xf numFmtId="216" fontId="6" fillId="4" borderId="46" xfId="0" applyNumberFormat="1" applyFont="1" applyFill="1" applyBorder="1" applyAlignment="1">
      <alignment horizontal="center" vertical="center"/>
    </xf>
    <xf numFmtId="216" fontId="3" fillId="0" borderId="0" xfId="0" applyNumberFormat="1" applyFont="1">
      <alignment vertical="center"/>
    </xf>
    <xf numFmtId="10" fontId="3" fillId="0" borderId="0" xfId="0" applyNumberFormat="1" applyFont="1" applyFill="1" applyAlignment="1">
      <alignment horizontal="center" vertical="center"/>
    </xf>
    <xf numFmtId="215" fontId="37" fillId="0" borderId="0" xfId="13" applyNumberFormat="1" applyFont="1" applyAlignment="1">
      <alignment horizontal="center" vertical="center"/>
    </xf>
    <xf numFmtId="215" fontId="37" fillId="0" borderId="35" xfId="13" applyNumberFormat="1" applyFont="1" applyBorder="1" applyAlignment="1">
      <alignment horizontal="center" vertical="center"/>
    </xf>
    <xf numFmtId="181" fontId="3" fillId="0" borderId="0" xfId="0" applyNumberFormat="1" applyFont="1" applyAlignment="1">
      <alignment horizontal="center" vertical="center"/>
    </xf>
    <xf numFmtId="181" fontId="3" fillId="0" borderId="0" xfId="0" applyNumberFormat="1" applyFont="1">
      <alignment vertical="center"/>
    </xf>
    <xf numFmtId="188" fontId="19" fillId="0" borderId="0" xfId="0" applyNumberFormat="1" applyFont="1" applyFill="1" applyBorder="1" applyAlignment="1">
      <alignment horizontal="center"/>
    </xf>
    <xf numFmtId="194" fontId="3" fillId="0" borderId="0" xfId="0" applyNumberFormat="1" applyFont="1">
      <alignment vertical="center"/>
    </xf>
    <xf numFmtId="203" fontId="6" fillId="0" borderId="0" xfId="0" applyNumberFormat="1" applyFont="1" applyFill="1">
      <alignment vertical="center"/>
    </xf>
    <xf numFmtId="203" fontId="6" fillId="0" borderId="0" xfId="0" applyNumberFormat="1" applyFont="1">
      <alignment vertical="center"/>
    </xf>
    <xf numFmtId="199" fontId="6" fillId="0" borderId="0" xfId="0" applyNumberFormat="1" applyFont="1" applyFill="1" applyBorder="1">
      <alignment vertical="center"/>
    </xf>
    <xf numFmtId="201" fontId="19" fillId="0" borderId="48" xfId="12" applyNumberFormat="1" applyFont="1" applyFill="1" applyBorder="1" applyAlignment="1"/>
    <xf numFmtId="201" fontId="19" fillId="0" borderId="24" xfId="12" applyNumberFormat="1" applyFont="1" applyFill="1" applyBorder="1" applyAlignment="1">
      <alignment horizontal="center"/>
    </xf>
    <xf numFmtId="210" fontId="19" fillId="0" borderId="0" xfId="12" applyNumberFormat="1" applyFont="1" applyFill="1" applyBorder="1" applyAlignment="1">
      <alignment horizontal="center"/>
    </xf>
    <xf numFmtId="210" fontId="19" fillId="0" borderId="0" xfId="0" applyNumberFormat="1" applyFont="1" applyFill="1" applyBorder="1" applyAlignment="1">
      <alignment horizontal="center"/>
    </xf>
    <xf numFmtId="177" fontId="19" fillId="0" borderId="0" xfId="12" applyNumberFormat="1" applyFont="1" applyFill="1" applyBorder="1" applyAlignment="1"/>
    <xf numFmtId="177" fontId="19" fillId="0" borderId="0" xfId="0" applyNumberFormat="1" applyFont="1" applyFill="1" applyBorder="1" applyAlignment="1"/>
    <xf numFmtId="177" fontId="19" fillId="0" borderId="0" xfId="0" applyNumberFormat="1" applyFont="1" applyFill="1" applyBorder="1" applyAlignment="1" applyProtection="1">
      <alignment horizontal="center"/>
    </xf>
    <xf numFmtId="203" fontId="20" fillId="0" borderId="38" xfId="0" applyNumberFormat="1" applyFont="1" applyFill="1" applyBorder="1" applyAlignment="1">
      <alignment horizontal="center"/>
    </xf>
    <xf numFmtId="203" fontId="20" fillId="0" borderId="38" xfId="12" applyNumberFormat="1" applyFont="1" applyFill="1" applyBorder="1" applyAlignment="1">
      <alignment horizontal="center"/>
    </xf>
    <xf numFmtId="203" fontId="19" fillId="0" borderId="38" xfId="0" applyNumberFormat="1" applyFont="1" applyFill="1" applyBorder="1" applyAlignment="1" applyProtection="1">
      <alignment horizontal="center"/>
    </xf>
    <xf numFmtId="203" fontId="19" fillId="0" borderId="38" xfId="0" applyNumberFormat="1" applyFont="1" applyFill="1" applyBorder="1" applyAlignment="1">
      <alignment horizontal="center" vertical="center"/>
    </xf>
    <xf numFmtId="0" fontId="19" fillId="0" borderId="48" xfId="0" applyFont="1" applyFill="1" applyBorder="1" applyAlignment="1"/>
    <xf numFmtId="217" fontId="19" fillId="0" borderId="0" xfId="12" applyNumberFormat="1" applyFont="1" applyFill="1" applyBorder="1" applyAlignment="1">
      <alignment horizontal="center" vertical="center"/>
    </xf>
    <xf numFmtId="0" fontId="40" fillId="0" borderId="0" xfId="0" applyFont="1" applyFill="1" applyBorder="1" applyAlignment="1">
      <alignment horizontal="center" vertical="center"/>
    </xf>
    <xf numFmtId="209" fontId="26" fillId="0" borderId="0" xfId="12" applyNumberFormat="1" applyFont="1" applyFill="1" applyBorder="1" applyAlignment="1">
      <alignment horizontal="center"/>
    </xf>
    <xf numFmtId="207" fontId="27" fillId="0" borderId="0" xfId="12" applyNumberFormat="1" applyFont="1" applyFill="1" applyBorder="1" applyAlignment="1">
      <alignment horizontal="center"/>
    </xf>
    <xf numFmtId="0" fontId="28" fillId="0" borderId="0" xfId="0" applyFont="1" applyFill="1" applyBorder="1">
      <alignment vertical="center"/>
    </xf>
    <xf numFmtId="208" fontId="28" fillId="0" borderId="0" xfId="0" applyNumberFormat="1" applyFont="1" applyFill="1" applyBorder="1">
      <alignment vertical="center"/>
    </xf>
    <xf numFmtId="0" fontId="21" fillId="0" borderId="0" xfId="0" applyFont="1" applyFill="1" applyBorder="1" applyAlignment="1">
      <alignment horizontal="center"/>
    </xf>
    <xf numFmtId="179" fontId="21" fillId="0" borderId="0" xfId="0" applyNumberFormat="1" applyFont="1" applyFill="1" applyBorder="1">
      <alignment vertical="center"/>
    </xf>
    <xf numFmtId="49" fontId="27" fillId="0" borderId="0" xfId="0" applyNumberFormat="1" applyFont="1" applyFill="1" applyBorder="1" applyAlignment="1">
      <alignment horizontal="center"/>
    </xf>
    <xf numFmtId="179" fontId="28" fillId="0" borderId="0" xfId="0" applyNumberFormat="1" applyFont="1" applyFill="1" applyBorder="1">
      <alignment vertical="center"/>
    </xf>
    <xf numFmtId="183" fontId="3" fillId="0" borderId="5" xfId="0" applyNumberFormat="1" applyFont="1" applyBorder="1" applyAlignment="1">
      <alignment horizontal="center" vertical="center"/>
    </xf>
    <xf numFmtId="183" fontId="3" fillId="0" borderId="9" xfId="0" applyNumberFormat="1" applyFont="1" applyBorder="1" applyAlignment="1">
      <alignment horizontal="center" vertical="center"/>
    </xf>
    <xf numFmtId="0" fontId="37" fillId="0" borderId="0" xfId="11" applyFont="1" applyFill="1" applyBorder="1" applyAlignment="1">
      <alignment horizontal="center" vertical="center"/>
    </xf>
    <xf numFmtId="180" fontId="37" fillId="0" borderId="0" xfId="0" applyNumberFormat="1" applyFont="1" applyFill="1" applyBorder="1">
      <alignment vertical="center"/>
    </xf>
    <xf numFmtId="0" fontId="3" fillId="0" borderId="0" xfId="11" applyFont="1" applyFill="1" applyBorder="1" applyAlignment="1">
      <alignment horizontal="center" vertical="center"/>
    </xf>
    <xf numFmtId="181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80" fontId="0" fillId="0" borderId="0" xfId="0" applyNumberFormat="1" applyFill="1" applyBorder="1" applyAlignment="1">
      <alignment horizontal="center" vertical="center"/>
    </xf>
    <xf numFmtId="0" fontId="19" fillId="0" borderId="0" xfId="0" applyNumberFormat="1" applyFont="1" applyFill="1" applyBorder="1" applyAlignment="1">
      <alignment horizontal="center"/>
    </xf>
    <xf numFmtId="190" fontId="40" fillId="0" borderId="0" xfId="0" applyNumberFormat="1" applyFont="1" applyFill="1" applyBorder="1" applyAlignment="1">
      <alignment horizontal="center"/>
    </xf>
    <xf numFmtId="0" fontId="41" fillId="0" borderId="0" xfId="0" applyFont="1" applyAlignment="1">
      <alignment horizontal="center" vertical="center"/>
    </xf>
    <xf numFmtId="0" fontId="40" fillId="0" borderId="0" xfId="0" applyNumberFormat="1" applyFont="1" applyFill="1" applyBorder="1" applyAlignment="1">
      <alignment horizontal="center"/>
    </xf>
    <xf numFmtId="0" fontId="3" fillId="0" borderId="5" xfId="0" applyNumberFormat="1" applyFont="1" applyBorder="1">
      <alignment vertical="center"/>
    </xf>
    <xf numFmtId="0" fontId="3" fillId="0" borderId="0" xfId="0" applyNumberFormat="1" applyFont="1" applyBorder="1">
      <alignment vertical="center"/>
    </xf>
    <xf numFmtId="0" fontId="3" fillId="0" borderId="0" xfId="0" applyNumberFormat="1" applyFont="1" applyFill="1" applyBorder="1">
      <alignment vertical="center"/>
    </xf>
    <xf numFmtId="0" fontId="53" fillId="0" borderId="0" xfId="0" applyFont="1">
      <alignment vertical="center"/>
    </xf>
    <xf numFmtId="218" fontId="3" fillId="0" borderId="0" xfId="0" applyNumberFormat="1" applyFont="1">
      <alignment vertical="center"/>
    </xf>
    <xf numFmtId="190" fontId="3" fillId="0" borderId="0" xfId="0" applyNumberFormat="1" applyFont="1" applyFill="1" applyAlignment="1">
      <alignment horizontal="center" vertical="center"/>
    </xf>
    <xf numFmtId="190" fontId="6" fillId="6" borderId="0" xfId="0" applyNumberFormat="1" applyFont="1" applyFill="1" applyBorder="1">
      <alignment vertical="center"/>
    </xf>
    <xf numFmtId="190" fontId="6" fillId="6" borderId="5" xfId="0" applyNumberFormat="1" applyFont="1" applyFill="1" applyBorder="1">
      <alignment vertical="center"/>
    </xf>
    <xf numFmtId="190" fontId="3" fillId="0" borderId="0" xfId="0" applyNumberFormat="1" applyFont="1" applyFill="1" applyBorder="1">
      <alignment vertical="center"/>
    </xf>
    <xf numFmtId="190" fontId="3" fillId="0" borderId="5" xfId="0" applyNumberFormat="1" applyFont="1" applyFill="1" applyBorder="1">
      <alignment vertical="center"/>
    </xf>
    <xf numFmtId="190" fontId="3" fillId="6" borderId="0" xfId="0" applyNumberFormat="1" applyFont="1" applyFill="1" applyBorder="1">
      <alignment vertical="center"/>
    </xf>
    <xf numFmtId="190" fontId="3" fillId="6" borderId="5" xfId="0" applyNumberFormat="1" applyFont="1" applyFill="1" applyBorder="1">
      <alignment vertical="center"/>
    </xf>
    <xf numFmtId="191" fontId="3" fillId="11" borderId="8" xfId="0" applyNumberFormat="1" applyFont="1" applyFill="1" applyBorder="1" applyAlignment="1">
      <alignment horizontal="center"/>
    </xf>
    <xf numFmtId="178" fontId="54" fillId="0" borderId="8" xfId="0" applyNumberFormat="1" applyFont="1" applyFill="1" applyBorder="1" applyAlignment="1">
      <alignment horizontal="center"/>
    </xf>
    <xf numFmtId="189" fontId="3" fillId="11" borderId="2" xfId="0" applyNumberFormat="1" applyFont="1" applyFill="1" applyBorder="1" applyAlignment="1">
      <alignment horizontal="center"/>
    </xf>
    <xf numFmtId="192" fontId="3" fillId="11" borderId="6" xfId="0" applyNumberFormat="1" applyFont="1" applyFill="1" applyBorder="1" applyAlignment="1">
      <alignment horizontal="center"/>
    </xf>
    <xf numFmtId="200" fontId="3" fillId="11" borderId="5" xfId="0" applyNumberFormat="1" applyFont="1" applyFill="1" applyBorder="1" applyAlignment="1">
      <alignment horizontal="center"/>
    </xf>
    <xf numFmtId="191" fontId="3" fillId="11" borderId="10" xfId="0" applyNumberFormat="1" applyFont="1" applyFill="1" applyBorder="1" applyAlignment="1">
      <alignment horizontal="center"/>
    </xf>
    <xf numFmtId="178" fontId="54" fillId="0" borderId="10" xfId="0" applyNumberFormat="1" applyFont="1" applyFill="1" applyBorder="1" applyAlignment="1">
      <alignment horizontal="center"/>
    </xf>
    <xf numFmtId="189" fontId="3" fillId="11" borderId="7" xfId="0" applyNumberFormat="1" applyFont="1" applyFill="1" applyBorder="1" applyAlignment="1">
      <alignment horizontal="center"/>
    </xf>
    <xf numFmtId="192" fontId="3" fillId="11" borderId="9" xfId="0" applyNumberFormat="1" applyFont="1" applyFill="1" applyBorder="1" applyAlignment="1">
      <alignment horizontal="center"/>
    </xf>
    <xf numFmtId="0" fontId="6" fillId="14" borderId="35" xfId="0" applyFont="1" applyFill="1" applyBorder="1" applyAlignment="1">
      <alignment horizontal="center"/>
    </xf>
    <xf numFmtId="189" fontId="6" fillId="14" borderId="35" xfId="0" applyNumberFormat="1" applyFont="1" applyFill="1" applyBorder="1" applyAlignment="1">
      <alignment horizontal="center"/>
    </xf>
    <xf numFmtId="15" fontId="6" fillId="14" borderId="35" xfId="0" applyNumberFormat="1" applyFont="1" applyFill="1" applyBorder="1" applyAlignment="1">
      <alignment horizontal="center"/>
    </xf>
    <xf numFmtId="197" fontId="6" fillId="14" borderId="35" xfId="0" applyNumberFormat="1" applyFont="1" applyFill="1" applyBorder="1" applyAlignment="1">
      <alignment horizontal="center"/>
    </xf>
    <xf numFmtId="197" fontId="6" fillId="14" borderId="3" xfId="0" applyNumberFormat="1" applyFont="1" applyFill="1" applyBorder="1" applyAlignment="1">
      <alignment horizontal="center"/>
    </xf>
    <xf numFmtId="191" fontId="3" fillId="4" borderId="8" xfId="10" applyNumberFormat="1" applyFont="1" applyFill="1" applyBorder="1" applyAlignment="1">
      <alignment horizontal="center"/>
    </xf>
    <xf numFmtId="198" fontId="3" fillId="4" borderId="2" xfId="10" applyNumberFormat="1" applyFont="1" applyFill="1" applyBorder="1" applyAlignment="1">
      <alignment horizontal="center"/>
    </xf>
    <xf numFmtId="14" fontId="3" fillId="4" borderId="2" xfId="10" applyNumberFormat="1" applyFont="1" applyFill="1" applyBorder="1" applyAlignment="1">
      <alignment horizontal="center"/>
    </xf>
    <xf numFmtId="189" fontId="3" fillId="4" borderId="6" xfId="10" applyNumberFormat="1" applyFont="1" applyFill="1" applyBorder="1" applyAlignment="1">
      <alignment horizontal="center"/>
    </xf>
    <xf numFmtId="185" fontId="3" fillId="16" borderId="46" xfId="10" applyNumberFormat="1" applyFont="1" applyFill="1" applyBorder="1" applyAlignment="1">
      <alignment horizontal="center"/>
    </xf>
    <xf numFmtId="200" fontId="3" fillId="4" borderId="6" xfId="10" applyNumberFormat="1" applyFont="1" applyFill="1" applyBorder="1" applyAlignment="1">
      <alignment horizontal="center"/>
    </xf>
    <xf numFmtId="191" fontId="3" fillId="4" borderId="11" xfId="10" applyNumberFormat="1" applyFont="1" applyFill="1" applyBorder="1" applyAlignment="1">
      <alignment horizontal="center"/>
    </xf>
    <xf numFmtId="198" fontId="3" fillId="4" borderId="7" xfId="10" applyNumberFormat="1" applyFont="1" applyFill="1" applyBorder="1" applyAlignment="1">
      <alignment horizontal="center"/>
    </xf>
    <xf numFmtId="14" fontId="3" fillId="4" borderId="7" xfId="10" applyNumberFormat="1" applyFont="1" applyFill="1" applyBorder="1" applyAlignment="1">
      <alignment horizontal="center"/>
    </xf>
    <xf numFmtId="189" fontId="3" fillId="4" borderId="9" xfId="10" applyNumberFormat="1" applyFont="1" applyFill="1" applyBorder="1" applyAlignment="1">
      <alignment horizontal="center"/>
    </xf>
    <xf numFmtId="185" fontId="3" fillId="16" borderId="26" xfId="10" applyNumberFormat="1" applyFont="1" applyFill="1" applyBorder="1" applyAlignment="1">
      <alignment horizontal="center"/>
    </xf>
    <xf numFmtId="200" fontId="3" fillId="4" borderId="9" xfId="10" applyNumberFormat="1" applyFont="1" applyFill="1" applyBorder="1" applyAlignment="1">
      <alignment horizontal="center"/>
    </xf>
    <xf numFmtId="0" fontId="3" fillId="0" borderId="0" xfId="16" applyFont="1" applyFill="1" applyBorder="1" applyAlignment="1">
      <alignment vertical="center"/>
    </xf>
    <xf numFmtId="0" fontId="10" fillId="0" borderId="0" xfId="16" applyFill="1" applyBorder="1">
      <alignment horizontal="left" wrapText="1"/>
    </xf>
    <xf numFmtId="212" fontId="10" fillId="0" borderId="0" xfId="16" applyNumberFormat="1" applyFill="1" applyBorder="1">
      <alignment horizontal="left" wrapText="1"/>
    </xf>
    <xf numFmtId="182" fontId="42" fillId="0" borderId="0" xfId="16" applyNumberFormat="1" applyFont="1" applyFill="1" applyBorder="1" applyAlignment="1">
      <alignment horizontal="center" vertical="center"/>
    </xf>
    <xf numFmtId="0" fontId="10" fillId="0" borderId="0" xfId="16">
      <alignment horizontal="left" wrapText="1"/>
    </xf>
    <xf numFmtId="0" fontId="10" fillId="0" borderId="0" xfId="16" applyFill="1" applyBorder="1" applyAlignment="1">
      <alignment horizontal="center"/>
    </xf>
    <xf numFmtId="212" fontId="34" fillId="17" borderId="1" xfId="16" applyNumberFormat="1" applyFont="1" applyFill="1" applyBorder="1" applyAlignment="1">
      <alignment horizontal="center"/>
    </xf>
    <xf numFmtId="0" fontId="43" fillId="0" borderId="0" xfId="16" applyFont="1" applyFill="1" applyBorder="1">
      <alignment horizontal="left" wrapText="1"/>
    </xf>
    <xf numFmtId="180" fontId="3" fillId="0" borderId="0" xfId="16" applyNumberFormat="1" applyFont="1" applyFill="1" applyBorder="1" applyAlignment="1">
      <alignment horizontal="center" vertical="center"/>
    </xf>
    <xf numFmtId="212" fontId="10" fillId="14" borderId="0" xfId="16" applyNumberFormat="1" applyFont="1" applyFill="1" applyBorder="1" applyAlignment="1">
      <alignment horizontal="center"/>
    </xf>
    <xf numFmtId="180" fontId="10" fillId="0" borderId="0" xfId="16" applyNumberFormat="1" applyFont="1" applyBorder="1" applyAlignment="1">
      <alignment horizontal="center"/>
    </xf>
    <xf numFmtId="212" fontId="10" fillId="4" borderId="0" xfId="16" applyNumberFormat="1" applyFont="1" applyFill="1" applyBorder="1" applyAlignment="1">
      <alignment horizontal="center"/>
    </xf>
    <xf numFmtId="0" fontId="3" fillId="0" borderId="0" xfId="16" applyFont="1" applyFill="1" applyBorder="1" applyAlignment="1">
      <alignment horizontal="center" vertical="center"/>
    </xf>
    <xf numFmtId="0" fontId="12" fillId="0" borderId="0" xfId="16" applyFont="1" applyFill="1" applyBorder="1" applyAlignment="1">
      <alignment horizontal="center" vertical="center"/>
    </xf>
    <xf numFmtId="212" fontId="10" fillId="0" borderId="0" xfId="16" applyNumberFormat="1" applyAlignment="1">
      <alignment horizontal="center" wrapText="1"/>
    </xf>
    <xf numFmtId="0" fontId="44" fillId="0" borderId="0" xfId="16" applyFont="1" applyFill="1" applyBorder="1">
      <alignment horizontal="left" wrapText="1"/>
    </xf>
    <xf numFmtId="212" fontId="45" fillId="0" borderId="0" xfId="16" applyNumberFormat="1" applyFont="1" applyAlignment="1">
      <alignment horizontal="center" wrapText="1"/>
    </xf>
    <xf numFmtId="211" fontId="46" fillId="0" borderId="0" xfId="16" applyNumberFormat="1" applyFont="1" applyAlignment="1">
      <alignment horizontal="center" wrapText="1"/>
    </xf>
    <xf numFmtId="180" fontId="42" fillId="0" borderId="0" xfId="16" applyNumberFormat="1" applyFont="1" applyFill="1" applyBorder="1" applyAlignment="1">
      <alignment horizontal="center" vertical="center"/>
    </xf>
    <xf numFmtId="0" fontId="38" fillId="0" borderId="0" xfId="16" applyFont="1" applyFill="1">
      <alignment horizontal="left" wrapText="1"/>
    </xf>
    <xf numFmtId="212" fontId="48" fillId="0" borderId="0" xfId="16" applyNumberFormat="1" applyFont="1" applyAlignment="1">
      <alignment horizontal="center" wrapText="1"/>
    </xf>
    <xf numFmtId="212" fontId="49" fillId="0" borderId="0" xfId="16" applyNumberFormat="1" applyFont="1" applyAlignment="1">
      <alignment horizontal="center" wrapText="1"/>
    </xf>
    <xf numFmtId="212" fontId="46" fillId="0" borderId="0" xfId="16" applyNumberFormat="1" applyFont="1" applyAlignment="1">
      <alignment horizontal="center" wrapText="1"/>
    </xf>
    <xf numFmtId="0" fontId="56" fillId="0" borderId="0" xfId="16" applyFont="1" applyAlignment="1">
      <alignment horizontal="center" wrapText="1"/>
    </xf>
    <xf numFmtId="212" fontId="34" fillId="0" borderId="0" xfId="16" applyNumberFormat="1" applyFont="1" applyAlignment="1">
      <alignment horizontal="center" wrapText="1"/>
    </xf>
    <xf numFmtId="0" fontId="50" fillId="0" borderId="0" xfId="16" applyFont="1" applyFill="1" applyBorder="1" applyAlignment="1">
      <alignment vertical="center"/>
    </xf>
    <xf numFmtId="186" fontId="46" fillId="0" borderId="0" xfId="16" applyNumberFormat="1" applyFont="1" applyAlignment="1">
      <alignment horizontal="center" wrapText="1"/>
    </xf>
    <xf numFmtId="186" fontId="42" fillId="0" borderId="0" xfId="16" applyNumberFormat="1" applyFont="1" applyFill="1" applyBorder="1" applyAlignment="1">
      <alignment horizontal="center" vertical="center"/>
    </xf>
    <xf numFmtId="0" fontId="46" fillId="0" borderId="0" xfId="16" applyFont="1" applyAlignment="1">
      <alignment horizontal="center" wrapText="1"/>
    </xf>
    <xf numFmtId="211" fontId="51" fillId="0" borderId="0" xfId="16" applyNumberFormat="1" applyFont="1" applyAlignment="1">
      <alignment horizontal="center" wrapText="1"/>
    </xf>
    <xf numFmtId="0" fontId="51" fillId="0" borderId="0" xfId="16" applyFont="1" applyAlignment="1">
      <alignment horizontal="center" wrapText="1"/>
    </xf>
    <xf numFmtId="199" fontId="51" fillId="0" borderId="0" xfId="16" applyNumberFormat="1" applyFont="1" applyAlignment="1">
      <alignment horizontal="center" wrapText="1"/>
    </xf>
    <xf numFmtId="180" fontId="47" fillId="0" borderId="0" xfId="16" applyNumberFormat="1" applyFont="1" applyBorder="1" applyAlignment="1">
      <alignment horizontal="center" vertical="center"/>
    </xf>
    <xf numFmtId="199" fontId="52" fillId="0" borderId="0" xfId="16" applyNumberFormat="1" applyFont="1" applyAlignment="1">
      <alignment horizontal="center" wrapText="1"/>
    </xf>
    <xf numFmtId="212" fontId="57" fillId="0" borderId="0" xfId="16" applyNumberFormat="1" applyFont="1" applyAlignment="1">
      <alignment horizontal="center" wrapText="1"/>
    </xf>
    <xf numFmtId="186" fontId="10" fillId="14" borderId="0" xfId="16" applyNumberFormat="1" applyFont="1" applyFill="1" applyBorder="1" applyAlignment="1">
      <alignment horizontal="center"/>
    </xf>
    <xf numFmtId="186" fontId="52" fillId="0" borderId="0" xfId="16" applyNumberFormat="1" applyFont="1" applyAlignment="1">
      <alignment horizontal="center" wrapText="1"/>
    </xf>
    <xf numFmtId="180" fontId="58" fillId="0" borderId="0" xfId="16" applyNumberFormat="1" applyFont="1" applyAlignment="1">
      <alignment horizontal="center" wrapText="1"/>
    </xf>
    <xf numFmtId="186" fontId="51" fillId="0" borderId="0" xfId="16" applyNumberFormat="1" applyFont="1" applyAlignment="1">
      <alignment horizontal="center" wrapText="1"/>
    </xf>
    <xf numFmtId="0" fontId="59" fillId="0" borderId="0" xfId="16" applyFont="1" applyAlignment="1">
      <alignment horizontal="center" wrapText="1"/>
    </xf>
    <xf numFmtId="212" fontId="10" fillId="0" borderId="0" xfId="16" applyNumberFormat="1">
      <alignment horizontal="left" wrapText="1"/>
    </xf>
    <xf numFmtId="218" fontId="0" fillId="0" borderId="0" xfId="0" applyNumberFormat="1">
      <alignment vertical="center"/>
    </xf>
    <xf numFmtId="218" fontId="0" fillId="0" borderId="7" xfId="0" applyNumberFormat="1" applyBorder="1">
      <alignment vertical="center"/>
    </xf>
    <xf numFmtId="0" fontId="38" fillId="0" borderId="0" xfId="16" applyFont="1" applyFill="1" applyBorder="1">
      <alignment horizontal="left" wrapText="1"/>
    </xf>
    <xf numFmtId="0" fontId="10" fillId="0" borderId="0" xfId="16" applyBorder="1">
      <alignment horizontal="left" wrapText="1"/>
    </xf>
    <xf numFmtId="199" fontId="52" fillId="0" borderId="0" xfId="16" applyNumberFormat="1" applyFont="1" applyBorder="1" applyAlignment="1">
      <alignment horizontal="center" wrapText="1"/>
    </xf>
    <xf numFmtId="212" fontId="10" fillId="0" borderId="0" xfId="16" applyNumberFormat="1" applyBorder="1" applyAlignment="1">
      <alignment horizontal="center" wrapText="1"/>
    </xf>
    <xf numFmtId="212" fontId="45" fillId="0" borderId="0" xfId="16" applyNumberFormat="1" applyFont="1" applyBorder="1" applyAlignment="1">
      <alignment horizontal="center" wrapText="1"/>
    </xf>
    <xf numFmtId="199" fontId="51" fillId="0" borderId="0" xfId="16" applyNumberFormat="1" applyFont="1" applyBorder="1" applyAlignment="1">
      <alignment horizontal="center" wrapText="1"/>
    </xf>
    <xf numFmtId="180" fontId="3" fillId="0" borderId="7" xfId="16" applyNumberFormat="1" applyFont="1" applyFill="1" applyBorder="1" applyAlignment="1">
      <alignment horizontal="center" vertical="center"/>
    </xf>
    <xf numFmtId="212" fontId="10" fillId="14" borderId="7" xfId="16" applyNumberFormat="1" applyFont="1" applyFill="1" applyBorder="1" applyAlignment="1">
      <alignment horizontal="center"/>
    </xf>
    <xf numFmtId="0" fontId="0" fillId="0" borderId="7" xfId="0" applyBorder="1">
      <alignment vertical="center"/>
    </xf>
    <xf numFmtId="0" fontId="38" fillId="0" borderId="7" xfId="16" applyFont="1" applyFill="1" applyBorder="1">
      <alignment horizontal="left" wrapText="1"/>
    </xf>
    <xf numFmtId="0" fontId="10" fillId="0" borderId="7" xfId="16" applyFill="1" applyBorder="1">
      <alignment horizontal="left" wrapText="1"/>
    </xf>
    <xf numFmtId="0" fontId="56" fillId="0" borderId="7" xfId="16" applyFont="1" applyBorder="1" applyAlignment="1">
      <alignment horizontal="center" wrapText="1"/>
    </xf>
    <xf numFmtId="212" fontId="34" fillId="0" borderId="7" xfId="16" applyNumberFormat="1" applyFont="1" applyBorder="1" applyAlignment="1">
      <alignment horizontal="center" wrapText="1"/>
    </xf>
    <xf numFmtId="212" fontId="10" fillId="0" borderId="7" xfId="16" applyNumberFormat="1" applyBorder="1" applyAlignment="1">
      <alignment horizontal="center" wrapText="1"/>
    </xf>
    <xf numFmtId="212" fontId="45" fillId="0" borderId="7" xfId="16" applyNumberFormat="1" applyFont="1" applyBorder="1" applyAlignment="1">
      <alignment horizontal="center" wrapText="1"/>
    </xf>
    <xf numFmtId="211" fontId="51" fillId="0" borderId="7" xfId="16" applyNumberFormat="1" applyFont="1" applyBorder="1" applyAlignment="1">
      <alignment horizontal="center" wrapText="1"/>
    </xf>
    <xf numFmtId="218" fontId="0" fillId="0" borderId="0" xfId="0" applyNumberFormat="1" applyBorder="1">
      <alignment vertical="center"/>
    </xf>
    <xf numFmtId="0" fontId="55" fillId="19" borderId="0" xfId="0" applyFont="1" applyFill="1" applyAlignment="1">
      <alignment horizontal="center" vertical="center"/>
    </xf>
    <xf numFmtId="0" fontId="10" fillId="0" borderId="0" xfId="0" applyFont="1" applyAlignment="1">
      <alignment horizontal="center"/>
    </xf>
    <xf numFmtId="190" fontId="10" fillId="0" borderId="0" xfId="0" applyNumberFormat="1" applyFont="1" applyAlignment="1"/>
    <xf numFmtId="190" fontId="0" fillId="0" borderId="0" xfId="0" applyNumberFormat="1" applyFont="1" applyAlignment="1"/>
    <xf numFmtId="0" fontId="0" fillId="0" borderId="0" xfId="0" applyFont="1" applyAlignment="1"/>
    <xf numFmtId="0" fontId="10" fillId="0" borderId="49" xfId="0" applyFont="1" applyBorder="1" applyAlignment="1"/>
    <xf numFmtId="0" fontId="10" fillId="0" borderId="49" xfId="0" applyFont="1" applyBorder="1" applyAlignment="1">
      <alignment horizontal="center"/>
    </xf>
    <xf numFmtId="0" fontId="10" fillId="0" borderId="0" xfId="0" applyFont="1" applyAlignment="1"/>
    <xf numFmtId="190" fontId="0" fillId="0" borderId="44" xfId="0" applyNumberFormat="1" applyFont="1" applyBorder="1" applyAlignment="1">
      <alignment horizontal="center"/>
    </xf>
    <xf numFmtId="190" fontId="0" fillId="0" borderId="41" xfId="0" applyNumberFormat="1" applyFont="1" applyBorder="1" applyAlignment="1">
      <alignment horizontal="center"/>
    </xf>
    <xf numFmtId="0" fontId="0" fillId="0" borderId="50" xfId="0" applyFont="1" applyBorder="1" applyAlignment="1"/>
    <xf numFmtId="0" fontId="0" fillId="0" borderId="50" xfId="0" applyFont="1" applyBorder="1" applyAlignment="1">
      <alignment horizontal="center"/>
    </xf>
    <xf numFmtId="49" fontId="0" fillId="0" borderId="0" xfId="0" applyNumberFormat="1" applyFont="1" applyAlignment="1">
      <alignment horizontal="center"/>
    </xf>
    <xf numFmtId="190" fontId="0" fillId="0" borderId="1" xfId="0" applyNumberFormat="1" applyFont="1" applyBorder="1" applyAlignment="1"/>
    <xf numFmtId="190" fontId="10" fillId="0" borderId="1" xfId="0" applyNumberFormat="1" applyFont="1" applyBorder="1" applyAlignment="1"/>
    <xf numFmtId="0" fontId="10" fillId="0" borderId="1" xfId="0" applyFont="1" applyBorder="1" applyAlignment="1"/>
    <xf numFmtId="0" fontId="0" fillId="0" borderId="0" xfId="0" applyFont="1" applyAlignment="1">
      <alignment horizontal="center"/>
    </xf>
    <xf numFmtId="43" fontId="3" fillId="0" borderId="0" xfId="0" applyNumberFormat="1" applyFont="1">
      <alignment vertical="center"/>
    </xf>
    <xf numFmtId="0" fontId="41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60" fillId="0" borderId="0" xfId="0" applyFont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43" fillId="0" borderId="0" xfId="0" applyFont="1" applyAlignment="1">
      <alignment vertical="center" wrapText="1"/>
    </xf>
    <xf numFmtId="0" fontId="61" fillId="0" borderId="26" xfId="0" applyFont="1" applyFill="1" applyBorder="1" applyAlignment="1">
      <alignment horizontal="center" vertical="center"/>
    </xf>
    <xf numFmtId="0" fontId="61" fillId="0" borderId="9" xfId="0" applyFont="1" applyFill="1" applyBorder="1" applyAlignment="1">
      <alignment horizontal="center" vertical="center"/>
    </xf>
    <xf numFmtId="0" fontId="61" fillId="0" borderId="9" xfId="0" applyFont="1" applyFill="1" applyBorder="1" applyAlignment="1">
      <alignment horizontal="center" vertical="center" wrapText="1"/>
    </xf>
    <xf numFmtId="199" fontId="3" fillId="4" borderId="6" xfId="10" applyNumberFormat="1" applyFont="1" applyFill="1" applyBorder="1" applyAlignment="1">
      <alignment horizontal="center" vertical="center"/>
    </xf>
    <xf numFmtId="199" fontId="3" fillId="4" borderId="9" xfId="10" applyNumberFormat="1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199" fontId="15" fillId="11" borderId="2" xfId="0" applyNumberFormat="1" applyFont="1" applyFill="1" applyBorder="1" applyAlignment="1">
      <alignment horizontal="center" vertical="center"/>
    </xf>
    <xf numFmtId="199" fontId="15" fillId="11" borderId="0" xfId="0" applyNumberFormat="1" applyFont="1" applyFill="1" applyBorder="1" applyAlignment="1">
      <alignment horizontal="center" vertical="center"/>
    </xf>
    <xf numFmtId="14" fontId="39" fillId="6" borderId="35" xfId="0" applyNumberFormat="1" applyFont="1" applyFill="1" applyBorder="1" applyAlignment="1">
      <alignment horizontal="center" vertical="center"/>
    </xf>
    <xf numFmtId="14" fontId="39" fillId="6" borderId="3" xfId="0" applyNumberFormat="1" applyFont="1" applyFill="1" applyBorder="1" applyAlignment="1">
      <alignment horizontal="center" vertical="center"/>
    </xf>
    <xf numFmtId="0" fontId="8" fillId="0" borderId="57" xfId="0" applyFont="1" applyBorder="1" applyAlignment="1">
      <alignment horizontal="center" vertical="center"/>
    </xf>
    <xf numFmtId="0" fontId="3" fillId="0" borderId="58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6" fillId="18" borderId="8" xfId="0" applyFont="1" applyFill="1" applyBorder="1" applyAlignment="1">
      <alignment horizontal="center" vertical="center"/>
    </xf>
    <xf numFmtId="0" fontId="6" fillId="18" borderId="2" xfId="0" applyFont="1" applyFill="1" applyBorder="1" applyAlignment="1">
      <alignment horizontal="center" vertical="center"/>
    </xf>
    <xf numFmtId="0" fontId="6" fillId="18" borderId="6" xfId="0" applyFont="1" applyFill="1" applyBorder="1" applyAlignment="1">
      <alignment horizontal="center" vertical="center"/>
    </xf>
    <xf numFmtId="199" fontId="3" fillId="11" borderId="6" xfId="0" applyNumberFormat="1" applyFont="1" applyFill="1" applyBorder="1" applyAlignment="1">
      <alignment horizontal="center" vertical="center"/>
    </xf>
    <xf numFmtId="199" fontId="3" fillId="11" borderId="5" xfId="0" applyNumberFormat="1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61" fillId="19" borderId="46" xfId="0" applyFont="1" applyFill="1" applyBorder="1" applyAlignment="1">
      <alignment horizontal="center" vertical="center" wrapText="1"/>
    </xf>
    <xf numFmtId="0" fontId="61" fillId="19" borderId="60" xfId="0" applyFont="1" applyFill="1" applyBorder="1" applyAlignment="1">
      <alignment horizontal="center" vertical="center" wrapText="1"/>
    </xf>
  </cellXfs>
  <cellStyles count="17">
    <cellStyle name="_x000a_386grabber=M" xfId="1"/>
    <cellStyle name="Grey" xfId="2"/>
    <cellStyle name="Input [yellow]" xfId="3"/>
    <cellStyle name="label" xfId="4"/>
    <cellStyle name="n.0" xfId="5"/>
    <cellStyle name="Normal - Style1" xfId="6"/>
    <cellStyle name="Percent [2]" xfId="7"/>
    <cellStyle name="Style 1" xfId="8"/>
    <cellStyle name="Style 2" xfId="9"/>
    <cellStyle name="一般" xfId="0" builtinId="0"/>
    <cellStyle name="一般_Pricer" xfId="10"/>
    <cellStyle name="一般_USDEPOMIX" xfId="11"/>
    <cellStyle name="千分位" xfId="12" builtinId="3"/>
    <cellStyle name="百分比" xfId="13" builtinId="5"/>
    <cellStyle name="常规_BDI" xfId="14"/>
    <cellStyle name="貨幣[0]_laroux" xfId="15"/>
    <cellStyle name="樣式 1" xfId="16"/>
  </cellStyles>
  <dxfs count="2">
    <dxf>
      <font>
        <condense val="0"/>
        <extend val="0"/>
        <color auto="1"/>
      </font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FFF"/>
      <rgbColor rgb="0069FFFF"/>
      <rgbColor rgb="00E0FFE0"/>
      <rgbColor rgb="00FFFF80"/>
      <rgbColor rgb="00A6CAF0"/>
      <rgbColor rgb="00DD9CB3"/>
      <rgbColor rgb="00B38FEE"/>
      <rgbColor rgb="00E3E3E3"/>
      <rgbColor rgb="002A6FF9"/>
      <rgbColor rgb="003FB8CD"/>
      <rgbColor rgb="00488436"/>
      <rgbColor rgb="00958C41"/>
      <rgbColor rgb="008E5E42"/>
      <rgbColor rgb="00A0627A"/>
      <rgbColor rgb="00624FAC"/>
      <rgbColor rgb="00969696"/>
      <rgbColor rgb="001D2FBE"/>
      <rgbColor rgb="00286676"/>
      <rgbColor rgb="00004500"/>
      <rgbColor rgb="00453E01"/>
      <rgbColor rgb="006A2813"/>
      <rgbColor rgb="0085396A"/>
      <rgbColor rgb="004A3285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finitivshim.rtdserver.rtget">
      <tp t="s">
        <v>Not Signed In</v>
        <stp/>
        <stp>{CBB57FD8-7FC4-420D-83FE-C9B3F7A5D555}</stp>
        <tr r="C3" s="1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7</xdr:row>
          <xdr:rowOff>0</xdr:rowOff>
        </xdr:from>
        <xdr:to>
          <xdr:col>11</xdr:col>
          <xdr:colOff>571500</xdr:colOff>
          <xdr:row>8</xdr:row>
          <xdr:rowOff>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 Unicode MS"/>
                  <a:ea typeface="Arial Unicode MS"/>
                  <a:cs typeface="Arial Unicode MS"/>
                </a:rPr>
                <a:t>PASTA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7</xdr:row>
          <xdr:rowOff>0</xdr:rowOff>
        </xdr:from>
        <xdr:to>
          <xdr:col>11</xdr:col>
          <xdr:colOff>571500</xdr:colOff>
          <xdr:row>8</xdr:row>
          <xdr:rowOff>0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 Unicode MS"/>
                  <a:ea typeface="Arial Unicode MS"/>
                  <a:cs typeface="Arial Unicode MS"/>
                </a:rPr>
                <a:t>PASTA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est%20SW-3(CNH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pping Position"/>
      <sheetName val="TWDNDFNDS"/>
      <sheetName val="CNYNDFNDS"/>
      <sheetName val="Pricer"/>
      <sheetName val="CNH_Pricer"/>
      <sheetName val="Spot提前"/>
      <sheetName val="ND_Data"/>
      <sheetName val="LTFX Pricer"/>
      <sheetName val="IRSCCS"/>
      <sheetName val="SWAP報"/>
      <sheetName val="Test SW-3(CNH)"/>
    </sheetNames>
    <definedNames>
      <definedName name="PASTA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56"/>
  </sheetPr>
  <dimension ref="A1:BC123"/>
  <sheetViews>
    <sheetView tabSelected="1" zoomScale="67" zoomScaleNormal="67" workbookViewId="0">
      <pane xSplit="1" topLeftCell="B1" activePane="topRight" state="frozen"/>
      <selection activeCell="A91" sqref="A91"/>
      <selection pane="topRight" activeCell="C6" sqref="C6"/>
    </sheetView>
  </sheetViews>
  <sheetFormatPr defaultRowHeight="15"/>
  <cols>
    <col min="1" max="1" width="6.25" style="9" customWidth="1"/>
    <col min="2" max="2" width="9.125" style="9" bestFit="1" customWidth="1"/>
    <col min="3" max="3" width="9.75" style="9" customWidth="1"/>
    <col min="4" max="4" width="8.625" style="9" customWidth="1"/>
    <col min="5" max="5" width="10.125" style="9" customWidth="1"/>
    <col min="6" max="6" width="8.25" style="9" customWidth="1"/>
    <col min="7" max="7" width="12.5" style="9" customWidth="1"/>
    <col min="8" max="9" width="10" style="9" customWidth="1"/>
    <col min="10" max="10" width="11.625" style="9" customWidth="1"/>
    <col min="11" max="11" width="8.125" style="9" customWidth="1"/>
    <col min="12" max="12" width="7.25" style="9" customWidth="1"/>
    <col min="13" max="13" width="6.75" style="9" customWidth="1"/>
    <col min="14" max="14" width="9.625" style="9" customWidth="1"/>
    <col min="15" max="15" width="7.375" style="9" customWidth="1"/>
    <col min="16" max="16" width="9.75" style="9" customWidth="1"/>
    <col min="17" max="17" width="8.5" style="9" customWidth="1"/>
    <col min="18" max="18" width="10.5" style="9" bestFit="1" customWidth="1"/>
    <col min="19" max="19" width="11.75" style="9" customWidth="1"/>
    <col min="20" max="20" width="13" style="9" customWidth="1"/>
    <col min="21" max="21" width="13.25" style="9" customWidth="1"/>
    <col min="22" max="22" width="9.375" style="9" customWidth="1"/>
    <col min="23" max="23" width="7.375" style="9" customWidth="1"/>
    <col min="24" max="24" width="13" style="9" bestFit="1" customWidth="1"/>
    <col min="25" max="25" width="8.75" style="9" customWidth="1"/>
    <col min="26" max="26" width="15.25" style="9" bestFit="1" customWidth="1"/>
    <col min="27" max="27" width="10.625" style="9" customWidth="1"/>
    <col min="28" max="28" width="10.25" style="9" customWidth="1"/>
    <col min="29" max="29" width="11.375" style="9" customWidth="1"/>
    <col min="30" max="30" width="7.75" style="9" customWidth="1"/>
    <col min="31" max="31" width="9" style="9"/>
    <col min="32" max="32" width="5.75" style="9" customWidth="1"/>
    <col min="33" max="33" width="5.25" style="9" customWidth="1"/>
    <col min="34" max="34" width="12.25" style="9" bestFit="1" customWidth="1"/>
    <col min="35" max="35" width="6.75" style="9" customWidth="1"/>
    <col min="36" max="40" width="9" style="9"/>
    <col min="41" max="41" width="7.75" style="9" customWidth="1"/>
    <col min="42" max="42" width="11.75" style="9" customWidth="1"/>
    <col min="43" max="43" width="13.75" style="9" customWidth="1"/>
    <col min="44" max="44" width="13.875" style="9" bestFit="1" customWidth="1"/>
    <col min="45" max="45" width="9" style="9"/>
    <col min="46" max="46" width="10.5" style="9" bestFit="1" customWidth="1"/>
    <col min="47" max="47" width="9.375" style="9" customWidth="1"/>
    <col min="48" max="49" width="9" style="9"/>
    <col min="50" max="50" width="8.375" style="9" bestFit="1" customWidth="1"/>
    <col min="51" max="51" width="8.5" style="9" bestFit="1" customWidth="1"/>
    <col min="52" max="52" width="10.875" style="9" bestFit="1" customWidth="1"/>
    <col min="53" max="53" width="11" style="9" bestFit="1" customWidth="1"/>
    <col min="54" max="16384" width="9" style="9"/>
  </cols>
  <sheetData>
    <row r="1" spans="1:55" ht="14.25" customHeight="1" thickBot="1">
      <c r="A1" s="274" t="s">
        <v>283</v>
      </c>
      <c r="B1" s="479" t="e">
        <f ca="1">_xll.BToday()</f>
        <v>#NAME?</v>
      </c>
      <c r="C1" s="480"/>
      <c r="G1" s="222" t="e">
        <f ca="1">DATEVALUE(_xll.BDP("USD/TWD SP@ Curncy","SETTLE_DT"))</f>
        <v>#NAME?</v>
      </c>
      <c r="I1" s="154" t="s">
        <v>95</v>
      </c>
      <c r="J1" s="155" t="s">
        <v>96</v>
      </c>
      <c r="K1" s="159">
        <v>0</v>
      </c>
      <c r="O1" s="216"/>
      <c r="P1" s="216"/>
      <c r="Q1" s="10"/>
      <c r="S1" s="220"/>
      <c r="T1" s="279" t="e">
        <f ca="1">((L12-L10)/($K$12-$K$10))*($K$11-$K$10)+L10</f>
        <v>#NAME?</v>
      </c>
      <c r="U1" s="279" t="e">
        <f ca="1">((M12-M10)/($K$12-$K$10))*($K$11-$K$10)+M10</f>
        <v>#NAME?</v>
      </c>
      <c r="V1" s="29"/>
      <c r="W1" s="11"/>
      <c r="AL1" s="118"/>
      <c r="AM1" s="199"/>
      <c r="AN1" s="151"/>
      <c r="AO1" s="136" t="s">
        <v>98</v>
      </c>
      <c r="AP1" s="137"/>
      <c r="AQ1" s="138"/>
      <c r="AR1" s="118"/>
      <c r="AS1" s="147"/>
      <c r="AT1" s="147"/>
    </row>
    <row r="2" spans="1:55" ht="26.25" customHeight="1">
      <c r="A2" s="223" t="e">
        <f ca="1">TEXT($B$1,"MMDDYY")</f>
        <v>#NAME?</v>
      </c>
      <c r="B2" s="236"/>
      <c r="D2" s="434" t="s">
        <v>32</v>
      </c>
      <c r="F2" s="434" t="s">
        <v>34</v>
      </c>
      <c r="G2" s="341" t="e">
        <f ca="1">Z99</f>
        <v>#NAME?</v>
      </c>
      <c r="H2" s="341" t="e">
        <f ca="1">AA99</f>
        <v>#NAME?</v>
      </c>
      <c r="I2" s="156"/>
      <c r="J2" s="4" t="s">
        <v>97</v>
      </c>
      <c r="K2" s="160">
        <v>0</v>
      </c>
      <c r="N2" s="451"/>
      <c r="O2" s="451"/>
      <c r="P2" s="216"/>
      <c r="Q2" s="10"/>
      <c r="U2" s="275">
        <f>S22-S21</f>
        <v>182</v>
      </c>
      <c r="V2" s="11"/>
      <c r="W2" s="11"/>
      <c r="X2" s="9" t="s">
        <v>110</v>
      </c>
      <c r="AL2" s="77"/>
      <c r="AM2" s="142"/>
      <c r="AN2" s="141"/>
      <c r="AO2" s="139"/>
      <c r="AP2" s="139"/>
      <c r="AQ2" s="140"/>
      <c r="AR2" s="148"/>
      <c r="AS2" s="118"/>
      <c r="AT2" s="147"/>
      <c r="AU2" s="147"/>
    </row>
    <row r="3" spans="1:55" ht="15.75" thickBot="1">
      <c r="A3" s="223"/>
      <c r="G3" s="341" t="e">
        <f ca="1">G2</f>
        <v>#NAME?</v>
      </c>
      <c r="H3" s="341" t="e">
        <f ca="1">H2</f>
        <v>#NAME?</v>
      </c>
      <c r="I3" s="157"/>
      <c r="J3" s="158" t="s">
        <v>129</v>
      </c>
      <c r="K3" s="161">
        <v>0</v>
      </c>
      <c r="O3" s="216"/>
      <c r="P3" s="216"/>
      <c r="V3" s="11" t="s">
        <v>104</v>
      </c>
      <c r="W3" s="11"/>
      <c r="X3" s="9" t="s">
        <v>111</v>
      </c>
      <c r="AL3" s="77"/>
      <c r="AM3" s="142"/>
      <c r="AN3" s="141"/>
      <c r="AO3" s="139"/>
      <c r="AP3" s="139"/>
      <c r="AQ3" s="140"/>
      <c r="AR3" s="148"/>
      <c r="AS3" s="148"/>
      <c r="AT3" s="148"/>
      <c r="AU3" s="141"/>
    </row>
    <row r="4" spans="1:55" ht="17.25" customHeight="1" thickBot="1">
      <c r="A4" s="8" t="s">
        <v>0</v>
      </c>
      <c r="B4" s="1"/>
      <c r="C4" s="1" t="s">
        <v>1</v>
      </c>
      <c r="D4" s="1" t="s">
        <v>2</v>
      </c>
      <c r="E4" s="1" t="s">
        <v>163</v>
      </c>
      <c r="F4" s="1" t="s">
        <v>25</v>
      </c>
      <c r="G4" s="1" t="s">
        <v>1</v>
      </c>
      <c r="H4" s="1" t="s">
        <v>2</v>
      </c>
      <c r="I4" s="5" t="s">
        <v>3</v>
      </c>
      <c r="J4" s="134" t="s">
        <v>1</v>
      </c>
      <c r="K4" s="135" t="s">
        <v>25</v>
      </c>
      <c r="L4" s="19" t="s">
        <v>2</v>
      </c>
      <c r="M4" s="20" t="s">
        <v>3</v>
      </c>
      <c r="N4" s="19" t="s">
        <v>84</v>
      </c>
      <c r="O4" s="489" t="s">
        <v>87</v>
      </c>
      <c r="P4" s="490"/>
      <c r="Q4" s="20" t="s">
        <v>4</v>
      </c>
      <c r="R4" s="484" t="s">
        <v>48</v>
      </c>
      <c r="S4" s="485"/>
      <c r="T4" s="485"/>
      <c r="U4" s="486"/>
      <c r="V4" s="185"/>
      <c r="W4" s="11"/>
      <c r="X4" s="9" t="s">
        <v>109</v>
      </c>
      <c r="AL4" s="77"/>
      <c r="AM4" s="142"/>
      <c r="AN4" s="141"/>
      <c r="AO4" s="144"/>
      <c r="AP4" s="144"/>
      <c r="AQ4" s="200"/>
      <c r="AR4" s="200"/>
      <c r="AS4" s="200"/>
      <c r="AT4" s="142"/>
      <c r="AU4" s="141"/>
      <c r="AV4" s="12"/>
      <c r="AW4" s="12"/>
      <c r="AX4" s="12"/>
      <c r="AY4" s="12"/>
      <c r="AZ4" s="12"/>
      <c r="BA4" s="12"/>
      <c r="BB4" s="12"/>
      <c r="BC4" s="12"/>
    </row>
    <row r="5" spans="1:55" ht="15.75" thickBot="1">
      <c r="A5" s="21" t="s">
        <v>167</v>
      </c>
      <c r="B5" s="13"/>
      <c r="C5" s="22" t="e">
        <f ca="1">DATEVALUE(_xll.BDP($A$47&amp;"/USD @"&amp;$A$2&amp;" Curncy","SETTLE_DT"))</f>
        <v>#NAME?</v>
      </c>
      <c r="D5" s="12" t="e">
        <f ca="1">D45</f>
        <v>#NAME?</v>
      </c>
      <c r="E5" s="12" t="e">
        <f ca="1">E45</f>
        <v>#NAME?</v>
      </c>
      <c r="F5" s="12"/>
      <c r="G5" s="22" t="e">
        <f ca="1">DATEVALUE(_xll.BDP($B$47&amp;"/USD @"&amp;$A$2&amp;" Curncy","SETTLE_DT"))</f>
        <v>#NAME?</v>
      </c>
      <c r="H5" s="337" t="e">
        <f ca="1">IF($B$47="TWD",L5,D46)</f>
        <v>#NAME?</v>
      </c>
      <c r="I5" s="336" t="e">
        <f ca="1">IF($B$47="TWD",M5,E46)</f>
        <v>#NAME?</v>
      </c>
      <c r="J5" s="29" t="e">
        <f ca="1">DATEVALUE(_xll.BDP("TWD/USD "&amp;$A5&amp;"@"&amp;$A$2&amp;" Curncy","SETTLE_DT"))</f>
        <v>#NAME?</v>
      </c>
      <c r="K5" s="162"/>
      <c r="L5" s="163" t="e">
        <f ca="1">_xll.BDP("TWD TPFT Curncy","BID")</f>
        <v>#NAME?</v>
      </c>
      <c r="M5" s="164" t="e">
        <f ca="1">_xll.BDP("TWD TPFT Curncy","ASK")</f>
        <v>#NAME?</v>
      </c>
      <c r="N5" s="164" t="e">
        <f ca="1">N6</f>
        <v>#NAME?</v>
      </c>
      <c r="O5" s="3" t="s">
        <v>85</v>
      </c>
      <c r="P5" s="2" t="s">
        <v>86</v>
      </c>
      <c r="Q5" s="2" t="s">
        <v>88</v>
      </c>
      <c r="R5" s="72" t="s">
        <v>28</v>
      </c>
      <c r="S5" s="73" t="s">
        <v>27</v>
      </c>
      <c r="T5" s="73" t="s">
        <v>29</v>
      </c>
      <c r="U5" s="74" t="s">
        <v>30</v>
      </c>
      <c r="V5" s="262"/>
      <c r="W5" s="263"/>
      <c r="Z5" s="452" t="s">
        <v>250</v>
      </c>
      <c r="AM5" s="201"/>
      <c r="AN5" s="201"/>
      <c r="AO5" s="473"/>
      <c r="AP5" s="473"/>
      <c r="AQ5" s="142"/>
      <c r="AR5" s="200"/>
      <c r="AS5" s="200"/>
      <c r="AT5" s="142"/>
      <c r="AU5" s="143"/>
      <c r="AV5" s="12"/>
      <c r="AW5" s="194"/>
      <c r="AX5" s="192"/>
      <c r="AY5" s="151"/>
      <c r="AZ5" s="151"/>
      <c r="BA5" s="151"/>
      <c r="BB5" s="320"/>
      <c r="BC5" s="12"/>
    </row>
    <row r="6" spans="1:55" ht="15.75" customHeight="1" thickBot="1">
      <c r="A6" s="21" t="s">
        <v>13</v>
      </c>
      <c r="B6" s="13" t="e">
        <f ca="1">C6-B1</f>
        <v>#NAME?</v>
      </c>
      <c r="C6" s="67" t="e">
        <f ca="1">DATEVALUE(_xll.BDP($A$47&amp;"/USD"&amp;" "&amp;$A6&amp;"@"&amp;$A$2&amp;" Curncy","SETTLE_DT"))</f>
        <v>#NAME?</v>
      </c>
      <c r="D6" s="14">
        <f>IF(A47="USD",0,_xll.BDP(D48,"BID"))</f>
        <v>0</v>
      </c>
      <c r="E6" s="14">
        <f>IF(A47="USD",0,_xll.BDP(D48,"ASK"))</f>
        <v>0</v>
      </c>
      <c r="F6" s="13" t="e">
        <f ca="1">G6-B1</f>
        <v>#NAME?</v>
      </c>
      <c r="G6" s="22" t="e">
        <f ca="1">DATEVALUE(_xll.BDP($B$47&amp;"/USD"&amp;" "&amp;$A6&amp;"@"&amp;$A$2&amp;" Curncy","SETTLE_DT"))</f>
        <v>#NAME?</v>
      </c>
      <c r="H6" s="88">
        <f>IF($B$47="TWD",-L6/1000,IF($B$47="USD",0,_xll.BDP(E48,"BID")))</f>
        <v>-5.0000000000000001E-4</v>
      </c>
      <c r="I6" s="89">
        <f>IF($B$47="TWD",-M6/1000,IF($B$47="USD",0,_xll.BDP(E48,"ASK")))</f>
        <v>0</v>
      </c>
      <c r="J6" s="29" t="e">
        <f ca="1">DATEVALUE(_xll.BDP("TWD/USD "&amp;$A6&amp;"@"&amp;$A$2&amp;" Curncy","SETTLE_DT"))</f>
        <v>#NAME?</v>
      </c>
      <c r="K6" s="183" t="e">
        <f ca="1">J6-$B$1</f>
        <v>#NAME?</v>
      </c>
      <c r="L6" s="50">
        <v>0.5</v>
      </c>
      <c r="M6" s="51">
        <v>0</v>
      </c>
      <c r="N6" s="164" t="e">
        <f ca="1">_xll.BDP("TWD TPFT Curncy","LAST_PRICE")</f>
        <v>#NAME?</v>
      </c>
      <c r="O6" s="33"/>
      <c r="P6" s="55"/>
      <c r="Q6" s="15">
        <v>0.3</v>
      </c>
      <c r="R6" s="75" t="e">
        <f ca="1">S6-J5</f>
        <v>#NAME?</v>
      </c>
      <c r="S6" s="52">
        <v>44104</v>
      </c>
      <c r="T6" s="342" t="e">
        <f ca="1">_xll.BInterpol($P$99:$P$119,$AB$99:$AB$119,$S$6,"LINEAR")</f>
        <v>#NAME?</v>
      </c>
      <c r="U6" s="343" t="e">
        <f ca="1">_xll.BInterpol($P$99:$P$119,$AC$99:$AC$119,$S$6,"LINEAR")</f>
        <v>#NAME?</v>
      </c>
      <c r="V6" s="185"/>
      <c r="W6" s="11"/>
      <c r="Z6" s="334" t="s">
        <v>249</v>
      </c>
      <c r="AA6" s="9" t="e">
        <f ca="1">($I$5*(((0-(AA33-O24)/100)*(K24/360))/(1+(AA33-O24)/100*K24/360)))*(-1000)</f>
        <v>#NAME?</v>
      </c>
      <c r="AB6" s="9" t="e">
        <f ca="1">($H$5*(((0-(Z33-P24)/100)*(K24/360))/(1+(Z33-P24)/100*K24/360)))*(-1000)</f>
        <v>#NAME?</v>
      </c>
      <c r="AM6" s="201"/>
      <c r="AN6" s="201"/>
      <c r="AO6" s="473"/>
      <c r="AP6" s="473"/>
      <c r="AQ6" s="144"/>
      <c r="AR6" s="200"/>
      <c r="AS6" s="200"/>
      <c r="AT6" s="142"/>
      <c r="AU6" s="143"/>
      <c r="AV6" s="12"/>
      <c r="AW6" s="196"/>
      <c r="AX6" s="150"/>
      <c r="AY6" s="151"/>
      <c r="AZ6" s="152"/>
      <c r="BA6" s="152"/>
      <c r="BB6" s="321"/>
      <c r="BC6" s="12"/>
    </row>
    <row r="7" spans="1:55" ht="15.75">
      <c r="A7" s="21" t="s">
        <v>14</v>
      </c>
      <c r="B7" s="13" t="e">
        <f ca="1">C7-C6</f>
        <v>#NAME?</v>
      </c>
      <c r="C7" s="67" t="e">
        <f ca="1">C5</f>
        <v>#NAME?</v>
      </c>
      <c r="D7" s="14">
        <f>IF(A47="USD",0,_xll.BDP(D49,"BID"))</f>
        <v>0</v>
      </c>
      <c r="E7" s="14">
        <f>IF(A47="USD",0,_xll.BDP(D49,"ASK"))</f>
        <v>0</v>
      </c>
      <c r="F7" s="13" t="e">
        <f ca="1">G7-G6</f>
        <v>#NAME?</v>
      </c>
      <c r="G7" s="22" t="e">
        <f ca="1">G5</f>
        <v>#NAME?</v>
      </c>
      <c r="H7" s="88" t="e">
        <f ca="1">IF($B$47="TWD",-L7/1000,IF($B$47="USD",0,_xll.BDP(E49,"BID")))</f>
        <v>#NAME?</v>
      </c>
      <c r="I7" s="89" t="e">
        <f ca="1">IF($B$47="TWD",-M7/1000,IF($B$47="USD",0,_xll.BDP(E49,"ASK")))</f>
        <v>#NAME?</v>
      </c>
      <c r="J7" s="29" t="e">
        <f ca="1">J5</f>
        <v>#NAME?</v>
      </c>
      <c r="K7" s="184" t="e">
        <f ca="1">J7-J6</f>
        <v>#NAME?</v>
      </c>
      <c r="L7" s="101" t="e">
        <f ca="1">L6*K7/K6</f>
        <v>#NAME?</v>
      </c>
      <c r="M7" s="101" t="e">
        <f ca="1">M6*K7/K6</f>
        <v>#NAME?</v>
      </c>
      <c r="N7" s="280" t="e">
        <f ca="1">(O7+P7)/2</f>
        <v>#NAME?</v>
      </c>
      <c r="O7" s="215" t="e">
        <f ca="1">(($N$5-L7/1000)*(1+Q7*K7/36000)/$N$5-1)/K7*36500</f>
        <v>#NAME?</v>
      </c>
      <c r="P7" s="102" t="e">
        <f t="shared" ref="P7:P22" ca="1" si="0">(($N$5-M7/1000)*(1+Q7*K7/36000)/$N$5-1)/K7*36500</f>
        <v>#NAME?</v>
      </c>
      <c r="Q7" s="278" t="e">
        <f t="shared" ref="Q7:Q22" ca="1" si="1">Q8</f>
        <v>#NAME?</v>
      </c>
      <c r="R7" s="76"/>
      <c r="S7" s="67" t="e">
        <f ca="1">DATEVALUE(_xll.BDP($A$47&amp;"/"&amp;$B$47&amp;" @"&amp;$A$2&amp;" Curncy","SETTLE_DT"))</f>
        <v>#NAME?</v>
      </c>
      <c r="T7" s="344" t="e">
        <f ca="1">_xll.BInterpol($P$99:$P$119,$AB$99:$AB$119,$S$7,"LINEAR")</f>
        <v>#NAME?</v>
      </c>
      <c r="U7" s="345" t="e">
        <f ca="1">_xll.BInterpol($P$99:$P$119,$AC$99:$AC$119,$S$7,"LINEAR")</f>
        <v>#NAME?</v>
      </c>
      <c r="V7" s="73"/>
      <c r="W7" s="11"/>
      <c r="X7" s="127"/>
      <c r="Z7" s="332" t="s">
        <v>251</v>
      </c>
      <c r="AA7" s="9" t="e">
        <f ca="1">($I$5*(((0-(AA34-O25)/100)*(K25/360))/(1+(AA34-O25)/100*K25/360)))*(-1000)</f>
        <v>#NAME?</v>
      </c>
      <c r="AB7" s="9" t="e">
        <f ca="1">($H$5*(((0-(Z34-P25)/100)*(K25/360))/(1+(Z34-P25)/100*K25/360)))*(-1000)</f>
        <v>#NAME?</v>
      </c>
      <c r="AC7" s="127"/>
      <c r="AD7" s="127"/>
      <c r="AE7" s="77"/>
      <c r="AF7" s="127"/>
      <c r="AG7" s="77"/>
      <c r="AH7" s="77"/>
      <c r="AI7" s="77"/>
      <c r="AJ7" s="77"/>
      <c r="AK7" s="77"/>
      <c r="AM7" s="201"/>
      <c r="AN7" s="201"/>
      <c r="AO7" s="473"/>
      <c r="AP7" s="473"/>
      <c r="AQ7" s="144"/>
      <c r="AR7" s="144"/>
      <c r="AS7" s="144"/>
      <c r="AT7" s="145"/>
      <c r="AU7" s="143"/>
      <c r="AV7" s="12"/>
      <c r="AW7" s="196"/>
      <c r="AX7" s="150"/>
      <c r="AY7" s="151"/>
      <c r="AZ7" s="152"/>
      <c r="BA7" s="152"/>
      <c r="BB7" s="321"/>
      <c r="BC7" s="12"/>
    </row>
    <row r="8" spans="1:55" ht="15.75">
      <c r="A8" s="72" t="s">
        <v>93</v>
      </c>
      <c r="B8" s="130" t="e">
        <f ca="1">C8-C5</f>
        <v>#NAME?</v>
      </c>
      <c r="C8" s="67" t="e">
        <f ca="1">DATEVALUE(_xll.BDP($A$47&amp;"/USD"&amp;" "&amp;$A8&amp;"@"&amp;$A$2&amp;" Curncy","SETTLE_DT"))</f>
        <v>#NAME?</v>
      </c>
      <c r="D8" s="78">
        <f>IF(A47="USD",0,IF(A47="SEK",(D9-D7)*(C8-C7)/(C9-C7)+D7,IF(A47="THB",(D9-D7)*(C8-C7)/(C9-C7)+D7,IF(A47="CNH",(D9-D7)*(C8-C7)/(C9-C7)+D7,_xll.BDP(D50,"BID")))))</f>
        <v>0</v>
      </c>
      <c r="E8" s="78">
        <f>IF(A47="USD",0,IF(A47="SEK",(E9-E7)*(C8-C7)/(C9-C7)+E7,IF(A47="THB",(E9-E7)*(C8-C7)/(C9-C7)+E7,IF(A47="CNH",(E9-E7)*(C8-C7)/(C9-C7)+E7,_xll.BDP(D50,"ASK")))))</f>
        <v>0</v>
      </c>
      <c r="F8" s="130" t="e">
        <f ca="1">G8-G5</f>
        <v>#NAME?</v>
      </c>
      <c r="G8" s="67" t="e">
        <f ca="1">DATEVALUE(_xll.BDP($B$47&amp;"/USD"&amp;" "&amp;$A8&amp;"@"&amp;$A$2&amp;" Curncy","SETTLE_DT"))</f>
        <v>#NAME?</v>
      </c>
      <c r="H8" s="85" t="e">
        <f ca="1">IF($B$47="TWD",-L8/1000,IF($B$47="USD",0,IF(B47="SEK",(H9-H7)*(G8-G7)/(G9-G7)+H7,IF(B47="THB",(H9-H7)*(G8-G7)/(G9-G7)+H7,IF(B47="CNH",(H9-H7)*(G8-G7)/(G9-G7)+H7,_xll.BDP(E50,"BID"))))))</f>
        <v>#NAME?</v>
      </c>
      <c r="I8" s="86" t="e">
        <f ca="1">IF($B$47="TWD",-M8/1000,IF($B$47="USD",0,IF(B47="SEK",(I9-I7)*(G8-G7)/(G9-G7)+I7,IF(B47="THB",(I9-I7)*(G8-G7)/(G9-G7)+I7,IF(B47="CNH",(I9-I7)*(G8-G7)/(G9-G7)+I7,_xll.BDP(E50,"ASK"))))))</f>
        <v>#NAME?</v>
      </c>
      <c r="J8" s="29" t="e">
        <f ca="1">DATEVALUE(_xll.BDP("TWD/USD "&amp;$A8&amp;"@"&amp;$A$2&amp;" Curncy","SETTLE_DT"))</f>
        <v>#NAME?</v>
      </c>
      <c r="K8" s="184" t="e">
        <f ca="1">J8-J7</f>
        <v>#NAME?</v>
      </c>
      <c r="L8" s="101" t="e">
        <f ca="1">L9*K8/K9</f>
        <v>#NAME?</v>
      </c>
      <c r="M8" s="101" t="e">
        <f ca="1">M9*K8/K9</f>
        <v>#NAME?</v>
      </c>
      <c r="N8" s="281" t="e">
        <f ca="1">(O8+P8)/2</f>
        <v>#NAME?</v>
      </c>
      <c r="O8" s="215" t="e">
        <f t="shared" ref="O8:O23" ca="1" si="2">(($N$5-L8/1000)*(1+Q8*K8/36000)/$N$5-1)/K8*36500</f>
        <v>#NAME?</v>
      </c>
      <c r="P8" s="102" t="e">
        <f t="shared" ca="1" si="0"/>
        <v>#NAME?</v>
      </c>
      <c r="Q8" s="278" t="e">
        <f t="shared" ca="1" si="1"/>
        <v>#NAME?</v>
      </c>
      <c r="R8" s="76"/>
      <c r="S8" s="67" t="e">
        <f ca="1">DATEVALUE(_xll.BDP($A$47&amp;"/"&amp;$B$47&amp;" "&amp;TEXT($S$6,"MMDDYY")&amp;"@ Curncy","SETTLE_DT"))</f>
        <v>#NAME?</v>
      </c>
      <c r="T8" s="344" t="e">
        <f ca="1">_xll.BInterpol($P$99:$P$119,$AB$99:$AB$119,$S$8,"LINEAR")</f>
        <v>#NAME?</v>
      </c>
      <c r="U8" s="345" t="e">
        <f ca="1">_xll.BInterpol($P$99:$P$119,$AC$99:$AC$119,$S$8,"LINEAR")</f>
        <v>#NAME?</v>
      </c>
      <c r="V8" s="191"/>
      <c r="W8" s="190"/>
      <c r="X8" s="127"/>
      <c r="Z8" s="335" t="s">
        <v>252</v>
      </c>
      <c r="AA8" s="9" t="e">
        <f ca="1">($I$5*(((0-(AA35-O26)/100)*(K26/360))/(1+(AA35-O26)/100*K26/360)))*(-1000)</f>
        <v>#NAME?</v>
      </c>
      <c r="AB8" s="9" t="e">
        <f ca="1">($H$5*(((0-(Z35-P26)/100)*(K26/360))/(1+(Z35-P26)/100*K26/360)))*(-1000)</f>
        <v>#NAME?</v>
      </c>
      <c r="AC8" s="127"/>
      <c r="AD8" s="127"/>
      <c r="AE8" s="118"/>
      <c r="AF8" s="127"/>
      <c r="AG8" s="127"/>
      <c r="AH8" s="127"/>
      <c r="AI8" s="127"/>
      <c r="AJ8" s="127"/>
      <c r="AK8" s="118"/>
      <c r="AM8" s="201"/>
      <c r="AN8" s="201"/>
      <c r="AO8" s="202"/>
      <c r="AP8" s="202"/>
      <c r="AQ8" s="203"/>
      <c r="AR8" s="203"/>
      <c r="AS8" s="203"/>
      <c r="AT8" s="145"/>
      <c r="AU8" s="143"/>
      <c r="AV8" s="12"/>
      <c r="AW8" s="196"/>
      <c r="AX8" s="150"/>
      <c r="AY8" s="151"/>
      <c r="AZ8" s="152"/>
      <c r="BA8" s="152"/>
      <c r="BB8" s="321"/>
      <c r="BC8" s="12"/>
    </row>
    <row r="9" spans="1:55" ht="15.75">
      <c r="A9" s="72" t="s">
        <v>165</v>
      </c>
      <c r="B9" s="130" t="e">
        <f t="shared" ref="B9:B27" ca="1" si="3">C9-$C$5</f>
        <v>#NAME?</v>
      </c>
      <c r="C9" s="67" t="e">
        <f ca="1">DATEVALUE(_xll.BDP($A$47&amp;"/USD"&amp;" "&amp;$A9&amp;"@"&amp;$A$2&amp;" Curncy","SETTLE_DT"))</f>
        <v>#NAME?</v>
      </c>
      <c r="D9" s="78">
        <f>(IF($A$47="USD",0,_xll.BDP(D51,"BID")-$K$1))</f>
        <v>0</v>
      </c>
      <c r="E9" s="78">
        <f>(IF($A$47="USD",0,_xll.BDP(D51,"ASK")+$K$1))</f>
        <v>0</v>
      </c>
      <c r="F9" s="130" t="e">
        <f t="shared" ref="F9:F23" ca="1" si="4">G9-$G$5</f>
        <v>#NAME?</v>
      </c>
      <c r="G9" s="67" t="e">
        <f ca="1">DATEVALUE(_xll.BDP($B$47&amp;"/USD"&amp;" "&amp;$A9&amp;"@"&amp;$A$2&amp;" Curncy","SETTLE_DT"))</f>
        <v>#NAME?</v>
      </c>
      <c r="H9" s="85">
        <f>IF($B$47="TWD",-L9/1000,IF($B$47="USD",0,_xll.BDP(E51,"BID")-$K$1))</f>
        <v>-3.5000000000000001E-3</v>
      </c>
      <c r="I9" s="86">
        <f>IF($B$47="TWD",-M9/1000,IF($B$47="USD",0,_xll.BDP(E51,"ASK")+$K$1))</f>
        <v>-2E-3</v>
      </c>
      <c r="J9" s="29" t="e">
        <f ca="1">G9</f>
        <v>#NAME?</v>
      </c>
      <c r="K9" s="183" t="e">
        <f ca="1">J9-J5</f>
        <v>#NAME?</v>
      </c>
      <c r="L9" s="28">
        <v>3.5</v>
      </c>
      <c r="M9" s="28">
        <v>2</v>
      </c>
      <c r="N9" s="281" t="e">
        <f ca="1">(O9+P9)/2</f>
        <v>#NAME?</v>
      </c>
      <c r="O9" s="100" t="e">
        <f t="shared" ca="1" si="2"/>
        <v>#NAME?</v>
      </c>
      <c r="P9" s="15" t="e">
        <f t="shared" ca="1" si="0"/>
        <v>#NAME?</v>
      </c>
      <c r="Q9" s="278" t="e">
        <f t="shared" ca="1" si="1"/>
        <v>#NAME?</v>
      </c>
      <c r="R9" s="76"/>
      <c r="S9" s="67"/>
      <c r="T9" s="79" t="e">
        <f ca="1">T6/(10^$AC$95)+$Z$99</f>
        <v>#NAME?</v>
      </c>
      <c r="U9" s="80" t="e">
        <f ca="1">U6/(10^$AC$95)+$AA$99</f>
        <v>#NAME?</v>
      </c>
      <c r="V9" s="262" t="e">
        <f ca="1">1000*(X9+Y9)/2</f>
        <v>#NAME?</v>
      </c>
      <c r="W9" s="263" t="s">
        <v>271</v>
      </c>
      <c r="X9" s="128" t="e">
        <f ca="1">_xll.BDP("NTO1W TPFX Curncy","BID")</f>
        <v>#NAME?</v>
      </c>
      <c r="Y9" s="128" t="e">
        <f ca="1">_xll.BDP("NTO1W TPFX Curncy","ASK")</f>
        <v>#NAME?</v>
      </c>
      <c r="Z9" s="333" t="s">
        <v>253</v>
      </c>
      <c r="AA9" s="9" t="e">
        <f ca="1">($I$5*(((0-(AA36-O27)/100)*(K27/360))/(1+(AA36-O27)/100*K27/360)))*(-1000)</f>
        <v>#NAME?</v>
      </c>
      <c r="AB9" s="9" t="e">
        <f ca="1">($H$5*(((0-(Z36-P27)/100)*(K27/360))/(1+(Z36-P27)/100*K27/360)))*(-1000)</f>
        <v>#NAME?</v>
      </c>
      <c r="AC9" s="128"/>
      <c r="AD9" s="128"/>
      <c r="AE9" s="129"/>
      <c r="AF9" s="128"/>
      <c r="AG9" s="73"/>
      <c r="AH9" s="73"/>
      <c r="AI9" s="204"/>
      <c r="AJ9" s="73"/>
      <c r="AK9" s="186"/>
      <c r="AM9" s="205"/>
      <c r="AN9" s="201"/>
      <c r="AO9" s="206"/>
      <c r="AP9" s="195"/>
      <c r="AQ9" s="207"/>
      <c r="AR9" s="208"/>
      <c r="AS9" s="209"/>
      <c r="AT9" s="146"/>
      <c r="AU9" s="146"/>
      <c r="AV9" s="12"/>
      <c r="AW9" s="196"/>
      <c r="AX9" s="150"/>
      <c r="AY9" s="151"/>
      <c r="AZ9" s="152"/>
      <c r="BA9" s="152"/>
      <c r="BB9" s="321"/>
      <c r="BC9" s="12"/>
    </row>
    <row r="10" spans="1:55" ht="16.5" thickBot="1">
      <c r="A10" s="72" t="s">
        <v>118</v>
      </c>
      <c r="B10" s="130" t="e">
        <f t="shared" ca="1" si="3"/>
        <v>#NAME?</v>
      </c>
      <c r="C10" s="67" t="e">
        <f ca="1">DATEVALUE(_xll.BDP($A$47&amp;"/USD"&amp;" "&amp;$A10&amp;"@"&amp;$A$2&amp;" Curncy","SETTLE_DT"))</f>
        <v>#NAME?</v>
      </c>
      <c r="D10" s="78">
        <f>(IF($A$47="USD",0,IF(A47="SGD",(D12-D9)*(C10-C9)/(C12-C9)+D9,IF(A47="THB",(D12-D9)*(C10-C9)/(C12-C9)+D9,IF(A47="ZAR",(D12-D9)*(C10-C9)/(C12-C9)+D9,_xll.BDP(D52,"BID")-$K$1)))))</f>
        <v>0</v>
      </c>
      <c r="E10" s="78">
        <f>IF($A$47="USD",0,IF(A47="SGD",(E12-E9)*(C10-C9)/(C12-C9)+E9,IF(A47="THB",(E12-E9)*(C10-C9)/(C12-C9)+E9,IF(A47="ZAR",(E12-E9)*(C10-C9)/(C12-C9)+E9,_xll.BDP(D52,"ASK")+$K$1))))</f>
        <v>0</v>
      </c>
      <c r="F10" s="130" t="e">
        <f t="shared" ca="1" si="4"/>
        <v>#NAME?</v>
      </c>
      <c r="G10" s="67" t="e">
        <f ca="1">DATEVALUE(_xll.BDP($B$47&amp;"/USD"&amp;" "&amp;$A10&amp;"@"&amp;$A$2&amp;" Curncy","SETTLE_DT"))</f>
        <v>#NAME?</v>
      </c>
      <c r="H10" s="85">
        <f>IF($B$47="TWD",-L10/1000,IF($B$47="USD",0,IF(B47="SGD",(H12-H9)*(G10-G9)/(G12-G9)+H9,IF(B47="THB",(H12-H9)*(G10-G9)/(G12-G9)+H9,IF(B47="ZAR",(H12-H9)*(G10-G9)/(G12-G9)+H9,_xll.BDP(E52,"BID")-$K$1)))))</f>
        <v>-1.2E-2</v>
      </c>
      <c r="I10" s="86">
        <f>IF($B$47="TWD",-M10/1000,IF($B$47="USD",0,IF(B47="SGD",(I12-I9)*(G10-G9)/(G12-G9)+I9,IF(B47="THB",(I12-I9)*(G10-G9)/(G12-G9)+I9,IF(B47="ZAR",(I12-I9)*(G10-G9)/(G12-G9)+I9,_xll.BDP(E52,"ASK")+$K$1)))))</f>
        <v>-7.0000000000000001E-3</v>
      </c>
      <c r="J10" s="29" t="e">
        <f ca="1">G10</f>
        <v>#NAME?</v>
      </c>
      <c r="K10" s="183" t="e">
        <f ca="1">J10-J5</f>
        <v>#NAME?</v>
      </c>
      <c r="L10" s="28">
        <v>12</v>
      </c>
      <c r="M10" s="28">
        <v>7</v>
      </c>
      <c r="N10" s="281" t="e">
        <f t="shared" ref="N10:N23" ca="1" si="5">(O10+P10)/2</f>
        <v>#NAME?</v>
      </c>
      <c r="O10" s="100" t="e">
        <f t="shared" ca="1" si="2"/>
        <v>#NAME?</v>
      </c>
      <c r="P10" s="15" t="e">
        <f t="shared" ca="1" si="0"/>
        <v>#NAME?</v>
      </c>
      <c r="Q10" s="278" t="e">
        <f t="shared" ca="1" si="1"/>
        <v>#NAME?</v>
      </c>
      <c r="R10" s="75" t="e">
        <f ca="1">S10-J5</f>
        <v>#NAME?</v>
      </c>
      <c r="S10" s="56">
        <v>44365</v>
      </c>
      <c r="T10" s="234" t="e">
        <f ca="1">_xll.BInterpol($P$99:$P$119,$AB$99:$AB$119,$S$10,"LINEAR")</f>
        <v>#NAME?</v>
      </c>
      <c r="U10" s="235" t="e">
        <f ca="1">_xll.BInterpol($P$99:$P$119,$AC$99:$AC$119,$S$10,"LINEAR")</f>
        <v>#NAME?</v>
      </c>
      <c r="V10" s="262"/>
      <c r="W10" s="263"/>
      <c r="X10" s="128"/>
      <c r="Y10" s="211"/>
      <c r="Z10" s="128"/>
      <c r="AA10" s="129"/>
      <c r="AB10" s="128"/>
      <c r="AC10" s="210"/>
      <c r="AD10" s="210"/>
      <c r="AE10" s="129"/>
      <c r="AF10" s="128"/>
      <c r="AG10" s="73"/>
      <c r="AH10" s="73"/>
      <c r="AI10" s="204"/>
      <c r="AJ10" s="73"/>
      <c r="AK10" s="186"/>
      <c r="AM10" s="142"/>
      <c r="AN10" s="201"/>
      <c r="AO10" s="206"/>
      <c r="AP10" s="195"/>
      <c r="AQ10" s="207"/>
      <c r="AR10" s="208"/>
      <c r="AS10" s="209"/>
      <c r="AT10" s="146"/>
      <c r="AU10" s="146"/>
      <c r="AV10" s="12"/>
      <c r="AW10" s="196"/>
      <c r="AX10" s="150"/>
      <c r="AY10" s="151"/>
      <c r="AZ10" s="152"/>
      <c r="BA10" s="152"/>
      <c r="BB10" s="321"/>
      <c r="BC10" s="12"/>
    </row>
    <row r="11" spans="1:55" ht="16.5" thickBot="1">
      <c r="A11" s="72" t="s">
        <v>17</v>
      </c>
      <c r="B11" s="130" t="e">
        <f t="shared" ca="1" si="3"/>
        <v>#NAME?</v>
      </c>
      <c r="C11" s="67" t="e">
        <f ca="1">DATEVALUE(_xll.BDP($A$47&amp;"/USD"&amp;" "&amp;$A11&amp;"@"&amp;$A$2&amp;" Curncy","SETTLE_DT"))</f>
        <v>#NAME?</v>
      </c>
      <c r="D11" s="78">
        <f>(IF($A$47="USD",0,IF(A47="SGD",(D12-D10)*(C11-C10)/(C12-C10)+D10,IF(A47="HKD",(D12-D10)*(C11-C10)/(C12-C10)+D10,IF(A47="THB",(D12-D10)*(C11-C10)/(C12-C10)+D10,IF(A47="ZAR",(D12-D10)*(C11-C10)/(C12-C10)+D10,IF(A47="CNH",(D12-D10)*(C11-C10)/(C12-C10)+D10,_xll.BDP(D53,"BID")-$K$1)))))))</f>
        <v>0</v>
      </c>
      <c r="E11" s="78">
        <f>IF($A$47="USD",0,IF(A47="SGD",(E12-E10)*(C11-C10)/(C12-C10)+E10,IF(A47="HKD",(E12-E10)*(C11-C10)/(C12-C10)+E10,IF(A47="THB",(E12-E10)*(C11-C10)/(C12-C10)+E10,IF(A47="ZAR",(E12-E10)*(C11-C10)/(C12-C10)+E10,IF(A47="CNH",(E12-E10)*(C11-C10)/(C12-C10)+E10,_xll.BDP(D53,"ASK")+$K$1))))))</f>
        <v>0</v>
      </c>
      <c r="F11" s="130" t="e">
        <f t="shared" ca="1" si="4"/>
        <v>#NAME?</v>
      </c>
      <c r="G11" s="67" t="e">
        <f ca="1">DATEVALUE(_xll.BDP($B$47&amp;"/USD"&amp;" "&amp;$A11&amp;"@"&amp;$A$2&amp;" Curncy","SETTLE_DT"))</f>
        <v>#NAME?</v>
      </c>
      <c r="H11" s="85">
        <f>IF($B$47="TWD",-L11/1000,IF($B$47="USD",0,IF(B47="SGD",(H12-H10)*(G11-G10)/(G12-G10)+H10,IF(B47="HKD",(H12-H10)*(G11-G10)/(G12-G10)+H10,IF(B47="THB",(H12-H10)*(G11-G10)/(G12-G10)+H10,IF(B47="ZAR",(H12-H10)*(G11-G10)/(G12-G10)+H10,IF(B47="CNH",(H12-H10)*(G11-G10)/(G12-G10)+H10,_xll.BDP(E53,"BID")-$K$1)))))))</f>
        <v>-1.4E-2</v>
      </c>
      <c r="I11" s="86">
        <f>IF($B$47="TWD",-M11/1000,IF($B$47="USD",0,IF(B47="SGD",(I12-I10)*(G11-G10)/(G12-G10)+I10,IF(B47="HKD",(I12-I10)*(G11-G10)/(G12-G10)+I10,IF(B47="THB",(I12-I10)*(G11-G10)/(G12-G10)+I10,IF(B47="ZAR",(I12-I10)*(G11-G10)/(G12-G10)+I10+$K$1,IF(B47="CNH",(I12-I10)*(G11-G10)/(G12-G10)+I10+$K$1,_xll.BDP(E53,"ASK")+$K$1)))))))</f>
        <v>-8.9999999999999993E-3</v>
      </c>
      <c r="J11" s="29" t="e">
        <f ca="1">G11</f>
        <v>#NAME?</v>
      </c>
      <c r="K11" s="183" t="e">
        <f ca="1">J11-J5</f>
        <v>#NAME?</v>
      </c>
      <c r="L11" s="287">
        <v>14</v>
      </c>
      <c r="M11" s="288">
        <v>9</v>
      </c>
      <c r="N11" s="281" t="e">
        <f t="shared" ca="1" si="5"/>
        <v>#NAME?</v>
      </c>
      <c r="O11" s="100" t="e">
        <f t="shared" ca="1" si="2"/>
        <v>#NAME?</v>
      </c>
      <c r="P11" s="15" t="e">
        <f t="shared" ca="1" si="0"/>
        <v>#NAME?</v>
      </c>
      <c r="Q11" s="278" t="e">
        <f t="shared" ca="1" si="1"/>
        <v>#NAME?</v>
      </c>
      <c r="S11" s="67" t="e">
        <f ca="1">DATEVALUE(_xll.BDP($A$47&amp;"/"&amp;$B$47&amp;" @"&amp;$A$2&amp;" Curncy","SETTLE_DT"))</f>
        <v>#NAME?</v>
      </c>
      <c r="T11" s="268" t="e">
        <f ca="1">_xll.BInterpol($P$99:$P$119,$AB$99:$AB$119,$S$11,"LINEAR")</f>
        <v>#NAME?</v>
      </c>
      <c r="U11" s="269" t="e">
        <f ca="1">_xll.BInterpol($P$99:$P$119,$AC$99:$AC$119,$S$11,"LINEAR")</f>
        <v>#NAME?</v>
      </c>
      <c r="V11" s="262"/>
      <c r="W11" s="261"/>
      <c r="X11" s="128"/>
      <c r="Y11" s="333"/>
      <c r="Z11" s="128"/>
      <c r="AA11" s="129"/>
      <c r="AB11" s="128"/>
      <c r="AC11" s="210"/>
      <c r="AD11" s="210"/>
      <c r="AE11" s="129"/>
      <c r="AF11" s="128"/>
      <c r="AG11" s="73"/>
      <c r="AH11" s="73"/>
      <c r="AI11" s="204"/>
      <c r="AJ11" s="73"/>
      <c r="AK11" s="186"/>
      <c r="AM11" s="142"/>
      <c r="AN11" s="201"/>
      <c r="AO11" s="206"/>
      <c r="AP11" s="195"/>
      <c r="AQ11" s="207"/>
      <c r="AR11" s="208"/>
      <c r="AS11" s="209"/>
      <c r="AT11" s="146"/>
      <c r="AU11" s="146"/>
      <c r="AV11" s="12"/>
      <c r="AW11" s="196"/>
      <c r="AX11" s="150"/>
      <c r="AY11" s="151"/>
      <c r="AZ11" s="152"/>
      <c r="BA11" s="152"/>
      <c r="BB11" s="321"/>
      <c r="BC11" s="12"/>
    </row>
    <row r="12" spans="1:55" ht="15.75">
      <c r="A12" s="72" t="s">
        <v>18</v>
      </c>
      <c r="B12" s="130" t="e">
        <f t="shared" ca="1" si="3"/>
        <v>#NAME?</v>
      </c>
      <c r="C12" s="67" t="e">
        <f ca="1">DATEVALUE(_xll.BDP($A$47&amp;"/USD"&amp;" "&amp;$A12&amp;"@"&amp;$A$2&amp;" Curncy","SETTLE_DT"))</f>
        <v>#NAME?</v>
      </c>
      <c r="D12" s="78">
        <f>(IF($A$47="USD",0,_xll.BDP(D54,"BID")-$K$1))</f>
        <v>0</v>
      </c>
      <c r="E12" s="78">
        <f>IF($A$47="USD",0,_xll.BDP(D54,"ASK")+$K$1)</f>
        <v>0</v>
      </c>
      <c r="F12" s="130" t="e">
        <f t="shared" ca="1" si="4"/>
        <v>#NAME?</v>
      </c>
      <c r="G12" s="67" t="e">
        <f ca="1">DATEVALUE(_xll.BDP($B$47&amp;"/USD"&amp;" "&amp;$A12&amp;"@"&amp;$A$2&amp;" Curncy","SETTLE_DT"))</f>
        <v>#NAME?</v>
      </c>
      <c r="H12" s="85">
        <f>IF($B$47="TWD",-L12/1000,IF($B$47="USD",0,_xll.BDP(E54,"BID")-$K$1))</f>
        <v>-1.4999999999999999E-2</v>
      </c>
      <c r="I12" s="86">
        <f>IF($B$47="TWD",-M12/1000,IF($B$47="USD",0,_xll.BDP(E54,"ASK")+$K$1))</f>
        <v>-1.2999999999999999E-2</v>
      </c>
      <c r="J12" s="29" t="e">
        <f ca="1">DATEVALUE(_xll.BDP("TWD/USD "&amp;$A12&amp;"@"&amp;$A$2&amp;" Curncy","SETTLE_DT"))</f>
        <v>#NAME?</v>
      </c>
      <c r="K12" s="183" t="e">
        <f t="shared" ref="K12:K27" ca="1" si="6">J12-$G$5</f>
        <v>#NAME?</v>
      </c>
      <c r="L12" s="28">
        <v>15</v>
      </c>
      <c r="M12" s="28">
        <v>13</v>
      </c>
      <c r="N12" s="281" t="e">
        <f t="shared" ca="1" si="5"/>
        <v>#NAME?</v>
      </c>
      <c r="O12" s="100" t="e">
        <f t="shared" ca="1" si="2"/>
        <v>#NAME?</v>
      </c>
      <c r="P12" s="15" t="e">
        <f t="shared" ca="1" si="0"/>
        <v>#NAME?</v>
      </c>
      <c r="Q12" s="278" t="e">
        <f t="shared" ca="1" si="1"/>
        <v>#NAME?</v>
      </c>
      <c r="R12" s="76"/>
      <c r="S12" s="67" t="e">
        <f ca="1">DATEVALUE(_xll.BDP($A$47&amp;"/"&amp;$B$47&amp;" "&amp;TEXT($S$10,"MMDDYY")&amp;"@ Curncy","SETTLE_DT"))</f>
        <v>#NAME?</v>
      </c>
      <c r="T12" s="267" t="e">
        <f ca="1">_xll.BInterpol($P$99:$P$119,$AB$99:$AB$119,$S$12,"LINEAR")</f>
        <v>#NAME?</v>
      </c>
      <c r="U12" s="269" t="e">
        <f ca="1">_xll.BInterpol($P$99:$P$119,$AC$99:$AC$119,$S$12,"LINEAR")</f>
        <v>#NAME?</v>
      </c>
      <c r="V12" s="262" t="e">
        <f t="shared" ref="V12:V17" ca="1" si="7">1000*(X12+Y12)/2</f>
        <v>#NAME?</v>
      </c>
      <c r="W12" s="187" t="s">
        <v>272</v>
      </c>
      <c r="X12" s="128" t="e">
        <f ca="1">_xll.BDP("NTO1M TPFX Curncy","BID")</f>
        <v>#NAME?</v>
      </c>
      <c r="Y12" s="128" t="e">
        <f ca="1">_xll.BDP("NTO1M TPFX Curncy","ASK")</f>
        <v>#NAME?</v>
      </c>
      <c r="Z12" s="128">
        <v>6065674</v>
      </c>
      <c r="AA12" s="129"/>
      <c r="AB12" s="128"/>
      <c r="AC12" s="128"/>
      <c r="AD12" s="128"/>
      <c r="AE12" s="129"/>
      <c r="AF12" s="128"/>
      <c r="AG12" s="73"/>
      <c r="AH12" s="73"/>
      <c r="AI12" s="204"/>
      <c r="AJ12" s="73"/>
      <c r="AK12" s="186"/>
      <c r="AM12" s="142"/>
      <c r="AN12" s="201"/>
      <c r="AO12" s="206"/>
      <c r="AP12" s="195"/>
      <c r="AQ12" s="207"/>
      <c r="AR12" s="208"/>
      <c r="AS12" s="209"/>
      <c r="AT12" s="146"/>
      <c r="AU12" s="146"/>
      <c r="AV12" s="12"/>
      <c r="AW12" s="196"/>
      <c r="AX12" s="316"/>
      <c r="AY12" s="151"/>
      <c r="AZ12" s="152"/>
      <c r="BA12" s="152"/>
      <c r="BB12" s="321"/>
      <c r="BC12" s="12"/>
    </row>
    <row r="13" spans="1:55" ht="16.5" thickBot="1">
      <c r="A13" s="72" t="s">
        <v>19</v>
      </c>
      <c r="B13" s="130" t="e">
        <f t="shared" ca="1" si="3"/>
        <v>#NAME?</v>
      </c>
      <c r="C13" s="67" t="e">
        <f ca="1">DATEVALUE(_xll.BDP($A$47&amp;"/USD"&amp;" "&amp;$A13&amp;"@"&amp;$A$2&amp;" Curncy","SETTLE_DT"))</f>
        <v>#NAME?</v>
      </c>
      <c r="D13" s="78">
        <f>(IF($A$47="USD",0,_xll.BDP(D55,"BID")-$K$1))</f>
        <v>0</v>
      </c>
      <c r="E13" s="78">
        <f>IF($A$47="USD",0,_xll.BDP(D55,"ASK")+$K$1)</f>
        <v>0</v>
      </c>
      <c r="F13" s="130" t="e">
        <f t="shared" ca="1" si="4"/>
        <v>#NAME?</v>
      </c>
      <c r="G13" s="67" t="e">
        <f ca="1">DATEVALUE(_xll.BDP($B$47&amp;"/USD"&amp;" "&amp;$A13&amp;"@"&amp;$A$2&amp;" Curncy","SETTLE_DT"))</f>
        <v>#NAME?</v>
      </c>
      <c r="H13" s="85">
        <f>IF($B$47="TWD",-L13/1000,IF($B$47="USD",0,_xll.BDP(E55,"BID")-$K$1))</f>
        <v>-2.3E-2</v>
      </c>
      <c r="I13" s="86">
        <f>IF($B$47="TWD",-M13/1000,IF($B$47="USD",0,_xll.BDP(E55,"ASK")+$K$1))</f>
        <v>-1.7999999999999999E-2</v>
      </c>
      <c r="J13" s="29" t="e">
        <f ca="1">DATEVALUE(_xll.BDP("TWD/USD "&amp;$A13&amp;"@"&amp;$A$2&amp;" Curncy","SETTLE_DT"))</f>
        <v>#NAME?</v>
      </c>
      <c r="K13" s="183" t="e">
        <f t="shared" ca="1" si="6"/>
        <v>#NAME?</v>
      </c>
      <c r="L13" s="28">
        <v>23</v>
      </c>
      <c r="M13" s="28">
        <v>18</v>
      </c>
      <c r="N13" s="282" t="e">
        <f t="shared" ca="1" si="5"/>
        <v>#NAME?</v>
      </c>
      <c r="O13" s="100" t="e">
        <f ca="1">(($N$5-L13/1000)*(1+Q13*K13/36000)/$N$5-1)/K13*36500</f>
        <v>#NAME?</v>
      </c>
      <c r="P13" s="15" t="e">
        <f t="shared" ca="1" si="0"/>
        <v>#NAME?</v>
      </c>
      <c r="Q13" s="278" t="e">
        <f t="shared" ca="1" si="1"/>
        <v>#NAME?</v>
      </c>
      <c r="R13" s="81"/>
      <c r="S13" s="82"/>
      <c r="T13" s="83" t="e">
        <f ca="1">T10/(10^$AC$95)+$Z$99</f>
        <v>#NAME?</v>
      </c>
      <c r="U13" s="84" t="e">
        <f ca="1">U10/(10^$AC$95)+$AA$99</f>
        <v>#NAME?</v>
      </c>
      <c r="V13" s="262" t="e">
        <f t="shared" ca="1" si="7"/>
        <v>#NAME?</v>
      </c>
      <c r="W13" s="187" t="s">
        <v>273</v>
      </c>
      <c r="X13" s="128" t="e">
        <f ca="1">_xll.BDP("NTO2M TPFX Curncy","BID")</f>
        <v>#NAME?</v>
      </c>
      <c r="Y13" s="128" t="e">
        <f ca="1">_xll.BDP("NTO2M TPFX Curncy","ASK")</f>
        <v>#NAME?</v>
      </c>
      <c r="Z13" s="128">
        <v>7110151</v>
      </c>
      <c r="AA13" s="129"/>
      <c r="AB13" s="128"/>
      <c r="AC13" s="128"/>
      <c r="AD13" s="128"/>
      <c r="AE13" s="129"/>
      <c r="AF13" s="128"/>
      <c r="AG13" s="73"/>
      <c r="AH13" s="73"/>
      <c r="AI13" s="204"/>
      <c r="AJ13" s="73"/>
      <c r="AK13" s="186"/>
      <c r="AM13" s="142"/>
      <c r="AN13" s="201"/>
      <c r="AO13" s="206"/>
      <c r="AP13" s="195"/>
      <c r="AQ13" s="207"/>
      <c r="AR13" s="208"/>
      <c r="AS13" s="209"/>
      <c r="AT13" s="146"/>
      <c r="AU13" s="146"/>
      <c r="AV13" s="12"/>
      <c r="AW13" s="196"/>
      <c r="AX13" s="150"/>
      <c r="AY13" s="151"/>
      <c r="AZ13" s="152"/>
      <c r="BA13" s="152"/>
      <c r="BB13" s="321"/>
      <c r="BC13" s="12"/>
    </row>
    <row r="14" spans="1:55" ht="16.5" thickBot="1">
      <c r="A14" s="72" t="s">
        <v>20</v>
      </c>
      <c r="B14" s="130" t="e">
        <f t="shared" ca="1" si="3"/>
        <v>#NAME?</v>
      </c>
      <c r="C14" s="67" t="e">
        <f ca="1">DATEVALUE(_xll.BDP($A$47&amp;"/USD"&amp;" "&amp;$A14&amp;"@"&amp;$A$2&amp;" Curncy","SETTLE_DT"))</f>
        <v>#NAME?</v>
      </c>
      <c r="D14" s="78">
        <f>(IF($A$47="USD",0,_xll.BDP(D56,"BID")-$K$1))</f>
        <v>0</v>
      </c>
      <c r="E14" s="78">
        <f>IF($A$47="USD",0,_xll.BDP(D56,"ASK")+$K$1)</f>
        <v>0</v>
      </c>
      <c r="F14" s="130" t="e">
        <f t="shared" ca="1" si="4"/>
        <v>#NAME?</v>
      </c>
      <c r="G14" s="67" t="e">
        <f ca="1">DATEVALUE(_xll.BDP($B$47&amp;"/USD"&amp;" "&amp;$A14&amp;"@"&amp;$A$2&amp;" Curncy","SETTLE_DT"))</f>
        <v>#NAME?</v>
      </c>
      <c r="H14" s="85">
        <f>IF($B$47="TWD",-L14/1000,IF($B$47="USD",0,_xll.BDP(E56,"BID")-$K$1))</f>
        <v>-0.03</v>
      </c>
      <c r="I14" s="86">
        <f>IF($B$47="TWD",-M14/1000,IF($B$47="USD",0,_xll.BDP(E56,"ASK")+$K$1))</f>
        <v>-2.5000000000000001E-2</v>
      </c>
      <c r="J14" s="29" t="e">
        <f ca="1">DATEVALUE(_xll.BDP("TWD/USD "&amp;$A14&amp;"@"&amp;$A$2&amp;" Curncy","SETTLE_DT"))</f>
        <v>#NAME?</v>
      </c>
      <c r="K14" s="183" t="e">
        <f ca="1">J14-$G$5</f>
        <v>#NAME?</v>
      </c>
      <c r="L14" s="28">
        <v>30</v>
      </c>
      <c r="M14" s="28">
        <v>25</v>
      </c>
      <c r="N14" s="282" t="e">
        <f t="shared" ca="1" si="5"/>
        <v>#NAME?</v>
      </c>
      <c r="O14" s="100" t="e">
        <f t="shared" ca="1" si="2"/>
        <v>#NAME?</v>
      </c>
      <c r="P14" s="15" t="e">
        <f t="shared" ca="1" si="0"/>
        <v>#NAME?</v>
      </c>
      <c r="Q14" s="278" t="e">
        <f t="shared" ca="1" si="1"/>
        <v>#NAME?</v>
      </c>
      <c r="S14" s="10" t="s">
        <v>119</v>
      </c>
      <c r="V14" s="262" t="e">
        <f t="shared" ca="1" si="7"/>
        <v>#NAME?</v>
      </c>
      <c r="W14" s="187" t="s">
        <v>274</v>
      </c>
      <c r="X14" s="128" t="e">
        <f ca="1">_xll.BDP("NTO3M TPFX Curncy","BID")</f>
        <v>#NAME?</v>
      </c>
      <c r="Y14" s="128" t="e">
        <f ca="1">_xll.BDP("NTO3M TPFX Curncy","ASK")</f>
        <v>#NAME?</v>
      </c>
      <c r="Z14" s="128">
        <v>6670472</v>
      </c>
      <c r="AA14" s="129"/>
      <c r="AB14" s="128"/>
      <c r="AC14" s="128"/>
      <c r="AD14" s="128"/>
      <c r="AE14" s="129"/>
      <c r="AF14" s="128"/>
      <c r="AG14" s="73"/>
      <c r="AH14" s="73"/>
      <c r="AI14" s="204"/>
      <c r="AJ14" s="73"/>
      <c r="AK14" s="186"/>
      <c r="AM14" s="142"/>
      <c r="AN14" s="201"/>
      <c r="AO14" s="206"/>
      <c r="AP14" s="195"/>
      <c r="AQ14" s="207"/>
      <c r="AR14" s="208"/>
      <c r="AS14" s="209"/>
      <c r="AT14" s="146"/>
      <c r="AU14" s="146"/>
      <c r="AV14" s="12"/>
      <c r="AW14" s="196"/>
      <c r="AX14" s="150"/>
      <c r="AY14" s="151"/>
      <c r="AZ14" s="152"/>
      <c r="BA14" s="152"/>
      <c r="BB14" s="321"/>
      <c r="BC14" s="12"/>
    </row>
    <row r="15" spans="1:55" ht="15.75">
      <c r="A15" s="72" t="s">
        <v>21</v>
      </c>
      <c r="B15" s="130" t="e">
        <f t="shared" ca="1" si="3"/>
        <v>#NAME?</v>
      </c>
      <c r="C15" s="67" t="e">
        <f ca="1">DATEVALUE(_xll.BDP($A$47&amp;"/USD"&amp;" "&amp;$A15&amp;"@"&amp;$A$2&amp;" Curncy","SETTLE_DT"))</f>
        <v>#NAME?</v>
      </c>
      <c r="D15" s="78">
        <f>(IF($A$47="USD",0,IF(A47="SGD",(D17-D14)*(C15-C14)/(C17-C14)+D14,IF(A47="THB",(D17-D14)*(C15-C14)/(C17-C14)+D14,IF(A47="ZAR",(D17-D14)*(C15-C14)/(C17-C14)+D14,IF(A47="CNH",(D17-D14)*(C15-C14)/(C17-C14)+D14,_xll.BDP(D57,"BID")-$K$1))))))</f>
        <v>0</v>
      </c>
      <c r="E15" s="78">
        <f>IF($A$47="USD",0,IF(A47="SGD",(E17-E14)*(C15-C14)/(C17-C14)+E14,IF(A47="THB",(E17-E14)*(C15-C14)/(C17-C14)+E14,IF(A47="ZAR",(E17-E14)*(C15-C14)/(C17-C14)+E14,IF(A47="CNH",(E17-E14)*(C15-C14)/(C17-C14)+E14,_xll.BDP(D57,"ASK")+$K$1)))))</f>
        <v>0</v>
      </c>
      <c r="F15" s="130" t="e">
        <f t="shared" ca="1" si="4"/>
        <v>#NAME?</v>
      </c>
      <c r="G15" s="67" t="e">
        <f ca="1">DATEVALUE(_xll.BDP($B$47&amp;"/USD"&amp;" "&amp;$A15&amp;"@"&amp;$A$2&amp;" Curncy","SETTLE_DT"))</f>
        <v>#NAME?</v>
      </c>
      <c r="H15" s="85">
        <f>IF($B$47="TWD",-L15/1000,IF($B$47="USD",0,IF(B47="SGD",(H17-H14)*(G15-G14)/(G17-G14)+H14,IF(B47="THB",(H17-H14)*(G15-G14)/(G17-G14)+H14,IF(B47="ZAR",(H17-H14)*(G15-G14)/(G17-G14)+H14,IF(B47="CNH",(H17-H14)*(G15-G14)/(G17-G14)+H14,_xll.BDP(E57,"BID")-$K$1))))))</f>
        <v>-0.04</v>
      </c>
      <c r="I15" s="86">
        <f>IF($B$47="TWD",-M15/1000,IF($B$47="USD",0,IF(B47="SGD",(I17-I14)*(G15-G14)/(G17-G14)+I14,IF(B47="THB",(I17-I14)*(G15-G14)/(G17-G14)+I14,IF(B47="ZAR",(I17-I14)*(G15-G14)/(G17-G14)+I14,IF(B47="CNH",(I17-I14)*(G15-G14)/(G17-G14)+I14,_xll.BDP(E57,"ASK")+$K$1))))))</f>
        <v>-3.3000000000000002E-2</v>
      </c>
      <c r="J15" s="29" t="e">
        <f ca="1">DATEVALUE(_xll.BDP("TWD/USD "&amp;$A15&amp;"@"&amp;$A$2&amp;" Curncy","SETTLE_DT"))</f>
        <v>#NAME?</v>
      </c>
      <c r="K15" s="183" t="e">
        <f t="shared" ca="1" si="6"/>
        <v>#NAME?</v>
      </c>
      <c r="L15" s="28">
        <v>40</v>
      </c>
      <c r="M15" s="28">
        <v>33</v>
      </c>
      <c r="N15" s="282" t="e">
        <f t="shared" ca="1" si="5"/>
        <v>#NAME?</v>
      </c>
      <c r="O15" s="100" t="e">
        <f t="shared" ca="1" si="2"/>
        <v>#NAME?</v>
      </c>
      <c r="P15" s="15" t="e">
        <f t="shared" ca="1" si="0"/>
        <v>#NAME?</v>
      </c>
      <c r="Q15" s="278" t="e">
        <f t="shared" ca="1" si="1"/>
        <v>#NAME?</v>
      </c>
      <c r="R15" s="484" t="s">
        <v>49</v>
      </c>
      <c r="S15" s="485"/>
      <c r="T15" s="485"/>
      <c r="U15" s="486"/>
      <c r="V15" s="262" t="e">
        <f t="shared" ca="1" si="7"/>
        <v>#NAME?</v>
      </c>
      <c r="W15" s="187" t="s">
        <v>278</v>
      </c>
      <c r="X15" s="128" t="e">
        <f ca="1">_xll.BDP("NTO4M TPFX Curncy","BID")</f>
        <v>#NAME?</v>
      </c>
      <c r="Y15" s="128" t="e">
        <f ca="1">_xll.BDP("NTO4M TPFX Curncy","ASK")</f>
        <v>#NAME?</v>
      </c>
      <c r="Z15" s="128">
        <v>4078528</v>
      </c>
      <c r="AA15" s="129"/>
      <c r="AB15" s="128"/>
      <c r="AC15" s="128"/>
      <c r="AD15" s="128"/>
      <c r="AE15" s="129"/>
      <c r="AF15" s="128"/>
      <c r="AG15" s="73"/>
      <c r="AH15" s="73"/>
      <c r="AI15" s="204"/>
      <c r="AJ15" s="73"/>
      <c r="AK15" s="186"/>
      <c r="AM15" s="142"/>
      <c r="AN15" s="201"/>
      <c r="AO15" s="206"/>
      <c r="AP15" s="195"/>
      <c r="AQ15" s="207"/>
      <c r="AR15" s="208"/>
      <c r="AS15" s="209"/>
      <c r="AT15" s="146"/>
      <c r="AU15" s="146"/>
      <c r="AV15" s="12"/>
      <c r="AW15" s="322"/>
      <c r="AX15" s="317"/>
      <c r="AY15" s="318"/>
      <c r="AZ15" s="319"/>
      <c r="BA15" s="319"/>
      <c r="BB15" s="323"/>
      <c r="BC15" s="12"/>
    </row>
    <row r="16" spans="1:55" ht="15.75">
      <c r="A16" s="72" t="s">
        <v>22</v>
      </c>
      <c r="B16" s="130" t="e">
        <f t="shared" ca="1" si="3"/>
        <v>#NAME?</v>
      </c>
      <c r="C16" s="67" t="e">
        <f ca="1">DATEVALUE(_xll.BDP($A$47&amp;"/USD"&amp;" "&amp;$A16&amp;"@"&amp;$A$2&amp;" Curncy","SETTLE_DT"))</f>
        <v>#NAME?</v>
      </c>
      <c r="D16" s="78">
        <f>(IF($A$47="USD",0,IF(A47="SGD",(D17-D15)*(C16-C15)/(C17-C15)+D15,IF(A47="THB",(D17-D15)*(C16-C15)/(C17-C15)+D15,IF(A47="ZAR",(D17-D15)*(C16-C15)/(C17-C15)+D15,IF(A47="CNH",(D17-D15)*(C16-C15)/(C17-C15)+D15,_xll.BDP(D58,"BID")-$K$1))))))</f>
        <v>0</v>
      </c>
      <c r="E16" s="78">
        <f>IF($A$47="USD",0,IF(A47="SGD",(E17-E15)*(C16-C15)/(C17-C15)+E15,IF(A47="THB",(E17-E15)*(C16-C15)/(C17-C15)+E15,IF(A47="ZAR",(E17-E15)*(C16-C15)/(C17-C15)+E15,IF(A47="CNH",(E17-E15)*(C16-C15)/(C17-C15)+E15,_xll.BDP(D58,"ASK")+$K$1)))))</f>
        <v>0</v>
      </c>
      <c r="F16" s="130" t="e">
        <f t="shared" ca="1" si="4"/>
        <v>#NAME?</v>
      </c>
      <c r="G16" s="67" t="e">
        <f ca="1">DATEVALUE(_xll.BDP($B$47&amp;"/USD"&amp;" "&amp;$A16&amp;"@"&amp;$A$2&amp;" Curncy","SETTLE_DT"))</f>
        <v>#NAME?</v>
      </c>
      <c r="H16" s="85">
        <f>IF($B$47="TWD",-L16/1000,IF($B$47="USD",0,IF(B47="SGD",(H17-H15)*(G16-G15)/(G17-G15)+H15,IF(B47="THB",(H17-H15)*(G16-G15)/(G17-G15)+H15,IF(B47="ZAR",(H17-H15)*(G16-G15)/(G17-G15)+H15,IF(B47="CNH",(H17-H15)*(G16-G15)/(G17-G15)+H15,_xll.BDP(E58,"BID")-$K$1))))))</f>
        <v>-4.5999999999999999E-2</v>
      </c>
      <c r="I16" s="86">
        <f>IF($B$47="TWD",-M16/1000,IF($B$47="USD",0,IF(B47="SGD",(I17-I15)*(G16-G15)/(G17-G15)+I15,IF(B47="THB",(I17-I15)*(G16-G15)/(G17-G15)+I15,IF(B47="ZAR",(I17-I15)*(G16-G15)/(G17-G15)+I15,IF(B47="CNH",(I17-I15)*(G16-G15)/(G17-G15)+I15,_xll.BDP(E58,"ASK")+$K$1))))))</f>
        <v>-3.7999999999999999E-2</v>
      </c>
      <c r="J16" s="29" t="e">
        <f ca="1">DATEVALUE(_xll.BDP("TWD/USD "&amp;$A16&amp;"@"&amp;$A$2&amp;" Curncy","SETTLE_DT"))</f>
        <v>#NAME?</v>
      </c>
      <c r="K16" s="183" t="e">
        <f t="shared" ca="1" si="6"/>
        <v>#NAME?</v>
      </c>
      <c r="L16" s="28">
        <v>46</v>
      </c>
      <c r="M16" s="28">
        <v>38</v>
      </c>
      <c r="N16" s="281" t="e">
        <f t="shared" ca="1" si="5"/>
        <v>#NAME?</v>
      </c>
      <c r="O16" s="100" t="e">
        <f t="shared" ca="1" si="2"/>
        <v>#NAME?</v>
      </c>
      <c r="P16" s="15" t="e">
        <f t="shared" ca="1" si="0"/>
        <v>#NAME?</v>
      </c>
      <c r="Q16" s="278" t="e">
        <f t="shared" ca="1" si="1"/>
        <v>#NAME?</v>
      </c>
      <c r="R16" s="33"/>
      <c r="S16" s="4" t="s">
        <v>1</v>
      </c>
      <c r="T16" s="73" t="s">
        <v>29</v>
      </c>
      <c r="U16" s="74" t="s">
        <v>128</v>
      </c>
      <c r="V16" s="262" t="e">
        <f t="shared" ca="1" si="7"/>
        <v>#NAME?</v>
      </c>
      <c r="W16" s="187" t="s">
        <v>279</v>
      </c>
      <c r="X16" s="128" t="e">
        <f ca="1">_xll.BDP("NTO5M TPFX Curncy","BID")</f>
        <v>#NAME?</v>
      </c>
      <c r="Y16" s="128" t="e">
        <f ca="1">_xll.BDP("NTO5M TPFX Curncy","ASK")</f>
        <v>#NAME?</v>
      </c>
      <c r="Z16" s="128">
        <v>-1293585</v>
      </c>
      <c r="AA16" s="129"/>
      <c r="AB16" s="128"/>
      <c r="AC16" s="128"/>
      <c r="AD16" s="128"/>
      <c r="AE16" s="129"/>
      <c r="AF16" s="128"/>
      <c r="AG16" s="73"/>
      <c r="AH16" s="73"/>
      <c r="AI16" s="204"/>
      <c r="AJ16" s="73"/>
      <c r="AK16" s="186"/>
      <c r="AM16" s="142"/>
      <c r="AN16" s="201"/>
      <c r="AO16" s="206"/>
      <c r="AP16" s="195"/>
      <c r="AQ16" s="207"/>
      <c r="AR16" s="208"/>
      <c r="AS16" s="209"/>
      <c r="AT16" s="146"/>
      <c r="AU16" s="146"/>
      <c r="AV16" s="12"/>
      <c r="AW16" s="196"/>
      <c r="AX16" s="150"/>
      <c r="AY16" s="151"/>
      <c r="AZ16" s="152"/>
      <c r="BA16" s="152"/>
      <c r="BB16" s="321"/>
      <c r="BC16" s="12"/>
    </row>
    <row r="17" spans="1:55" ht="15.75">
      <c r="A17" s="72" t="s">
        <v>112</v>
      </c>
      <c r="B17" s="130" t="e">
        <f t="shared" ca="1" si="3"/>
        <v>#NAME?</v>
      </c>
      <c r="C17" s="67" t="e">
        <f ca="1">DATEVALUE(_xll.BDP($A$47&amp;"/USD"&amp;" "&amp;$A17&amp;"@"&amp;$A$2&amp;" Curncy","SETTLE_DT"))</f>
        <v>#NAME?</v>
      </c>
      <c r="D17" s="78">
        <f>(IF($A$47="USD",0,_xll.BDP(D59,"BID")-$K$2))</f>
        <v>0</v>
      </c>
      <c r="E17" s="78">
        <f>IF($A$47="USD",0,_xll.BDP(D59,"ASK")+$K$2)</f>
        <v>0</v>
      </c>
      <c r="F17" s="130" t="e">
        <f t="shared" ca="1" si="4"/>
        <v>#NAME?</v>
      </c>
      <c r="G17" s="67" t="e">
        <f ca="1">DATEVALUE(_xll.BDP($B$47&amp;"/USD"&amp;" "&amp;$A17&amp;"@"&amp;$A$2&amp;" Curncy","SETTLE_DT"))</f>
        <v>#NAME?</v>
      </c>
      <c r="H17" s="85">
        <f>IF($B$47="TWD",-L17/1000,IF($B$47="USD",0,_xll.BDP(E59,"BID")-$K$2))</f>
        <v>-5.1999999999999998E-2</v>
      </c>
      <c r="I17" s="86">
        <f>IF($B$47="TWD",-M17/1000,IF($B$47="USD",0,_xll.BDP(E59,"ASK")+$K$2))</f>
        <v>-4.3999999999999997E-2</v>
      </c>
      <c r="J17" s="29" t="e">
        <f ca="1">DATEVALUE(_xll.BDP("TWD/USD "&amp;$A17&amp;"@"&amp;$A$2&amp;" Curncy","SETTLE_DT"))</f>
        <v>#NAME?</v>
      </c>
      <c r="K17" s="183" t="e">
        <f t="shared" ca="1" si="6"/>
        <v>#NAME?</v>
      </c>
      <c r="L17" s="28">
        <v>52</v>
      </c>
      <c r="M17" s="28">
        <v>44</v>
      </c>
      <c r="N17" s="281" t="e">
        <f t="shared" ca="1" si="5"/>
        <v>#NAME?</v>
      </c>
      <c r="O17" s="100" t="e">
        <f t="shared" ca="1" si="2"/>
        <v>#NAME?</v>
      </c>
      <c r="P17" s="15" t="e">
        <f t="shared" ca="1" si="0"/>
        <v>#NAME?</v>
      </c>
      <c r="Q17" s="278" t="e">
        <f t="shared" ca="1" si="1"/>
        <v>#NAME?</v>
      </c>
      <c r="R17" s="33"/>
      <c r="S17" s="52">
        <v>41649</v>
      </c>
      <c r="T17" s="346" t="e">
        <f ca="1">_xll.BInterpol($P$99:$P$119,$AB$99:$AB$119,$S$17,"LINEAR")</f>
        <v>#NAME?</v>
      </c>
      <c r="U17" s="347" t="e">
        <f ca="1">_xll.BInterpol($P$99:$P$119,$AC$99:$AC$119,$S$17,"LINEAR")</f>
        <v>#NAME?</v>
      </c>
      <c r="V17" s="262" t="e">
        <f t="shared" ca="1" si="7"/>
        <v>#NAME?</v>
      </c>
      <c r="W17" s="187" t="s">
        <v>275</v>
      </c>
      <c r="X17" s="128" t="e">
        <f ca="1">_xll.BDP("NTO6M TPFX Curncy","BID")</f>
        <v>#NAME?</v>
      </c>
      <c r="Y17" s="128" t="e">
        <f ca="1">_xll.BDP("NTO6M TPFX Curncy","ASK")</f>
        <v>#NAME?</v>
      </c>
      <c r="Z17" s="128">
        <v>983647</v>
      </c>
      <c r="AA17" s="129"/>
      <c r="AB17" s="128"/>
      <c r="AC17" s="128"/>
      <c r="AD17" s="128"/>
      <c r="AE17" s="129"/>
      <c r="AF17" s="128"/>
      <c r="AG17" s="73"/>
      <c r="AH17" s="73"/>
      <c r="AI17" s="204"/>
      <c r="AJ17" s="73"/>
      <c r="AK17" s="186"/>
      <c r="AM17" s="142"/>
      <c r="AN17" s="201"/>
      <c r="AO17" s="206"/>
      <c r="AP17" s="195"/>
      <c r="AQ17" s="207"/>
      <c r="AR17" s="208"/>
      <c r="AS17" s="209"/>
      <c r="AT17" s="146"/>
      <c r="AU17" s="146"/>
      <c r="AV17" s="12"/>
      <c r="AW17" s="196"/>
      <c r="AX17" s="150"/>
      <c r="AY17" s="151"/>
      <c r="AZ17" s="152"/>
      <c r="BA17" s="152"/>
      <c r="BB17" s="321"/>
      <c r="BC17" s="12"/>
    </row>
    <row r="18" spans="1:55" ht="15.75">
      <c r="A18" s="72" t="s">
        <v>52</v>
      </c>
      <c r="B18" s="130" t="e">
        <f t="shared" ca="1" si="3"/>
        <v>#NAME?</v>
      </c>
      <c r="C18" s="67" t="e">
        <f ca="1">DATEVALUE(_xll.BDP($A$47&amp;"/USD"&amp;" "&amp;$A18&amp;"@"&amp;$A$2&amp;" Curncy","SETTLE_DT"))</f>
        <v>#NAME?</v>
      </c>
      <c r="D18" s="78">
        <f>(IF($A$47="USD",0,IF(A47="SGD",(D20-D17)*(C18-C17)/(C20-C17)+D17,IF(A47="HKD",(D20-D17)*(C18-C17)/(C20-C17)+D17,IF(A47="THB",(D20-D17)*(C18-C17)/(C20-C17)+D17,IF(A47="ZAR",(D20-D17)*(C18-C17)/(C20-C17)+D17,IF(A47="CNH",(D20-D17)*(C18-C17)/(C20-C17)+D17,_xll.BDP(D60,"BID")-$K$2)))))))</f>
        <v>0</v>
      </c>
      <c r="E18" s="78">
        <f>IF($A$47="USD",0,IF(A47="SGD",(E20-E17)*(C18-C17)/(C20-C17)+E17,IF(A47="HKD",(E20-E17)*(C18-C17)/(C20-C17)+E17,IF(A47="THB",(E20-E17)*(C18-C17)/(C20-C17)+E17,IF(A47="ZAR",(E20-E17)*(C18-C17)/(C20-C17)+E17,IF(A47="CNH",(E20-E17)*(C18-C17)/(C20-C17)+E17,_xll.BDP(D60,"ASK")+$K$2))))))</f>
        <v>0</v>
      </c>
      <c r="F18" s="130" t="e">
        <f t="shared" ca="1" si="4"/>
        <v>#NAME?</v>
      </c>
      <c r="G18" s="67" t="e">
        <f ca="1">DATEVALUE(_xll.BDP($B$47&amp;"/USD"&amp;" "&amp;$A18&amp;"@"&amp;$A$2&amp;" Curncy","SETTLE_DT"))</f>
        <v>#NAME?</v>
      </c>
      <c r="H18" s="85" t="e">
        <f ca="1">IF($B$47="TWD",-L18/1000,IF($B$47="USD",0,IF(OR($B$47="SGD",$B$47="ZAR",$B$47="HKD",$B$47="CNH",$B$47="THB"),(($H$20-$H$17)/($G$20-$G$17))*(G18-$G$17)+$H$17,_xll.BDP(D60,"ASK")+J2)))</f>
        <v>#NAME?</v>
      </c>
      <c r="I18" s="86" t="e">
        <f ca="1">IF($B$47="TWD",-M18/1000,IF($B$47="USD",0,IF(OR($B$47="SGD",$B$47="ZAR",$B$47="HKD",$B$47="CNH",$B$47="THB"),(($I$20-$I$17)/($G$20-$G$17))*(G18-$G$17)+$I$17,_xll.BDP(E60,"ASK")+K2)))</f>
        <v>#NAME?</v>
      </c>
      <c r="J18" s="29" t="e">
        <f ca="1">DATEVALUE(_xll.BDP("TWD/USD "&amp;$A18&amp;"@"&amp;$A$2&amp;" Curncy","SETTLE_DT"))</f>
        <v>#NAME?</v>
      </c>
      <c r="K18" s="184" t="e">
        <f t="shared" ca="1" si="6"/>
        <v>#NAME?</v>
      </c>
      <c r="L18" s="180" t="e">
        <f ca="1">L17+(K18-K17)/(K20-K17)*(L20-L17)</f>
        <v>#NAME?</v>
      </c>
      <c r="M18" s="180" t="e">
        <f ca="1">M17+(K18-K17)/(K20-K17)*(M20-M17)</f>
        <v>#NAME?</v>
      </c>
      <c r="N18" s="281" t="e">
        <f t="shared" ca="1" si="5"/>
        <v>#NAME?</v>
      </c>
      <c r="O18" s="100" t="e">
        <f t="shared" ca="1" si="2"/>
        <v>#NAME?</v>
      </c>
      <c r="P18" s="15" t="e">
        <f t="shared" ca="1" si="0"/>
        <v>#NAME?</v>
      </c>
      <c r="Q18" s="217" t="e">
        <f t="shared" ca="1" si="1"/>
        <v>#NAME?</v>
      </c>
      <c r="R18" s="33"/>
      <c r="S18" s="52">
        <v>41680</v>
      </c>
      <c r="T18" s="346" t="e">
        <f ca="1">_xll.BInterpol($P$99:$P$119,$AB$99:$AB$119,$S$17,"LINEAR")</f>
        <v>#NAME?</v>
      </c>
      <c r="U18" s="347" t="e">
        <f ca="1">_xll.BInterpol($P$99:$P$119,$AC$99:$AC$119,$S$18,"LINEAR")</f>
        <v>#NAME?</v>
      </c>
      <c r="V18" s="262"/>
      <c r="W18" s="189"/>
      <c r="X18" s="128"/>
      <c r="Y18" s="128"/>
      <c r="Z18" s="128">
        <v>1335829</v>
      </c>
      <c r="AA18" s="129"/>
      <c r="AB18" s="128"/>
      <c r="AC18" s="128"/>
      <c r="AD18" s="128"/>
      <c r="AE18" s="129"/>
      <c r="AF18" s="128"/>
      <c r="AG18" s="73"/>
      <c r="AH18" s="73"/>
      <c r="AI18" s="204"/>
      <c r="AJ18" s="73"/>
      <c r="AK18" s="186"/>
      <c r="AM18" s="142"/>
      <c r="AN18" s="201"/>
      <c r="AO18" s="206"/>
      <c r="AP18" s="195"/>
      <c r="AQ18" s="207"/>
      <c r="AR18" s="208"/>
      <c r="AS18" s="209"/>
      <c r="AT18" s="146"/>
      <c r="AU18" s="146"/>
      <c r="AV18" s="12"/>
      <c r="AW18" s="196"/>
      <c r="AX18" s="150"/>
      <c r="AY18" s="151"/>
      <c r="AZ18" s="152"/>
      <c r="BA18" s="152"/>
      <c r="BB18" s="321"/>
      <c r="BC18" s="12"/>
    </row>
    <row r="19" spans="1:55" ht="15.75">
      <c r="A19" s="72" t="s">
        <v>53</v>
      </c>
      <c r="B19" s="130" t="e">
        <f t="shared" ca="1" si="3"/>
        <v>#NAME?</v>
      </c>
      <c r="C19" s="67" t="e">
        <f ca="1">DATEVALUE(_xll.BDP($A$47&amp;"/USD"&amp;" "&amp;$A19&amp;"@"&amp;$A$2&amp;" Curncy","SETTLE_DT"))</f>
        <v>#NAME?</v>
      </c>
      <c r="D19" s="78">
        <f>(IF($A$47="USD",0,IF(A47="SGD",(D20-D17)*(C19-C17)/(C20-C17)+D17,IF(A47="HKD",(D20-D17)*(C19-C17)/(C20-C17)+D17,IF(A47="THB",(D20-D17)*(C19-C17)/(C20-C17)+D17,IF(A47="ZAR",(D20-D17)*(C19-C17)/(C20-C17)+D17,IF(A47="CNH",(D20-D17)*(C19-C17)/(C20-C17)+D17,_xll.BDP(D61,"BID")-$K$2)))))))</f>
        <v>0</v>
      </c>
      <c r="E19" s="78">
        <f>IF($A$47="USD",0,IF(A47="SGD",(E20-E17)*(C19-C17)/(C20-C17)+E17,IF(A47="HKD",(E20-E17)*(C19-C17)/(C20-C17)+E17,IF(A47="THB",(E20-E17)*(C19-C17)/(C20-C17)+E17,IF(A47="ZAR",(E20-E17)*(C19-C17)/(C20-C17)+E17,IF(A47="CNH",(E20-E17)*(C19-C17)/(C20-C17)+E17,_xll.BDP(D61,"ASK")+$K$2))))))</f>
        <v>0</v>
      </c>
      <c r="F19" s="130" t="e">
        <f t="shared" ca="1" si="4"/>
        <v>#NAME?</v>
      </c>
      <c r="G19" s="67" t="e">
        <f ca="1">DATEVALUE(_xll.BDP($B$47&amp;"/USD"&amp;" "&amp;$A19&amp;"@"&amp;$A$2&amp;" Curncy","SETTLE_DT"))</f>
        <v>#NAME?</v>
      </c>
      <c r="H19" s="85" t="e">
        <f ca="1">IF($B$47="TWD",-L19/1000,IF($B$47="USD",0,IF(OR($B$47="SGD",$B$47="ZAR",$B$47="HKD",$B$47="CNH",$B$47="THB"),(($H$20-$H$17)/($G$20-$G$17))*(G19-$G$17)+$H$17,_xll.BDP(D61,"ASK")+J3)))</f>
        <v>#NAME?</v>
      </c>
      <c r="I19" s="86" t="e">
        <f ca="1">IF($B$47="TWD",-M19/1000,IF($B$47="USD",0,IF(OR($B$47="SGD",$B$47="ZAR",$B$47="HKD",$B$47="CNH",$B$47="THB"),(($I$20-$I$17)/($G$20-$G$17))*(G19-$G$17)+$I$17,_xll.BDP(E61,"ASK")+K3)))</f>
        <v>#NAME?</v>
      </c>
      <c r="J19" s="29" t="e">
        <f ca="1">DATEVALUE(_xll.BDP("TWD/USD "&amp;$A19&amp;"@"&amp;$A$2&amp;" Curncy","SETTLE_DT"))</f>
        <v>#NAME?</v>
      </c>
      <c r="K19" s="184" t="e">
        <f t="shared" ca="1" si="6"/>
        <v>#NAME?</v>
      </c>
      <c r="L19" s="180" t="e">
        <f ca="1">L17+(K19-K17)/(K20-K17)*(L20-L17)</f>
        <v>#NAME?</v>
      </c>
      <c r="M19" s="180" t="e">
        <f ca="1">M17+(K19-K17)/(K21-K17)*(M21-M17)</f>
        <v>#NAME?</v>
      </c>
      <c r="N19" s="281" t="e">
        <f t="shared" ca="1" si="5"/>
        <v>#NAME?</v>
      </c>
      <c r="O19" s="100" t="e">
        <f t="shared" ca="1" si="2"/>
        <v>#NAME?</v>
      </c>
      <c r="P19" s="15" t="e">
        <f t="shared" ca="1" si="0"/>
        <v>#NAME?</v>
      </c>
      <c r="Q19" s="217" t="e">
        <f t="shared" ca="1" si="1"/>
        <v>#NAME?</v>
      </c>
      <c r="R19" s="33"/>
      <c r="S19" s="52"/>
      <c r="T19" s="342" t="e">
        <f ca="1">$T$18-$U$17</f>
        <v>#NAME?</v>
      </c>
      <c r="U19" s="343" t="e">
        <f ca="1">T17-U18</f>
        <v>#NAME?</v>
      </c>
      <c r="V19" s="262"/>
      <c r="W19" s="189"/>
      <c r="X19" s="128"/>
      <c r="Y19" s="128"/>
      <c r="Z19" s="128">
        <v>952969</v>
      </c>
      <c r="AA19" s="129"/>
      <c r="AB19" s="128"/>
      <c r="AC19" s="128"/>
      <c r="AD19" s="128"/>
      <c r="AE19" s="129"/>
      <c r="AF19" s="128"/>
      <c r="AG19" s="73"/>
      <c r="AH19" s="73"/>
      <c r="AI19" s="204"/>
      <c r="AJ19" s="73"/>
      <c r="AK19" s="186"/>
      <c r="AM19" s="142"/>
      <c r="AN19" s="201"/>
      <c r="AO19" s="206"/>
      <c r="AP19" s="195"/>
      <c r="AQ19" s="207"/>
      <c r="AR19" s="208"/>
      <c r="AS19" s="209"/>
      <c r="AT19" s="146"/>
      <c r="AU19" s="146"/>
      <c r="AV19" s="12"/>
      <c r="AW19" s="196"/>
      <c r="AX19" s="150"/>
      <c r="AY19" s="151"/>
      <c r="AZ19" s="152"/>
      <c r="BA19" s="152"/>
      <c r="BB19" s="321"/>
      <c r="BC19" s="12"/>
    </row>
    <row r="20" spans="1:55" ht="15.75">
      <c r="A20" s="72" t="s">
        <v>105</v>
      </c>
      <c r="B20" s="130" t="e">
        <f t="shared" ca="1" si="3"/>
        <v>#NAME?</v>
      </c>
      <c r="C20" s="67" t="e">
        <f ca="1">DATEVALUE(_xll.BDP($A$47&amp;"/USD"&amp;" "&amp;$A20&amp;"@"&amp;$A$2&amp;" Curncy","SETTLE_DT"))</f>
        <v>#NAME?</v>
      </c>
      <c r="D20" s="78">
        <f>(IF($A$47="USD",0,_xll.BDP(D62,"BID")-$K$2))</f>
        <v>0</v>
      </c>
      <c r="E20" s="78">
        <f>IF($A$47="USD",0,_xll.BDP(D62,"ASK")+$K$2)</f>
        <v>0</v>
      </c>
      <c r="F20" s="130" t="e">
        <f t="shared" ca="1" si="4"/>
        <v>#NAME?</v>
      </c>
      <c r="G20" s="67" t="e">
        <f ca="1">DATEVALUE(_xll.BDP($B$47&amp;"/USD"&amp;" "&amp;$A20&amp;"@"&amp;$A$2&amp;" Curncy","SETTLE_DT"))</f>
        <v>#NAME?</v>
      </c>
      <c r="H20" s="85">
        <f>IF($B$47="TWD",-L20/1000,IF($B$47="USD",0,_xll.BDP(E62,"BID")-$K$2))</f>
        <v>-7.4999999999999997E-2</v>
      </c>
      <c r="I20" s="86">
        <f>IF($B$47="TWD",-M20/1000,IF($B$47="USD",0,_xll.BDP(E62,"ASK")+$K$2))</f>
        <v>-6.6000000000000003E-2</v>
      </c>
      <c r="J20" s="29" t="e">
        <f ca="1">DATEVALUE(_xll.BDP("TWD/USD "&amp;$A20&amp;"@"&amp;$A$2&amp;" Curncy","SETTLE_DT"))</f>
        <v>#NAME?</v>
      </c>
      <c r="K20" s="183" t="e">
        <f t="shared" ca="1" si="6"/>
        <v>#NAME?</v>
      </c>
      <c r="L20" s="28">
        <v>75</v>
      </c>
      <c r="M20" s="28">
        <v>66</v>
      </c>
      <c r="N20" s="281" t="e">
        <f t="shared" ca="1" si="5"/>
        <v>#NAME?</v>
      </c>
      <c r="O20" s="100" t="e">
        <f ca="1">(($N$5-L20/1000)*(1+Q20*K20/36000)/$N$5-1)/K20*36500</f>
        <v>#NAME?</v>
      </c>
      <c r="P20" s="15" t="e">
        <f ca="1">(($N$5-M20/1000)*(1+Q20*K20/36000)/$N$5-1)/K20*36500</f>
        <v>#NAME?</v>
      </c>
      <c r="Q20" s="217" t="e">
        <f t="shared" ca="1" si="1"/>
        <v>#NAME?</v>
      </c>
      <c r="R20" s="33"/>
      <c r="S20" s="4" t="s">
        <v>1</v>
      </c>
      <c r="T20" s="73" t="s">
        <v>29</v>
      </c>
      <c r="U20" s="74" t="s">
        <v>30</v>
      </c>
      <c r="V20" s="262" t="e">
        <f ca="1">1000*(X20+Y20)/2</f>
        <v>#NAME?</v>
      </c>
      <c r="W20" s="188" t="s">
        <v>276</v>
      </c>
      <c r="X20" s="128" t="e">
        <f ca="1">_xll.BDP("NTO9M TPFX Curncy","BID")</f>
        <v>#NAME?</v>
      </c>
      <c r="Y20" s="128" t="e">
        <f ca="1">_xll.BDP("NTO9M TPFX Curncy","ASK")</f>
        <v>#NAME?</v>
      </c>
      <c r="Z20" s="128"/>
      <c r="AA20" s="129"/>
      <c r="AB20" s="128"/>
      <c r="AC20" s="128"/>
      <c r="AD20" s="128"/>
      <c r="AE20" s="129"/>
      <c r="AF20" s="128"/>
      <c r="AG20" s="73"/>
      <c r="AH20" s="73"/>
      <c r="AI20" s="204"/>
      <c r="AJ20" s="73"/>
      <c r="AK20" s="186"/>
      <c r="AM20" s="142"/>
      <c r="AN20" s="201"/>
      <c r="AO20" s="206"/>
      <c r="AP20" s="195"/>
      <c r="AQ20" s="207"/>
      <c r="AR20" s="208"/>
      <c r="AS20" s="209"/>
      <c r="AT20" s="146"/>
      <c r="AU20" s="146"/>
      <c r="AV20" s="12"/>
      <c r="AW20" s="196"/>
      <c r="AX20" s="150"/>
      <c r="AY20" s="151"/>
      <c r="AZ20" s="152"/>
      <c r="BA20" s="152"/>
      <c r="BB20" s="321"/>
      <c r="BC20" s="12"/>
    </row>
    <row r="21" spans="1:55" ht="15" customHeight="1">
      <c r="A21" s="72" t="s">
        <v>55</v>
      </c>
      <c r="B21" s="130" t="e">
        <f t="shared" ca="1" si="3"/>
        <v>#NAME?</v>
      </c>
      <c r="C21" s="67" t="e">
        <f ca="1">DATEVALUE(_xll.BDP($A$47&amp;"/USD"&amp;" "&amp;$A21&amp;"@"&amp;$A$2&amp;" Curncy","SETTLE_DT"))</f>
        <v>#NAME?</v>
      </c>
      <c r="D21" s="78">
        <f>(IF($A$47="USD",0,IF(A47="SGD",(D23-D20)*(C21-C20)/(C23-C20)+D20,IF(A47="HKD",(D23-D20)*(C21-C20)/(C23-C20)+D20,IF(A47="THB",(D23-D20)*(C21-C20)/(C23-C20)+D20,IF(A47="ZAR",(D23-D20)*(C21-C20)/(C23-C20)+D20,IF(A47="CNH",(D23-D20)*(C21-C20)/(C23-C20)+D20,_xll.BDP(D63,"BID")-$K$2)))))))</f>
        <v>0</v>
      </c>
      <c r="E21" s="78">
        <f>IF($A$47="USD",0,IF(A47="SGD",(E23-E20)*(C21-C20)/(C23-C20)+E20,IF(A47="HKD",(E23-E20)*(C21-C20)/(C23-C20)+E20,IF(A47="THB",(E23-E20)*(C21-C20)/(C23-C20)+E20,IF(A47="ZAR",(E23-E20)*(C21-C20)/(C23-C20)+E20,IF(A47="CNH",(E23-E20)*(C21-C20)/(C23-C20)+E20,_xll.BDP(D63,"ASK")+$K$2))))))</f>
        <v>0</v>
      </c>
      <c r="F21" s="130" t="e">
        <f t="shared" ca="1" si="4"/>
        <v>#NAME?</v>
      </c>
      <c r="G21" s="67" t="e">
        <f ca="1">DATEVALUE(_xll.BDP($B$47&amp;"/USD"&amp;" "&amp;$A21&amp;"@"&amp;$A$2&amp;" Curncy","SETTLE_DT"))</f>
        <v>#NAME?</v>
      </c>
      <c r="H21" s="88" t="e">
        <f ca="1">IF($B$47="TWD",-L21/1000,IF($B$47="USD",0,_xll.BDP(E63,"BID")-$K$2))</f>
        <v>#NAME?</v>
      </c>
      <c r="I21" s="86" t="e">
        <f ca="1">IF($B$47="TWD",-M21/1000,IF($B$47="USD",0,IF(B47="SGD",(I23-I20)*(G21-G20)/(G23-G20)+I20,IF(B47="HKD",(I23-I20)*(G21-G20)/(G23-G20)+I20,IF(B47="THB",(I23-I20)*(G21-G20)/(G23-G20)+I20,IF(B47="ZAR",(I23-I20)*(G21-G20)/(G23-G20)+I20,IF(B47="CNH",(I23-I20)*(G21-G20)/(G23-G20)+I20,_xll.BDP(E63,"ASK")+$K$2)))))))</f>
        <v>#NAME?</v>
      </c>
      <c r="J21" s="29" t="e">
        <f ca="1">DATEVALUE(_xll.BDP("TWD/USD "&amp;$A21&amp;"@"&amp;$A$2&amp;" Curncy","SETTLE_DT"))</f>
        <v>#NAME?</v>
      </c>
      <c r="K21" s="184" t="e">
        <f t="shared" ca="1" si="6"/>
        <v>#NAME?</v>
      </c>
      <c r="L21" s="180" t="e">
        <f ca="1">L20+(K21-K20)/(K23-K20)*(L23-L20)</f>
        <v>#NAME?</v>
      </c>
      <c r="M21" s="180" t="e">
        <f ca="1">M20+(K21-K20)/(K23-K20)*(M23-M20)</f>
        <v>#NAME?</v>
      </c>
      <c r="N21" s="281" t="e">
        <f t="shared" ca="1" si="5"/>
        <v>#NAME?</v>
      </c>
      <c r="O21" s="100" t="e">
        <f t="shared" ca="1" si="2"/>
        <v>#NAME?</v>
      </c>
      <c r="P21" s="15" t="e">
        <f t="shared" ca="1" si="0"/>
        <v>#NAME?</v>
      </c>
      <c r="Q21" s="217" t="e">
        <f t="shared" ca="1" si="1"/>
        <v>#NAME?</v>
      </c>
      <c r="R21" s="33"/>
      <c r="S21" s="57">
        <v>44193</v>
      </c>
      <c r="T21" s="103" t="e">
        <f ca="1">_xll.BInterpol($P$99:$P$119,$AB$99:$AB$119,$S$21,"LINEAR")</f>
        <v>#NAME?</v>
      </c>
      <c r="U21" s="104" t="e">
        <f ca="1">_xll.BInterpol($P$99:$P$119,$AC$99:$AC$119,$S$21,"LINEAR")</f>
        <v>#NAME?</v>
      </c>
      <c r="V21" s="262"/>
      <c r="W21" s="189"/>
      <c r="X21" s="128"/>
      <c r="Y21" s="128"/>
      <c r="Z21" s="128"/>
      <c r="AA21" s="129"/>
      <c r="AB21" s="128"/>
      <c r="AC21" s="128"/>
      <c r="AD21" s="128"/>
      <c r="AE21" s="129"/>
      <c r="AF21" s="128"/>
      <c r="AG21" s="73"/>
      <c r="AH21" s="73"/>
      <c r="AI21" s="204"/>
      <c r="AJ21" s="73"/>
      <c r="AK21" s="186"/>
      <c r="AM21" s="142"/>
      <c r="AN21" s="201"/>
      <c r="AO21" s="206"/>
      <c r="AP21" s="195"/>
      <c r="AQ21" s="207"/>
      <c r="AR21" s="208"/>
      <c r="AS21" s="209"/>
      <c r="AT21" s="146"/>
      <c r="AU21" s="146"/>
      <c r="AV21" s="12"/>
      <c r="AW21" s="196"/>
      <c r="AX21" s="150"/>
      <c r="AY21" s="151"/>
      <c r="AZ21" s="152"/>
      <c r="BA21" s="152"/>
      <c r="BB21" s="321"/>
      <c r="BC21" s="12"/>
    </row>
    <row r="22" spans="1:55" ht="15.75">
      <c r="A22" s="72" t="s">
        <v>56</v>
      </c>
      <c r="B22" s="130" t="e">
        <f t="shared" ca="1" si="3"/>
        <v>#NAME?</v>
      </c>
      <c r="C22" s="67" t="e">
        <f ca="1">DATEVALUE(_xll.BDP($A$47&amp;"/USD"&amp;" "&amp;$A22&amp;"@"&amp;$A$2&amp;" Curncy","SETTLE_DT"))</f>
        <v>#NAME?</v>
      </c>
      <c r="D22" s="78">
        <f>(IF($A$47="USD",0,IF(A47="SGD",(D23-D20)*(C22-C20)/(C23-C20)+D20,IF(A47="HKD",(D23-D20)*(C22-C20)/(C23-C20)+D20,IF(A47="THB",(D23-D20)*(C22-C20)/(C23-C20)+D20,IF(A47="ZAR",(D23-D20)*(C22-C20)/(C23-C20)+D20,IF(A47="CNH",(D23-D20)*(C22-C20)/(C23-C20)+D20,_xll.BDP(D64,"BID")-$K$2)))))))</f>
        <v>0</v>
      </c>
      <c r="E22" s="78">
        <f>IF($A$47="USD",0,IF(A47="SGD",(E23-E20)*(C22-C20)/(C23-C20)+E20,IF(A47="HKD",(E23-E20)*(C22-C20)/(C23-C20)+E20,IF(A47="THB",(E23-E20)*(C22-C20)/(C23-C20)+E20,IF(A47="ZAR",(E23-E20)*(C22-C20)/(C23-C20)+E20,IF(A47="CNH",(E23-E20)*(C22-C20)/(C23-C20)+E20,_xll.BDP(D64,"ASK")+$K$2))))))</f>
        <v>0</v>
      </c>
      <c r="F22" s="130" t="e">
        <f t="shared" ca="1" si="4"/>
        <v>#NAME?</v>
      </c>
      <c r="G22" s="67" t="e">
        <f ca="1">DATEVALUE(_xll.BDP($B$47&amp;"/USD"&amp;" "&amp;$A22&amp;"@"&amp;$A$2&amp;" Curncy","SETTLE_DT"))</f>
        <v>#NAME?</v>
      </c>
      <c r="H22" s="88" t="e">
        <f ca="1">IF($B$47="TWD",-L22/1000,IF($B$47="USD",0,_xll.BDP(E64,"BID")-$K$2))</f>
        <v>#NAME?</v>
      </c>
      <c r="I22" s="86" t="e">
        <f ca="1">IF($B$47="TWD",-M22/1000,IF($B$47="USD",0,IF(B47="SGD",(I23-I20)*(G22-G20)/(G23-G20)+I20,IF(B47="HKD",(I23-I20)*(G22-G20)/(G23-G20)+I20,IF(B47="THB",(I23-I20)*(G22-G20)/(G23-G20)+I20,IF(B47="ZAR",(I23-I20)*(G22-G20)/(G23-G20)+I20,IF(B47="CNH",(I23-I20)*(G22-G20)/(G23-G20)+I20,_xll.BDP(E64,"ASK")+$K$2)))))))</f>
        <v>#NAME?</v>
      </c>
      <c r="J22" s="29" t="e">
        <f ca="1">DATEVALUE(_xll.BDP("TWD/USD "&amp;$A22&amp;"@"&amp;$A$2&amp;" Curncy","SETTLE_DT"))</f>
        <v>#NAME?</v>
      </c>
      <c r="K22" s="184" t="e">
        <f t="shared" ca="1" si="6"/>
        <v>#NAME?</v>
      </c>
      <c r="L22" s="180" t="e">
        <f ca="1">L20+(K22-K20)/(K23-K20)*(L23-L20)</f>
        <v>#NAME?</v>
      </c>
      <c r="M22" s="180" t="e">
        <f ca="1">M20+(K22-K20)/(K23-K20)*(M23-M20)</f>
        <v>#NAME?</v>
      </c>
      <c r="N22" s="281" t="e">
        <f t="shared" ca="1" si="5"/>
        <v>#NAME?</v>
      </c>
      <c r="O22" s="100" t="e">
        <f t="shared" ca="1" si="2"/>
        <v>#NAME?</v>
      </c>
      <c r="P22" s="15" t="e">
        <f t="shared" ca="1" si="0"/>
        <v>#NAME?</v>
      </c>
      <c r="Q22" s="217" t="e">
        <f t="shared" ca="1" si="1"/>
        <v>#NAME?</v>
      </c>
      <c r="R22" s="33">
        <f>S22-S21</f>
        <v>182</v>
      </c>
      <c r="S22" s="57">
        <v>44375</v>
      </c>
      <c r="T22" s="103" t="e">
        <f ca="1">_xll.BInterpol($P$99:$P$119,$AB$99:$AB$119,$S$22,"LINEAR")</f>
        <v>#NAME?</v>
      </c>
      <c r="U22" s="104" t="e">
        <f ca="1">_xll.BInterpol($P$99:$P$119,$AC$99:$AC$119,$S$22,"LINEAR")</f>
        <v>#NAME?</v>
      </c>
      <c r="V22" s="262"/>
      <c r="W22" s="189"/>
      <c r="X22" s="128"/>
      <c r="Y22" s="128"/>
      <c r="Z22" s="128"/>
      <c r="AA22" s="129"/>
      <c r="AB22" s="128"/>
      <c r="AC22" s="128"/>
      <c r="AD22" s="128"/>
      <c r="AE22" s="129"/>
      <c r="AF22" s="128"/>
      <c r="AG22" s="73"/>
      <c r="AH22" s="73"/>
      <c r="AI22" s="204"/>
      <c r="AJ22" s="73"/>
      <c r="AK22" s="186"/>
      <c r="AM22" s="142"/>
      <c r="AN22" s="201"/>
      <c r="AO22" s="206"/>
      <c r="AP22" s="195"/>
      <c r="AQ22" s="207"/>
      <c r="AR22" s="208"/>
      <c r="AS22" s="209"/>
      <c r="AT22" s="146"/>
      <c r="AU22" s="146"/>
      <c r="AV22" s="12"/>
      <c r="AW22" s="196"/>
      <c r="AX22" s="150"/>
      <c r="AY22" s="151"/>
      <c r="AZ22" s="152"/>
      <c r="BA22" s="152"/>
      <c r="BB22" s="321"/>
      <c r="BC22" s="12"/>
    </row>
    <row r="23" spans="1:55" ht="16.5" thickBot="1">
      <c r="A23" s="21" t="s">
        <v>166</v>
      </c>
      <c r="B23" s="13" t="e">
        <f t="shared" ca="1" si="3"/>
        <v>#NAME?</v>
      </c>
      <c r="C23" s="67" t="e">
        <f ca="1">DATEVALUE(_xll.BDP($A$47&amp;"/USD"&amp;" "&amp;$A23&amp;"@"&amp;$A$2&amp;" Curncy","SETTLE_DT"))</f>
        <v>#NAME?</v>
      </c>
      <c r="D23" s="14">
        <f>(IF($A$47="USD",0,_xll.BDP(D65,"BID")-$K$2))</f>
        <v>0</v>
      </c>
      <c r="E23" s="14">
        <f>IF($A$47="USD",0,_xll.BDP(D65,"ASK")+$K$2)</f>
        <v>0</v>
      </c>
      <c r="F23" s="13" t="e">
        <f t="shared" ca="1" si="4"/>
        <v>#NAME?</v>
      </c>
      <c r="G23" s="67" t="e">
        <f ca="1">DATEVALUE(_xll.BDP($B$47&amp;"/USD"&amp;" "&amp;$A23&amp;"@"&amp;$A$2&amp;" Curncy","SETTLE_DT"))</f>
        <v>#NAME?</v>
      </c>
      <c r="H23" s="88">
        <f>IF($B$47="TWD",-L23/1000,IF($B$47="USD",0,_xll.BDP(E65,"BID")-$K$2))</f>
        <v>-9.7000000000000003E-2</v>
      </c>
      <c r="I23" s="89">
        <f>IF($B$47="TWD",-M23/1000,IF($B$47="USD",0,_xll.BDP(E65,"ASK")+$K$2))</f>
        <v>-8.7999999999999995E-2</v>
      </c>
      <c r="J23" s="29" t="e">
        <f ca="1">DATEVALUE(_xll.BDP("TWD/USD "&amp;$A23&amp;"@"&amp;$A$2&amp;" Curncy","SETTLE_DT"))</f>
        <v>#NAME?</v>
      </c>
      <c r="K23" s="184" t="e">
        <f t="shared" ca="1" si="6"/>
        <v>#NAME?</v>
      </c>
      <c r="L23" s="28">
        <v>97</v>
      </c>
      <c r="M23" s="28">
        <v>88</v>
      </c>
      <c r="N23" s="281" t="e">
        <f t="shared" ca="1" si="5"/>
        <v>#NAME?</v>
      </c>
      <c r="O23" s="100" t="e">
        <f t="shared" ca="1" si="2"/>
        <v>#NAME?</v>
      </c>
      <c r="P23" s="15" t="e">
        <f ca="1">(($N$5-M23/1000)*(1+Q23*K23/36000)/$N$5-1)/K23*36500</f>
        <v>#NAME?</v>
      </c>
      <c r="Q23" s="217" t="e">
        <f ca="1">R23</f>
        <v>#NAME?</v>
      </c>
      <c r="R23" s="270" t="e">
        <f ca="1">(S28+T28)/2+((U28+V28)/2)/100</f>
        <v>#NAME?</v>
      </c>
      <c r="S23" s="105"/>
      <c r="T23" s="106" t="e">
        <f ca="1">T22-((T21+U21)/2)</f>
        <v>#NAME?</v>
      </c>
      <c r="U23" s="107" t="e">
        <f ca="1">U22-((T21+U21)/2)</f>
        <v>#NAME?</v>
      </c>
      <c r="V23" s="262" t="e">
        <f ca="1">1000*(X23+Y23)/2</f>
        <v>#NAME?</v>
      </c>
      <c r="W23" s="188" t="s">
        <v>277</v>
      </c>
      <c r="X23" s="128" t="e">
        <f ca="1">_xll.BDP("NTO12M TPFX Curncy","BID")</f>
        <v>#NAME?</v>
      </c>
      <c r="Y23" s="128" t="e">
        <f ca="1">_xll.BDP("NTO12M TPFX Curncy","ASK")</f>
        <v>#NAME?</v>
      </c>
      <c r="Z23" s="128"/>
      <c r="AA23" s="129"/>
      <c r="AB23" s="128"/>
      <c r="AC23" s="128"/>
      <c r="AD23" s="128"/>
      <c r="AE23" s="129"/>
      <c r="AF23" s="128"/>
      <c r="AG23" s="73"/>
      <c r="AH23" s="73"/>
      <c r="AI23" s="204"/>
      <c r="AJ23" s="73"/>
      <c r="AK23" s="186"/>
      <c r="AM23" s="142"/>
      <c r="AN23" s="201"/>
      <c r="AO23" s="206"/>
      <c r="AP23" s="195"/>
      <c r="AQ23" s="207"/>
      <c r="AR23" s="208"/>
      <c r="AS23" s="209"/>
      <c r="AT23" s="146"/>
      <c r="AU23" s="146"/>
      <c r="AV23" s="12"/>
      <c r="AW23" s="196"/>
      <c r="AX23" s="150"/>
      <c r="AY23" s="151"/>
      <c r="AZ23" s="152"/>
      <c r="BA23" s="152"/>
      <c r="BB23" s="321"/>
      <c r="BC23" s="12"/>
    </row>
    <row r="24" spans="1:55" ht="16.5" thickBot="1">
      <c r="A24" s="21" t="s">
        <v>24</v>
      </c>
      <c r="B24" s="13" t="e">
        <f t="shared" ca="1" si="3"/>
        <v>#NAME?</v>
      </c>
      <c r="C24" s="67" t="e">
        <f ca="1">DATEVALUE(_xll.BDP($A$47&amp;"/USD"&amp;" "&amp;$A24&amp;"@"&amp;$A$2&amp;" Curncy","SETTLE_DT"))</f>
        <v>#NAME?</v>
      </c>
      <c r="D24" s="14">
        <f>(IF($A$47="USD",0,_xll.BDP(D66,"BID")-$K$3))</f>
        <v>0</v>
      </c>
      <c r="E24" s="14">
        <f>IF($A$47="USD",0,_xll.BDP(D66,"ASK")+$K$3)</f>
        <v>0</v>
      </c>
      <c r="F24" s="13" t="e">
        <f ca="1">G24-$G$5</f>
        <v>#NAME?</v>
      </c>
      <c r="G24" s="67" t="e">
        <f ca="1">DATEVALUE(_xll.BDP($B$47&amp;"/USD"&amp;" "&amp;$A24&amp;"@"&amp;$A$2&amp;" Curncy","SETTLE_DT"))</f>
        <v>#NAME?</v>
      </c>
      <c r="H24" s="88" t="e">
        <f ca="1">IF($B$47="TWD",-L24/1000-$K$3/1000,IF($B$47="USD",0,_xll.BDP(E66,"BID")-$K$3))</f>
        <v>#NAME?</v>
      </c>
      <c r="I24" s="89" t="e">
        <f ca="1">IF($B$47="TWD",-M24/1000+$K$3/1000,IF($B$47="USD",0,_xll.BDP(E66,"ASK")+$K$3))</f>
        <v>#NAME?</v>
      </c>
      <c r="J24" s="29" t="e">
        <f ca="1">DATEVALUE(_xll.BDP("TWD/USD "&amp;$A24&amp;"@"&amp;$A$2&amp;" Curncy","SETTLE_DT"))</f>
        <v>#NAME?</v>
      </c>
      <c r="K24" s="181" t="e">
        <f t="shared" ca="1" si="6"/>
        <v>#NAME?</v>
      </c>
      <c r="L24" s="182" t="e">
        <f t="shared" ref="L24:M27" ca="1" si="8">AA6</f>
        <v>#NAME?</v>
      </c>
      <c r="M24" s="182" t="e">
        <f ca="1">AB6</f>
        <v>#NAME?</v>
      </c>
      <c r="N24" s="283" t="s">
        <v>74</v>
      </c>
      <c r="O24" s="131" t="e">
        <f ca="1">_xll.BDP("NTUSWO2 ICSG Curncy","BID")</f>
        <v>#NAME?</v>
      </c>
      <c r="P24" s="132" t="e">
        <f ca="1">_xll.BDP("NTUSWO2 ICSG Curncy","ASK")</f>
        <v>#NAME?</v>
      </c>
      <c r="Q24" s="15">
        <v>1.405</v>
      </c>
      <c r="S24" s="65"/>
      <c r="T24" s="66"/>
      <c r="U24" s="11" t="s">
        <v>107</v>
      </c>
      <c r="V24" s="11"/>
      <c r="W24" s="11"/>
      <c r="AM24" s="142"/>
      <c r="AN24" s="201"/>
      <c r="AO24" s="211"/>
      <c r="AP24" s="128"/>
      <c r="AQ24" s="212"/>
      <c r="AR24" s="208"/>
      <c r="AS24" s="209"/>
      <c r="AT24" s="149"/>
      <c r="AU24" s="149"/>
      <c r="AV24" s="12"/>
      <c r="AW24" s="196"/>
      <c r="AX24" s="150"/>
      <c r="AY24" s="151"/>
      <c r="AZ24" s="152"/>
      <c r="BA24" s="152"/>
      <c r="BB24" s="321"/>
      <c r="BC24" s="12"/>
    </row>
    <row r="25" spans="1:55" ht="18" customHeight="1">
      <c r="A25" s="21" t="s">
        <v>75</v>
      </c>
      <c r="B25" s="13" t="e">
        <f t="shared" ca="1" si="3"/>
        <v>#NAME?</v>
      </c>
      <c r="C25" s="67" t="e">
        <f ca="1">DATEVALUE(_xll.BDP($A$47&amp;"/USD"&amp;" "&amp;$A25&amp;"@"&amp;$A$2&amp;" Curncy","SETTLE_DT"))</f>
        <v>#NAME?</v>
      </c>
      <c r="D25" s="14">
        <f>(IF($A$47="USD",0,IF($A$47="THB",0,_xll.BDP(D67,"BID")-$K$3)))</f>
        <v>0</v>
      </c>
      <c r="E25" s="14">
        <f>IF($A$47="USD",0,IF($A$47="THB",0,_xll.BDP(D67,"ASK")+$K$3))</f>
        <v>0</v>
      </c>
      <c r="F25" s="13" t="e">
        <f ca="1">G25-$G$5</f>
        <v>#NAME?</v>
      </c>
      <c r="G25" s="67" t="e">
        <f ca="1">DATEVALUE(_xll.BDP($B$47&amp;"/USD"&amp;" "&amp;$A25&amp;"@"&amp;$A$2&amp;" Curncy","SETTLE_DT"))</f>
        <v>#NAME?</v>
      </c>
      <c r="H25" s="88" t="e">
        <f ca="1">IF($B$47="TWD",-L25/1000-$K$3/1000,IF($B$47="USD",0,IF($B$47="THB",0,_xll.BDP(E67,"BID")-$K$3)))</f>
        <v>#NAME?</v>
      </c>
      <c r="I25" s="89" t="e">
        <f ca="1">IF($B$47="TWD",-M25/1000+$K$3/1000,IF($B$47="USD",0,IF($B$47="THB",0,_xll.BDP(E67,"ASK")+$K$3)))</f>
        <v>#NAME?</v>
      </c>
      <c r="J25" s="29" t="e">
        <f ca="1">DATEVALUE(_xll.BDP("TWD/USD "&amp;$A25&amp;"@"&amp;$A$2&amp;" Curncy","SETTLE_DT"))</f>
        <v>#NAME?</v>
      </c>
      <c r="K25" s="181" t="e">
        <f t="shared" ca="1" si="6"/>
        <v>#NAME?</v>
      </c>
      <c r="L25" s="182" t="e">
        <f t="shared" ca="1" si="8"/>
        <v>#NAME?</v>
      </c>
      <c r="M25" s="182" t="e">
        <f t="shared" ca="1" si="8"/>
        <v>#NAME?</v>
      </c>
      <c r="N25" s="284" t="s">
        <v>248</v>
      </c>
      <c r="O25" s="131" t="e">
        <f ca="1">_xll.BDP("NTUSWO3 ICSG Curncy","BID")</f>
        <v>#NAME?</v>
      </c>
      <c r="P25" s="132" t="e">
        <f ca="1">_xll.BDP("NTUSWO3 ICSG Curncy","ASK")</f>
        <v>#NAME?</v>
      </c>
      <c r="Q25" s="15" t="e">
        <f ca="1">VALUE(TRIM(MID(_xll.BPGE("1134/067/0001",10),13,8)))</f>
        <v>#NAME?</v>
      </c>
      <c r="S25" s="65"/>
      <c r="T25" s="116">
        <v>2.9279999999999999</v>
      </c>
      <c r="U25" s="108" t="e">
        <f ca="1">((X25/Y25+1)*(1+(V26-V25)*T26/(W25*100))-1)*W26*100/(V26-V25)</f>
        <v>#NAME?</v>
      </c>
      <c r="V25" s="110">
        <v>39595</v>
      </c>
      <c r="W25" s="111">
        <v>360</v>
      </c>
      <c r="X25" s="112">
        <v>-0.34</v>
      </c>
      <c r="Y25" s="477" t="e">
        <f ca="1">$N$5</f>
        <v>#NAME?</v>
      </c>
      <c r="Z25" s="193"/>
      <c r="AA25" s="77"/>
      <c r="AM25" s="151"/>
      <c r="AN25" s="213"/>
      <c r="AO25" s="214"/>
      <c r="AP25" s="213"/>
      <c r="AQ25" s="151"/>
      <c r="AR25" s="120"/>
      <c r="AS25" s="197"/>
      <c r="AT25" s="197"/>
      <c r="AU25" s="120"/>
      <c r="AV25" s="12"/>
      <c r="AW25" s="196"/>
      <c r="AX25" s="198"/>
      <c r="AY25" s="151"/>
      <c r="AZ25" s="152"/>
      <c r="BA25" s="152"/>
      <c r="BB25" s="321"/>
      <c r="BC25" s="12"/>
    </row>
    <row r="26" spans="1:55" ht="15.75" thickBot="1">
      <c r="A26" s="21" t="s">
        <v>72</v>
      </c>
      <c r="B26" s="13" t="e">
        <f t="shared" ca="1" si="3"/>
        <v>#NAME?</v>
      </c>
      <c r="C26" s="67" t="e">
        <f ca="1">DATEVALUE(_xll.BDP($A$47&amp;"/USD"&amp;" "&amp;$A26&amp;"@"&amp;$A$2&amp;" Curncy","SETTLE_DT"))</f>
        <v>#NAME?</v>
      </c>
      <c r="D26" s="14">
        <f>(IF($A$47="USD",0,IF($A$47="THB",0,_xll.BDP(D68,"BID")-$K$3)))</f>
        <v>0</v>
      </c>
      <c r="E26" s="14">
        <f>IF($A$47="USD",0,IF($A$47="THB",0,_xll.BDP(D68,"ASK")+$K$3))</f>
        <v>0</v>
      </c>
      <c r="F26" s="13" t="e">
        <f ca="1">G26-$G$5</f>
        <v>#NAME?</v>
      </c>
      <c r="G26" s="67" t="e">
        <f ca="1">DATEVALUE(_xll.BDP($B$47&amp;"/USD"&amp;" "&amp;$A26&amp;"@"&amp;$A$2&amp;" Curncy","SETTLE_DT"))</f>
        <v>#NAME?</v>
      </c>
      <c r="H26" s="88" t="e">
        <f ca="1">IF($B$47="TWD",-L26/1000-$K$3/1000,IF($B$47="USD",0,IF($B$47="THB",0,_xll.BDP(E68,"BID")-$K$3)))</f>
        <v>#NAME?</v>
      </c>
      <c r="I26" s="89" t="e">
        <f ca="1">IF($B$47="TWD",-M26/1000+$K$3/1000,IF($B$47="USD",0,IF($B$47="THB",0,_xll.BDP(E68,"ASK")+$K$3)))</f>
        <v>#NAME?</v>
      </c>
      <c r="J26" s="29" t="e">
        <f ca="1">DATEVALUE(_xll.BDP("TWD/USD "&amp;$A26&amp;"@"&amp;$A$2&amp;" Curncy","SETTLE_DT"))</f>
        <v>#NAME?</v>
      </c>
      <c r="K26" s="181" t="e">
        <f t="shared" ca="1" si="6"/>
        <v>#NAME?</v>
      </c>
      <c r="L26" s="182" t="e">
        <f t="shared" ca="1" si="8"/>
        <v>#NAME?</v>
      </c>
      <c r="M26" s="182" t="e">
        <f t="shared" ca="1" si="8"/>
        <v>#NAME?</v>
      </c>
      <c r="N26" s="284" t="s">
        <v>72</v>
      </c>
      <c r="O26" s="131" t="e">
        <f ca="1">_xll.BDP("NTUSWO4 ICSG Curncy","BID")</f>
        <v>#NAME?</v>
      </c>
      <c r="P26" s="132" t="e">
        <f ca="1">_xll.BDP("NTUSWO4 ICSG Curncy","ASK")</f>
        <v>#NAME?</v>
      </c>
      <c r="Q26" s="15" t="e">
        <f ca="1">VALUE(TRIM(MID(_xll.BPGE("1134/067/0001",11),13,8)))</f>
        <v>#NAME?</v>
      </c>
      <c r="S26" s="65"/>
      <c r="T26" s="117">
        <v>2.9512499999999999</v>
      </c>
      <c r="U26" s="109" t="e">
        <f ca="1">((X26/Y25+1)*(1+(V26-V25)*T25/(W25*100))-1)*W26*100/(V26-V25)</f>
        <v>#NAME?</v>
      </c>
      <c r="V26" s="113">
        <v>39960</v>
      </c>
      <c r="W26" s="114">
        <v>365</v>
      </c>
      <c r="X26" s="115">
        <v>-0.34</v>
      </c>
      <c r="Y26" s="478"/>
      <c r="Z26" s="193"/>
      <c r="AA26" s="77"/>
      <c r="AM26" s="77"/>
      <c r="AN26" s="77"/>
      <c r="AO26" s="77"/>
      <c r="AP26" s="77"/>
      <c r="AQ26" s="77"/>
      <c r="AR26" s="77"/>
      <c r="AS26" s="77"/>
      <c r="AT26" s="77"/>
      <c r="AU26" s="77"/>
      <c r="AV26" s="12"/>
      <c r="AW26" s="12"/>
      <c r="AX26" s="12"/>
      <c r="AY26" s="12"/>
      <c r="AZ26" s="12"/>
      <c r="BA26" s="12"/>
      <c r="BB26" s="12"/>
      <c r="BC26" s="12"/>
    </row>
    <row r="27" spans="1:55">
      <c r="A27" s="21" t="s">
        <v>76</v>
      </c>
      <c r="B27" s="13" t="e">
        <f t="shared" ca="1" si="3"/>
        <v>#NAME?</v>
      </c>
      <c r="C27" s="67" t="e">
        <f ca="1">DATEVALUE(_xll.BDP($A$47&amp;"/USD"&amp;" "&amp;$A27&amp;"@"&amp;$A$2&amp;" Curncy","SETTLE_DT"))</f>
        <v>#NAME?</v>
      </c>
      <c r="D27" s="14">
        <f>(IF($A$47="USD",0,IF($A$47="THB",0,_xll.BDP(D69,"BID")-$K$3)))</f>
        <v>0</v>
      </c>
      <c r="E27" s="14">
        <f>IF($A$47="USD",0,IF($A$47="THB",0,_xll.BDP(D69,"ASK")+$K$3))</f>
        <v>0</v>
      </c>
      <c r="F27" s="13" t="e">
        <f ca="1">G27-$G$5</f>
        <v>#NAME?</v>
      </c>
      <c r="G27" s="67" t="e">
        <f ca="1">DATEVALUE(_xll.BDP($B$47&amp;"/USD"&amp;" "&amp;$A27&amp;"@"&amp;$A$2&amp;" Curncy","SETTLE_DT"))</f>
        <v>#NAME?</v>
      </c>
      <c r="H27" s="88" t="e">
        <f ca="1">IF($B$47="TWD",-L27/1000-$K$3/1000,IF($B$47="USD",0,IF($B$47="THB",0,_xll.BDP(E69,"BID")-$K$3)))</f>
        <v>#NAME?</v>
      </c>
      <c r="I27" s="89" t="e">
        <f ca="1">IF($B$47="TWD",-M27/1000+$K$3/1000,IF($B$47="USD",0,IF($B$47="THB",0,_xll.BDP(E69,"ASK")+$K$3)))</f>
        <v>#NAME?</v>
      </c>
      <c r="J27" s="29" t="e">
        <f ca="1">DATEVALUE(_xll.BDP("TWD/USD "&amp;$A27&amp;"@"&amp;$A$2&amp;" Curncy","SETTLE_DT"))</f>
        <v>#NAME?</v>
      </c>
      <c r="K27" s="181" t="e">
        <f t="shared" ca="1" si="6"/>
        <v>#NAME?</v>
      </c>
      <c r="L27" s="182" t="e">
        <f t="shared" ca="1" si="8"/>
        <v>#NAME?</v>
      </c>
      <c r="M27" s="182" t="e">
        <f t="shared" ca="1" si="8"/>
        <v>#NAME?</v>
      </c>
      <c r="N27" s="284" t="s">
        <v>76</v>
      </c>
      <c r="O27" s="131" t="e">
        <f ca="1">_xll.BDP("NTUSWO5 ICSG Curncy","BID")</f>
        <v>#NAME?</v>
      </c>
      <c r="P27" s="132" t="e">
        <f ca="1">_xll.BDP("NTUSWO5 ICSG Curncy","ASK")</f>
        <v>#NAME?</v>
      </c>
      <c r="Q27" s="15" t="e">
        <f ca="1">VALUE(TRIM(MID(_xll.BPGE("1134/067/0001",12),13,8)))</f>
        <v>#NAME?</v>
      </c>
      <c r="S27" s="65"/>
      <c r="T27" s="66"/>
      <c r="V27" s="11"/>
      <c r="W27" s="11"/>
    </row>
    <row r="28" spans="1:55">
      <c r="A28" s="21"/>
      <c r="B28" s="13"/>
      <c r="C28" s="22"/>
      <c r="D28" s="14"/>
      <c r="E28" s="14"/>
      <c r="F28" s="13"/>
      <c r="G28" s="22"/>
      <c r="H28" s="14"/>
      <c r="I28" s="15"/>
      <c r="J28" s="29"/>
      <c r="K28" s="27"/>
      <c r="L28" s="28"/>
      <c r="M28" s="28"/>
      <c r="N28" s="285"/>
      <c r="O28" s="33"/>
      <c r="P28" s="55"/>
      <c r="Q28" s="55"/>
      <c r="S28" s="301" t="e">
        <f ca="1">_xll.BDP("USSW1 BGN Curncy","BID")</f>
        <v>#NAME?</v>
      </c>
      <c r="T28" s="301" t="e">
        <f ca="1">_xll.BDP("USSW1 BGN Curncy","ASK")</f>
        <v>#NAME?</v>
      </c>
      <c r="U28" s="9" t="e">
        <f ca="1">_xll.BDP("USBC1 PREB Curncy","ASK")</f>
        <v>#NAME?</v>
      </c>
      <c r="V28" s="9" t="e">
        <f ca="1">_xll.BDP("USBC1 PREB Curncy","BID")</f>
        <v>#NAME?</v>
      </c>
      <c r="W28" s="10"/>
    </row>
    <row r="29" spans="1:55" ht="15.75" thickBot="1">
      <c r="A29" s="23"/>
      <c r="B29" s="16"/>
      <c r="C29" s="24"/>
      <c r="D29" s="25"/>
      <c r="E29" s="25"/>
      <c r="F29" s="16"/>
      <c r="G29" s="24"/>
      <c r="H29" s="25"/>
      <c r="I29" s="26"/>
      <c r="J29" s="30"/>
      <c r="K29" s="16"/>
      <c r="L29" s="17"/>
      <c r="M29" s="17"/>
      <c r="N29" s="286"/>
      <c r="O29" s="36"/>
      <c r="P29" s="18"/>
      <c r="Q29" s="18" t="e">
        <f ca="1">R23</f>
        <v>#NAME?</v>
      </c>
      <c r="S29" s="300"/>
      <c r="T29" s="299"/>
      <c r="U29" s="68"/>
      <c r="V29" s="11" t="s">
        <v>106</v>
      </c>
      <c r="W29" s="218" t="s">
        <v>3</v>
      </c>
      <c r="AA29" s="53"/>
      <c r="AH29" s="77"/>
      <c r="AI29" s="77"/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77"/>
      <c r="AV29" s="77"/>
      <c r="AW29" s="77"/>
    </row>
    <row r="30" spans="1:55" ht="17.25" thickBot="1">
      <c r="R30" s="87"/>
      <c r="T30" s="10" t="s">
        <v>108</v>
      </c>
      <c r="U30" s="221"/>
      <c r="V30" s="9" t="e">
        <f ca="1">_xll.BDP("USFR0F1 Curncy","BID")</f>
        <v>#NAME?</v>
      </c>
      <c r="W30" s="9" t="e">
        <f ca="1">_xll.BDP("USFR0F1 Curncy","ASK")</f>
        <v>#NAME?</v>
      </c>
      <c r="Y30" s="53"/>
      <c r="AH30" s="330"/>
      <c r="AI30" s="330"/>
      <c r="AJ30" s="330"/>
      <c r="AK30" s="330"/>
      <c r="AL30" s="330"/>
      <c r="AM30" s="330"/>
      <c r="AN30" s="330"/>
      <c r="AO30" s="330"/>
      <c r="AP30" s="330"/>
      <c r="AQ30" s="330"/>
      <c r="AR30" s="330"/>
      <c r="AS30" s="330"/>
      <c r="AT30" s="330"/>
      <c r="AU30" s="330"/>
      <c r="AV30" s="77"/>
      <c r="AW30" s="77"/>
    </row>
    <row r="31" spans="1:55" ht="16.5" customHeight="1" thickBot="1">
      <c r="B31" s="238"/>
      <c r="C31" s="239" t="s">
        <v>120</v>
      </c>
      <c r="D31" s="239" t="s">
        <v>121</v>
      </c>
      <c r="E31" s="239" t="s">
        <v>122</v>
      </c>
      <c r="F31" s="240"/>
      <c r="G31" s="241" t="s">
        <v>123</v>
      </c>
      <c r="H31" s="242" t="s">
        <v>124</v>
      </c>
      <c r="I31" s="243" t="s">
        <v>125</v>
      </c>
      <c r="K31" s="9" t="s">
        <v>147</v>
      </c>
      <c r="N31" s="8" t="s">
        <v>101</v>
      </c>
      <c r="O31" s="474" t="s">
        <v>102</v>
      </c>
      <c r="P31" s="474"/>
      <c r="Q31" s="6" t="s">
        <v>100</v>
      </c>
      <c r="S31" s="121" t="s">
        <v>149</v>
      </c>
      <c r="T31" s="302"/>
      <c r="U31" s="302"/>
      <c r="V31" s="302" t="s">
        <v>150</v>
      </c>
      <c r="W31" s="302"/>
      <c r="X31" s="122"/>
      <c r="Y31" s="169" t="s">
        <v>151</v>
      </c>
      <c r="Z31" s="313"/>
      <c r="AA31" s="313"/>
      <c r="AB31" s="313" t="s">
        <v>152</v>
      </c>
      <c r="AC31" s="313"/>
      <c r="AD31" s="170"/>
      <c r="AH31" s="330"/>
      <c r="AI31" s="330"/>
      <c r="AJ31" s="330"/>
      <c r="AK31" s="330"/>
      <c r="AL31" s="330"/>
      <c r="AM31" s="330"/>
      <c r="AN31" s="330"/>
      <c r="AO31" s="330"/>
      <c r="AP31" s="330"/>
      <c r="AQ31" s="330"/>
      <c r="AR31" s="330"/>
      <c r="AS31" s="330"/>
      <c r="AT31" s="330"/>
      <c r="AU31" s="330"/>
      <c r="AV31" s="77"/>
      <c r="AW31" s="77"/>
    </row>
    <row r="32" spans="1:55" ht="17.25">
      <c r="B32" s="244" t="s">
        <v>126</v>
      </c>
      <c r="C32" s="348">
        <v>0.52</v>
      </c>
      <c r="D32" s="349" t="e">
        <f ca="1">((G32/H32+1)*(1+(E33-E32)*C33/(F32*100))-1)*F33*100/(E33-E32)</f>
        <v>#NAME?</v>
      </c>
      <c r="E32" s="265">
        <v>44183</v>
      </c>
      <c r="F32" s="350">
        <v>360</v>
      </c>
      <c r="G32" s="351">
        <v>-1.2999999999999999E-2</v>
      </c>
      <c r="H32" s="487" t="e">
        <f ca="1">H35</f>
        <v>#NAME?</v>
      </c>
      <c r="I32" s="352" t="e">
        <f ca="1">H32+G32</f>
        <v>#NAME?</v>
      </c>
      <c r="J32" s="289"/>
      <c r="K32" s="295" t="e">
        <f ca="1">_xll.BDP("JPY12M Curncy","BID")</f>
        <v>#NAME?</v>
      </c>
      <c r="L32" s="296" t="e">
        <f ca="1">_xll.BDP("JPY12M Curncy","ASK")</f>
        <v>#NAME?</v>
      </c>
      <c r="N32" s="21" t="s">
        <v>99</v>
      </c>
      <c r="O32" s="4" t="e">
        <f ca="1">(((1+Q17*K17/36000)/(1+Q14*K14/36000))-1)*36000/(K17-K14)</f>
        <v>#NAME?</v>
      </c>
      <c r="P32" s="4" t="s">
        <v>90</v>
      </c>
      <c r="Q32" s="55" t="e">
        <f ca="1">((1+Q23*K23/36000)/(1+Q17*K17/36000)-1)*36000/(K23-K17)</f>
        <v>#NAME?</v>
      </c>
      <c r="S32" s="123" t="s">
        <v>157</v>
      </c>
      <c r="T32" s="304" t="e">
        <f ca="1">_xll.BDP("USSA1 Curncy","BID")</f>
        <v>#NAME?</v>
      </c>
      <c r="U32" s="304" t="e">
        <f ca="1">_xll.BDP("USSA1 Curncy","ASK")</f>
        <v>#NAME?</v>
      </c>
      <c r="V32" s="119" t="s">
        <v>157</v>
      </c>
      <c r="W32" s="306" t="e">
        <f ca="1">_xll.BDP("USBC1 PREB Curncy","BID")</f>
        <v>#NAME?</v>
      </c>
      <c r="X32" s="309" t="e">
        <f ca="1">_xll.BDP("USBC1 PREB Curncy","ASK")</f>
        <v>#NAME?</v>
      </c>
      <c r="Y32" s="119" t="s">
        <v>157</v>
      </c>
      <c r="Z32" s="314" t="e">
        <f t="shared" ref="Z32:AA36" ca="1" si="9">T32+W32/100</f>
        <v>#NAME?</v>
      </c>
      <c r="AA32" s="314" t="e">
        <f t="shared" ca="1" si="9"/>
        <v>#NAME?</v>
      </c>
      <c r="AB32" s="315" t="e">
        <f ca="1">(Z32+AA32)/2</f>
        <v>#NAME?</v>
      </c>
      <c r="AC32" s="147"/>
      <c r="AD32" s="171"/>
      <c r="AH32" s="330"/>
      <c r="AI32" s="329"/>
      <c r="AJ32" s="329"/>
      <c r="AK32" s="329"/>
      <c r="AL32" s="329"/>
      <c r="AM32" s="329"/>
      <c r="AN32" s="330"/>
      <c r="AO32" s="329"/>
      <c r="AP32" s="329"/>
      <c r="AQ32" s="329"/>
      <c r="AR32" s="330"/>
      <c r="AS32" s="329"/>
      <c r="AT32" s="329"/>
      <c r="AU32" s="331"/>
      <c r="AV32" s="77"/>
      <c r="AW32" s="77"/>
    </row>
    <row r="33" spans="1:49" ht="18" thickBot="1">
      <c r="B33" s="245" t="s">
        <v>127</v>
      </c>
      <c r="C33" s="353">
        <v>0.52</v>
      </c>
      <c r="D33" s="354" t="e">
        <f ca="1">((G33/H32+1)*(1+(E33-E32)*C32/(F32*100))-1)*F33*100/(E33-E32)</f>
        <v>#NAME?</v>
      </c>
      <c r="E33" s="266">
        <v>44215</v>
      </c>
      <c r="F33" s="355">
        <v>365</v>
      </c>
      <c r="G33" s="356">
        <v>-1.2999999999999999E-2</v>
      </c>
      <c r="H33" s="488"/>
      <c r="I33" s="352" t="e">
        <f ca="1">H32+G33</f>
        <v>#NAME?</v>
      </c>
      <c r="J33" s="289"/>
      <c r="K33" s="275" t="s">
        <v>148</v>
      </c>
      <c r="L33" s="276"/>
      <c r="N33" s="21" t="s">
        <v>91</v>
      </c>
      <c r="O33" s="4" t="e">
        <f ca="1">(((1+Q20*K20/36000)/(1+Q17*K17/36000))-1)*36000/(K20-K17)</f>
        <v>#NAME?</v>
      </c>
      <c r="P33" s="4"/>
      <c r="Q33" s="55"/>
      <c r="S33" s="303" t="s">
        <v>24</v>
      </c>
      <c r="T33" s="304" t="e">
        <f ca="1">_xll.BDP("USSA2 Curncy","BID")</f>
        <v>#NAME?</v>
      </c>
      <c r="U33" s="304" t="e">
        <f ca="1">_xll.BDP("USSA2 Curncy","ASK")</f>
        <v>#NAME?</v>
      </c>
      <c r="V33" s="297" t="s">
        <v>24</v>
      </c>
      <c r="W33" s="307" t="e">
        <f ca="1">_xll.BDP("USBC2 PREB Curncy","BID")</f>
        <v>#NAME?</v>
      </c>
      <c r="X33" s="310" t="e">
        <f ca="1">_xll.BDP("USBC2 PREB Curncy","ASK")</f>
        <v>#NAME?</v>
      </c>
      <c r="Y33" s="297" t="s">
        <v>24</v>
      </c>
      <c r="Z33" s="314" t="e">
        <f t="shared" ca="1" si="9"/>
        <v>#NAME?</v>
      </c>
      <c r="AA33" s="314" t="e">
        <f t="shared" ca="1" si="9"/>
        <v>#NAME?</v>
      </c>
      <c r="AB33" s="142" t="e">
        <f ca="1">(Z33+AA33)/2</f>
        <v>#NAME?</v>
      </c>
      <c r="AC33" s="165"/>
      <c r="AD33" s="172"/>
      <c r="AH33" s="330"/>
      <c r="AI33" s="329"/>
      <c r="AJ33" s="329"/>
      <c r="AK33" s="329"/>
      <c r="AL33" s="329"/>
      <c r="AM33" s="329"/>
      <c r="AN33" s="330"/>
      <c r="AO33" s="329"/>
      <c r="AP33" s="329"/>
      <c r="AQ33" s="329"/>
      <c r="AR33" s="330"/>
      <c r="AS33" s="329"/>
      <c r="AT33" s="329"/>
      <c r="AU33" s="331"/>
      <c r="AV33" s="77"/>
      <c r="AW33" s="77"/>
    </row>
    <row r="34" spans="1:49" ht="18" thickBot="1">
      <c r="B34" s="238"/>
      <c r="C34" s="357" t="s">
        <v>120</v>
      </c>
      <c r="D34" s="357" t="s">
        <v>121</v>
      </c>
      <c r="E34" s="357" t="s">
        <v>122</v>
      </c>
      <c r="F34" s="358"/>
      <c r="G34" s="359" t="s">
        <v>123</v>
      </c>
      <c r="H34" s="360" t="s">
        <v>124</v>
      </c>
      <c r="I34" s="361" t="s">
        <v>125</v>
      </c>
      <c r="J34" s="237"/>
      <c r="K34" s="295" t="e">
        <f ca="1">_xll.BDP("EUR12M Curncy","BID")</f>
        <v>#NAME?</v>
      </c>
      <c r="L34" s="296" t="e">
        <f ca="1">_xll.BDP("EUR12M Curncy","ASK")</f>
        <v>#NAME?</v>
      </c>
      <c r="N34" s="23" t="s">
        <v>92</v>
      </c>
      <c r="O34" s="7" t="e">
        <f ca="1">((1+Q23*K23/36000)/(1+Q20*K20/36000)-1)*36000/(K23-K20)</f>
        <v>#NAME?</v>
      </c>
      <c r="P34" s="7"/>
      <c r="Q34" s="18"/>
      <c r="S34" s="124" t="s">
        <v>58</v>
      </c>
      <c r="T34" s="305" t="e">
        <f ca="1">_xll.BDP("USSA3 Curncy","BID")</f>
        <v>#NAME?</v>
      </c>
      <c r="U34" s="305" t="e">
        <f ca="1">_xll.BDP("USSA3 Curncy","ASK")</f>
        <v>#NAME?</v>
      </c>
      <c r="V34" s="118" t="s">
        <v>58</v>
      </c>
      <c r="W34" s="308" t="e">
        <f ca="1">_xll.BDP("USBC3 PREB Curncy","BID")</f>
        <v>#NAME?</v>
      </c>
      <c r="X34" s="312" t="e">
        <f ca="1">_xll.BDP("USBC3 PREB Curncy","ASK")</f>
        <v>#NAME?</v>
      </c>
      <c r="Y34" s="118" t="s">
        <v>58</v>
      </c>
      <c r="Z34" s="314" t="e">
        <f t="shared" ca="1" si="9"/>
        <v>#NAME?</v>
      </c>
      <c r="AA34" s="314" t="e">
        <f t="shared" ca="1" si="9"/>
        <v>#NAME?</v>
      </c>
      <c r="AB34" s="142" t="e">
        <f ca="1">(Z34+AA34)/2</f>
        <v>#NAME?</v>
      </c>
      <c r="AC34" s="120"/>
      <c r="AD34" s="172"/>
      <c r="AH34" s="330"/>
      <c r="AI34" s="329"/>
      <c r="AJ34" s="329"/>
      <c r="AK34" s="329"/>
      <c r="AL34" s="329"/>
      <c r="AM34" s="329"/>
      <c r="AN34" s="330"/>
      <c r="AO34" s="329"/>
      <c r="AP34" s="329"/>
      <c r="AQ34" s="329"/>
      <c r="AR34" s="330"/>
      <c r="AS34" s="329"/>
      <c r="AT34" s="329"/>
      <c r="AU34" s="331"/>
      <c r="AV34" s="77"/>
      <c r="AW34" s="77"/>
    </row>
    <row r="35" spans="1:49" ht="17.25">
      <c r="B35" s="246" t="s">
        <v>89</v>
      </c>
      <c r="C35" s="362">
        <v>0.48</v>
      </c>
      <c r="D35" s="363">
        <v>0</v>
      </c>
      <c r="E35" s="364">
        <v>44183</v>
      </c>
      <c r="F35" s="365">
        <v>360</v>
      </c>
      <c r="G35" s="366" t="e">
        <f ca="1">H35*(((1/(1+((E36-E35)*C36)/(F35*100)))/(1/(1+((E36-E35)*D35)/(F36*100))))-1)</f>
        <v>#NAME?</v>
      </c>
      <c r="H35" s="467" t="e">
        <f ca="1">J37</f>
        <v>#NAME?</v>
      </c>
      <c r="I35" s="367" t="e">
        <f ca="1">H35+G35</f>
        <v>#NAME?</v>
      </c>
      <c r="J35" s="298"/>
      <c r="K35" s="275"/>
      <c r="L35" s="276"/>
      <c r="N35" s="475" t="s">
        <v>103</v>
      </c>
      <c r="O35" s="474"/>
      <c r="P35" s="474"/>
      <c r="Q35" s="476"/>
      <c r="S35" s="125" t="s">
        <v>59</v>
      </c>
      <c r="T35" s="304" t="e">
        <f ca="1">_xll.BDP("USSA4 Curncy","BID")</f>
        <v>#NAME?</v>
      </c>
      <c r="U35" s="305" t="e">
        <f ca="1">_xll.BDP("USSA4 Curncy","ASK")</f>
        <v>#NAME?</v>
      </c>
      <c r="V35" s="118" t="s">
        <v>59</v>
      </c>
      <c r="W35" s="308" t="e">
        <f ca="1">_xll.BDP("USBC4 PREB Curncy","BID")</f>
        <v>#NAME?</v>
      </c>
      <c r="X35" s="311" t="e">
        <f ca="1">_xll.BDP("USBC4 PREB Curncy","ASK")</f>
        <v>#NAME?</v>
      </c>
      <c r="Y35" s="118" t="s">
        <v>59</v>
      </c>
      <c r="Z35" s="314" t="e">
        <f t="shared" ca="1" si="9"/>
        <v>#NAME?</v>
      </c>
      <c r="AA35" s="314" t="e">
        <f t="shared" ca="1" si="9"/>
        <v>#NAME?</v>
      </c>
      <c r="AB35" s="142" t="e">
        <f ca="1">(Z35+AA35)/2</f>
        <v>#NAME?</v>
      </c>
      <c r="AC35" s="175"/>
      <c r="AD35" s="173"/>
      <c r="AH35" s="330"/>
      <c r="AI35" s="329"/>
      <c r="AJ35" s="329"/>
      <c r="AK35" s="329"/>
      <c r="AL35" s="329"/>
      <c r="AM35" s="329"/>
      <c r="AN35" s="330"/>
      <c r="AO35" s="329"/>
      <c r="AP35" s="329"/>
      <c r="AQ35" s="329"/>
      <c r="AR35" s="330"/>
      <c r="AS35" s="329"/>
      <c r="AT35" s="329"/>
      <c r="AU35" s="331"/>
      <c r="AV35" s="77"/>
      <c r="AW35" s="77"/>
    </row>
    <row r="36" spans="1:49" ht="18" thickBot="1">
      <c r="B36" s="247" t="s">
        <v>127</v>
      </c>
      <c r="C36" s="368">
        <v>0.48</v>
      </c>
      <c r="D36" s="369">
        <v>0</v>
      </c>
      <c r="E36" s="370">
        <v>44914</v>
      </c>
      <c r="F36" s="371">
        <v>365</v>
      </c>
      <c r="G36" s="372" t="e">
        <f ca="1">H35*(((1/(1+((E36-E35)*C35)/(F35*100)))/(1/(1+((E36-E35)*D36)/(F36*100))))-1)</f>
        <v>#NAME?</v>
      </c>
      <c r="H36" s="468"/>
      <c r="I36" s="373" t="e">
        <f ca="1">H35+G36</f>
        <v>#NAME?</v>
      </c>
      <c r="K36" s="275"/>
      <c r="L36" s="276"/>
      <c r="N36" s="33">
        <v>94</v>
      </c>
      <c r="O36" s="12">
        <v>3</v>
      </c>
      <c r="P36" s="471">
        <v>2.8925000000000001</v>
      </c>
      <c r="Q36" s="469">
        <v>185</v>
      </c>
      <c r="S36" s="125" t="s">
        <v>60</v>
      </c>
      <c r="T36" s="304" t="e">
        <f ca="1">_xll.BDP("USSA5 Curncy","BID")</f>
        <v>#NAME?</v>
      </c>
      <c r="U36" s="305" t="e">
        <f ca="1">_xll.BDP("USSA5 Curncy","ASK")</f>
        <v>#NAME?</v>
      </c>
      <c r="V36" s="118" t="s">
        <v>60</v>
      </c>
      <c r="W36" s="308" t="e">
        <f ca="1">_xll.BDP("USBC5 PREB Curncy","BID")</f>
        <v>#NAME?</v>
      </c>
      <c r="X36" s="311" t="e">
        <f ca="1">_xll.BDP("USBC5 PREB Curncy","ASK")</f>
        <v>#NAME?</v>
      </c>
      <c r="Y36" s="118" t="s">
        <v>60</v>
      </c>
      <c r="Z36" s="314" t="e">
        <f t="shared" ca="1" si="9"/>
        <v>#NAME?</v>
      </c>
      <c r="AA36" s="314" t="e">
        <f t="shared" ca="1" si="9"/>
        <v>#NAME?</v>
      </c>
      <c r="AB36" s="142" t="e">
        <f ca="1">(Z36+AA36)/2</f>
        <v>#NAME?</v>
      </c>
      <c r="AC36" s="175"/>
      <c r="AD36" s="173"/>
      <c r="AH36" s="330"/>
      <c r="AI36" s="329"/>
      <c r="AJ36" s="329"/>
      <c r="AK36" s="329"/>
      <c r="AL36" s="329"/>
      <c r="AM36" s="329"/>
      <c r="AN36" s="330"/>
      <c r="AO36" s="329"/>
      <c r="AP36" s="329"/>
      <c r="AQ36" s="329"/>
      <c r="AR36" s="330"/>
      <c r="AS36" s="329"/>
      <c r="AT36" s="329"/>
      <c r="AU36" s="331"/>
      <c r="AV36" s="77"/>
      <c r="AW36" s="77"/>
    </row>
    <row r="37" spans="1:49" ht="17.25" customHeight="1" thickBot="1">
      <c r="G37" s="290" t="e">
        <f ca="1">G36-G35</f>
        <v>#NAME?</v>
      </c>
      <c r="H37" s="291"/>
      <c r="J37" s="277" t="e">
        <f ca="1">(G2+H2)/2</f>
        <v>#NAME?</v>
      </c>
      <c r="L37" s="71"/>
      <c r="N37" s="178">
        <f>Q36-N36</f>
        <v>91</v>
      </c>
      <c r="O37" s="179">
        <f>((1+P36*Q36/36000)/(1+O36*N36/36000)-1)*36000/(Q36-N36)</f>
        <v>2.7598373182960101</v>
      </c>
      <c r="P37" s="472"/>
      <c r="Q37" s="470"/>
      <c r="S37" s="219"/>
      <c r="T37" s="167"/>
      <c r="U37" s="167"/>
      <c r="V37" s="167"/>
      <c r="W37" s="167"/>
      <c r="X37" s="168"/>
      <c r="Y37" s="174"/>
      <c r="Z37" s="167"/>
      <c r="AA37" s="166"/>
      <c r="AB37" s="176"/>
      <c r="AC37" s="177"/>
      <c r="AD37" s="168"/>
      <c r="AH37" s="330"/>
      <c r="AI37" s="329"/>
      <c r="AJ37" s="329"/>
      <c r="AK37" s="329"/>
      <c r="AL37" s="329"/>
      <c r="AM37" s="329"/>
      <c r="AN37" s="330"/>
      <c r="AO37" s="329"/>
      <c r="AP37" s="329"/>
      <c r="AQ37" s="329"/>
      <c r="AR37" s="330"/>
      <c r="AS37" s="329"/>
      <c r="AT37" s="329"/>
      <c r="AU37" s="331"/>
      <c r="AV37" s="77"/>
      <c r="AW37" s="77"/>
    </row>
    <row r="38" spans="1:49" ht="17.25" customHeight="1" thickBot="1">
      <c r="G38" s="153"/>
      <c r="J38" s="223"/>
      <c r="K38" s="237"/>
      <c r="Y38" s="54"/>
      <c r="AH38" s="330"/>
      <c r="AI38" s="329"/>
      <c r="AJ38" s="329"/>
      <c r="AK38" s="329"/>
      <c r="AL38" s="329"/>
      <c r="AM38" s="329"/>
      <c r="AN38" s="330"/>
      <c r="AO38" s="329"/>
      <c r="AP38" s="329"/>
      <c r="AQ38" s="329"/>
      <c r="AR38" s="330"/>
      <c r="AS38" s="329"/>
      <c r="AT38" s="329"/>
      <c r="AU38" s="331"/>
      <c r="AV38" s="77"/>
      <c r="AW38" s="77"/>
    </row>
    <row r="39" spans="1:49" ht="17.25" customHeight="1" thickBot="1">
      <c r="A39" s="481" t="s">
        <v>47</v>
      </c>
      <c r="B39" s="482"/>
      <c r="C39" s="482"/>
      <c r="D39" s="483"/>
      <c r="Y39" s="54"/>
      <c r="AH39" s="330"/>
      <c r="AI39" s="329"/>
      <c r="AJ39" s="329"/>
      <c r="AK39" s="329"/>
      <c r="AL39" s="329"/>
      <c r="AM39" s="329"/>
      <c r="AN39" s="330"/>
      <c r="AO39" s="329"/>
      <c r="AP39" s="329"/>
      <c r="AQ39" s="329"/>
      <c r="AR39" s="330"/>
      <c r="AS39" s="329"/>
      <c r="AT39" s="329"/>
      <c r="AU39" s="331"/>
      <c r="AV39" s="77"/>
      <c r="AW39" s="77"/>
    </row>
    <row r="40" spans="1:49" ht="16.5">
      <c r="A40" s="42">
        <f>VLOOKUP(A47,G49:V63,B45,FALSE)</f>
        <v>3</v>
      </c>
      <c r="B40" s="12" t="s">
        <v>164</v>
      </c>
      <c r="C40" s="12" t="s">
        <v>164</v>
      </c>
      <c r="D40" s="12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58"/>
      <c r="X40" s="59"/>
      <c r="Z40" s="53"/>
      <c r="AH40" s="330"/>
      <c r="AI40" s="329"/>
      <c r="AJ40" s="329"/>
      <c r="AK40" s="329"/>
      <c r="AL40" s="329"/>
      <c r="AM40" s="329"/>
      <c r="AN40" s="330"/>
      <c r="AO40" s="329"/>
      <c r="AP40" s="329"/>
      <c r="AQ40" s="329"/>
      <c r="AR40" s="330"/>
      <c r="AS40" s="329"/>
      <c r="AT40" s="329"/>
      <c r="AU40" s="331"/>
      <c r="AV40" s="77"/>
      <c r="AW40" s="77"/>
    </row>
    <row r="41" spans="1:49" ht="16.5">
      <c r="A41" s="42">
        <v>1</v>
      </c>
      <c r="B41" s="12">
        <v>2</v>
      </c>
      <c r="C41" s="12">
        <v>3</v>
      </c>
      <c r="D41" s="12">
        <v>4</v>
      </c>
      <c r="E41" s="12">
        <v>5</v>
      </c>
      <c r="F41" s="12">
        <v>6</v>
      </c>
      <c r="G41" s="12">
        <v>7</v>
      </c>
      <c r="H41" s="12">
        <v>8</v>
      </c>
      <c r="I41" s="12">
        <v>9</v>
      </c>
      <c r="J41" s="12">
        <v>10</v>
      </c>
      <c r="K41" s="12">
        <v>11</v>
      </c>
      <c r="L41" s="12">
        <v>12</v>
      </c>
      <c r="M41" s="12">
        <v>13</v>
      </c>
      <c r="N41" s="12">
        <v>14</v>
      </c>
      <c r="O41" s="12">
        <v>15</v>
      </c>
      <c r="P41" s="12">
        <v>16</v>
      </c>
      <c r="Q41" s="12">
        <v>17</v>
      </c>
      <c r="R41" s="12">
        <v>18</v>
      </c>
      <c r="S41" s="12">
        <v>19</v>
      </c>
      <c r="T41" s="12">
        <v>20</v>
      </c>
      <c r="U41" s="12">
        <v>21</v>
      </c>
      <c r="V41" s="12">
        <v>22</v>
      </c>
      <c r="W41" s="12">
        <v>23</v>
      </c>
      <c r="X41" s="69">
        <v>24</v>
      </c>
      <c r="AH41" s="330"/>
      <c r="AI41" s="329"/>
      <c r="AJ41" s="329"/>
      <c r="AK41" s="329"/>
      <c r="AL41" s="329"/>
      <c r="AM41" s="329"/>
      <c r="AN41" s="330"/>
      <c r="AO41" s="329"/>
      <c r="AP41" s="329"/>
      <c r="AQ41" s="329"/>
      <c r="AR41" s="330"/>
      <c r="AS41" s="329"/>
      <c r="AT41" s="329"/>
      <c r="AU41" s="331"/>
      <c r="AV41" s="77"/>
      <c r="AW41" s="77"/>
    </row>
    <row r="42" spans="1:49" ht="16.5">
      <c r="A42" s="42" t="s">
        <v>62</v>
      </c>
      <c r="B42" s="12"/>
      <c r="C42" s="133">
        <v>1</v>
      </c>
      <c r="D42" s="133">
        <v>3</v>
      </c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60"/>
      <c r="AH42" s="330"/>
      <c r="AI42" s="329"/>
      <c r="AJ42" s="329"/>
      <c r="AK42" s="329"/>
      <c r="AL42" s="329"/>
      <c r="AM42" s="329"/>
      <c r="AN42" s="330"/>
      <c r="AO42" s="329"/>
      <c r="AP42" s="329"/>
      <c r="AQ42" s="329"/>
      <c r="AR42" s="330"/>
      <c r="AS42" s="329"/>
      <c r="AT42" s="329"/>
      <c r="AU42" s="331"/>
      <c r="AV42" s="77"/>
      <c r="AW42" s="77"/>
    </row>
    <row r="43" spans="1:49" ht="16.5">
      <c r="A43" s="42" t="s">
        <v>61</v>
      </c>
      <c r="B43" s="12"/>
      <c r="C43" s="133"/>
      <c r="D43" s="133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60"/>
      <c r="AH43" s="330"/>
      <c r="AI43" s="329"/>
      <c r="AJ43" s="329"/>
      <c r="AK43" s="329"/>
      <c r="AL43" s="329"/>
      <c r="AM43" s="329"/>
      <c r="AN43" s="330"/>
      <c r="AO43" s="329"/>
      <c r="AP43" s="329"/>
      <c r="AQ43" s="329"/>
      <c r="AR43" s="330"/>
      <c r="AS43" s="329"/>
      <c r="AT43" s="329"/>
      <c r="AU43" s="331"/>
      <c r="AV43" s="77"/>
      <c r="AW43" s="77"/>
    </row>
    <row r="44" spans="1:49" ht="16.5">
      <c r="A44" s="42"/>
      <c r="B44" s="12"/>
      <c r="C44" s="12"/>
      <c r="D44" s="4" t="str">
        <f>IF(A47="TWD",A47&amp;" TPFT Curncy",A47&amp;" BGN Curncy")</f>
        <v>USD BGN Curncy</v>
      </c>
      <c r="E44" s="4" t="str">
        <f>IF(B47="TWD",B47&amp;" TPFT Curncy",B47&amp;" BGN Curncy")</f>
        <v>TWD TPFT Curncy</v>
      </c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60"/>
      <c r="AH44" s="330"/>
      <c r="AI44" s="329"/>
      <c r="AJ44" s="329"/>
      <c r="AK44" s="329"/>
      <c r="AL44" s="329"/>
      <c r="AM44" s="329"/>
      <c r="AN44" s="330"/>
      <c r="AO44" s="329"/>
      <c r="AP44" s="329"/>
      <c r="AQ44" s="329"/>
      <c r="AR44" s="330"/>
      <c r="AS44" s="329"/>
      <c r="AT44" s="329"/>
      <c r="AU44" s="331"/>
      <c r="AV44" s="77"/>
      <c r="AW44" s="77"/>
    </row>
    <row r="45" spans="1:49" ht="16.5">
      <c r="A45" s="42" t="s">
        <v>38</v>
      </c>
      <c r="B45" s="12">
        <f>HLOOKUP(B47,H48:V64,17,FALSE)</f>
        <v>14</v>
      </c>
      <c r="C45" s="12"/>
      <c r="D45" s="4" t="e">
        <f ca="1">_xll.BDP(D44,"BID")</f>
        <v>#NAME?</v>
      </c>
      <c r="E45" s="4" t="e">
        <f ca="1">_xll.BDP(D44,"ASK")</f>
        <v>#NAME?</v>
      </c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61" t="s">
        <v>50</v>
      </c>
      <c r="X45" s="64" t="e">
        <f ca="1">B1</f>
        <v>#NAME?</v>
      </c>
      <c r="AH45" s="330"/>
      <c r="AI45" s="329"/>
      <c r="AJ45" s="329"/>
      <c r="AK45" s="329"/>
      <c r="AL45" s="329"/>
      <c r="AM45" s="329"/>
      <c r="AN45" s="330"/>
      <c r="AO45" s="329"/>
      <c r="AP45" s="329"/>
      <c r="AQ45" s="329"/>
      <c r="AR45" s="330"/>
      <c r="AS45" s="329"/>
      <c r="AT45" s="329"/>
      <c r="AU45" s="331"/>
      <c r="AV45" s="77"/>
      <c r="AW45" s="77"/>
    </row>
    <row r="46" spans="1:49" ht="16.5">
      <c r="A46" s="43"/>
      <c r="B46" s="4"/>
      <c r="C46" s="12"/>
      <c r="D46" s="4" t="e">
        <f ca="1">_xll.BDP(E44,"BID")</f>
        <v>#NAME?</v>
      </c>
      <c r="E46" s="4" t="e">
        <f ca="1">_xll.BDP(E44,"ASK")</f>
        <v>#NAME?</v>
      </c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61" t="s">
        <v>51</v>
      </c>
      <c r="X46" s="64" t="e">
        <f ca="1">DATEVALUE(_xll.BDP($A$47&amp;"/"&amp;$B$47&amp;" "&amp;$W46&amp;"@"&amp;TEXT($X$45,"MMDDYY")&amp;" Curncy","SETTLE_DT"))</f>
        <v>#NAME?</v>
      </c>
      <c r="AH46" s="330"/>
      <c r="AI46" s="329"/>
      <c r="AJ46" s="329"/>
      <c r="AK46" s="329"/>
      <c r="AL46" s="329"/>
      <c r="AM46" s="329"/>
      <c r="AN46" s="330"/>
      <c r="AO46" s="329"/>
      <c r="AP46" s="329"/>
      <c r="AQ46" s="329"/>
      <c r="AR46" s="330"/>
      <c r="AS46" s="329"/>
      <c r="AT46" s="329"/>
      <c r="AU46" s="331"/>
      <c r="AV46" s="77"/>
      <c r="AW46" s="77"/>
    </row>
    <row r="47" spans="1:49" ht="17.25" thickBot="1">
      <c r="A47" s="43" t="str">
        <f>D2</f>
        <v>USD</v>
      </c>
      <c r="B47" s="4" t="str">
        <f>F2</f>
        <v>TWD</v>
      </c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61" t="s">
        <v>156</v>
      </c>
      <c r="X47" s="64" t="e">
        <f ca="1">DATEVALUE(_xll.BDP($A$47&amp;"/"&amp;$B$47&amp;" "&amp;$W47&amp;"@"&amp;TEXT($X$45,"MMDDYY")&amp;" Curncy","SETTLE_DT"))</f>
        <v>#NAME?</v>
      </c>
      <c r="AH47" s="330"/>
      <c r="AI47" s="329"/>
      <c r="AJ47" s="329"/>
      <c r="AK47" s="329"/>
      <c r="AL47" s="329"/>
      <c r="AM47" s="329"/>
      <c r="AN47" s="330"/>
      <c r="AO47" s="329"/>
      <c r="AP47" s="329"/>
      <c r="AQ47" s="329"/>
      <c r="AR47" s="330"/>
      <c r="AS47" s="329"/>
      <c r="AT47" s="329"/>
      <c r="AU47" s="331"/>
      <c r="AV47" s="77"/>
      <c r="AW47" s="77"/>
    </row>
    <row r="48" spans="1:49" ht="16.5">
      <c r="A48" s="43" t="e">
        <f ca="1">_xll.BDP(A$47&amp;" Curncy","INVERSE_QUOTED")</f>
        <v>#NAME?</v>
      </c>
      <c r="B48" s="43" t="e">
        <f ca="1">_xll.BDP(B$47&amp;" Curncy","INVERSE_QUOTED")</f>
        <v>#NAME?</v>
      </c>
      <c r="C48" s="12"/>
      <c r="D48" s="12" t="str">
        <f t="shared" ref="D48:D69" si="10">IF($A$47="JPY",$A$47&amp;A6&amp;"  Curncy",IF($A$47="EUR",$A$47&amp;A6&amp;"  Curncy",$A$47&amp;A6&amp;" Curncy"))</f>
        <v>USDON Curncy</v>
      </c>
      <c r="E48" s="12" t="str">
        <f t="shared" ref="E48:E69" si="11">IF($B$47="JPY",$B$47&amp;A6&amp;"  Curncy",IF($B$47="EUR",$B$47&amp;A6&amp;"  Curncy",$B$47&amp;A6&amp;"  Curncy"))</f>
        <v>TWDON  Curncy</v>
      </c>
      <c r="F48" s="14"/>
      <c r="G48" s="31"/>
      <c r="H48" s="32" t="s">
        <v>32</v>
      </c>
      <c r="I48" s="32" t="s">
        <v>33</v>
      </c>
      <c r="J48" s="1" t="s">
        <v>31</v>
      </c>
      <c r="K48" s="1" t="s">
        <v>36</v>
      </c>
      <c r="L48" s="1" t="s">
        <v>37</v>
      </c>
      <c r="M48" s="1" t="s">
        <v>38</v>
      </c>
      <c r="N48" s="1" t="s">
        <v>39</v>
      </c>
      <c r="O48" s="1" t="s">
        <v>40</v>
      </c>
      <c r="P48" s="1" t="s">
        <v>35</v>
      </c>
      <c r="Q48" s="1" t="s">
        <v>41</v>
      </c>
      <c r="R48" s="1" t="s">
        <v>42</v>
      </c>
      <c r="S48" s="1" t="s">
        <v>43</v>
      </c>
      <c r="T48" s="1" t="s">
        <v>34</v>
      </c>
      <c r="U48" s="1" t="s">
        <v>44</v>
      </c>
      <c r="V48" s="6" t="s">
        <v>153</v>
      </c>
      <c r="W48" s="61" t="s">
        <v>15</v>
      </c>
      <c r="X48" s="64" t="e">
        <f ca="1">DATEVALUE(_xll.BDP($A$47&amp;"/"&amp;$B$47&amp;" "&amp;$W48&amp;"@"&amp;TEXT($X$45,"MMDDYY")&amp;" Curncy","SETTLE_DT"))</f>
        <v>#NAME?</v>
      </c>
      <c r="AH48" s="330"/>
      <c r="AI48" s="329"/>
      <c r="AJ48" s="329"/>
      <c r="AK48" s="329"/>
      <c r="AL48" s="329"/>
      <c r="AM48" s="329"/>
      <c r="AN48" s="330"/>
      <c r="AO48" s="329"/>
      <c r="AP48" s="329"/>
      <c r="AQ48" s="329"/>
      <c r="AR48" s="330"/>
      <c r="AS48" s="329"/>
      <c r="AT48" s="329"/>
      <c r="AU48" s="331"/>
      <c r="AV48" s="77"/>
      <c r="AW48" s="77"/>
    </row>
    <row r="49" spans="1:49">
      <c r="A49" s="44" t="s">
        <v>63</v>
      </c>
      <c r="B49" s="38" t="s">
        <v>4</v>
      </c>
      <c r="C49" s="264" t="s">
        <v>130</v>
      </c>
      <c r="D49" s="12" t="str">
        <f t="shared" si="10"/>
        <v>USDTN Curncy</v>
      </c>
      <c r="E49" s="12" t="str">
        <f t="shared" si="11"/>
        <v>TWDTN  Curncy</v>
      </c>
      <c r="F49" s="14" t="s">
        <v>45</v>
      </c>
      <c r="G49" s="33" t="s">
        <v>32</v>
      </c>
      <c r="H49" s="34"/>
      <c r="I49" s="34"/>
      <c r="J49" s="4"/>
      <c r="K49" s="4"/>
      <c r="L49" s="4"/>
      <c r="M49" s="4">
        <v>3</v>
      </c>
      <c r="N49" s="4">
        <v>4</v>
      </c>
      <c r="O49" s="4">
        <v>4</v>
      </c>
      <c r="P49" s="4">
        <v>4</v>
      </c>
      <c r="Q49" s="4">
        <v>2</v>
      </c>
      <c r="R49" s="4">
        <v>4</v>
      </c>
      <c r="S49" s="4">
        <v>4</v>
      </c>
      <c r="T49" s="4">
        <v>3</v>
      </c>
      <c r="U49" s="4">
        <v>4</v>
      </c>
      <c r="V49" s="5">
        <v>4</v>
      </c>
      <c r="W49" s="61" t="s">
        <v>16</v>
      </c>
      <c r="X49" s="64" t="e">
        <f ca="1">DATEVALUE(_xll.BDP($A$47&amp;"/"&amp;$B$47&amp;" "&amp;$W49&amp;"@"&amp;TEXT($X$45,"MMDDYY")&amp;" Curncy","SETTLE_DT"))</f>
        <v>#NAME?</v>
      </c>
      <c r="AH49" s="77"/>
      <c r="AI49" s="77"/>
      <c r="AJ49" s="77"/>
      <c r="AK49" s="77"/>
      <c r="AL49" s="77"/>
      <c r="AM49" s="77"/>
      <c r="AN49" s="77"/>
      <c r="AO49" s="77"/>
      <c r="AP49" s="77"/>
      <c r="AQ49" s="77"/>
      <c r="AR49" s="77"/>
      <c r="AS49" s="77"/>
      <c r="AT49" s="77"/>
      <c r="AU49" s="77"/>
      <c r="AV49" s="77"/>
      <c r="AW49" s="77"/>
    </row>
    <row r="50" spans="1:49">
      <c r="A50" s="44" t="s">
        <v>5</v>
      </c>
      <c r="B50" s="38" t="s">
        <v>5</v>
      </c>
      <c r="C50" s="264" t="s">
        <v>131</v>
      </c>
      <c r="D50" s="12" t="str">
        <f t="shared" si="10"/>
        <v>USDSN Curncy</v>
      </c>
      <c r="E50" s="12" t="str">
        <f t="shared" si="11"/>
        <v>TWDSN  Curncy</v>
      </c>
      <c r="F50" s="14" t="s">
        <v>45</v>
      </c>
      <c r="G50" s="33" t="s">
        <v>33</v>
      </c>
      <c r="H50" s="35">
        <v>4</v>
      </c>
      <c r="I50" s="35"/>
      <c r="J50" s="35">
        <v>4</v>
      </c>
      <c r="K50" s="35">
        <v>4</v>
      </c>
      <c r="L50" s="35">
        <v>4</v>
      </c>
      <c r="M50" s="35">
        <v>2</v>
      </c>
      <c r="N50" s="35">
        <v>4</v>
      </c>
      <c r="O50" s="35">
        <v>4</v>
      </c>
      <c r="P50" s="35">
        <v>3</v>
      </c>
      <c r="Q50" s="35">
        <v>3</v>
      </c>
      <c r="R50" s="35">
        <v>3</v>
      </c>
      <c r="S50" s="35">
        <v>4</v>
      </c>
      <c r="T50" s="35">
        <v>3</v>
      </c>
      <c r="U50" s="35">
        <v>4</v>
      </c>
      <c r="V50" s="324">
        <v>4</v>
      </c>
      <c r="W50" s="61" t="s">
        <v>17</v>
      </c>
      <c r="X50" s="64" t="e">
        <f ca="1">DATEVALUE(_xll.BDP($A$47&amp;"/"&amp;$B$47&amp;" "&amp;$W50&amp;"@"&amp;TEXT($X$45,"MMDDYY")&amp;" Curncy","SETTLE_DT"))</f>
        <v>#NAME?</v>
      </c>
      <c r="AH50" s="77"/>
      <c r="AI50" s="77"/>
      <c r="AJ50" s="77"/>
      <c r="AK50" s="77"/>
      <c r="AL50" s="77"/>
      <c r="AM50" s="77"/>
      <c r="AN50" s="77"/>
      <c r="AO50" s="77"/>
      <c r="AP50" s="77"/>
      <c r="AQ50" s="77"/>
      <c r="AR50" s="77"/>
      <c r="AS50" s="77"/>
      <c r="AT50" s="77"/>
      <c r="AU50" s="77"/>
      <c r="AV50" s="77"/>
      <c r="AW50" s="77"/>
    </row>
    <row r="51" spans="1:49">
      <c r="A51" s="44" t="s">
        <v>6</v>
      </c>
      <c r="B51" s="38" t="s">
        <v>6</v>
      </c>
      <c r="C51" s="264" t="s">
        <v>132</v>
      </c>
      <c r="D51" s="12" t="str">
        <f t="shared" si="10"/>
        <v>USD1W Curncy</v>
      </c>
      <c r="E51" s="12" t="str">
        <f t="shared" si="11"/>
        <v>TWD1W  Curncy</v>
      </c>
      <c r="F51" s="14" t="s">
        <v>45</v>
      </c>
      <c r="G51" s="33" t="s">
        <v>31</v>
      </c>
      <c r="H51" s="35">
        <v>4</v>
      </c>
      <c r="I51" s="35"/>
      <c r="J51" s="35"/>
      <c r="K51" s="35">
        <v>4</v>
      </c>
      <c r="L51" s="35">
        <v>4</v>
      </c>
      <c r="M51" s="35">
        <v>2</v>
      </c>
      <c r="N51" s="35">
        <v>4</v>
      </c>
      <c r="O51" s="35">
        <v>4</v>
      </c>
      <c r="P51" s="35">
        <v>3</v>
      </c>
      <c r="Q51" s="35">
        <v>3</v>
      </c>
      <c r="R51" s="35">
        <v>3</v>
      </c>
      <c r="S51" s="35">
        <v>4</v>
      </c>
      <c r="T51" s="35">
        <v>3</v>
      </c>
      <c r="U51" s="35">
        <v>3</v>
      </c>
      <c r="V51" s="324">
        <v>4</v>
      </c>
      <c r="W51" s="61" t="s">
        <v>18</v>
      </c>
      <c r="X51" s="64" t="e">
        <f ca="1">DATEVALUE(_xll.BDP($A$47&amp;"/"&amp;$B$47&amp;" "&amp;$W51&amp;"@"&amp;TEXT($X$45,"MMDDYY")&amp;" Curncy","SETTLE_DT"))</f>
        <v>#NAME?</v>
      </c>
      <c r="AH51" s="77"/>
      <c r="AI51" s="77"/>
      <c r="AJ51" s="77"/>
      <c r="AK51" s="77"/>
      <c r="AL51" s="77"/>
      <c r="AM51" s="77"/>
      <c r="AN51" s="77"/>
      <c r="AO51" s="77"/>
      <c r="AP51" s="77"/>
      <c r="AQ51" s="77"/>
      <c r="AR51" s="77"/>
      <c r="AS51" s="77"/>
      <c r="AT51" s="77"/>
      <c r="AU51" s="77"/>
      <c r="AV51" s="77"/>
      <c r="AW51" s="77"/>
    </row>
    <row r="52" spans="1:49">
      <c r="A52" s="44" t="s">
        <v>7</v>
      </c>
      <c r="B52" s="38" t="s">
        <v>7</v>
      </c>
      <c r="C52" s="264" t="s">
        <v>133</v>
      </c>
      <c r="D52" s="12" t="str">
        <f t="shared" si="10"/>
        <v>USD2W Curncy</v>
      </c>
      <c r="E52" s="12" t="str">
        <f t="shared" si="11"/>
        <v>TWD2W  Curncy</v>
      </c>
      <c r="F52" s="14" t="s">
        <v>45</v>
      </c>
      <c r="G52" s="33" t="s">
        <v>36</v>
      </c>
      <c r="H52" s="35">
        <v>4</v>
      </c>
      <c r="I52" s="35"/>
      <c r="J52" s="35"/>
      <c r="K52" s="35"/>
      <c r="L52" s="35">
        <v>4</v>
      </c>
      <c r="M52" s="35">
        <v>3</v>
      </c>
      <c r="N52" s="35">
        <v>4</v>
      </c>
      <c r="O52" s="35">
        <v>4</v>
      </c>
      <c r="P52" s="35">
        <v>4</v>
      </c>
      <c r="Q52" s="35">
        <v>3</v>
      </c>
      <c r="R52" s="35">
        <v>4</v>
      </c>
      <c r="S52" s="35">
        <v>4</v>
      </c>
      <c r="T52" s="35">
        <v>3</v>
      </c>
      <c r="U52" s="35">
        <v>4</v>
      </c>
      <c r="V52" s="324">
        <v>4</v>
      </c>
      <c r="W52" s="61" t="s">
        <v>19</v>
      </c>
      <c r="X52" s="64" t="e">
        <f ca="1">DATEVALUE(_xll.BDP($A$47&amp;"/"&amp;$B$47&amp;" "&amp;$W52&amp;"@"&amp;TEXT($X$45,"MMDDYY")&amp;" Curncy","SETTLE_DT"))</f>
        <v>#NAME?</v>
      </c>
    </row>
    <row r="53" spans="1:49">
      <c r="A53" s="44" t="s">
        <v>8</v>
      </c>
      <c r="B53" s="38" t="s">
        <v>8</v>
      </c>
      <c r="C53" s="264" t="s">
        <v>134</v>
      </c>
      <c r="D53" s="12" t="str">
        <f t="shared" si="10"/>
        <v>USD3W Curncy</v>
      </c>
      <c r="E53" s="12" t="str">
        <f t="shared" si="11"/>
        <v>TWD3W  Curncy</v>
      </c>
      <c r="F53" s="14" t="s">
        <v>45</v>
      </c>
      <c r="G53" s="33" t="s">
        <v>37</v>
      </c>
      <c r="H53" s="35">
        <v>4</v>
      </c>
      <c r="I53" s="35"/>
      <c r="J53" s="35"/>
      <c r="K53" s="35"/>
      <c r="L53" s="35"/>
      <c r="M53" s="35">
        <v>3</v>
      </c>
      <c r="N53" s="35">
        <v>4</v>
      </c>
      <c r="O53" s="35">
        <v>4</v>
      </c>
      <c r="P53" s="35">
        <v>4</v>
      </c>
      <c r="Q53" s="35">
        <v>3</v>
      </c>
      <c r="R53" s="35">
        <v>4</v>
      </c>
      <c r="S53" s="35">
        <v>4</v>
      </c>
      <c r="T53" s="35">
        <v>3</v>
      </c>
      <c r="U53" s="35">
        <v>4</v>
      </c>
      <c r="V53" s="324">
        <v>4</v>
      </c>
      <c r="W53" s="61" t="s">
        <v>20</v>
      </c>
      <c r="X53" s="64" t="e">
        <f ca="1">DATEVALUE(_xll.BDP($A$47&amp;"/"&amp;$B$47&amp;" "&amp;$W53&amp;"@"&amp;TEXT($X$45,"MMDDYY")&amp;" Curncy","SETTLE_DT"))</f>
        <v>#NAME?</v>
      </c>
    </row>
    <row r="54" spans="1:49">
      <c r="A54" s="44" t="s">
        <v>9</v>
      </c>
      <c r="B54" s="38" t="s">
        <v>9</v>
      </c>
      <c r="C54" s="264" t="s">
        <v>135</v>
      </c>
      <c r="D54" s="12" t="str">
        <f t="shared" si="10"/>
        <v>USD1M Curncy</v>
      </c>
      <c r="E54" s="12" t="str">
        <f t="shared" si="11"/>
        <v>TWD1M  Curncy</v>
      </c>
      <c r="F54" s="14" t="s">
        <v>46</v>
      </c>
      <c r="G54" s="33" t="s">
        <v>38</v>
      </c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>
        <v>4</v>
      </c>
      <c r="U54" s="35"/>
      <c r="V54" s="324">
        <v>4</v>
      </c>
      <c r="W54" s="61" t="s">
        <v>21</v>
      </c>
      <c r="X54" s="64" t="e">
        <f ca="1">DATEVALUE(_xll.BDP($A$47&amp;"/"&amp;$B$47&amp;" "&amp;$W54&amp;"@"&amp;TEXT($X$45,"MMDDYY")&amp;" Curncy","SETTLE_DT"))</f>
        <v>#NAME?</v>
      </c>
    </row>
    <row r="55" spans="1:49">
      <c r="A55" s="44" t="s">
        <v>10</v>
      </c>
      <c r="B55" s="38" t="s">
        <v>10</v>
      </c>
      <c r="C55" s="264" t="s">
        <v>136</v>
      </c>
      <c r="D55" s="12" t="str">
        <f t="shared" si="10"/>
        <v>USD2M Curncy</v>
      </c>
      <c r="E55" s="12" t="str">
        <f t="shared" si="11"/>
        <v>TWD2M  Curncy</v>
      </c>
      <c r="F55" s="14" t="s">
        <v>46</v>
      </c>
      <c r="G55" s="33" t="s">
        <v>39</v>
      </c>
      <c r="H55" s="35"/>
      <c r="I55" s="35"/>
      <c r="J55" s="35"/>
      <c r="K55" s="35"/>
      <c r="L55" s="35"/>
      <c r="M55" s="35">
        <v>3</v>
      </c>
      <c r="N55" s="35"/>
      <c r="O55" s="35">
        <v>4</v>
      </c>
      <c r="P55" s="35">
        <v>4</v>
      </c>
      <c r="Q55" s="35">
        <v>3</v>
      </c>
      <c r="R55" s="35">
        <v>4</v>
      </c>
      <c r="S55" s="35">
        <v>4</v>
      </c>
      <c r="T55" s="35">
        <v>3</v>
      </c>
      <c r="U55" s="35">
        <v>4</v>
      </c>
      <c r="V55" s="324">
        <v>4</v>
      </c>
      <c r="W55" s="61" t="s">
        <v>22</v>
      </c>
      <c r="X55" s="64" t="e">
        <f ca="1">DATEVALUE(_xll.BDP($A$47&amp;"/"&amp;$B$47&amp;" "&amp;$W55&amp;"@"&amp;TEXT($X$45,"MMDDYY")&amp;" Curncy","SETTLE_DT"))</f>
        <v>#NAME?</v>
      </c>
    </row>
    <row r="56" spans="1:49">
      <c r="A56" s="90" t="s">
        <v>64</v>
      </c>
      <c r="B56" s="91" t="s">
        <v>64</v>
      </c>
      <c r="C56" s="264" t="s">
        <v>137</v>
      </c>
      <c r="D56" s="12" t="str">
        <f t="shared" si="10"/>
        <v>USD3M Curncy</v>
      </c>
      <c r="E56" s="12" t="str">
        <f t="shared" si="11"/>
        <v>TWD3M  Curncy</v>
      </c>
      <c r="F56" s="14" t="s">
        <v>46</v>
      </c>
      <c r="G56" s="33" t="s">
        <v>40</v>
      </c>
      <c r="H56" s="35"/>
      <c r="I56" s="35"/>
      <c r="J56" s="35"/>
      <c r="K56" s="35"/>
      <c r="L56" s="35"/>
      <c r="M56" s="35">
        <v>3</v>
      </c>
      <c r="N56" s="35"/>
      <c r="O56" s="35"/>
      <c r="P56" s="35"/>
      <c r="Q56" s="35"/>
      <c r="R56" s="35"/>
      <c r="S56" s="35"/>
      <c r="T56" s="35">
        <v>3</v>
      </c>
      <c r="U56" s="35"/>
      <c r="V56" s="324"/>
      <c r="W56" s="61" t="s">
        <v>23</v>
      </c>
      <c r="X56" s="64" t="e">
        <f ca="1">DATEVALUE(_xll.BDP($A$47&amp;"/"&amp;$B$47&amp;" "&amp;$W56&amp;"@"&amp;TEXT($X$45,"MMDDYY")&amp;" Curncy","SETTLE_DT"))</f>
        <v>#NAME?</v>
      </c>
    </row>
    <row r="57" spans="1:49">
      <c r="A57" s="90" t="s">
        <v>65</v>
      </c>
      <c r="B57" s="91" t="s">
        <v>65</v>
      </c>
      <c r="C57" s="264" t="s">
        <v>138</v>
      </c>
      <c r="D57" s="12" t="str">
        <f t="shared" si="10"/>
        <v>USD4M Curncy</v>
      </c>
      <c r="E57" s="12" t="str">
        <f t="shared" si="11"/>
        <v>TWD4M  Curncy</v>
      </c>
      <c r="F57" s="14" t="s">
        <v>46</v>
      </c>
      <c r="G57" s="33" t="s">
        <v>35</v>
      </c>
      <c r="H57" s="35"/>
      <c r="I57" s="35"/>
      <c r="J57" s="35"/>
      <c r="K57" s="35"/>
      <c r="L57" s="35"/>
      <c r="M57" s="35">
        <v>3</v>
      </c>
      <c r="N57" s="35"/>
      <c r="O57" s="35"/>
      <c r="P57" s="35"/>
      <c r="Q57" s="35">
        <v>4</v>
      </c>
      <c r="R57" s="35">
        <v>4</v>
      </c>
      <c r="S57" s="35"/>
      <c r="T57" s="35">
        <v>4</v>
      </c>
      <c r="U57" s="35"/>
      <c r="V57" s="324"/>
      <c r="W57" s="61" t="s">
        <v>52</v>
      </c>
      <c r="X57" s="64" t="e">
        <f ca="1">DATEVALUE(_xll.BDP($A$47&amp;"/"&amp;$B$47&amp;" "&amp;$W57&amp;"@"&amp;TEXT($X$45,"MMDDYY")&amp;" Curncy","SETTLE_DT"))</f>
        <v>#NAME?</v>
      </c>
    </row>
    <row r="58" spans="1:49">
      <c r="A58" s="90" t="s">
        <v>66</v>
      </c>
      <c r="B58" s="91" t="s">
        <v>66</v>
      </c>
      <c r="C58" s="264" t="s">
        <v>139</v>
      </c>
      <c r="D58" s="12" t="str">
        <f t="shared" si="10"/>
        <v>USD5M Curncy</v>
      </c>
      <c r="E58" s="12" t="str">
        <f t="shared" si="11"/>
        <v>TWD5M  Curncy</v>
      </c>
      <c r="F58" s="14" t="s">
        <v>46</v>
      </c>
      <c r="G58" s="33" t="s">
        <v>41</v>
      </c>
      <c r="H58" s="35"/>
      <c r="I58" s="35"/>
      <c r="J58" s="35"/>
      <c r="K58" s="35"/>
      <c r="L58" s="35"/>
      <c r="M58" s="35">
        <v>4</v>
      </c>
      <c r="N58" s="35"/>
      <c r="O58" s="35"/>
      <c r="P58" s="35"/>
      <c r="Q58" s="35"/>
      <c r="R58" s="35"/>
      <c r="S58" s="35"/>
      <c r="T58" s="35">
        <v>4</v>
      </c>
      <c r="U58" s="35"/>
      <c r="V58" s="324"/>
      <c r="W58" s="61" t="s">
        <v>53</v>
      </c>
      <c r="X58" s="64" t="e">
        <f ca="1">DATEVALUE(_xll.BDP($A$47&amp;"/"&amp;$B$47&amp;" "&amp;$W58&amp;"@"&amp;TEXT($X$45,"MMDDYY")&amp;" Curncy","SETTLE_DT"))</f>
        <v>#NAME?</v>
      </c>
    </row>
    <row r="59" spans="1:49">
      <c r="A59" s="90" t="s">
        <v>67</v>
      </c>
      <c r="B59" s="91" t="s">
        <v>67</v>
      </c>
      <c r="C59" s="264" t="s">
        <v>140</v>
      </c>
      <c r="D59" s="12" t="str">
        <f t="shared" si="10"/>
        <v>USD6M Curncy</v>
      </c>
      <c r="E59" s="12" t="str">
        <f t="shared" si="11"/>
        <v>TWD6M  Curncy</v>
      </c>
      <c r="F59" s="14" t="s">
        <v>46</v>
      </c>
      <c r="G59" s="33" t="s">
        <v>42</v>
      </c>
      <c r="H59" s="35"/>
      <c r="I59" s="35"/>
      <c r="J59" s="35"/>
      <c r="K59" s="35"/>
      <c r="L59" s="35"/>
      <c r="M59" s="35">
        <v>3</v>
      </c>
      <c r="N59" s="35"/>
      <c r="O59" s="35"/>
      <c r="P59" s="35"/>
      <c r="Q59" s="35"/>
      <c r="R59" s="35"/>
      <c r="S59" s="35"/>
      <c r="T59" s="35">
        <v>4</v>
      </c>
      <c r="U59" s="35"/>
      <c r="V59" s="324"/>
      <c r="W59" s="61" t="s">
        <v>54</v>
      </c>
      <c r="X59" s="64" t="e">
        <f ca="1">DATEVALUE(_xll.BDP($A$47&amp;"/"&amp;$B$47&amp;" "&amp;$W59&amp;"@"&amp;TEXT($X$45,"MMDDYY")&amp;" Curncy","SETTLE_DT"))</f>
        <v>#NAME?</v>
      </c>
    </row>
    <row r="60" spans="1:49">
      <c r="A60" s="44" t="s">
        <v>11</v>
      </c>
      <c r="B60" s="38" t="s">
        <v>11</v>
      </c>
      <c r="C60" s="264" t="s">
        <v>141</v>
      </c>
      <c r="D60" s="12" t="str">
        <f t="shared" si="10"/>
        <v>USD7M Curncy</v>
      </c>
      <c r="E60" s="12" t="str">
        <f t="shared" si="11"/>
        <v>TWD7M  Curncy</v>
      </c>
      <c r="F60" s="14" t="s">
        <v>46</v>
      </c>
      <c r="G60" s="33" t="s">
        <v>43</v>
      </c>
      <c r="H60" s="35"/>
      <c r="I60" s="35"/>
      <c r="J60" s="35"/>
      <c r="K60" s="35"/>
      <c r="L60" s="35"/>
      <c r="M60" s="35">
        <v>2</v>
      </c>
      <c r="N60" s="35"/>
      <c r="O60" s="35">
        <v>4</v>
      </c>
      <c r="P60" s="35">
        <v>4</v>
      </c>
      <c r="Q60" s="35">
        <v>3</v>
      </c>
      <c r="R60" s="35">
        <v>4</v>
      </c>
      <c r="S60" s="35"/>
      <c r="T60" s="35">
        <v>3</v>
      </c>
      <c r="U60" s="35">
        <v>4</v>
      </c>
      <c r="V60" s="324">
        <v>4</v>
      </c>
      <c r="W60" s="61" t="s">
        <v>55</v>
      </c>
      <c r="X60" s="64" t="e">
        <f ca="1">DATEVALUE(_xll.BDP($A$47&amp;"/"&amp;$B$47&amp;" "&amp;$W60&amp;"@"&amp;TEXT($X$45,"MMDDYY")&amp;" Curncy","SETTLE_DT"))</f>
        <v>#NAME?</v>
      </c>
    </row>
    <row r="61" spans="1:49">
      <c r="A61" s="44" t="s">
        <v>26</v>
      </c>
      <c r="B61" s="38" t="s">
        <v>26</v>
      </c>
      <c r="C61" s="264" t="s">
        <v>142</v>
      </c>
      <c r="D61" s="12" t="str">
        <f t="shared" si="10"/>
        <v>USD8M Curncy</v>
      </c>
      <c r="E61" s="12" t="str">
        <f t="shared" si="11"/>
        <v>TWD8M  Curncy</v>
      </c>
      <c r="F61" s="14" t="s">
        <v>46</v>
      </c>
      <c r="G61" s="33" t="s">
        <v>34</v>
      </c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24">
        <v>4</v>
      </c>
      <c r="W61" s="61" t="s">
        <v>56</v>
      </c>
      <c r="X61" s="64" t="e">
        <f ca="1">DATEVALUE(_xll.BDP($A$47&amp;"/"&amp;$B$47&amp;" "&amp;$W61&amp;"@"&amp;TEXT($X$45,"MMDDYY")&amp;" Curncy","SETTLE_DT"))</f>
        <v>#NAME?</v>
      </c>
    </row>
    <row r="62" spans="1:49">
      <c r="A62" s="90" t="s">
        <v>68</v>
      </c>
      <c r="B62" s="91" t="s">
        <v>68</v>
      </c>
      <c r="C62" s="264" t="s">
        <v>143</v>
      </c>
      <c r="D62" s="12" t="str">
        <f t="shared" si="10"/>
        <v>USD9M Curncy</v>
      </c>
      <c r="E62" s="12" t="str">
        <f t="shared" si="11"/>
        <v>TWD9M  Curncy</v>
      </c>
      <c r="F62" s="14" t="s">
        <v>46</v>
      </c>
      <c r="G62" s="33" t="s">
        <v>44</v>
      </c>
      <c r="H62" s="35"/>
      <c r="I62" s="35"/>
      <c r="J62" s="35"/>
      <c r="K62" s="35"/>
      <c r="L62" s="35"/>
      <c r="M62" s="35">
        <v>3</v>
      </c>
      <c r="N62" s="35"/>
      <c r="O62" s="35"/>
      <c r="P62" s="35"/>
      <c r="Q62" s="35"/>
      <c r="R62" s="35"/>
      <c r="S62" s="35"/>
      <c r="T62" s="35">
        <v>4</v>
      </c>
      <c r="U62" s="35"/>
      <c r="V62" s="324"/>
      <c r="W62" s="61" t="s">
        <v>57</v>
      </c>
      <c r="X62" s="64" t="e">
        <f ca="1">DATEVALUE(_xll.BDP($A$47&amp;"/"&amp;$B$47&amp;" "&amp;$W62&amp;"@"&amp;TEXT($X$45,"MMDDYY")&amp;" Curncy","SETTLE_DT"))</f>
        <v>#NAME?</v>
      </c>
    </row>
    <row r="63" spans="1:49" ht="15.75" thickBot="1">
      <c r="A63" s="90" t="s">
        <v>153</v>
      </c>
      <c r="B63" s="91" t="s">
        <v>153</v>
      </c>
      <c r="C63" s="264" t="s">
        <v>154</v>
      </c>
      <c r="D63" s="12" t="str">
        <f t="shared" si="10"/>
        <v>USD10M Curncy</v>
      </c>
      <c r="E63" s="12" t="str">
        <f t="shared" si="11"/>
        <v>TWD10M  Curncy</v>
      </c>
      <c r="F63" s="14" t="s">
        <v>46</v>
      </c>
      <c r="G63" s="36" t="s">
        <v>155</v>
      </c>
      <c r="H63" s="37">
        <v>4</v>
      </c>
      <c r="I63" s="37"/>
      <c r="J63" s="37"/>
      <c r="K63" s="37"/>
      <c r="L63" s="37"/>
      <c r="M63" s="37">
        <v>4</v>
      </c>
      <c r="N63" s="37"/>
      <c r="O63" s="37"/>
      <c r="P63" s="37"/>
      <c r="Q63" s="37"/>
      <c r="R63" s="37"/>
      <c r="S63" s="37"/>
      <c r="T63" s="37">
        <v>4</v>
      </c>
      <c r="U63" s="37"/>
      <c r="V63" s="325"/>
      <c r="W63" s="61" t="s">
        <v>24</v>
      </c>
      <c r="X63" s="64" t="e">
        <f ca="1">DATEVALUE(_xll.BDP($A$47&amp;"/"&amp;$B$47&amp;" "&amp;$W63&amp;"@"&amp;TEXT($X$45,"MMDDYY")&amp;" Curncy","SETTLE_DT"))</f>
        <v>#NAME?</v>
      </c>
    </row>
    <row r="64" spans="1:49">
      <c r="A64" s="45"/>
      <c r="B64" s="39"/>
      <c r="C64" s="40"/>
      <c r="D64" s="12" t="str">
        <f t="shared" si="10"/>
        <v>USD11M Curncy</v>
      </c>
      <c r="E64" s="12" t="str">
        <f t="shared" si="11"/>
        <v>TWD11M  Curncy</v>
      </c>
      <c r="F64" s="14"/>
      <c r="G64" s="12">
        <v>1</v>
      </c>
      <c r="H64" s="12">
        <v>2</v>
      </c>
      <c r="I64" s="12">
        <v>3</v>
      </c>
      <c r="J64" s="12">
        <v>4</v>
      </c>
      <c r="K64" s="12">
        <v>5</v>
      </c>
      <c r="L64" s="12">
        <v>6</v>
      </c>
      <c r="M64" s="12">
        <v>7</v>
      </c>
      <c r="N64" s="12">
        <v>8</v>
      </c>
      <c r="O64" s="12">
        <v>9</v>
      </c>
      <c r="P64" s="12">
        <v>10</v>
      </c>
      <c r="Q64" s="12">
        <v>11</v>
      </c>
      <c r="R64" s="12">
        <v>12</v>
      </c>
      <c r="S64" s="12">
        <v>13</v>
      </c>
      <c r="T64" s="12">
        <v>14</v>
      </c>
      <c r="U64" s="12">
        <v>15</v>
      </c>
      <c r="V64" s="12">
        <v>16</v>
      </c>
      <c r="W64" s="61" t="s">
        <v>58</v>
      </c>
      <c r="X64" s="64" t="e">
        <f ca="1">DATEVALUE(_xll.BDP($A$47&amp;"/"&amp;$B$47&amp;" "&amp;$W64&amp;"@"&amp;TEXT($X$45,"MMDDYY")&amp;" Curncy","SETTLE_DT"))</f>
        <v>#NAME?</v>
      </c>
    </row>
    <row r="65" spans="1:31">
      <c r="A65" s="45"/>
      <c r="B65" s="39"/>
      <c r="C65" s="40"/>
      <c r="D65" s="12" t="str">
        <f t="shared" si="10"/>
        <v>USD12M Curncy</v>
      </c>
      <c r="E65" s="12" t="str">
        <f t="shared" si="11"/>
        <v>TWD12M  Curncy</v>
      </c>
      <c r="F65" s="14"/>
      <c r="G65" s="12"/>
      <c r="H65" s="14"/>
      <c r="I65" s="14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61" t="s">
        <v>59</v>
      </c>
      <c r="X65" s="64" t="e">
        <f ca="1">DATEVALUE(_xll.BDP($A$47&amp;"/"&amp;$B$47&amp;" "&amp;$W65&amp;"@"&amp;TEXT($X$45,"MMDDYY")&amp;" Curncy","SETTLE_DT"))</f>
        <v>#NAME?</v>
      </c>
    </row>
    <row r="66" spans="1:31">
      <c r="A66" s="45"/>
      <c r="B66" s="39"/>
      <c r="C66" s="40"/>
      <c r="D66" s="12" t="str">
        <f t="shared" si="10"/>
        <v>USD2Y Curncy</v>
      </c>
      <c r="E66" s="12" t="str">
        <f t="shared" si="11"/>
        <v>TWD2Y  Curncy</v>
      </c>
      <c r="F66" s="14"/>
      <c r="G66" s="12"/>
      <c r="H66" s="14"/>
      <c r="I66" s="14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61" t="s">
        <v>60</v>
      </c>
      <c r="X66" s="64" t="e">
        <f ca="1">DATEVALUE(_xll.BDP($A$47&amp;"/"&amp;$B$47&amp;" "&amp;$W66&amp;"@"&amp;TEXT($X$45,"MMDDYY")&amp;" Curncy","SETTLE_DT"))</f>
        <v>#NAME?</v>
      </c>
    </row>
    <row r="67" spans="1:31">
      <c r="A67" s="45"/>
      <c r="B67" s="39"/>
      <c r="C67" s="40"/>
      <c r="D67" s="12" t="str">
        <f t="shared" si="10"/>
        <v>USD3Y Curncy</v>
      </c>
      <c r="E67" s="12" t="str">
        <f t="shared" si="11"/>
        <v>TWD3Y  Curncy</v>
      </c>
      <c r="F67" s="14"/>
      <c r="G67" s="12"/>
      <c r="H67" s="14"/>
      <c r="I67" s="14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61" t="s">
        <v>69</v>
      </c>
      <c r="X67" s="64"/>
    </row>
    <row r="68" spans="1:31">
      <c r="A68" s="45"/>
      <c r="B68" s="39"/>
      <c r="C68" s="40"/>
      <c r="D68" s="12" t="str">
        <f t="shared" si="10"/>
        <v>USD4Y Curncy</v>
      </c>
      <c r="E68" s="12" t="str">
        <f t="shared" si="11"/>
        <v>TWD4Y  Curncy</v>
      </c>
      <c r="F68" s="14"/>
      <c r="G68" s="12"/>
      <c r="H68" s="14"/>
      <c r="I68" s="14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61"/>
      <c r="X68" s="60"/>
    </row>
    <row r="69" spans="1:31">
      <c r="A69" s="45"/>
      <c r="B69" s="39"/>
      <c r="C69" s="40"/>
      <c r="D69" s="12" t="str">
        <f t="shared" si="10"/>
        <v>USD5Y Curncy</v>
      </c>
      <c r="E69" s="12" t="str">
        <f t="shared" si="11"/>
        <v>TWD5Y  Curncy</v>
      </c>
      <c r="F69" s="14"/>
      <c r="G69" s="12"/>
      <c r="H69" s="14"/>
      <c r="I69" s="14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61"/>
      <c r="X69" s="60"/>
    </row>
    <row r="70" spans="1:31" ht="15.75" thickBot="1">
      <c r="A70" s="46"/>
      <c r="B70" s="47"/>
      <c r="C70" s="48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62"/>
      <c r="X70" s="63"/>
    </row>
    <row r="73" spans="1:31" ht="15.75" thickBot="1">
      <c r="D73" s="92"/>
      <c r="E73" s="92" t="s">
        <v>78</v>
      </c>
      <c r="F73" s="92"/>
      <c r="G73" s="92"/>
      <c r="H73" s="92" t="s">
        <v>79</v>
      </c>
      <c r="I73" s="92"/>
      <c r="J73" s="92"/>
      <c r="K73" s="92" t="s">
        <v>80</v>
      </c>
      <c r="L73" s="92"/>
      <c r="M73" s="92"/>
      <c r="N73" s="92"/>
      <c r="O73" s="92" t="s">
        <v>81</v>
      </c>
      <c r="P73" s="92"/>
      <c r="Q73" s="92"/>
      <c r="S73" s="9" t="s">
        <v>145</v>
      </c>
      <c r="V73" s="10"/>
      <c r="W73" s="10"/>
      <c r="Z73" s="9" t="s">
        <v>146</v>
      </c>
      <c r="AC73" s="10"/>
      <c r="AD73" s="10"/>
    </row>
    <row r="74" spans="1:31">
      <c r="D74" s="92"/>
      <c r="E74" s="92" t="s">
        <v>83</v>
      </c>
      <c r="F74" s="92" t="s">
        <v>82</v>
      </c>
      <c r="G74" s="92"/>
      <c r="H74" s="92" t="s">
        <v>83</v>
      </c>
      <c r="I74" s="92" t="s">
        <v>82</v>
      </c>
      <c r="J74" s="92"/>
      <c r="K74" s="92" t="s">
        <v>83</v>
      </c>
      <c r="L74" s="92" t="s">
        <v>82</v>
      </c>
      <c r="M74" s="92"/>
      <c r="N74" s="93"/>
      <c r="O74" s="94" t="s">
        <v>83</v>
      </c>
      <c r="P74" s="94" t="s">
        <v>82</v>
      </c>
      <c r="Q74" s="95" t="s">
        <v>77</v>
      </c>
      <c r="S74" s="225" t="s">
        <v>115</v>
      </c>
      <c r="T74" s="225" t="s">
        <v>0</v>
      </c>
      <c r="U74" s="225" t="s">
        <v>26</v>
      </c>
      <c r="V74" s="225" t="s">
        <v>4</v>
      </c>
      <c r="W74" s="225" t="s">
        <v>116</v>
      </c>
      <c r="X74" s="225" t="s">
        <v>117</v>
      </c>
      <c r="Z74" s="225" t="s">
        <v>115</v>
      </c>
      <c r="AA74" s="225" t="s">
        <v>0</v>
      </c>
      <c r="AB74" s="225" t="s">
        <v>26</v>
      </c>
      <c r="AC74" s="225" t="s">
        <v>7</v>
      </c>
      <c r="AD74" s="225" t="s">
        <v>116</v>
      </c>
      <c r="AE74" s="225" t="s">
        <v>117</v>
      </c>
    </row>
    <row r="75" spans="1:31">
      <c r="D75" s="92" t="e">
        <f ca="1">_xll.BDP("USDR1T Curncy","TICKER")</f>
        <v>#NAME?</v>
      </c>
      <c r="E75" s="96" t="e">
        <f ca="1">_xll.BDP("USDR1T Curncy","BID")</f>
        <v>#NAME?</v>
      </c>
      <c r="F75" s="96" t="e">
        <f ca="1">_xll.BDP("USDR1T Curncy","ASK")</f>
        <v>#NAME?</v>
      </c>
      <c r="G75" s="96" t="e">
        <f t="shared" ref="G75:G82" ca="1" si="12">(E75+F75)/2</f>
        <v>#NAME?</v>
      </c>
      <c r="H75" s="96" t="e">
        <f ca="1">_xll.BDP($D75&amp;" MTRT Curncy","BID")</f>
        <v>#NAME?</v>
      </c>
      <c r="I75" s="96" t="e">
        <f ca="1">_xll.BDP($D75&amp;" MTRT Curncy","ASK")</f>
        <v>#NAME?</v>
      </c>
      <c r="J75" s="92" t="e">
        <f t="shared" ref="J75:J91" ca="1" si="13">(H75+I75)/2</f>
        <v>#NAME?</v>
      </c>
      <c r="K75" s="96" t="e">
        <f ca="1">_xll.BDP("USDR1T ICSG Curncy","BID")</f>
        <v>#NAME?</v>
      </c>
      <c r="L75" s="96" t="e">
        <f ca="1">_xll.BDP("USDR1T ICSG Curncy","ASK")</f>
        <v>#NAME?</v>
      </c>
      <c r="M75" s="96" t="e">
        <f t="shared" ref="M75:M91" ca="1" si="14">(K75+L75)/2</f>
        <v>#NAME?</v>
      </c>
      <c r="N75" s="97" t="e">
        <f ca="1">_xll.BDP("USDR1T Curncy","TICKER")</f>
        <v>#NAME?</v>
      </c>
      <c r="O75" s="98" t="e">
        <f ca="1">H75</f>
        <v>#NAME?</v>
      </c>
      <c r="P75" s="98" t="e">
        <f ca="1">I75</f>
        <v>#NAME?</v>
      </c>
      <c r="Q75" s="99" t="e">
        <f t="shared" ref="Q75:Q91" ca="1" si="15">(O75+P75)/2</f>
        <v>#NAME?</v>
      </c>
      <c r="S75" s="233">
        <v>-1.4999999999999999E-2</v>
      </c>
      <c r="T75" s="10" t="s">
        <v>113</v>
      </c>
      <c r="U75" s="226">
        <v>6.7000000000000002E-3</v>
      </c>
      <c r="V75" s="293" t="e">
        <f t="shared" ref="V75:V85" ca="1" si="16">($X$78*U75*W75/$X$76-S75)/(($X$78+S75)*(W75/$X$75))</f>
        <v>#NAME?</v>
      </c>
      <c r="W75" s="224" t="e">
        <f ca="1">J12-J5</f>
        <v>#NAME?</v>
      </c>
      <c r="X75" s="10">
        <v>360</v>
      </c>
      <c r="Z75" s="233">
        <v>-0.06</v>
      </c>
      <c r="AA75" s="10" t="s">
        <v>113</v>
      </c>
      <c r="AB75" s="226">
        <v>7.0000000000000001E-3</v>
      </c>
      <c r="AC75" s="293" t="e">
        <f t="shared" ref="AC75:AC85" ca="1" si="17">($AE$78*AB75*AD75/$AE$76-Z75)/(($AE$78+Z75)*(AD75/$AE$75))</f>
        <v>#NAME?</v>
      </c>
      <c r="AD75" s="224" t="e">
        <f ca="1">W75</f>
        <v>#NAME?</v>
      </c>
      <c r="AE75" s="10">
        <v>360</v>
      </c>
    </row>
    <row r="76" spans="1:31" ht="15.75" thickBot="1">
      <c r="D76" s="92" t="e">
        <f ca="1">_xll.BDP("USDR2T Curncy","TICKER")</f>
        <v>#NAME?</v>
      </c>
      <c r="E76" s="96" t="e">
        <f ca="1">_xll.BDP("USDR2T Curncy","BID")</f>
        <v>#NAME?</v>
      </c>
      <c r="F76" s="96" t="e">
        <f ca="1">_xll.BDP("USDR2T Curncy","ASK")</f>
        <v>#NAME?</v>
      </c>
      <c r="G76" s="96" t="e">
        <f t="shared" ca="1" si="12"/>
        <v>#NAME?</v>
      </c>
      <c r="H76" s="96" t="e">
        <f ca="1">_xll.BDP($D76&amp;" MTRT Curncy","BID")</f>
        <v>#NAME?</v>
      </c>
      <c r="I76" s="96" t="e">
        <f ca="1">_xll.BDP($D76&amp;" MTRT Curncy","ASK")</f>
        <v>#NAME?</v>
      </c>
      <c r="J76" s="92" t="e">
        <f t="shared" ca="1" si="13"/>
        <v>#NAME?</v>
      </c>
      <c r="K76" s="96" t="e">
        <f ca="1">_xll.BDP("USDR2T ICSG Curncy","BID")</f>
        <v>#NAME?</v>
      </c>
      <c r="L76" s="96" t="e">
        <f ca="1">_xll.BDP("USDR2T ICSG Curncy","ASK")</f>
        <v>#NAME?</v>
      </c>
      <c r="M76" s="96" t="e">
        <f t="shared" ca="1" si="14"/>
        <v>#NAME?</v>
      </c>
      <c r="N76" s="97" t="e">
        <f ca="1">_xll.BDP("USDR2T Curncy","TICKER")</f>
        <v>#NAME?</v>
      </c>
      <c r="O76" s="98" t="e">
        <f t="shared" ref="O76:O91" ca="1" si="18">H76</f>
        <v>#NAME?</v>
      </c>
      <c r="P76" s="98" t="e">
        <f t="shared" ref="P76:P91" ca="1" si="19">I76</f>
        <v>#NAME?</v>
      </c>
      <c r="Q76" s="99" t="e">
        <f t="shared" ca="1" si="15"/>
        <v>#NAME?</v>
      </c>
      <c r="S76" s="70">
        <v>-5.0000000000000001E-3</v>
      </c>
      <c r="T76" s="11" t="s">
        <v>19</v>
      </c>
      <c r="U76" s="292">
        <v>8.0000000000000002E-3</v>
      </c>
      <c r="V76" s="227" t="e">
        <f t="shared" ca="1" si="16"/>
        <v>#NAME?</v>
      </c>
      <c r="W76" s="224" t="e">
        <f ca="1">J13-J5</f>
        <v>#NAME?</v>
      </c>
      <c r="X76" s="10">
        <v>365</v>
      </c>
      <c r="Z76" s="70">
        <v>-0.14000000000000001</v>
      </c>
      <c r="AA76" s="11" t="s">
        <v>19</v>
      </c>
      <c r="AB76" s="292">
        <v>8.0000000000000002E-3</v>
      </c>
      <c r="AC76" s="227" t="e">
        <f t="shared" ca="1" si="17"/>
        <v>#NAME?</v>
      </c>
      <c r="AD76" s="224" t="e">
        <f t="shared" ref="AD76:AD85" ca="1" si="20">W76</f>
        <v>#NAME?</v>
      </c>
      <c r="AE76" s="10">
        <v>365</v>
      </c>
    </row>
    <row r="77" spans="1:31" ht="15.75" thickBot="1">
      <c r="D77" s="92" t="e">
        <f ca="1">_xll.BDP("USDR1Z Curncy","TICKER")</f>
        <v>#NAME?</v>
      </c>
      <c r="E77" s="96" t="e">
        <f ca="1">_xll.BDP("USDR1Z Curncy","BID")</f>
        <v>#NAME?</v>
      </c>
      <c r="F77" s="96" t="e">
        <f ca="1">_xll.BDP("USDR1Z Curncy","ASK")</f>
        <v>#NAME?</v>
      </c>
      <c r="G77" s="96" t="e">
        <f t="shared" ca="1" si="12"/>
        <v>#NAME?</v>
      </c>
      <c r="H77" s="96" t="e">
        <f ca="1">_xll.BDP($D77&amp;" MTRT Curncy","BID")</f>
        <v>#NAME?</v>
      </c>
      <c r="I77" s="96" t="e">
        <f ca="1">_xll.BDP($D77&amp;" MTRT Curncy","ASK")</f>
        <v>#NAME?</v>
      </c>
      <c r="J77" s="92" t="e">
        <f t="shared" ca="1" si="13"/>
        <v>#NAME?</v>
      </c>
      <c r="K77" s="96" t="e">
        <f ca="1">_xll.BDP("USDR1Z ICSG Curncy","BID")</f>
        <v>#NAME?</v>
      </c>
      <c r="L77" s="96" t="e">
        <f ca="1">_xll.BDP("USDR1Z ICSG Curncy","ASK")</f>
        <v>#NAME?</v>
      </c>
      <c r="M77" s="96" t="e">
        <f t="shared" ca="1" si="14"/>
        <v>#NAME?</v>
      </c>
      <c r="N77" s="97" t="e">
        <f ca="1">_xll.BDP("USDR1Z Curncy","TICKER")</f>
        <v>#NAME?</v>
      </c>
      <c r="O77" s="98" t="e">
        <f t="shared" ca="1" si="18"/>
        <v>#NAME?</v>
      </c>
      <c r="P77" s="98" t="e">
        <f t="shared" ca="1" si="19"/>
        <v>#NAME?</v>
      </c>
      <c r="Q77" s="99" t="e">
        <f t="shared" ca="1" si="15"/>
        <v>#NAME?</v>
      </c>
      <c r="S77" s="259">
        <v>-0.05</v>
      </c>
      <c r="T77" s="249" t="s">
        <v>114</v>
      </c>
      <c r="U77" s="257">
        <v>6.8999999999999999E-3</v>
      </c>
      <c r="V77" s="294" t="e">
        <f t="shared" ca="1" si="16"/>
        <v>#NAME?</v>
      </c>
      <c r="W77" s="224" t="e">
        <f ca="1">K14</f>
        <v>#NAME?</v>
      </c>
      <c r="X77" s="225" t="s">
        <v>12</v>
      </c>
      <c r="Z77" s="259">
        <v>-0.2</v>
      </c>
      <c r="AA77" s="249" t="s">
        <v>114</v>
      </c>
      <c r="AB77" s="257">
        <v>7.1999999999999998E-3</v>
      </c>
      <c r="AC77" s="293" t="e">
        <f t="shared" ca="1" si="17"/>
        <v>#NAME?</v>
      </c>
      <c r="AD77" s="224" t="e">
        <f t="shared" ca="1" si="20"/>
        <v>#NAME?</v>
      </c>
      <c r="AE77" s="225" t="s">
        <v>12</v>
      </c>
    </row>
    <row r="78" spans="1:31" ht="15.75" thickBot="1">
      <c r="D78" s="92" t="e">
        <f ca="1">_xll.BDP("USDR2Z Curncy","TICKER")</f>
        <v>#NAME?</v>
      </c>
      <c r="E78" s="96" t="e">
        <f ca="1">_xll.BDP("USDR2Z Curncy","BID")</f>
        <v>#NAME?</v>
      </c>
      <c r="F78" s="96" t="e">
        <f ca="1">_xll.BDP("USDR2Z Curncy","ASK")</f>
        <v>#NAME?</v>
      </c>
      <c r="G78" s="96" t="e">
        <f t="shared" ca="1" si="12"/>
        <v>#NAME?</v>
      </c>
      <c r="H78" s="96" t="e">
        <f ca="1">_xll.BDP($D78&amp;" MTRT Curncy","BID")</f>
        <v>#NAME?</v>
      </c>
      <c r="I78" s="96" t="e">
        <f ca="1">_xll.BDP($D78&amp;" MTRT Curncy","ASK")</f>
        <v>#NAME?</v>
      </c>
      <c r="J78" s="92" t="e">
        <f t="shared" ca="1" si="13"/>
        <v>#NAME?</v>
      </c>
      <c r="K78" s="96" t="e">
        <f ca="1">_xll.BDP("USDR2Z ICSG Curncy","BID")</f>
        <v>#NAME?</v>
      </c>
      <c r="L78" s="96" t="e">
        <f ca="1">_xll.BDP("USDR2Z ICSG Curncy","ASK")</f>
        <v>#NAME?</v>
      </c>
      <c r="M78" s="96" t="e">
        <f t="shared" ca="1" si="14"/>
        <v>#NAME?</v>
      </c>
      <c r="N78" s="97" t="e">
        <f ca="1">_xll.BDP("USDR2Z Curncy","TICKER")</f>
        <v>#NAME?</v>
      </c>
      <c r="O78" s="98" t="e">
        <f t="shared" ca="1" si="18"/>
        <v>#NAME?</v>
      </c>
      <c r="P78" s="98" t="e">
        <f t="shared" ca="1" si="19"/>
        <v>#NAME?</v>
      </c>
      <c r="Q78" s="99" t="e">
        <f t="shared" ca="1" si="15"/>
        <v>#NAME?</v>
      </c>
      <c r="S78" s="259">
        <v>-0.1</v>
      </c>
      <c r="T78" s="249" t="s">
        <v>112</v>
      </c>
      <c r="U78" s="257">
        <v>7.1000000000000004E-3</v>
      </c>
      <c r="V78" s="294" t="e">
        <f t="shared" ca="1" si="16"/>
        <v>#NAME?</v>
      </c>
      <c r="W78" s="251" t="e">
        <f ca="1">K17</f>
        <v>#NAME?</v>
      </c>
      <c r="X78" s="228" t="e">
        <f ca="1">N6</f>
        <v>#NAME?</v>
      </c>
      <c r="Z78" s="259">
        <v>-0.41</v>
      </c>
      <c r="AA78" s="249" t="s">
        <v>112</v>
      </c>
      <c r="AB78" s="257">
        <v>7.3000000000000001E-3</v>
      </c>
      <c r="AC78" s="293" t="e">
        <f t="shared" ca="1" si="17"/>
        <v>#NAME?</v>
      </c>
      <c r="AD78" s="224" t="e">
        <f t="shared" ca="1" si="20"/>
        <v>#NAME?</v>
      </c>
      <c r="AE78" s="228" t="e">
        <f ca="1">_xll.BDP("AUDTWD Curncy","BID")</f>
        <v>#NAME?</v>
      </c>
    </row>
    <row r="79" spans="1:31">
      <c r="D79" s="92" t="e">
        <f ca="1">_xll.BDP("USDR3Z Curncy","TICKER")</f>
        <v>#NAME?</v>
      </c>
      <c r="E79" s="96" t="e">
        <f ca="1">_xll.BDP("USDR3Z Curncy","BID")</f>
        <v>#NAME?</v>
      </c>
      <c r="F79" s="96" t="e">
        <f ca="1">_xll.BDP("USDR3Z Curncy","ASK")</f>
        <v>#NAME?</v>
      </c>
      <c r="G79" s="96" t="e">
        <f t="shared" ca="1" si="12"/>
        <v>#NAME?</v>
      </c>
      <c r="H79" s="96" t="e">
        <f ca="1">_xll.BDP($D79&amp;" MTRT Curncy","BID")</f>
        <v>#NAME?</v>
      </c>
      <c r="I79" s="96" t="e">
        <f ca="1">_xll.BDP($D79&amp;" MTRT Curncy","ASK")</f>
        <v>#NAME?</v>
      </c>
      <c r="J79" s="92" t="e">
        <f t="shared" ca="1" si="13"/>
        <v>#NAME?</v>
      </c>
      <c r="K79" s="96" t="e">
        <f ca="1">_xll.BDP("USDR3Z ICSG Curncy","BID")</f>
        <v>#NAME?</v>
      </c>
      <c r="L79" s="96" t="e">
        <f ca="1">_xll.BDP("USDR3Z ICSG Curncy","ASK")</f>
        <v>#NAME?</v>
      </c>
      <c r="M79" s="96" t="e">
        <f t="shared" ca="1" si="14"/>
        <v>#NAME?</v>
      </c>
      <c r="N79" s="97" t="e">
        <f ca="1">_xll.BDP("USDR3Z Curncy","TICKER")</f>
        <v>#NAME?</v>
      </c>
      <c r="O79" s="98" t="e">
        <f t="shared" ca="1" si="18"/>
        <v>#NAME?</v>
      </c>
      <c r="P79" s="98" t="e">
        <f t="shared" ca="1" si="19"/>
        <v>#NAME?</v>
      </c>
      <c r="Q79" s="99" t="e">
        <f t="shared" ca="1" si="15"/>
        <v>#NAME?</v>
      </c>
      <c r="S79" s="70">
        <v>-0.125</v>
      </c>
      <c r="T79" s="11" t="s">
        <v>105</v>
      </c>
      <c r="U79" s="292">
        <v>7.4999999999999997E-3</v>
      </c>
      <c r="V79" s="227" t="e">
        <f t="shared" ca="1" si="16"/>
        <v>#NAME?</v>
      </c>
      <c r="W79" s="224" t="e">
        <f ca="1">J20-J5</f>
        <v>#NAME?</v>
      </c>
      <c r="X79" s="216" t="e">
        <f ca="1">(G2+H2)/2</f>
        <v>#NAME?</v>
      </c>
      <c r="Z79" s="70">
        <v>-1.04</v>
      </c>
      <c r="AA79" s="11" t="s">
        <v>105</v>
      </c>
      <c r="AB79" s="292">
        <v>7.3000000000000001E-3</v>
      </c>
      <c r="AC79" s="227" t="e">
        <f t="shared" ca="1" si="17"/>
        <v>#NAME?</v>
      </c>
      <c r="AD79" s="224" t="e">
        <f t="shared" ca="1" si="20"/>
        <v>#NAME?</v>
      </c>
      <c r="AE79" s="216"/>
    </row>
    <row r="80" spans="1:31">
      <c r="D80" s="92" t="e">
        <f ca="1">_xll.BDP("USDRA Curncy","TICKER")</f>
        <v>#NAME?</v>
      </c>
      <c r="E80" s="96" t="e">
        <f ca="1">_xll.BDP("USDRA Curncy","BID")</f>
        <v>#NAME?</v>
      </c>
      <c r="F80" s="96" t="e">
        <f ca="1">_xll.BDP("USDRA Curncy","ASK")</f>
        <v>#NAME?</v>
      </c>
      <c r="G80" s="96" t="e">
        <f t="shared" ca="1" si="12"/>
        <v>#NAME?</v>
      </c>
      <c r="H80" s="96" t="e">
        <f ca="1">_xll.BDP($D80&amp;" MTRT Curncy","BID")</f>
        <v>#NAME?</v>
      </c>
      <c r="I80" s="96" t="e">
        <f ca="1">_xll.BDP($D80&amp;" MTRT Curncy","ASK")</f>
        <v>#NAME?</v>
      </c>
      <c r="J80" s="92" t="e">
        <f t="shared" ca="1" si="13"/>
        <v>#NAME?</v>
      </c>
      <c r="K80" s="96" t="e">
        <f ca="1">_xll.BDP("USDRA ICSG Curncy","BID")</f>
        <v>#NAME?</v>
      </c>
      <c r="L80" s="96" t="e">
        <f ca="1">_xll.BDP("USDRA ICSG Curncy","ASK")</f>
        <v>#NAME?</v>
      </c>
      <c r="M80" s="96" t="e">
        <f t="shared" ca="1" si="14"/>
        <v>#NAME?</v>
      </c>
      <c r="N80" s="97" t="e">
        <f ca="1">_xll.BDP("USDRA Curncy","TICKER")</f>
        <v>#NAME?</v>
      </c>
      <c r="O80" s="98" t="e">
        <f t="shared" ca="1" si="18"/>
        <v>#NAME?</v>
      </c>
      <c r="P80" s="98" t="e">
        <f t="shared" ca="1" si="19"/>
        <v>#NAME?</v>
      </c>
      <c r="Q80" s="99" t="e">
        <f t="shared" ca="1" si="15"/>
        <v>#NAME?</v>
      </c>
      <c r="S80" s="233">
        <v>-0.2</v>
      </c>
      <c r="T80" s="10" t="s">
        <v>94</v>
      </c>
      <c r="U80" s="226">
        <v>7.4000000000000003E-3</v>
      </c>
      <c r="V80" s="293" t="e">
        <f t="shared" ca="1" si="16"/>
        <v>#NAME?</v>
      </c>
      <c r="W80" s="224" t="e">
        <f ca="1">K23</f>
        <v>#NAME?</v>
      </c>
      <c r="X80" s="10"/>
      <c r="Z80" s="233">
        <v>-0.85</v>
      </c>
      <c r="AA80" s="10" t="s">
        <v>94</v>
      </c>
      <c r="AB80" s="226">
        <v>7.6E-3</v>
      </c>
      <c r="AC80" s="293" t="e">
        <f t="shared" ca="1" si="17"/>
        <v>#NAME?</v>
      </c>
      <c r="AD80" s="224" t="e">
        <f t="shared" ca="1" si="20"/>
        <v>#NAME?</v>
      </c>
      <c r="AE80" s="10"/>
    </row>
    <row r="81" spans="1:30">
      <c r="D81" s="92" t="e">
        <f ca="1">_xll.BDP("USDRB Curncy","TICKER")</f>
        <v>#NAME?</v>
      </c>
      <c r="E81" s="96" t="e">
        <f ca="1">_xll.BDP("USDRB Curncy","BID")</f>
        <v>#NAME?</v>
      </c>
      <c r="F81" s="96" t="e">
        <f ca="1">_xll.BDP("USDRB Curncy","ASK")</f>
        <v>#NAME?</v>
      </c>
      <c r="G81" s="96" t="e">
        <f t="shared" ca="1" si="12"/>
        <v>#NAME?</v>
      </c>
      <c r="H81" s="96" t="e">
        <f ca="1">_xll.BDP($D81&amp;" MTRT Curncy","BID")</f>
        <v>#NAME?</v>
      </c>
      <c r="I81" s="96" t="e">
        <f ca="1">_xll.BDP($D81&amp;" MTRT Curncy","ASK")</f>
        <v>#NAME?</v>
      </c>
      <c r="J81" s="92" t="e">
        <f t="shared" ca="1" si="13"/>
        <v>#NAME?</v>
      </c>
      <c r="K81" s="96" t="e">
        <f ca="1">_xll.BDP("USDRB ICSG Curncy","BID")</f>
        <v>#NAME?</v>
      </c>
      <c r="L81" s="96" t="e">
        <f ca="1">_xll.BDP("USDRB ICSG Curncy","ASK")</f>
        <v>#NAME?</v>
      </c>
      <c r="M81" s="96" t="e">
        <f t="shared" ca="1" si="14"/>
        <v>#NAME?</v>
      </c>
      <c r="N81" s="97" t="e">
        <f ca="1">_xll.BDP("USDRB Curncy","TICKER")</f>
        <v>#NAME?</v>
      </c>
      <c r="O81" s="98" t="e">
        <f t="shared" ca="1" si="18"/>
        <v>#NAME?</v>
      </c>
      <c r="P81" s="98" t="e">
        <f t="shared" ca="1" si="19"/>
        <v>#NAME?</v>
      </c>
      <c r="Q81" s="99" t="e">
        <f t="shared" ca="1" si="15"/>
        <v>#NAME?</v>
      </c>
      <c r="S81" s="272">
        <v>-0.09</v>
      </c>
      <c r="T81" s="229" t="s">
        <v>53</v>
      </c>
      <c r="U81" s="230">
        <v>5.0000000000000001E-3</v>
      </c>
      <c r="V81" s="232" t="e">
        <f t="shared" ca="1" si="16"/>
        <v>#NAME?</v>
      </c>
      <c r="W81" s="231" t="e">
        <f ca="1">J19-J5</f>
        <v>#NAME?</v>
      </c>
      <c r="Z81" s="272">
        <v>-0.68</v>
      </c>
      <c r="AA81" s="229" t="s">
        <v>53</v>
      </c>
      <c r="AB81" s="230">
        <v>5.0000000000000001E-3</v>
      </c>
      <c r="AC81" s="227" t="e">
        <f t="shared" ca="1" si="17"/>
        <v>#NAME?</v>
      </c>
      <c r="AD81" s="224" t="e">
        <f t="shared" ca="1" si="20"/>
        <v>#NAME?</v>
      </c>
    </row>
    <row r="82" spans="1:30" ht="15.75" thickBot="1">
      <c r="D82" s="92" t="e">
        <f ca="1">_xll.BDP("USDRC Curncy","TICKER")</f>
        <v>#NAME?</v>
      </c>
      <c r="E82" s="96" t="e">
        <f ca="1">_xll.BDP("USDRC Curncy","BID")</f>
        <v>#NAME?</v>
      </c>
      <c r="F82" s="96" t="e">
        <f ca="1">_xll.BDP("USDRC Curncy","ASK")</f>
        <v>#NAME?</v>
      </c>
      <c r="G82" s="96" t="e">
        <f t="shared" ca="1" si="12"/>
        <v>#NAME?</v>
      </c>
      <c r="H82" s="96" t="e">
        <f ca="1">_xll.BDP($D82&amp;" MTRT Curncy","BID")</f>
        <v>#NAME?</v>
      </c>
      <c r="I82" s="96" t="e">
        <f ca="1">_xll.BDP($D82&amp;" MTRT Curncy","ASK")</f>
        <v>#NAME?</v>
      </c>
      <c r="J82" s="92" t="e">
        <f t="shared" ca="1" si="13"/>
        <v>#NAME?</v>
      </c>
      <c r="K82" s="96" t="e">
        <f ca="1">_xll.BDP("USDRC ICSG Curncy","BID")</f>
        <v>#NAME?</v>
      </c>
      <c r="L82" s="96" t="e">
        <f ca="1">_xll.BDP("USDRC ICSG Curncy","ASK")</f>
        <v>#NAME?</v>
      </c>
      <c r="M82" s="96" t="e">
        <f t="shared" ca="1" si="14"/>
        <v>#NAME?</v>
      </c>
      <c r="N82" s="97" t="e">
        <f ca="1">_xll.BDP("USDRC Curncy","TICKER")</f>
        <v>#NAME?</v>
      </c>
      <c r="O82" s="98" t="e">
        <f ca="1">H82</f>
        <v>#NAME?</v>
      </c>
      <c r="P82" s="98" t="e">
        <f t="shared" ca="1" si="19"/>
        <v>#NAME?</v>
      </c>
      <c r="Q82" s="99" t="e">
        <f t="shared" ca="1" si="15"/>
        <v>#NAME?</v>
      </c>
      <c r="S82" s="273">
        <v>-0.17</v>
      </c>
      <c r="T82" s="252" t="s">
        <v>52</v>
      </c>
      <c r="U82" s="253">
        <v>4.7000000000000002E-3</v>
      </c>
      <c r="V82" s="254" t="e">
        <f t="shared" ca="1" si="16"/>
        <v>#NAME?</v>
      </c>
      <c r="W82" s="255" t="e">
        <f ca="1">K18</f>
        <v>#NAME?</v>
      </c>
      <c r="Z82" s="273">
        <v>-0.1</v>
      </c>
      <c r="AA82" s="252" t="s">
        <v>52</v>
      </c>
      <c r="AB82" s="253">
        <v>4.0000000000000001E-3</v>
      </c>
      <c r="AC82" s="227" t="e">
        <f t="shared" ca="1" si="17"/>
        <v>#NAME?</v>
      </c>
      <c r="AD82" s="224" t="e">
        <f t="shared" ca="1" si="20"/>
        <v>#NAME?</v>
      </c>
    </row>
    <row r="83" spans="1:30" ht="15.75" thickBot="1">
      <c r="D83" s="92" t="e">
        <f ca="1">_xll.BDP("USDRD Curncy","TICKER")</f>
        <v>#NAME?</v>
      </c>
      <c r="E83" s="96"/>
      <c r="F83" s="96"/>
      <c r="G83" s="96"/>
      <c r="H83" s="96" t="e">
        <f ca="1">_xll.BDP($D83&amp;" MTRT Curncy","BID")</f>
        <v>#NAME?</v>
      </c>
      <c r="I83" s="96" t="e">
        <f ca="1">_xll.BDP($D83&amp;" MTRT Curncy","ASK")</f>
        <v>#NAME?</v>
      </c>
      <c r="J83" s="92" t="e">
        <f t="shared" ca="1" si="13"/>
        <v>#NAME?</v>
      </c>
      <c r="K83" s="96" t="e">
        <f ca="1">_xll.BDP("USDRD ICSG Curncy","BID")</f>
        <v>#NAME?</v>
      </c>
      <c r="L83" s="96" t="e">
        <f ca="1">_xll.BDP("USDRD ICSG Curncy","ASK")</f>
        <v>#NAME?</v>
      </c>
      <c r="M83" s="96" t="e">
        <f t="shared" ca="1" si="14"/>
        <v>#NAME?</v>
      </c>
      <c r="N83" s="97" t="e">
        <f ca="1">_xll.BDP("USDRD Curncy","TICKER")</f>
        <v>#NAME?</v>
      </c>
      <c r="O83" s="98" t="e">
        <f t="shared" ca="1" si="18"/>
        <v>#NAME?</v>
      </c>
      <c r="P83" s="98" t="e">
        <f t="shared" ca="1" si="19"/>
        <v>#NAME?</v>
      </c>
      <c r="Q83" s="99" t="e">
        <f t="shared" ca="1" si="15"/>
        <v>#NAME?</v>
      </c>
      <c r="S83" s="271">
        <v>-5.5E-2</v>
      </c>
      <c r="T83" s="249" t="s">
        <v>22</v>
      </c>
      <c r="U83" s="258">
        <v>7.7000000000000002E-3</v>
      </c>
      <c r="V83" s="250" t="e">
        <f t="shared" ca="1" si="16"/>
        <v>#NAME?</v>
      </c>
      <c r="W83" s="256" t="e">
        <f ca="1">K16</f>
        <v>#NAME?</v>
      </c>
      <c r="Z83" s="271">
        <v>-8.8999999999999996E-2</v>
      </c>
      <c r="AA83" s="249" t="s">
        <v>22</v>
      </c>
      <c r="AB83" s="258">
        <v>4.0000000000000001E-3</v>
      </c>
      <c r="AC83" s="227" t="e">
        <f t="shared" ca="1" si="17"/>
        <v>#NAME?</v>
      </c>
      <c r="AD83" s="224" t="e">
        <f t="shared" ca="1" si="20"/>
        <v>#NAME?</v>
      </c>
    </row>
    <row r="84" spans="1:30" ht="15.75" thickBot="1">
      <c r="D84" s="92" t="e">
        <f ca="1">_xll.BDP("USDRE Curncy","TICKER")</f>
        <v>#NAME?</v>
      </c>
      <c r="E84" s="96"/>
      <c r="F84" s="96"/>
      <c r="G84" s="96"/>
      <c r="H84" s="96" t="e">
        <f ca="1">_xll.BDP($D84&amp;" MTRT Curncy","BID")</f>
        <v>#NAME?</v>
      </c>
      <c r="I84" s="96" t="e">
        <f ca="1">_xll.BDP($D84&amp;" MTRT Curncy","ASK")</f>
        <v>#NAME?</v>
      </c>
      <c r="J84" s="92" t="e">
        <f t="shared" ca="1" si="13"/>
        <v>#NAME?</v>
      </c>
      <c r="K84" s="96" t="e">
        <f ca="1">_xll.BDP("USDRE ICSG Curncy","BID")</f>
        <v>#NAME?</v>
      </c>
      <c r="L84" s="96" t="e">
        <f ca="1">_xll.BDP("USDRE ICSG Curncy","ASK")</f>
        <v>#NAME?</v>
      </c>
      <c r="M84" s="96" t="e">
        <f t="shared" ca="1" si="14"/>
        <v>#NAME?</v>
      </c>
      <c r="N84" s="97" t="e">
        <f ca="1">_xll.BDP("USDRE Curncy","TICKER")</f>
        <v>#NAME?</v>
      </c>
      <c r="O84" s="98" t="e">
        <f t="shared" ca="1" si="18"/>
        <v>#NAME?</v>
      </c>
      <c r="P84" s="98" t="e">
        <f t="shared" ca="1" si="19"/>
        <v>#NAME?</v>
      </c>
      <c r="Q84" s="99" t="e">
        <f t="shared" ca="1" si="15"/>
        <v>#NAME?</v>
      </c>
      <c r="S84" s="271">
        <v>-8.5000000000000006E-2</v>
      </c>
      <c r="T84" s="249" t="s">
        <v>21</v>
      </c>
      <c r="U84" s="258">
        <v>9.4999999999999998E-3</v>
      </c>
      <c r="V84" s="250" t="e">
        <f t="shared" ca="1" si="16"/>
        <v>#NAME?</v>
      </c>
      <c r="W84" s="256" t="e">
        <f ca="1">K15</f>
        <v>#NAME?</v>
      </c>
      <c r="Z84" s="271">
        <v>-3.15E-2</v>
      </c>
      <c r="AA84" s="249" t="s">
        <v>21</v>
      </c>
      <c r="AB84" s="258">
        <v>4.0000000000000001E-3</v>
      </c>
      <c r="AC84" s="227" t="e">
        <f t="shared" ca="1" si="17"/>
        <v>#NAME?</v>
      </c>
      <c r="AD84" s="224" t="e">
        <f t="shared" ca="1" si="20"/>
        <v>#NAME?</v>
      </c>
    </row>
    <row r="85" spans="1:30" ht="15.75" thickBot="1">
      <c r="D85" s="92" t="e">
        <f ca="1">_xll.BDP("USDRF Curncy","TICKER")</f>
        <v>#NAME?</v>
      </c>
      <c r="E85" s="96" t="e">
        <f ca="1">_xll.BDP("USDRF Curncy","BID")</f>
        <v>#NAME?</v>
      </c>
      <c r="F85" s="96" t="e">
        <f ca="1">_xll.BDP("USDRF Curncy","ASK")</f>
        <v>#NAME?</v>
      </c>
      <c r="G85" s="96" t="e">
        <f t="shared" ref="G85:G91" ca="1" si="21">(E85+F85)/2</f>
        <v>#NAME?</v>
      </c>
      <c r="H85" s="96" t="e">
        <f ca="1">_xll.BDP($D85&amp;" MTRT Curncy","BID")</f>
        <v>#NAME?</v>
      </c>
      <c r="I85" s="96" t="e">
        <f ca="1">_xll.BDP($D85&amp;" MTRT Curncy","ASK")</f>
        <v>#NAME?</v>
      </c>
      <c r="J85" s="92" t="e">
        <f t="shared" ca="1" si="13"/>
        <v>#NAME?</v>
      </c>
      <c r="K85" s="96" t="e">
        <f ca="1">_xll.BDP("USDRF ICSG Curncy","BID")</f>
        <v>#NAME?</v>
      </c>
      <c r="L85" s="96" t="e">
        <f ca="1">_xll.BDP("USDRF ICSG Curncy","ASK")</f>
        <v>#NAME?</v>
      </c>
      <c r="M85" s="96" t="e">
        <f t="shared" ca="1" si="14"/>
        <v>#NAME?</v>
      </c>
      <c r="N85" s="97" t="e">
        <f ca="1">_xll.BDP("USDRF Curncy","TICKER")</f>
        <v>#NAME?</v>
      </c>
      <c r="O85" s="98" t="e">
        <f t="shared" ca="1" si="18"/>
        <v>#NAME?</v>
      </c>
      <c r="P85" s="98" t="e">
        <f t="shared" ca="1" si="19"/>
        <v>#NAME?</v>
      </c>
      <c r="Q85" s="99" t="e">
        <f t="shared" ca="1" si="15"/>
        <v>#NAME?</v>
      </c>
      <c r="S85" s="271">
        <v>-5.3999999999999999E-2</v>
      </c>
      <c r="T85" s="249" t="s">
        <v>22</v>
      </c>
      <c r="U85" s="258">
        <v>4.0000000000000001E-3</v>
      </c>
      <c r="V85" s="250" t="e">
        <f t="shared" ca="1" si="16"/>
        <v>#NAME?</v>
      </c>
      <c r="W85" s="256" t="e">
        <f ca="1">K16</f>
        <v>#NAME?</v>
      </c>
      <c r="Z85" s="271">
        <v>-5.3999999999999999E-2</v>
      </c>
      <c r="AA85" s="249" t="s">
        <v>22</v>
      </c>
      <c r="AB85" s="258">
        <v>4.0000000000000001E-3</v>
      </c>
      <c r="AC85" s="227" t="e">
        <f t="shared" ca="1" si="17"/>
        <v>#NAME?</v>
      </c>
      <c r="AD85" s="224" t="e">
        <f t="shared" ca="1" si="20"/>
        <v>#NAME?</v>
      </c>
    </row>
    <row r="86" spans="1:30">
      <c r="D86" s="92" t="e">
        <f ca="1">_xll.BDP("USDRG Curncy","TICKER")</f>
        <v>#NAME?</v>
      </c>
      <c r="E86" s="96" t="e">
        <f ca="1">_xll.BDP("USDRG Curncy","BID")</f>
        <v>#NAME?</v>
      </c>
      <c r="F86" s="96" t="e">
        <f ca="1">_xll.BDP("USDRG Curncy","ASK")</f>
        <v>#NAME?</v>
      </c>
      <c r="G86" s="96" t="e">
        <f t="shared" ca="1" si="21"/>
        <v>#NAME?</v>
      </c>
      <c r="H86" s="96" t="e">
        <f ca="1">_xll.BDP($D86&amp;" MTRT Curncy","BID")</f>
        <v>#NAME?</v>
      </c>
      <c r="I86" s="96" t="e">
        <f ca="1">_xll.BDP($D86&amp;" MTRT Curncy","ASK")</f>
        <v>#NAME?</v>
      </c>
      <c r="J86" s="92" t="e">
        <f t="shared" ca="1" si="13"/>
        <v>#NAME?</v>
      </c>
      <c r="K86" s="96"/>
      <c r="L86" s="96"/>
      <c r="M86" s="96">
        <f t="shared" si="14"/>
        <v>0</v>
      </c>
      <c r="N86" s="97" t="e">
        <f ca="1">_xll.BDP("USDRG Curncy","TICKER")</f>
        <v>#NAME?</v>
      </c>
      <c r="O86" s="98" t="e">
        <f t="shared" ca="1" si="18"/>
        <v>#NAME?</v>
      </c>
      <c r="P86" s="98" t="e">
        <f t="shared" ca="1" si="19"/>
        <v>#NAME?</v>
      </c>
      <c r="Q86" s="99" t="e">
        <f t="shared" ca="1" si="15"/>
        <v>#NAME?</v>
      </c>
    </row>
    <row r="87" spans="1:30">
      <c r="D87" s="92" t="e">
        <f ca="1">_xll.BDP("USDRH Curncy","TICKER")</f>
        <v>#NAME?</v>
      </c>
      <c r="E87" s="96" t="e">
        <f ca="1">_xll.BDP("USDRH Curncy","BID")</f>
        <v>#NAME?</v>
      </c>
      <c r="F87" s="96" t="e">
        <f ca="1">_xll.BDP("USDRH Curncy","ASK")</f>
        <v>#NAME?</v>
      </c>
      <c r="G87" s="96" t="e">
        <f t="shared" ca="1" si="21"/>
        <v>#NAME?</v>
      </c>
      <c r="H87" s="96" t="e">
        <f ca="1">_xll.BDP($D87&amp;" MTRT Curncy","BID")</f>
        <v>#NAME?</v>
      </c>
      <c r="I87" s="96" t="e">
        <f ca="1">_xll.BDP($D87&amp;" MTRT Curncy","ASK")</f>
        <v>#NAME?</v>
      </c>
      <c r="J87" s="92" t="e">
        <f t="shared" ca="1" si="13"/>
        <v>#NAME?</v>
      </c>
      <c r="K87" s="96"/>
      <c r="L87" s="96"/>
      <c r="M87" s="96">
        <f t="shared" si="14"/>
        <v>0</v>
      </c>
      <c r="N87" s="97" t="e">
        <f ca="1">_xll.BDP("USDRH Curncy","TICKER")</f>
        <v>#NAME?</v>
      </c>
      <c r="O87" s="98" t="e">
        <f t="shared" ca="1" si="18"/>
        <v>#NAME?</v>
      </c>
      <c r="P87" s="98" t="e">
        <f t="shared" ca="1" si="19"/>
        <v>#NAME?</v>
      </c>
      <c r="Q87" s="99" t="e">
        <f t="shared" ca="1" si="15"/>
        <v>#NAME?</v>
      </c>
      <c r="S87" s="223">
        <v>40037</v>
      </c>
      <c r="T87" s="223">
        <v>40402</v>
      </c>
      <c r="U87" s="236">
        <f>S87-T87</f>
        <v>-365</v>
      </c>
    </row>
    <row r="88" spans="1:30">
      <c r="D88" s="92" t="e">
        <f ca="1">_xll.BDP("USDRI Curncy","TICKER")</f>
        <v>#NAME?</v>
      </c>
      <c r="E88" s="96" t="e">
        <f ca="1">_xll.BDP("USDRI Curncy","BID")</f>
        <v>#NAME?</v>
      </c>
      <c r="F88" s="96" t="e">
        <f ca="1">_xll.BDP("USDRI Curncy","ASK")</f>
        <v>#NAME?</v>
      </c>
      <c r="G88" s="96" t="e">
        <f t="shared" ca="1" si="21"/>
        <v>#NAME?</v>
      </c>
      <c r="H88" s="96" t="e">
        <f ca="1">_xll.BDP($D88&amp;" MTRT Curncy","BID")</f>
        <v>#NAME?</v>
      </c>
      <c r="I88" s="96" t="e">
        <f ca="1">_xll.BDP($D88&amp;" MTRT Curncy","ASK")</f>
        <v>#NAME?</v>
      </c>
      <c r="J88" s="92" t="e">
        <f t="shared" ca="1" si="13"/>
        <v>#NAME?</v>
      </c>
      <c r="K88" s="96" t="e">
        <f ca="1">_xll.BDP("USDRI ICSG Curncy","BID")</f>
        <v>#NAME?</v>
      </c>
      <c r="L88" s="96" t="e">
        <f ca="1">_xll.BDP("USDRI ICSG Curncy","ASK")</f>
        <v>#NAME?</v>
      </c>
      <c r="M88" s="96" t="e">
        <f t="shared" ca="1" si="14"/>
        <v>#NAME?</v>
      </c>
      <c r="N88" s="97" t="e">
        <f ca="1">_xll.BDP("USDRI Curncy","TICKER")</f>
        <v>#NAME?</v>
      </c>
      <c r="O88" s="98" t="e">
        <f t="shared" ca="1" si="18"/>
        <v>#NAME?</v>
      </c>
      <c r="P88" s="98" t="e">
        <f t="shared" ca="1" si="19"/>
        <v>#NAME?</v>
      </c>
      <c r="Q88" s="99" t="e">
        <f t="shared" ca="1" si="15"/>
        <v>#NAME?</v>
      </c>
    </row>
    <row r="89" spans="1:30">
      <c r="D89" s="92" t="e">
        <f ca="1">_xll.BDP("USDRJ Curncy","TICKER")</f>
        <v>#NAME?</v>
      </c>
      <c r="E89" s="96" t="e">
        <f ca="1">_xll.BDP("USDRJ Curncy","BID")</f>
        <v>#NAME?</v>
      </c>
      <c r="F89" s="96" t="e">
        <f ca="1">_xll.BDP("USDRJ Curncy","ASK")</f>
        <v>#NAME?</v>
      </c>
      <c r="G89" s="96" t="e">
        <f t="shared" ca="1" si="21"/>
        <v>#NAME?</v>
      </c>
      <c r="H89" s="96" t="e">
        <f ca="1">_xll.BDP($D89&amp;" MTRT Curncy","BID")</f>
        <v>#NAME?</v>
      </c>
      <c r="I89" s="96" t="e">
        <f ca="1">_xll.BDP($D89&amp;" MTRT Curncy","ASK")</f>
        <v>#NAME?</v>
      </c>
      <c r="J89" s="92" t="e">
        <f t="shared" ca="1" si="13"/>
        <v>#NAME?</v>
      </c>
      <c r="K89" s="96"/>
      <c r="L89" s="96"/>
      <c r="M89" s="96">
        <f t="shared" si="14"/>
        <v>0</v>
      </c>
      <c r="N89" s="97" t="e">
        <f ca="1">_xll.BDP("USDRJ Curncy","TICKER")</f>
        <v>#NAME?</v>
      </c>
      <c r="O89" s="98" t="e">
        <f t="shared" ca="1" si="18"/>
        <v>#NAME?</v>
      </c>
      <c r="P89" s="98" t="e">
        <f t="shared" ca="1" si="19"/>
        <v>#NAME?</v>
      </c>
      <c r="Q89" s="99" t="e">
        <f t="shared" ca="1" si="15"/>
        <v>#NAME?</v>
      </c>
    </row>
    <row r="90" spans="1:30">
      <c r="D90" s="92" t="e">
        <f ca="1">_xll.BDP("USDRK Curncy","TICKER")</f>
        <v>#NAME?</v>
      </c>
      <c r="E90" s="96" t="e">
        <f ca="1">_xll.BDP("USDRK Curncy","BID")</f>
        <v>#NAME?</v>
      </c>
      <c r="F90" s="96" t="e">
        <f ca="1">_xll.BDP("USDRK Curncy","ASK")</f>
        <v>#NAME?</v>
      </c>
      <c r="G90" s="96" t="e">
        <f t="shared" ca="1" si="21"/>
        <v>#NAME?</v>
      </c>
      <c r="H90" s="96" t="e">
        <f ca="1">_xll.BDP($D90&amp;" MTRT Curncy","BID")</f>
        <v>#NAME?</v>
      </c>
      <c r="I90" s="96" t="e">
        <f ca="1">_xll.BDP($D90&amp;" MTRT Curncy","ASK")</f>
        <v>#NAME?</v>
      </c>
      <c r="J90" s="92" t="e">
        <f t="shared" ca="1" si="13"/>
        <v>#NAME?</v>
      </c>
      <c r="K90" s="96"/>
      <c r="L90" s="96"/>
      <c r="M90" s="96">
        <f t="shared" si="14"/>
        <v>0</v>
      </c>
      <c r="N90" s="97" t="e">
        <f ca="1">_xll.BDP("USDRK Curncy","TICKER")</f>
        <v>#NAME?</v>
      </c>
      <c r="O90" s="98" t="e">
        <f t="shared" ca="1" si="18"/>
        <v>#NAME?</v>
      </c>
      <c r="P90" s="98" t="e">
        <f t="shared" ca="1" si="19"/>
        <v>#NAME?</v>
      </c>
      <c r="Q90" s="99" t="e">
        <f t="shared" ca="1" si="15"/>
        <v>#NAME?</v>
      </c>
    </row>
    <row r="91" spans="1:30" ht="15.75" thickBot="1">
      <c r="D91" s="92" t="e">
        <f ca="1">_xll.BDP("USDR1 Curncy","TICKER")</f>
        <v>#NAME?</v>
      </c>
      <c r="E91" s="96" t="e">
        <f ca="1">_xll.BDP("USDR1 Curncy","BID")</f>
        <v>#NAME?</v>
      </c>
      <c r="F91" s="96" t="e">
        <f ca="1">_xll.BDP("USDR1 Curncy","ASK")</f>
        <v>#NAME?</v>
      </c>
      <c r="G91" s="96" t="e">
        <f t="shared" ca="1" si="21"/>
        <v>#NAME?</v>
      </c>
      <c r="H91" s="96" t="e">
        <f ca="1">_xll.BDP($D91&amp;" MTRT Curncy","BID")</f>
        <v>#NAME?</v>
      </c>
      <c r="I91" s="96" t="e">
        <f ca="1">_xll.BDP($D91&amp;" MTRT Curncy","ASK")</f>
        <v>#NAME?</v>
      </c>
      <c r="J91" s="92" t="e">
        <f t="shared" ca="1" si="13"/>
        <v>#NAME?</v>
      </c>
      <c r="K91" s="96" t="e">
        <f ca="1">_xll.BDP("USDR1 ICSG Curncy","BID")</f>
        <v>#NAME?</v>
      </c>
      <c r="L91" s="96" t="e">
        <f ca="1">_xll.BDP("USDR1 ICSG Curncy","ASK")</f>
        <v>#NAME?</v>
      </c>
      <c r="M91" s="96" t="e">
        <f t="shared" ca="1" si="14"/>
        <v>#NAME?</v>
      </c>
      <c r="N91" s="97" t="e">
        <f ca="1">_xll.BDP("USDR1 Curncy","TICKER")</f>
        <v>#NAME?</v>
      </c>
      <c r="O91" s="98" t="e">
        <f t="shared" ca="1" si="18"/>
        <v>#NAME?</v>
      </c>
      <c r="P91" s="98" t="e">
        <f t="shared" ca="1" si="19"/>
        <v>#NAME?</v>
      </c>
      <c r="Q91" s="99" t="e">
        <f t="shared" ca="1" si="15"/>
        <v>#NAME?</v>
      </c>
    </row>
    <row r="92" spans="1:30" s="126" customFormat="1" ht="15.75" thickTop="1"/>
    <row r="93" spans="1:30">
      <c r="A93" s="9" t="s">
        <v>168</v>
      </c>
      <c r="R93" s="9" t="str">
        <f>A47</f>
        <v>USD</v>
      </c>
      <c r="T93" s="77" t="str">
        <f>B47</f>
        <v>TWD</v>
      </c>
      <c r="U93" s="77"/>
      <c r="V93" s="9" t="str">
        <f>R93</f>
        <v>USD</v>
      </c>
      <c r="X93" s="77" t="str">
        <f>T93</f>
        <v>TWD</v>
      </c>
    </row>
    <row r="94" spans="1:30">
      <c r="A94" s="9" t="s">
        <v>169</v>
      </c>
      <c r="B94" s="9" t="e">
        <f ca="1">_xll.BDP($D$44,"FWD_SCALE")</f>
        <v>#NAME?</v>
      </c>
      <c r="G94" s="9" t="s">
        <v>169</v>
      </c>
      <c r="H94" s="9" t="e">
        <f ca="1">_xll.BDP($E$44,"FWD_SCALE")</f>
        <v>#NAME?</v>
      </c>
      <c r="P94" s="9" t="s">
        <v>170</v>
      </c>
      <c r="R94" s="9" t="s">
        <v>171</v>
      </c>
      <c r="T94" s="326" t="s">
        <v>173</v>
      </c>
      <c r="U94" s="327"/>
      <c r="V94" s="327" t="s">
        <v>174</v>
      </c>
      <c r="W94" s="327"/>
      <c r="X94" s="327" t="s">
        <v>175</v>
      </c>
      <c r="Z94" s="9" t="s">
        <v>176</v>
      </c>
      <c r="AB94" s="9" t="s">
        <v>179</v>
      </c>
      <c r="AC94" s="9" t="str">
        <f>$A$47&amp;$B$47&amp;" Curncy"</f>
        <v>USDTWD Curncy</v>
      </c>
    </row>
    <row r="95" spans="1:30">
      <c r="A95" s="9" t="str">
        <f t="shared" ref="A95:E96" si="22">A4</f>
        <v>Tenor</v>
      </c>
      <c r="B95" s="9">
        <f t="shared" si="22"/>
        <v>0</v>
      </c>
      <c r="C95" s="9" t="str">
        <f t="shared" si="22"/>
        <v>Dates</v>
      </c>
      <c r="D95" s="9" t="str">
        <f t="shared" si="22"/>
        <v xml:space="preserve">Bid </v>
      </c>
      <c r="E95" s="9" t="str">
        <f t="shared" si="22"/>
        <v>Offer</v>
      </c>
      <c r="G95" s="9" t="str">
        <f t="shared" ref="G95:L96" si="23">F4</f>
        <v>Days</v>
      </c>
      <c r="H95" s="9" t="str">
        <f t="shared" si="23"/>
        <v>Dates</v>
      </c>
      <c r="I95" s="9" t="str">
        <f t="shared" si="23"/>
        <v xml:space="preserve">Bid </v>
      </c>
      <c r="J95" s="9" t="str">
        <f t="shared" si="23"/>
        <v>Offer</v>
      </c>
      <c r="K95" s="9" t="str">
        <f t="shared" si="23"/>
        <v>Dates</v>
      </c>
      <c r="L95" s="9" t="str">
        <f t="shared" si="23"/>
        <v>Days</v>
      </c>
      <c r="R95" s="9" t="s">
        <v>89</v>
      </c>
      <c r="S95" s="9" t="s">
        <v>172</v>
      </c>
      <c r="T95" s="326" t="s">
        <v>89</v>
      </c>
      <c r="U95" s="327" t="s">
        <v>172</v>
      </c>
      <c r="V95" s="327" t="s">
        <v>89</v>
      </c>
      <c r="W95" s="327" t="s">
        <v>172</v>
      </c>
      <c r="X95" s="9" t="s">
        <v>177</v>
      </c>
      <c r="Y95" s="9" t="s">
        <v>178</v>
      </c>
      <c r="Z95" s="9" t="s">
        <v>89</v>
      </c>
      <c r="AA95" s="9" t="s">
        <v>172</v>
      </c>
      <c r="AB95" s="9" t="s">
        <v>180</v>
      </c>
      <c r="AC95" s="9" t="e">
        <f ca="1">_xll.BDP($A$47&amp;$B$47&amp;" Curncy","FWD_SCALE")</f>
        <v>#NAME?</v>
      </c>
    </row>
    <row r="96" spans="1:30">
      <c r="A96" s="9" t="str">
        <f t="shared" si="22"/>
        <v>SP</v>
      </c>
      <c r="B96" s="9">
        <f t="shared" si="22"/>
        <v>0</v>
      </c>
      <c r="C96" s="223" t="e">
        <f t="shared" ca="1" si="22"/>
        <v>#NAME?</v>
      </c>
      <c r="D96" s="9" t="e">
        <f t="shared" ca="1" si="22"/>
        <v>#NAME?</v>
      </c>
      <c r="E96" s="9" t="e">
        <f t="shared" ca="1" si="22"/>
        <v>#NAME?</v>
      </c>
      <c r="G96" s="9">
        <f t="shared" si="23"/>
        <v>0</v>
      </c>
      <c r="H96" s="223" t="e">
        <f t="shared" ca="1" si="23"/>
        <v>#NAME?</v>
      </c>
      <c r="I96" s="9" t="e">
        <f t="shared" ca="1" si="23"/>
        <v>#NAME?</v>
      </c>
      <c r="J96" s="9" t="e">
        <f t="shared" ca="1" si="23"/>
        <v>#NAME?</v>
      </c>
      <c r="K96" s="9" t="e">
        <f t="shared" ca="1" si="23"/>
        <v>#NAME?</v>
      </c>
      <c r="L96" s="9">
        <f t="shared" si="23"/>
        <v>0</v>
      </c>
      <c r="N96" s="9" t="e">
        <f ca="1">H96=C96</f>
        <v>#NAME?</v>
      </c>
      <c r="P96" s="223" t="e">
        <f ca="1">DATEVALUE(_xll.BDP($A$47&amp;"/"&amp;$B$47&amp;" "&amp;$A96&amp;"@"&amp;$A$2&amp;" Curncy","SETTLE_DT"))</f>
        <v>#NAME?</v>
      </c>
      <c r="T96" s="326"/>
      <c r="U96" s="327"/>
      <c r="V96" s="327"/>
      <c r="W96" s="327"/>
    </row>
    <row r="97" spans="1:29">
      <c r="A97" s="9" t="str">
        <f t="shared" ref="A97:C98" si="24">A6</f>
        <v>ON</v>
      </c>
      <c r="B97" s="9" t="e">
        <f t="shared" ca="1" si="24"/>
        <v>#NAME?</v>
      </c>
      <c r="C97" s="223" t="e">
        <f t="shared" ca="1" si="24"/>
        <v>#NAME?</v>
      </c>
      <c r="D97" s="9" t="e">
        <f ca="1">$D$96+D6/(10^$B$94)</f>
        <v>#NAME?</v>
      </c>
      <c r="E97" s="9" t="e">
        <f ca="1">E6/(10^$B$94)+$E$96</f>
        <v>#NAME?</v>
      </c>
      <c r="G97" s="9" t="e">
        <f ca="1">F6</f>
        <v>#NAME?</v>
      </c>
      <c r="H97" s="223" t="e">
        <f ca="1">G6</f>
        <v>#NAME?</v>
      </c>
      <c r="I97" s="9" t="e">
        <f ca="1">H6/(10^$H$94)+$I$96</f>
        <v>#NAME?</v>
      </c>
      <c r="J97" s="9" t="e">
        <f ca="1">I6/(10^$H$94)+$J$96</f>
        <v>#NAME?</v>
      </c>
      <c r="K97" s="9" t="e">
        <f ca="1">J6</f>
        <v>#NAME?</v>
      </c>
      <c r="L97" s="9" t="e">
        <f ca="1">K6</f>
        <v>#NAME?</v>
      </c>
      <c r="N97" s="9" t="e">
        <f t="shared" ref="N97:N119" ca="1" si="25">H97=C97</f>
        <v>#NAME?</v>
      </c>
      <c r="P97" s="223" t="e">
        <f ca="1">DATEVALUE(_xll.BDP($A$47&amp;"/"&amp;$B$47&amp;" "&amp;$A97&amp;"@"&amp;$A$2&amp;" Curncy","SETTLE_DT"))</f>
        <v>#NAME?</v>
      </c>
      <c r="Q97" s="9" t="e">
        <f ca="1">P97-$B$1</f>
        <v>#NAME?</v>
      </c>
      <c r="T97" s="328"/>
      <c r="U97" s="78"/>
      <c r="V97" s="78"/>
      <c r="W97" s="78"/>
    </row>
    <row r="98" spans="1:29">
      <c r="A98" s="9" t="str">
        <f t="shared" si="24"/>
        <v>TN</v>
      </c>
      <c r="B98" s="9" t="e">
        <f t="shared" ca="1" si="24"/>
        <v>#NAME?</v>
      </c>
      <c r="C98" s="223" t="e">
        <f t="shared" ca="1" si="24"/>
        <v>#NAME?</v>
      </c>
      <c r="D98" s="9" t="e">
        <f ca="1">$D$96+D7/(10^$B$94)</f>
        <v>#NAME?</v>
      </c>
      <c r="E98" s="9" t="e">
        <f ca="1">E7/(10^$B$94)+$E$96</f>
        <v>#NAME?</v>
      </c>
      <c r="G98" s="9" t="e">
        <f ca="1">F7</f>
        <v>#NAME?</v>
      </c>
      <c r="H98" s="223" t="e">
        <f ca="1">G7</f>
        <v>#NAME?</v>
      </c>
      <c r="I98" s="9" t="e">
        <f ca="1">H7/(10^$H$94)+$I$96</f>
        <v>#NAME?</v>
      </c>
      <c r="J98" s="9" t="e">
        <f ca="1">I7/(10^$H$94)+$J$96</f>
        <v>#NAME?</v>
      </c>
      <c r="K98" s="9" t="e">
        <f ca="1">J7</f>
        <v>#NAME?</v>
      </c>
      <c r="L98" s="9" t="e">
        <f ca="1">K7</f>
        <v>#NAME?</v>
      </c>
      <c r="N98" s="9" t="e">
        <f t="shared" ca="1" si="25"/>
        <v>#NAME?</v>
      </c>
      <c r="P98" s="223" t="e">
        <f ca="1">DATEVALUE(_xll.BDP($A$47&amp;"/"&amp;$B$47&amp;" "&amp;$A98&amp;"@"&amp;$A$2&amp;" Curncy","SETTLE_DT"))</f>
        <v>#NAME?</v>
      </c>
      <c r="Q98" s="9" t="e">
        <f ca="1">P98-$P$97</f>
        <v>#NAME?</v>
      </c>
      <c r="T98" s="328"/>
      <c r="U98" s="78"/>
      <c r="V98" s="78"/>
      <c r="W98" s="78"/>
    </row>
    <row r="99" spans="1:29">
      <c r="A99" s="9" t="str">
        <f>A96</f>
        <v>SP</v>
      </c>
      <c r="B99" s="9">
        <f t="shared" ref="B99:Q99" si="26">B96</f>
        <v>0</v>
      </c>
      <c r="C99" s="223" t="e">
        <f t="shared" ca="1" si="26"/>
        <v>#NAME?</v>
      </c>
      <c r="D99" s="9" t="e">
        <f t="shared" ca="1" si="26"/>
        <v>#NAME?</v>
      </c>
      <c r="E99" s="9" t="e">
        <f t="shared" ca="1" si="26"/>
        <v>#NAME?</v>
      </c>
      <c r="F99" s="9">
        <f t="shared" si="26"/>
        <v>0</v>
      </c>
      <c r="G99" s="9">
        <f t="shared" si="26"/>
        <v>0</v>
      </c>
      <c r="H99" s="223" t="e">
        <f t="shared" ca="1" si="26"/>
        <v>#NAME?</v>
      </c>
      <c r="I99" s="9" t="e">
        <f t="shared" ca="1" si="26"/>
        <v>#NAME?</v>
      </c>
      <c r="J99" s="9" t="e">
        <f t="shared" ca="1" si="26"/>
        <v>#NAME?</v>
      </c>
      <c r="K99" s="9" t="e">
        <f t="shared" ca="1" si="26"/>
        <v>#NAME?</v>
      </c>
      <c r="L99" s="9">
        <f t="shared" si="26"/>
        <v>0</v>
      </c>
      <c r="N99" s="9" t="e">
        <f t="shared" ca="1" si="26"/>
        <v>#NAME?</v>
      </c>
      <c r="P99" s="223" t="e">
        <f t="shared" ca="1" si="26"/>
        <v>#NAME?</v>
      </c>
      <c r="Q99" s="9">
        <f t="shared" si="26"/>
        <v>0</v>
      </c>
      <c r="R99" s="9">
        <f>IF($R$93="USD",1,_xll.BInterpol($B$99:$B$119,$D$99:$D$119,Q99,"Linear"))</f>
        <v>1</v>
      </c>
      <c r="S99" s="9">
        <f>IF($R$93="USD",1,_xll.BInterpol($B$99:$B$119,$E$99:$E$119,Q99,"Linear"))</f>
        <v>1</v>
      </c>
      <c r="T99" s="9" t="e">
        <f ca="1">IF($T$93="USD",1,_xll.BInterpol($G$99:$G$119,$I$99:$I$119,Q99,"Linear"))</f>
        <v>#NAME?</v>
      </c>
      <c r="U99" s="9" t="e">
        <f ca="1">IF($T$93="USD",1,_xll.BInterpol($G$99:$G$119,$J$99:$J$119,Q99,"Linear"))</f>
        <v>#NAME?</v>
      </c>
      <c r="V99" s="338" t="e">
        <f ca="1">IF($A$48="Y",1/S99,R99)</f>
        <v>#NAME?</v>
      </c>
      <c r="W99" s="338" t="e">
        <f ca="1">IF($A$48="Y",1/R99,S99)</f>
        <v>#NAME?</v>
      </c>
      <c r="X99" s="338" t="e">
        <f ca="1">IF($B$48="Y",1/U99,T99)</f>
        <v>#NAME?</v>
      </c>
      <c r="Y99" s="338" t="e">
        <f ca="1">IF($B$48="Y",1/T99,U99)</f>
        <v>#NAME?</v>
      </c>
      <c r="Z99" s="339" t="e">
        <f ca="1">X99/W99</f>
        <v>#NAME?</v>
      </c>
      <c r="AA99" s="339" t="e">
        <f ca="1">Y99/V99</f>
        <v>#NAME?</v>
      </c>
      <c r="AB99" s="339" t="e">
        <f ca="1">Z99-$Z$99</f>
        <v>#NAME?</v>
      </c>
      <c r="AC99" s="339" t="e">
        <f ca="1">AA99-$AA$99</f>
        <v>#NAME?</v>
      </c>
    </row>
    <row r="100" spans="1:29">
      <c r="A100" s="9" t="str">
        <f t="shared" ref="A100:C119" si="27">A8</f>
        <v>SN</v>
      </c>
      <c r="B100" s="9" t="e">
        <f t="shared" ca="1" si="27"/>
        <v>#NAME?</v>
      </c>
      <c r="C100" s="223" t="e">
        <f t="shared" ca="1" si="27"/>
        <v>#NAME?</v>
      </c>
      <c r="D100" s="9" t="e">
        <f t="shared" ref="D100:D119" ca="1" si="28">$D$96+D8/(10^$B$94)</f>
        <v>#NAME?</v>
      </c>
      <c r="E100" s="9" t="e">
        <f t="shared" ref="E100:E119" ca="1" si="29">E8/(10^$B$94)+$E$96</f>
        <v>#NAME?</v>
      </c>
      <c r="G100" s="9" t="e">
        <f t="shared" ref="G100:H119" ca="1" si="30">F8</f>
        <v>#NAME?</v>
      </c>
      <c r="H100" s="223" t="e">
        <f t="shared" ca="1" si="30"/>
        <v>#NAME?</v>
      </c>
      <c r="I100" s="9" t="e">
        <f t="shared" ref="I100:I119" ca="1" si="31">H8/(10^$H$94)+$I$96</f>
        <v>#NAME?</v>
      </c>
      <c r="J100" s="9" t="e">
        <f t="shared" ref="J100:J119" ca="1" si="32">I8/(10^$H$94)+$J$96</f>
        <v>#NAME?</v>
      </c>
      <c r="K100" s="9" t="e">
        <f t="shared" ref="K100:L119" ca="1" si="33">J8</f>
        <v>#NAME?</v>
      </c>
      <c r="L100" s="9" t="e">
        <f t="shared" ca="1" si="33"/>
        <v>#NAME?</v>
      </c>
      <c r="N100" s="9" t="e">
        <f t="shared" ca="1" si="25"/>
        <v>#NAME?</v>
      </c>
      <c r="P100" s="223" t="e">
        <f ca="1">DATEVALUE(_xll.BDP($A$47&amp;"/"&amp;$B$47&amp;" "&amp;$A100&amp;"@"&amp;$A$2&amp;" Curncy","SETTLE_DT"))</f>
        <v>#NAME?</v>
      </c>
      <c r="Q100" s="9" t="e">
        <f ca="1">P100-$P$98</f>
        <v>#NAME?</v>
      </c>
      <c r="R100" s="9">
        <f>IF($R$93="USD",1,_xll.BInterpol($B$99:$B$119,$D$99:$D$119,Q100,"Linear"))</f>
        <v>1</v>
      </c>
      <c r="S100" s="9">
        <f>IF($R$93="USD",1,_xll.BInterpol($B$99:$B$119,$E$99:$E$119,Q100,"Linear"))</f>
        <v>1</v>
      </c>
      <c r="T100" s="9" t="e">
        <f ca="1">IF($T$93="USD",1,_xll.BInterpol($G$99:$G$119,$I$99:$I$119,Q100,"Linear"))</f>
        <v>#NAME?</v>
      </c>
      <c r="U100" s="9" t="e">
        <f ca="1">IF($T$93="USD",1,_xll.BInterpol($G$99:$G$119,$J$99:$J$119,Q100,"Linear"))</f>
        <v>#NAME?</v>
      </c>
      <c r="V100" s="338" t="e">
        <f t="shared" ref="V100:V119" ca="1" si="34">IF($A$48="Y",1/S100,R100)</f>
        <v>#NAME?</v>
      </c>
      <c r="W100" s="338" t="e">
        <f t="shared" ref="W100:W119" ca="1" si="35">IF($A$48="Y",1/R100,S100)</f>
        <v>#NAME?</v>
      </c>
      <c r="X100" s="338" t="e">
        <f t="shared" ref="X100:X119" ca="1" si="36">IF($B$48="Y",1/U100,T100)</f>
        <v>#NAME?</v>
      </c>
      <c r="Y100" s="338" t="e">
        <f t="shared" ref="Y100:Y119" ca="1" si="37">IF($B$48="Y",1/T100,U100)</f>
        <v>#NAME?</v>
      </c>
      <c r="Z100" s="339" t="e">
        <f t="shared" ref="Z100:Z119" ca="1" si="38">X100/W100</f>
        <v>#NAME?</v>
      </c>
      <c r="AA100" s="339" t="e">
        <f t="shared" ref="AA100:AA119" ca="1" si="39">Y100/V100</f>
        <v>#NAME?</v>
      </c>
      <c r="AB100" s="339" t="e">
        <f ca="1">(Z100-$Z$99)*10^$AC$95</f>
        <v>#NAME?</v>
      </c>
      <c r="AC100" s="339" t="e">
        <f ca="1">(AA100-$AA$99)*10^$AC$95</f>
        <v>#NAME?</v>
      </c>
    </row>
    <row r="101" spans="1:29">
      <c r="A101" s="9" t="str">
        <f t="shared" si="27"/>
        <v>1W</v>
      </c>
      <c r="B101" s="9" t="e">
        <f t="shared" ca="1" si="27"/>
        <v>#NAME?</v>
      </c>
      <c r="C101" s="223" t="e">
        <f t="shared" ca="1" si="27"/>
        <v>#NAME?</v>
      </c>
      <c r="D101" s="9" t="e">
        <f t="shared" ca="1" si="28"/>
        <v>#NAME?</v>
      </c>
      <c r="E101" s="9" t="e">
        <f t="shared" ca="1" si="29"/>
        <v>#NAME?</v>
      </c>
      <c r="G101" s="9" t="e">
        <f t="shared" ca="1" si="30"/>
        <v>#NAME?</v>
      </c>
      <c r="H101" s="223" t="e">
        <f t="shared" ca="1" si="30"/>
        <v>#NAME?</v>
      </c>
      <c r="I101" s="9" t="e">
        <f t="shared" ca="1" si="31"/>
        <v>#NAME?</v>
      </c>
      <c r="J101" s="9" t="e">
        <f t="shared" ca="1" si="32"/>
        <v>#NAME?</v>
      </c>
      <c r="K101" s="9" t="e">
        <f t="shared" ca="1" si="33"/>
        <v>#NAME?</v>
      </c>
      <c r="L101" s="9" t="e">
        <f t="shared" ca="1" si="33"/>
        <v>#NAME?</v>
      </c>
      <c r="N101" s="9" t="e">
        <f t="shared" ca="1" si="25"/>
        <v>#NAME?</v>
      </c>
      <c r="P101" s="223" t="e">
        <f ca="1">DATEVALUE(_xll.BDP($A$47&amp;"/"&amp;$B$47&amp;" "&amp;$A101&amp;"@"&amp;$A$2&amp;" Curncy","SETTLE_DT"))</f>
        <v>#NAME?</v>
      </c>
      <c r="Q101" s="9" t="e">
        <f t="shared" ref="Q101:Q119" ca="1" si="40">P101-$P$96</f>
        <v>#NAME?</v>
      </c>
      <c r="R101" s="9">
        <f>IF($R$93="USD",1,_xll.BInterpol($B$99:$B$119,$D$99:$D$119,Q101,"Linear"))</f>
        <v>1</v>
      </c>
      <c r="S101" s="9">
        <f>IF($R$93="USD",1,_xll.BInterpol($B$99:$B$119,$E$99:$E$119,Q101,"Linear"))</f>
        <v>1</v>
      </c>
      <c r="T101" s="9" t="e">
        <f ca="1">IF($T$93="USD",1,_xll.BInterpol($G$99:$G$119,$I$99:$I$119,Q101,"Linear"))</f>
        <v>#NAME?</v>
      </c>
      <c r="U101" s="9" t="e">
        <f ca="1">IF($T$93="USD",1,_xll.BInterpol($G$99:$G$119,$J$99:$J$119,Q101,"Linear"))</f>
        <v>#NAME?</v>
      </c>
      <c r="V101" s="338" t="e">
        <f t="shared" ca="1" si="34"/>
        <v>#NAME?</v>
      </c>
      <c r="W101" s="338" t="e">
        <f t="shared" ca="1" si="35"/>
        <v>#NAME?</v>
      </c>
      <c r="X101" s="338" t="e">
        <f t="shared" ca="1" si="36"/>
        <v>#NAME?</v>
      </c>
      <c r="Y101" s="338" t="e">
        <f t="shared" ca="1" si="37"/>
        <v>#NAME?</v>
      </c>
      <c r="Z101" s="339" t="e">
        <f t="shared" ca="1" si="38"/>
        <v>#NAME?</v>
      </c>
      <c r="AA101" s="339" t="e">
        <f t="shared" ca="1" si="39"/>
        <v>#NAME?</v>
      </c>
      <c r="AB101" s="339" t="e">
        <f ca="1">(Z101-$Z$99)*10^$AC$95</f>
        <v>#NAME?</v>
      </c>
      <c r="AC101" s="339" t="e">
        <f ca="1">(AA101-$AA$99)*10^$AC$95</f>
        <v>#NAME?</v>
      </c>
    </row>
    <row r="102" spans="1:29">
      <c r="A102" s="9" t="str">
        <f t="shared" si="27"/>
        <v>2W</v>
      </c>
      <c r="B102" s="9" t="e">
        <f t="shared" ca="1" si="27"/>
        <v>#NAME?</v>
      </c>
      <c r="C102" s="223" t="e">
        <f t="shared" ca="1" si="27"/>
        <v>#NAME?</v>
      </c>
      <c r="D102" s="9" t="e">
        <f t="shared" ca="1" si="28"/>
        <v>#NAME?</v>
      </c>
      <c r="E102" s="9" t="e">
        <f t="shared" ca="1" si="29"/>
        <v>#NAME?</v>
      </c>
      <c r="G102" s="9" t="e">
        <f t="shared" ca="1" si="30"/>
        <v>#NAME?</v>
      </c>
      <c r="H102" s="223" t="e">
        <f t="shared" ca="1" si="30"/>
        <v>#NAME?</v>
      </c>
      <c r="I102" s="9" t="e">
        <f t="shared" ca="1" si="31"/>
        <v>#NAME?</v>
      </c>
      <c r="J102" s="9" t="e">
        <f t="shared" ca="1" si="32"/>
        <v>#NAME?</v>
      </c>
      <c r="K102" s="9" t="e">
        <f t="shared" ca="1" si="33"/>
        <v>#NAME?</v>
      </c>
      <c r="L102" s="9" t="e">
        <f t="shared" ca="1" si="33"/>
        <v>#NAME?</v>
      </c>
      <c r="N102" s="9" t="e">
        <f t="shared" ca="1" si="25"/>
        <v>#NAME?</v>
      </c>
      <c r="P102" s="223" t="e">
        <f ca="1">DATEVALUE(_xll.BDP($A$47&amp;"/"&amp;$B$47&amp;" "&amp;$A102&amp;"@"&amp;$A$2&amp;" Curncy","SETTLE_DT"))</f>
        <v>#NAME?</v>
      </c>
      <c r="Q102" s="9" t="e">
        <f t="shared" ca="1" si="40"/>
        <v>#NAME?</v>
      </c>
      <c r="R102" s="9">
        <f>IF($R$93="USD",1,_xll.BInterpol($B$99:$B$119,$D$99:$D$119,Q102,"Linear"))</f>
        <v>1</v>
      </c>
      <c r="S102" s="9">
        <f>IF($R$93="USD",1,_xll.BInterpol($B$99:$B$119,$E$99:$E$119,Q102,"Linear"))</f>
        <v>1</v>
      </c>
      <c r="T102" s="9" t="e">
        <f ca="1">IF($T$93="USD",1,_xll.BInterpol($G$99:$G$119,$I$99:$I$119,Q102,"Linear"))</f>
        <v>#NAME?</v>
      </c>
      <c r="U102" s="9" t="e">
        <f ca="1">IF($T$93="USD",1,_xll.BInterpol($G$99:$G$119,$J$99:$J$119,Q102,"Linear"))</f>
        <v>#NAME?</v>
      </c>
      <c r="V102" s="338" t="e">
        <f t="shared" ca="1" si="34"/>
        <v>#NAME?</v>
      </c>
      <c r="W102" s="338" t="e">
        <f t="shared" ca="1" si="35"/>
        <v>#NAME?</v>
      </c>
      <c r="X102" s="338" t="e">
        <f t="shared" ca="1" si="36"/>
        <v>#NAME?</v>
      </c>
      <c r="Y102" s="338" t="e">
        <f t="shared" ca="1" si="37"/>
        <v>#NAME?</v>
      </c>
      <c r="Z102" s="339" t="e">
        <f t="shared" ca="1" si="38"/>
        <v>#NAME?</v>
      </c>
      <c r="AA102" s="339" t="e">
        <f t="shared" ca="1" si="39"/>
        <v>#NAME?</v>
      </c>
      <c r="AB102" s="339" t="e">
        <f t="shared" ref="AB102:AB119" ca="1" si="41">(Z102-$Z$99)*10^$AC$95</f>
        <v>#NAME?</v>
      </c>
      <c r="AC102" s="339" t="e">
        <f t="shared" ref="AC102:AC119" ca="1" si="42">(AA102-$AA$99)*10^$AC$95</f>
        <v>#NAME?</v>
      </c>
    </row>
    <row r="103" spans="1:29">
      <c r="A103" s="9" t="str">
        <f t="shared" si="27"/>
        <v>3W</v>
      </c>
      <c r="B103" s="9" t="e">
        <f t="shared" ca="1" si="27"/>
        <v>#NAME?</v>
      </c>
      <c r="C103" s="223" t="e">
        <f t="shared" ca="1" si="27"/>
        <v>#NAME?</v>
      </c>
      <c r="D103" s="9" t="e">
        <f t="shared" ca="1" si="28"/>
        <v>#NAME?</v>
      </c>
      <c r="E103" s="9" t="e">
        <f t="shared" ca="1" si="29"/>
        <v>#NAME?</v>
      </c>
      <c r="G103" s="9" t="e">
        <f t="shared" ca="1" si="30"/>
        <v>#NAME?</v>
      </c>
      <c r="H103" s="223" t="e">
        <f t="shared" ca="1" si="30"/>
        <v>#NAME?</v>
      </c>
      <c r="I103" s="9" t="e">
        <f t="shared" ca="1" si="31"/>
        <v>#NAME?</v>
      </c>
      <c r="J103" s="9" t="e">
        <f t="shared" ca="1" si="32"/>
        <v>#NAME?</v>
      </c>
      <c r="K103" s="9" t="e">
        <f t="shared" ca="1" si="33"/>
        <v>#NAME?</v>
      </c>
      <c r="L103" s="9" t="e">
        <f t="shared" ca="1" si="33"/>
        <v>#NAME?</v>
      </c>
      <c r="N103" s="9" t="e">
        <f t="shared" ca="1" si="25"/>
        <v>#NAME?</v>
      </c>
      <c r="P103" s="223" t="e">
        <f ca="1">DATEVALUE(_xll.BDP($A$47&amp;"/"&amp;$B$47&amp;" "&amp;$A103&amp;"@"&amp;$A$2&amp;" Curncy","SETTLE_DT"))</f>
        <v>#NAME?</v>
      </c>
      <c r="Q103" s="9" t="e">
        <f t="shared" ca="1" si="40"/>
        <v>#NAME?</v>
      </c>
      <c r="R103" s="9">
        <f>IF($R$93="USD",1,_xll.BInterpol($B$99:$B$119,$D$99:$D$119,Q103,"Linear"))</f>
        <v>1</v>
      </c>
      <c r="S103" s="9">
        <f>IF($R$93="USD",1,_xll.BInterpol($B$99:$B$119,$E$99:$E$119,Q103,"Linear"))</f>
        <v>1</v>
      </c>
      <c r="T103" s="9" t="e">
        <f ca="1">IF($T$93="USD",1,_xll.BInterpol($G$99:$G$119,$I$99:$I$119,Q103,"Linear"))</f>
        <v>#NAME?</v>
      </c>
      <c r="U103" s="9" t="e">
        <f ca="1">IF($T$93="USD",1,_xll.BInterpol($G$99:$G$119,$J$99:$J$119,Q103,"Linear"))</f>
        <v>#NAME?</v>
      </c>
      <c r="V103" s="338" t="e">
        <f t="shared" ca="1" si="34"/>
        <v>#NAME?</v>
      </c>
      <c r="W103" s="338" t="e">
        <f t="shared" ca="1" si="35"/>
        <v>#NAME?</v>
      </c>
      <c r="X103" s="338" t="e">
        <f t="shared" ca="1" si="36"/>
        <v>#NAME?</v>
      </c>
      <c r="Y103" s="338" t="e">
        <f t="shared" ca="1" si="37"/>
        <v>#NAME?</v>
      </c>
      <c r="Z103" s="339" t="e">
        <f t="shared" ca="1" si="38"/>
        <v>#NAME?</v>
      </c>
      <c r="AA103" s="339" t="e">
        <f t="shared" ca="1" si="39"/>
        <v>#NAME?</v>
      </c>
      <c r="AB103" s="339" t="e">
        <f t="shared" ca="1" si="41"/>
        <v>#NAME?</v>
      </c>
      <c r="AC103" s="339" t="e">
        <f t="shared" ca="1" si="42"/>
        <v>#NAME?</v>
      </c>
    </row>
    <row r="104" spans="1:29">
      <c r="A104" s="9" t="str">
        <f t="shared" si="27"/>
        <v>1M</v>
      </c>
      <c r="B104" s="9" t="e">
        <f t="shared" ca="1" si="27"/>
        <v>#NAME?</v>
      </c>
      <c r="C104" s="223" t="e">
        <f t="shared" ca="1" si="27"/>
        <v>#NAME?</v>
      </c>
      <c r="D104" s="9" t="e">
        <f t="shared" ca="1" si="28"/>
        <v>#NAME?</v>
      </c>
      <c r="E104" s="9" t="e">
        <f t="shared" ca="1" si="29"/>
        <v>#NAME?</v>
      </c>
      <c r="G104" s="9" t="e">
        <f t="shared" ca="1" si="30"/>
        <v>#NAME?</v>
      </c>
      <c r="H104" s="223" t="e">
        <f t="shared" ca="1" si="30"/>
        <v>#NAME?</v>
      </c>
      <c r="I104" s="9" t="e">
        <f t="shared" ca="1" si="31"/>
        <v>#NAME?</v>
      </c>
      <c r="J104" s="9" t="e">
        <f t="shared" ca="1" si="32"/>
        <v>#NAME?</v>
      </c>
      <c r="K104" s="9" t="e">
        <f t="shared" ca="1" si="33"/>
        <v>#NAME?</v>
      </c>
      <c r="L104" s="9" t="e">
        <f t="shared" ca="1" si="33"/>
        <v>#NAME?</v>
      </c>
      <c r="N104" s="9" t="e">
        <f t="shared" ca="1" si="25"/>
        <v>#NAME?</v>
      </c>
      <c r="P104" s="223" t="e">
        <f ca="1">DATEVALUE(_xll.BDP($A$47&amp;"/"&amp;$B$47&amp;" "&amp;$A104&amp;"@"&amp;$A$2&amp;" Curncy","SETTLE_DT"))</f>
        <v>#NAME?</v>
      </c>
      <c r="Q104" s="9" t="e">
        <f t="shared" ca="1" si="40"/>
        <v>#NAME?</v>
      </c>
      <c r="R104" s="9">
        <f>IF($R$93="USD",1,_xll.BInterpol($B$99:$B$119,$D$99:$D$119,Q104,"Linear"))</f>
        <v>1</v>
      </c>
      <c r="S104" s="9">
        <f>IF($R$93="USD",1,_xll.BInterpol($B$99:$B$119,$E$99:$E$119,Q104,"Linear"))</f>
        <v>1</v>
      </c>
      <c r="T104" s="9" t="e">
        <f ca="1">IF($T$93="USD",1,_xll.BInterpol($G$99:$G$119,$I$99:$I$119,Q104,"Linear"))</f>
        <v>#NAME?</v>
      </c>
      <c r="U104" s="9" t="e">
        <f ca="1">IF($T$93="USD",1,_xll.BInterpol($G$99:$G$119,$J$99:$J$119,Q104,"Linear"))</f>
        <v>#NAME?</v>
      </c>
      <c r="V104" s="338" t="e">
        <f t="shared" ca="1" si="34"/>
        <v>#NAME?</v>
      </c>
      <c r="W104" s="338" t="e">
        <f t="shared" ca="1" si="35"/>
        <v>#NAME?</v>
      </c>
      <c r="X104" s="338" t="e">
        <f t="shared" ca="1" si="36"/>
        <v>#NAME?</v>
      </c>
      <c r="Y104" s="338" t="e">
        <f t="shared" ca="1" si="37"/>
        <v>#NAME?</v>
      </c>
      <c r="Z104" s="339" t="e">
        <f t="shared" ca="1" si="38"/>
        <v>#NAME?</v>
      </c>
      <c r="AA104" s="339" t="e">
        <f t="shared" ca="1" si="39"/>
        <v>#NAME?</v>
      </c>
      <c r="AB104" s="339" t="e">
        <f t="shared" ca="1" si="41"/>
        <v>#NAME?</v>
      </c>
      <c r="AC104" s="339" t="e">
        <f t="shared" ca="1" si="42"/>
        <v>#NAME?</v>
      </c>
    </row>
    <row r="105" spans="1:29">
      <c r="A105" s="9" t="str">
        <f t="shared" si="27"/>
        <v>2M</v>
      </c>
      <c r="B105" s="9" t="e">
        <f t="shared" ca="1" si="27"/>
        <v>#NAME?</v>
      </c>
      <c r="C105" s="223" t="e">
        <f t="shared" ca="1" si="27"/>
        <v>#NAME?</v>
      </c>
      <c r="D105" s="9" t="e">
        <f t="shared" ca="1" si="28"/>
        <v>#NAME?</v>
      </c>
      <c r="E105" s="9" t="e">
        <f t="shared" ca="1" si="29"/>
        <v>#NAME?</v>
      </c>
      <c r="G105" s="9" t="e">
        <f t="shared" ca="1" si="30"/>
        <v>#NAME?</v>
      </c>
      <c r="H105" s="223" t="e">
        <f t="shared" ca="1" si="30"/>
        <v>#NAME?</v>
      </c>
      <c r="I105" s="9" t="e">
        <f t="shared" ca="1" si="31"/>
        <v>#NAME?</v>
      </c>
      <c r="J105" s="9" t="e">
        <f t="shared" ca="1" si="32"/>
        <v>#NAME?</v>
      </c>
      <c r="K105" s="9" t="e">
        <f t="shared" ca="1" si="33"/>
        <v>#NAME?</v>
      </c>
      <c r="L105" s="9" t="e">
        <f t="shared" ca="1" si="33"/>
        <v>#NAME?</v>
      </c>
      <c r="N105" s="9" t="e">
        <f t="shared" ca="1" si="25"/>
        <v>#NAME?</v>
      </c>
      <c r="P105" s="223" t="e">
        <f ca="1">DATEVALUE(_xll.BDP($A$47&amp;"/"&amp;$B$47&amp;" "&amp;$A105&amp;"@"&amp;$A$2&amp;" Curncy","SETTLE_DT"))</f>
        <v>#NAME?</v>
      </c>
      <c r="Q105" s="9" t="e">
        <f t="shared" ca="1" si="40"/>
        <v>#NAME?</v>
      </c>
      <c r="R105" s="9">
        <f>IF($R$93="USD",1,_xll.BInterpol($B$99:$B$119,$D$99:$D$119,Q105,"Linear"))</f>
        <v>1</v>
      </c>
      <c r="S105" s="9">
        <f>IF($R$93="USD",1,_xll.BInterpol($B$99:$B$119,$E$99:$E$119,Q105,"Linear"))</f>
        <v>1</v>
      </c>
      <c r="T105" s="9" t="e">
        <f ca="1">IF($T$93="USD",1,_xll.BInterpol($G$99:$G$119,$I$99:$I$119,Q105,"Linear"))</f>
        <v>#NAME?</v>
      </c>
      <c r="U105" s="9" t="e">
        <f ca="1">IF($T$93="USD",1,_xll.BInterpol($G$99:$G$119,$J$99:$J$119,Q105,"Linear"))</f>
        <v>#NAME?</v>
      </c>
      <c r="V105" s="338" t="e">
        <f t="shared" ca="1" si="34"/>
        <v>#NAME?</v>
      </c>
      <c r="W105" s="338" t="e">
        <f t="shared" ca="1" si="35"/>
        <v>#NAME?</v>
      </c>
      <c r="X105" s="338" t="e">
        <f t="shared" ca="1" si="36"/>
        <v>#NAME?</v>
      </c>
      <c r="Y105" s="338" t="e">
        <f t="shared" ca="1" si="37"/>
        <v>#NAME?</v>
      </c>
      <c r="Z105" s="339" t="e">
        <f t="shared" ca="1" si="38"/>
        <v>#NAME?</v>
      </c>
      <c r="AA105" s="339" t="e">
        <f t="shared" ca="1" si="39"/>
        <v>#NAME?</v>
      </c>
      <c r="AB105" s="339" t="e">
        <f t="shared" ca="1" si="41"/>
        <v>#NAME?</v>
      </c>
      <c r="AC105" s="339" t="e">
        <f t="shared" ca="1" si="42"/>
        <v>#NAME?</v>
      </c>
    </row>
    <row r="106" spans="1:29">
      <c r="A106" s="9" t="str">
        <f t="shared" si="27"/>
        <v>3M</v>
      </c>
      <c r="B106" s="9" t="e">
        <f t="shared" ca="1" si="27"/>
        <v>#NAME?</v>
      </c>
      <c r="C106" s="223" t="e">
        <f t="shared" ca="1" si="27"/>
        <v>#NAME?</v>
      </c>
      <c r="D106" s="9" t="e">
        <f t="shared" ca="1" si="28"/>
        <v>#NAME?</v>
      </c>
      <c r="E106" s="9" t="e">
        <f t="shared" ca="1" si="29"/>
        <v>#NAME?</v>
      </c>
      <c r="G106" s="9" t="e">
        <f t="shared" ca="1" si="30"/>
        <v>#NAME?</v>
      </c>
      <c r="H106" s="223" t="e">
        <f t="shared" ca="1" si="30"/>
        <v>#NAME?</v>
      </c>
      <c r="I106" s="9" t="e">
        <f t="shared" ca="1" si="31"/>
        <v>#NAME?</v>
      </c>
      <c r="J106" s="9" t="e">
        <f t="shared" ca="1" si="32"/>
        <v>#NAME?</v>
      </c>
      <c r="K106" s="9" t="e">
        <f t="shared" ca="1" si="33"/>
        <v>#NAME?</v>
      </c>
      <c r="L106" s="9" t="e">
        <f t="shared" ca="1" si="33"/>
        <v>#NAME?</v>
      </c>
      <c r="N106" s="9" t="e">
        <f t="shared" ca="1" si="25"/>
        <v>#NAME?</v>
      </c>
      <c r="P106" s="223" t="e">
        <f ca="1">DATEVALUE(_xll.BDP($A$47&amp;"/"&amp;$B$47&amp;" "&amp;$A106&amp;"@"&amp;$A$2&amp;" Curncy","SETTLE_DT"))</f>
        <v>#NAME?</v>
      </c>
      <c r="Q106" s="9" t="e">
        <f t="shared" ca="1" si="40"/>
        <v>#NAME?</v>
      </c>
      <c r="R106" s="9">
        <f>IF($R$93="USD",1,_xll.BInterpol($B$99:$B$119,$D$99:$D$119,Q106,"Linear"))</f>
        <v>1</v>
      </c>
      <c r="S106" s="9">
        <f>IF($R$93="USD",1,_xll.BInterpol($B$99:$B$119,$E$99:$E$119,Q106,"Linear"))</f>
        <v>1</v>
      </c>
      <c r="T106" s="9" t="e">
        <f ca="1">IF($T$93="USD",1,_xll.BInterpol($G$99:$G$119,$I$99:$I$119,Q106,"Linear"))</f>
        <v>#NAME?</v>
      </c>
      <c r="U106" s="9" t="e">
        <f ca="1">IF($T$93="USD",1,_xll.BInterpol($G$99:$G$119,$J$99:$J$119,Q106,"Linear"))</f>
        <v>#NAME?</v>
      </c>
      <c r="V106" s="338" t="e">
        <f t="shared" ca="1" si="34"/>
        <v>#NAME?</v>
      </c>
      <c r="W106" s="338" t="e">
        <f t="shared" ca="1" si="35"/>
        <v>#NAME?</v>
      </c>
      <c r="X106" s="338" t="e">
        <f t="shared" ca="1" si="36"/>
        <v>#NAME?</v>
      </c>
      <c r="Y106" s="338" t="e">
        <f t="shared" ca="1" si="37"/>
        <v>#NAME?</v>
      </c>
      <c r="Z106" s="339" t="e">
        <f t="shared" ca="1" si="38"/>
        <v>#NAME?</v>
      </c>
      <c r="AA106" s="339" t="e">
        <f t="shared" ca="1" si="39"/>
        <v>#NAME?</v>
      </c>
      <c r="AB106" s="339" t="e">
        <f t="shared" ca="1" si="41"/>
        <v>#NAME?</v>
      </c>
      <c r="AC106" s="339" t="e">
        <f t="shared" ca="1" si="42"/>
        <v>#NAME?</v>
      </c>
    </row>
    <row r="107" spans="1:29">
      <c r="A107" s="9" t="str">
        <f t="shared" si="27"/>
        <v>4M</v>
      </c>
      <c r="B107" s="9" t="e">
        <f t="shared" ca="1" si="27"/>
        <v>#NAME?</v>
      </c>
      <c r="C107" s="223" t="e">
        <f t="shared" ca="1" si="27"/>
        <v>#NAME?</v>
      </c>
      <c r="D107" s="9" t="e">
        <f t="shared" ca="1" si="28"/>
        <v>#NAME?</v>
      </c>
      <c r="E107" s="9" t="e">
        <f t="shared" ca="1" si="29"/>
        <v>#NAME?</v>
      </c>
      <c r="G107" s="9" t="e">
        <f t="shared" ca="1" si="30"/>
        <v>#NAME?</v>
      </c>
      <c r="H107" s="223" t="e">
        <f t="shared" ca="1" si="30"/>
        <v>#NAME?</v>
      </c>
      <c r="I107" s="9" t="e">
        <f t="shared" ca="1" si="31"/>
        <v>#NAME?</v>
      </c>
      <c r="J107" s="9" t="e">
        <f t="shared" ca="1" si="32"/>
        <v>#NAME?</v>
      </c>
      <c r="K107" s="9" t="e">
        <f t="shared" ca="1" si="33"/>
        <v>#NAME?</v>
      </c>
      <c r="L107" s="9" t="e">
        <f t="shared" ca="1" si="33"/>
        <v>#NAME?</v>
      </c>
      <c r="N107" s="9" t="e">
        <f t="shared" ca="1" si="25"/>
        <v>#NAME?</v>
      </c>
      <c r="P107" s="223" t="e">
        <f ca="1">DATEVALUE(_xll.BDP($A$47&amp;"/"&amp;$B$47&amp;" "&amp;$A107&amp;"@"&amp;$A$2&amp;" Curncy","SETTLE_DT"))</f>
        <v>#NAME?</v>
      </c>
      <c r="Q107" s="9" t="e">
        <f t="shared" ca="1" si="40"/>
        <v>#NAME?</v>
      </c>
      <c r="R107" s="9">
        <f>IF($R$93="USD",1,_xll.BInterpol($B$99:$B$119,$D$99:$D$119,Q107,"Linear"))</f>
        <v>1</v>
      </c>
      <c r="S107" s="9">
        <f>IF($R$93="USD",1,_xll.BInterpol($B$99:$B$119,$E$99:$E$119,Q107,"Linear"))</f>
        <v>1</v>
      </c>
      <c r="T107" s="9" t="e">
        <f ca="1">IF($T$93="USD",1,_xll.BInterpol($G$99:$G$119,$I$99:$I$119,Q107,"Linear"))</f>
        <v>#NAME?</v>
      </c>
      <c r="U107" s="9" t="e">
        <f ca="1">IF($T$93="USD",1,_xll.BInterpol($G$99:$G$119,$J$99:$J$119,Q107,"Linear"))</f>
        <v>#NAME?</v>
      </c>
      <c r="V107" s="338" t="e">
        <f t="shared" ca="1" si="34"/>
        <v>#NAME?</v>
      </c>
      <c r="W107" s="338" t="e">
        <f t="shared" ca="1" si="35"/>
        <v>#NAME?</v>
      </c>
      <c r="X107" s="338" t="e">
        <f t="shared" ca="1" si="36"/>
        <v>#NAME?</v>
      </c>
      <c r="Y107" s="338" t="e">
        <f t="shared" ca="1" si="37"/>
        <v>#NAME?</v>
      </c>
      <c r="Z107" s="339" t="e">
        <f t="shared" ca="1" si="38"/>
        <v>#NAME?</v>
      </c>
      <c r="AA107" s="339" t="e">
        <f t="shared" ca="1" si="39"/>
        <v>#NAME?</v>
      </c>
      <c r="AB107" s="339" t="e">
        <f t="shared" ca="1" si="41"/>
        <v>#NAME?</v>
      </c>
      <c r="AC107" s="339" t="e">
        <f t="shared" ca="1" si="42"/>
        <v>#NAME?</v>
      </c>
    </row>
    <row r="108" spans="1:29">
      <c r="A108" s="9" t="str">
        <f t="shared" si="27"/>
        <v>5M</v>
      </c>
      <c r="B108" s="9" t="e">
        <f t="shared" ca="1" si="27"/>
        <v>#NAME?</v>
      </c>
      <c r="C108" s="223" t="e">
        <f t="shared" ca="1" si="27"/>
        <v>#NAME?</v>
      </c>
      <c r="D108" s="9" t="e">
        <f t="shared" ca="1" si="28"/>
        <v>#NAME?</v>
      </c>
      <c r="E108" s="9" t="e">
        <f t="shared" ca="1" si="29"/>
        <v>#NAME?</v>
      </c>
      <c r="G108" s="9" t="e">
        <f t="shared" ca="1" si="30"/>
        <v>#NAME?</v>
      </c>
      <c r="H108" s="223" t="e">
        <f t="shared" ca="1" si="30"/>
        <v>#NAME?</v>
      </c>
      <c r="I108" s="9" t="e">
        <f t="shared" ca="1" si="31"/>
        <v>#NAME?</v>
      </c>
      <c r="J108" s="9" t="e">
        <f t="shared" ca="1" si="32"/>
        <v>#NAME?</v>
      </c>
      <c r="K108" s="9" t="e">
        <f t="shared" ca="1" si="33"/>
        <v>#NAME?</v>
      </c>
      <c r="L108" s="9" t="e">
        <f t="shared" ca="1" si="33"/>
        <v>#NAME?</v>
      </c>
      <c r="N108" s="9" t="e">
        <f t="shared" ca="1" si="25"/>
        <v>#NAME?</v>
      </c>
      <c r="P108" s="223" t="e">
        <f ca="1">DATEVALUE(_xll.BDP($A$47&amp;"/"&amp;$B$47&amp;" "&amp;$A108&amp;"@"&amp;$A$2&amp;" Curncy","SETTLE_DT"))</f>
        <v>#NAME?</v>
      </c>
      <c r="Q108" s="9" t="e">
        <f t="shared" ca="1" si="40"/>
        <v>#NAME?</v>
      </c>
      <c r="R108" s="9">
        <f>IF($R$93="USD",1,_xll.BInterpol($B$99:$B$119,$D$99:$D$119,Q108,"Linear"))</f>
        <v>1</v>
      </c>
      <c r="S108" s="9">
        <f>IF($R$93="USD",1,_xll.BInterpol($B$99:$B$119,$E$99:$E$119,Q108,"Linear"))</f>
        <v>1</v>
      </c>
      <c r="T108" s="9" t="e">
        <f ca="1">IF($T$93="USD",1,_xll.BInterpol($G$99:$G$119,$I$99:$I$119,Q108,"Linear"))</f>
        <v>#NAME?</v>
      </c>
      <c r="U108" s="9" t="e">
        <f ca="1">IF($T$93="USD",1,_xll.BInterpol($G$99:$G$119,$J$99:$J$119,Q108,"Linear"))</f>
        <v>#NAME?</v>
      </c>
      <c r="V108" s="338" t="e">
        <f t="shared" ca="1" si="34"/>
        <v>#NAME?</v>
      </c>
      <c r="W108" s="338" t="e">
        <f t="shared" ca="1" si="35"/>
        <v>#NAME?</v>
      </c>
      <c r="X108" s="338" t="e">
        <f t="shared" ca="1" si="36"/>
        <v>#NAME?</v>
      </c>
      <c r="Y108" s="338" t="e">
        <f t="shared" ca="1" si="37"/>
        <v>#NAME?</v>
      </c>
      <c r="Z108" s="339" t="e">
        <f t="shared" ca="1" si="38"/>
        <v>#NAME?</v>
      </c>
      <c r="AA108" s="339" t="e">
        <f t="shared" ca="1" si="39"/>
        <v>#NAME?</v>
      </c>
      <c r="AB108" s="339" t="e">
        <f t="shared" ca="1" si="41"/>
        <v>#NAME?</v>
      </c>
      <c r="AC108" s="339" t="e">
        <f t="shared" ca="1" si="42"/>
        <v>#NAME?</v>
      </c>
    </row>
    <row r="109" spans="1:29">
      <c r="A109" s="9" t="str">
        <f t="shared" si="27"/>
        <v>6M</v>
      </c>
      <c r="B109" s="9" t="e">
        <f t="shared" ca="1" si="27"/>
        <v>#NAME?</v>
      </c>
      <c r="C109" s="223" t="e">
        <f t="shared" ca="1" si="27"/>
        <v>#NAME?</v>
      </c>
      <c r="D109" s="9" t="e">
        <f t="shared" ca="1" si="28"/>
        <v>#NAME?</v>
      </c>
      <c r="E109" s="9" t="e">
        <f t="shared" ca="1" si="29"/>
        <v>#NAME?</v>
      </c>
      <c r="G109" s="9" t="e">
        <f t="shared" ca="1" si="30"/>
        <v>#NAME?</v>
      </c>
      <c r="H109" s="223" t="e">
        <f t="shared" ca="1" si="30"/>
        <v>#NAME?</v>
      </c>
      <c r="I109" s="9" t="e">
        <f t="shared" ca="1" si="31"/>
        <v>#NAME?</v>
      </c>
      <c r="J109" s="9" t="e">
        <f t="shared" ca="1" si="32"/>
        <v>#NAME?</v>
      </c>
      <c r="K109" s="9" t="e">
        <f t="shared" ca="1" si="33"/>
        <v>#NAME?</v>
      </c>
      <c r="L109" s="9" t="e">
        <f t="shared" ca="1" si="33"/>
        <v>#NAME?</v>
      </c>
      <c r="N109" s="9" t="e">
        <f t="shared" ca="1" si="25"/>
        <v>#NAME?</v>
      </c>
      <c r="P109" s="223" t="e">
        <f ca="1">DATEVALUE(_xll.BDP($A$47&amp;"/"&amp;$B$47&amp;" "&amp;$A109&amp;"@"&amp;$A$2&amp;" Curncy","SETTLE_DT"))</f>
        <v>#NAME?</v>
      </c>
      <c r="Q109" s="9" t="e">
        <f t="shared" ca="1" si="40"/>
        <v>#NAME?</v>
      </c>
      <c r="R109" s="9">
        <f>IF($R$93="USD",1,_xll.BInterpol($B$99:$B$119,$D$99:$D$119,Q109,"Linear"))</f>
        <v>1</v>
      </c>
      <c r="S109" s="9">
        <f>IF($R$93="USD",1,_xll.BInterpol($B$99:$B$119,$E$99:$E$119,Q109,"Linear"))</f>
        <v>1</v>
      </c>
      <c r="T109" s="9" t="e">
        <f ca="1">IF($T$93="USD",1,_xll.BInterpol($G$99:$G$119,$I$99:$I$119,Q109,"Linear"))</f>
        <v>#NAME?</v>
      </c>
      <c r="U109" s="9" t="e">
        <f ca="1">IF($T$93="USD",1,_xll.BInterpol($G$99:$G$119,$J$99:$J$119,Q109,"Linear"))</f>
        <v>#NAME?</v>
      </c>
      <c r="V109" s="338" t="e">
        <f t="shared" ca="1" si="34"/>
        <v>#NAME?</v>
      </c>
      <c r="W109" s="338" t="e">
        <f t="shared" ca="1" si="35"/>
        <v>#NAME?</v>
      </c>
      <c r="X109" s="338" t="e">
        <f t="shared" ca="1" si="36"/>
        <v>#NAME?</v>
      </c>
      <c r="Y109" s="338" t="e">
        <f t="shared" ca="1" si="37"/>
        <v>#NAME?</v>
      </c>
      <c r="Z109" s="339" t="e">
        <f t="shared" ca="1" si="38"/>
        <v>#NAME?</v>
      </c>
      <c r="AA109" s="339" t="e">
        <f t="shared" ca="1" si="39"/>
        <v>#NAME?</v>
      </c>
      <c r="AB109" s="339" t="e">
        <f t="shared" ca="1" si="41"/>
        <v>#NAME?</v>
      </c>
      <c r="AC109" s="339" t="e">
        <f t="shared" ca="1" si="42"/>
        <v>#NAME?</v>
      </c>
    </row>
    <row r="110" spans="1:29">
      <c r="A110" s="9" t="str">
        <f t="shared" si="27"/>
        <v>7M</v>
      </c>
      <c r="B110" s="9" t="e">
        <f t="shared" ca="1" si="27"/>
        <v>#NAME?</v>
      </c>
      <c r="C110" s="223" t="e">
        <f t="shared" ca="1" si="27"/>
        <v>#NAME?</v>
      </c>
      <c r="D110" s="9" t="e">
        <f t="shared" ca="1" si="28"/>
        <v>#NAME?</v>
      </c>
      <c r="E110" s="9" t="e">
        <f t="shared" ca="1" si="29"/>
        <v>#NAME?</v>
      </c>
      <c r="G110" s="9" t="e">
        <f t="shared" ca="1" si="30"/>
        <v>#NAME?</v>
      </c>
      <c r="H110" s="223" t="e">
        <f t="shared" ca="1" si="30"/>
        <v>#NAME?</v>
      </c>
      <c r="I110" s="9" t="e">
        <f t="shared" ca="1" si="31"/>
        <v>#NAME?</v>
      </c>
      <c r="J110" s="9" t="e">
        <f t="shared" ca="1" si="32"/>
        <v>#NAME?</v>
      </c>
      <c r="K110" s="9" t="e">
        <f t="shared" ca="1" si="33"/>
        <v>#NAME?</v>
      </c>
      <c r="L110" s="9" t="e">
        <f t="shared" ca="1" si="33"/>
        <v>#NAME?</v>
      </c>
      <c r="N110" s="9" t="e">
        <f t="shared" ca="1" si="25"/>
        <v>#NAME?</v>
      </c>
      <c r="P110" s="223" t="e">
        <f ca="1">DATEVALUE(_xll.BDP($A$47&amp;"/"&amp;$B$47&amp;" "&amp;$A110&amp;"@"&amp;$A$2&amp;" Curncy","SETTLE_DT"))</f>
        <v>#NAME?</v>
      </c>
      <c r="Q110" s="9" t="e">
        <f t="shared" ca="1" si="40"/>
        <v>#NAME?</v>
      </c>
      <c r="R110" s="9">
        <f>IF($R$93="USD",1,_xll.BInterpol($B$99:$B$119,$D$99:$D$119,Q110,"Linear"))</f>
        <v>1</v>
      </c>
      <c r="S110" s="9">
        <f>IF($R$93="USD",1,_xll.BInterpol($B$99:$B$119,$E$99:$E$119,Q110,"Linear"))</f>
        <v>1</v>
      </c>
      <c r="T110" s="9" t="e">
        <f ca="1">IF($T$93="USD",1,_xll.BInterpol($G$99:$G$119,$I$99:$I$119,Q110,"Linear"))</f>
        <v>#NAME?</v>
      </c>
      <c r="U110" s="9" t="e">
        <f ca="1">IF($T$93="USD",1,_xll.BInterpol($G$99:$G$119,$J$99:$J$119,Q110,"Linear"))</f>
        <v>#NAME?</v>
      </c>
      <c r="V110" s="338" t="e">
        <f t="shared" ca="1" si="34"/>
        <v>#NAME?</v>
      </c>
      <c r="W110" s="338" t="e">
        <f t="shared" ca="1" si="35"/>
        <v>#NAME?</v>
      </c>
      <c r="X110" s="338" t="e">
        <f t="shared" ca="1" si="36"/>
        <v>#NAME?</v>
      </c>
      <c r="Y110" s="338" t="e">
        <f t="shared" ca="1" si="37"/>
        <v>#NAME?</v>
      </c>
      <c r="Z110" s="339" t="e">
        <f t="shared" ca="1" si="38"/>
        <v>#NAME?</v>
      </c>
      <c r="AA110" s="339" t="e">
        <f t="shared" ca="1" si="39"/>
        <v>#NAME?</v>
      </c>
      <c r="AB110" s="339" t="e">
        <f t="shared" ca="1" si="41"/>
        <v>#NAME?</v>
      </c>
      <c r="AC110" s="339" t="e">
        <f t="shared" ca="1" si="42"/>
        <v>#NAME?</v>
      </c>
    </row>
    <row r="111" spans="1:29" s="10" customFormat="1">
      <c r="A111" s="9" t="str">
        <f t="shared" si="27"/>
        <v>8M</v>
      </c>
      <c r="B111" s="9" t="e">
        <f t="shared" ca="1" si="27"/>
        <v>#NAME?</v>
      </c>
      <c r="C111" s="223" t="e">
        <f t="shared" ca="1" si="27"/>
        <v>#NAME?</v>
      </c>
      <c r="D111" s="9" t="e">
        <f t="shared" ca="1" si="28"/>
        <v>#NAME?</v>
      </c>
      <c r="E111" s="9" t="e">
        <f t="shared" ca="1" si="29"/>
        <v>#NAME?</v>
      </c>
      <c r="F111" s="9"/>
      <c r="G111" s="9" t="e">
        <f t="shared" ca="1" si="30"/>
        <v>#NAME?</v>
      </c>
      <c r="H111" s="223" t="e">
        <f t="shared" ca="1" si="30"/>
        <v>#NAME?</v>
      </c>
      <c r="I111" s="9" t="e">
        <f t="shared" ca="1" si="31"/>
        <v>#NAME?</v>
      </c>
      <c r="J111" s="9" t="e">
        <f t="shared" ca="1" si="32"/>
        <v>#NAME?</v>
      </c>
      <c r="K111" s="9" t="e">
        <f t="shared" ca="1" si="33"/>
        <v>#NAME?</v>
      </c>
      <c r="L111" s="9" t="e">
        <f t="shared" ca="1" si="33"/>
        <v>#NAME?</v>
      </c>
      <c r="M111" s="9"/>
      <c r="N111" s="9" t="e">
        <f t="shared" ca="1" si="25"/>
        <v>#NAME?</v>
      </c>
      <c r="O111" s="9"/>
      <c r="P111" s="223" t="e">
        <f ca="1">DATEVALUE(_xll.BDP($A$47&amp;"/"&amp;$B$47&amp;" "&amp;$A111&amp;"@"&amp;$A$2&amp;" Curncy","SETTLE_DT"))</f>
        <v>#NAME?</v>
      </c>
      <c r="Q111" s="9" t="e">
        <f t="shared" ca="1" si="40"/>
        <v>#NAME?</v>
      </c>
      <c r="R111" s="9">
        <f>IF($R$93="USD",1,_xll.BInterpol($B$99:$B$119,$D$99:$D$119,Q111,"Linear"))</f>
        <v>1</v>
      </c>
      <c r="S111" s="9">
        <f>IF($R$93="USD",1,_xll.BInterpol($B$99:$B$119,$E$99:$E$119,Q111,"Linear"))</f>
        <v>1</v>
      </c>
      <c r="T111" s="9" t="e">
        <f ca="1">IF($T$93="USD",1,_xll.BInterpol($G$99:$G$119,$I$99:$I$119,Q111,"Linear"))</f>
        <v>#NAME?</v>
      </c>
      <c r="U111" s="9" t="e">
        <f ca="1">IF($T$93="USD",1,_xll.BInterpol($G$99:$G$119,$J$99:$J$119,Q111,"Linear"))</f>
        <v>#NAME?</v>
      </c>
      <c r="V111" s="338" t="e">
        <f t="shared" ca="1" si="34"/>
        <v>#NAME?</v>
      </c>
      <c r="W111" s="338" t="e">
        <f t="shared" ca="1" si="35"/>
        <v>#NAME?</v>
      </c>
      <c r="X111" s="338" t="e">
        <f t="shared" ca="1" si="36"/>
        <v>#NAME?</v>
      </c>
      <c r="Y111" s="338" t="e">
        <f t="shared" ca="1" si="37"/>
        <v>#NAME?</v>
      </c>
      <c r="Z111" s="339" t="e">
        <f t="shared" ca="1" si="38"/>
        <v>#NAME?</v>
      </c>
      <c r="AA111" s="339" t="e">
        <f t="shared" ca="1" si="39"/>
        <v>#NAME?</v>
      </c>
      <c r="AB111" s="339" t="e">
        <f t="shared" ca="1" si="41"/>
        <v>#NAME?</v>
      </c>
      <c r="AC111" s="339" t="e">
        <f t="shared" ca="1" si="42"/>
        <v>#NAME?</v>
      </c>
    </row>
    <row r="112" spans="1:29" s="10" customFormat="1">
      <c r="A112" s="9" t="str">
        <f t="shared" si="27"/>
        <v>9M</v>
      </c>
      <c r="B112" s="9" t="e">
        <f t="shared" ca="1" si="27"/>
        <v>#NAME?</v>
      </c>
      <c r="C112" s="223" t="e">
        <f t="shared" ca="1" si="27"/>
        <v>#NAME?</v>
      </c>
      <c r="D112" s="9" t="e">
        <f t="shared" ca="1" si="28"/>
        <v>#NAME?</v>
      </c>
      <c r="E112" s="9" t="e">
        <f t="shared" ca="1" si="29"/>
        <v>#NAME?</v>
      </c>
      <c r="F112" s="9"/>
      <c r="G112" s="9" t="e">
        <f t="shared" ca="1" si="30"/>
        <v>#NAME?</v>
      </c>
      <c r="H112" s="223" t="e">
        <f t="shared" ca="1" si="30"/>
        <v>#NAME?</v>
      </c>
      <c r="I112" s="9" t="e">
        <f t="shared" ca="1" si="31"/>
        <v>#NAME?</v>
      </c>
      <c r="J112" s="9" t="e">
        <f t="shared" ca="1" si="32"/>
        <v>#NAME?</v>
      </c>
      <c r="K112" s="9" t="e">
        <f t="shared" ca="1" si="33"/>
        <v>#NAME?</v>
      </c>
      <c r="L112" s="9" t="e">
        <f t="shared" ca="1" si="33"/>
        <v>#NAME?</v>
      </c>
      <c r="M112" s="9"/>
      <c r="N112" s="9" t="e">
        <f t="shared" ca="1" si="25"/>
        <v>#NAME?</v>
      </c>
      <c r="O112" s="9"/>
      <c r="P112" s="223" t="e">
        <f ca="1">DATEVALUE(_xll.BDP($A$47&amp;"/"&amp;$B$47&amp;" "&amp;$A112&amp;"@"&amp;$A$2&amp;" Curncy","SETTLE_DT"))</f>
        <v>#NAME?</v>
      </c>
      <c r="Q112" s="9" t="e">
        <f t="shared" ca="1" si="40"/>
        <v>#NAME?</v>
      </c>
      <c r="R112" s="9">
        <f>IF($R$93="USD",1,_xll.BInterpol($B$99:$B$119,$D$99:$D$119,Q112,"Linear"))</f>
        <v>1</v>
      </c>
      <c r="S112" s="9">
        <f>IF($R$93="USD",1,_xll.BInterpol($B$99:$B$119,$E$99:$E$119,Q112,"Linear"))</f>
        <v>1</v>
      </c>
      <c r="T112" s="9" t="e">
        <f ca="1">IF($T$93="USD",1,_xll.BInterpol($G$99:$G$119,$I$99:$I$119,Q112,"Linear"))</f>
        <v>#NAME?</v>
      </c>
      <c r="U112" s="9" t="e">
        <f ca="1">IF($T$93="USD",1,_xll.BInterpol($G$99:$G$119,$J$99:$J$119,Q112,"Linear"))</f>
        <v>#NAME?</v>
      </c>
      <c r="V112" s="338" t="e">
        <f t="shared" ca="1" si="34"/>
        <v>#NAME?</v>
      </c>
      <c r="W112" s="338" t="e">
        <f t="shared" ca="1" si="35"/>
        <v>#NAME?</v>
      </c>
      <c r="X112" s="338" t="e">
        <f t="shared" ca="1" si="36"/>
        <v>#NAME?</v>
      </c>
      <c r="Y112" s="338" t="e">
        <f t="shared" ca="1" si="37"/>
        <v>#NAME?</v>
      </c>
      <c r="Z112" s="339" t="e">
        <f t="shared" ca="1" si="38"/>
        <v>#NAME?</v>
      </c>
      <c r="AA112" s="339" t="e">
        <f t="shared" ca="1" si="39"/>
        <v>#NAME?</v>
      </c>
      <c r="AB112" s="339" t="e">
        <f t="shared" ca="1" si="41"/>
        <v>#NAME?</v>
      </c>
      <c r="AC112" s="339" t="e">
        <f t="shared" ca="1" si="42"/>
        <v>#NAME?</v>
      </c>
    </row>
    <row r="113" spans="1:29" s="10" customFormat="1">
      <c r="A113" s="9" t="str">
        <f t="shared" si="27"/>
        <v>10M</v>
      </c>
      <c r="B113" s="9" t="e">
        <f t="shared" ca="1" si="27"/>
        <v>#NAME?</v>
      </c>
      <c r="C113" s="223" t="e">
        <f t="shared" ca="1" si="27"/>
        <v>#NAME?</v>
      </c>
      <c r="D113" s="9" t="e">
        <f t="shared" ca="1" si="28"/>
        <v>#NAME?</v>
      </c>
      <c r="E113" s="9" t="e">
        <f t="shared" ca="1" si="29"/>
        <v>#NAME?</v>
      </c>
      <c r="F113" s="9"/>
      <c r="G113" s="9" t="e">
        <f t="shared" ca="1" si="30"/>
        <v>#NAME?</v>
      </c>
      <c r="H113" s="223" t="e">
        <f t="shared" ca="1" si="30"/>
        <v>#NAME?</v>
      </c>
      <c r="I113" s="9" t="e">
        <f t="shared" ca="1" si="31"/>
        <v>#NAME?</v>
      </c>
      <c r="J113" s="9" t="e">
        <f t="shared" ca="1" si="32"/>
        <v>#NAME?</v>
      </c>
      <c r="K113" s="9" t="e">
        <f t="shared" ca="1" si="33"/>
        <v>#NAME?</v>
      </c>
      <c r="L113" s="9" t="e">
        <f t="shared" ca="1" si="33"/>
        <v>#NAME?</v>
      </c>
      <c r="M113" s="9"/>
      <c r="N113" s="9" t="e">
        <f t="shared" ca="1" si="25"/>
        <v>#NAME?</v>
      </c>
      <c r="O113" s="9"/>
      <c r="P113" s="223" t="e">
        <f ca="1">DATEVALUE(_xll.BDP($A$47&amp;"/"&amp;$B$47&amp;" "&amp;$A113&amp;"@"&amp;$A$2&amp;" Curncy","SETTLE_DT"))</f>
        <v>#NAME?</v>
      </c>
      <c r="Q113" s="9" t="e">
        <f t="shared" ca="1" si="40"/>
        <v>#NAME?</v>
      </c>
      <c r="R113" s="9">
        <f>IF($R$93="USD",1,_xll.BInterpol($B$99:$B$119,$D$99:$D$119,Q113,"Linear"))</f>
        <v>1</v>
      </c>
      <c r="S113" s="9">
        <f>IF($R$93="USD",1,_xll.BInterpol($B$99:$B$119,$E$99:$E$119,Q113,"Linear"))</f>
        <v>1</v>
      </c>
      <c r="T113" s="9" t="e">
        <f ca="1">IF($T$93="USD",1,_xll.BInterpol($G$99:$G$119,$I$99:$I$119,Q113,"Linear"))</f>
        <v>#NAME?</v>
      </c>
      <c r="U113" s="9" t="e">
        <f ca="1">IF($T$93="USD",1,_xll.BInterpol($G$99:$G$119,$J$99:$J$119,Q113,"Linear"))</f>
        <v>#NAME?</v>
      </c>
      <c r="V113" s="338" t="e">
        <f t="shared" ca="1" si="34"/>
        <v>#NAME?</v>
      </c>
      <c r="W113" s="338" t="e">
        <f t="shared" ca="1" si="35"/>
        <v>#NAME?</v>
      </c>
      <c r="X113" s="338" t="e">
        <f t="shared" ca="1" si="36"/>
        <v>#NAME?</v>
      </c>
      <c r="Y113" s="338" t="e">
        <f t="shared" ca="1" si="37"/>
        <v>#NAME?</v>
      </c>
      <c r="Z113" s="339" t="e">
        <f t="shared" ca="1" si="38"/>
        <v>#NAME?</v>
      </c>
      <c r="AA113" s="339" t="e">
        <f t="shared" ca="1" si="39"/>
        <v>#NAME?</v>
      </c>
      <c r="AB113" s="339" t="e">
        <f t="shared" ca="1" si="41"/>
        <v>#NAME?</v>
      </c>
      <c r="AC113" s="339" t="e">
        <f t="shared" ca="1" si="42"/>
        <v>#NAME?</v>
      </c>
    </row>
    <row r="114" spans="1:29" s="10" customFormat="1">
      <c r="A114" s="9" t="str">
        <f t="shared" si="27"/>
        <v>11M</v>
      </c>
      <c r="B114" s="9" t="e">
        <f t="shared" ca="1" si="27"/>
        <v>#NAME?</v>
      </c>
      <c r="C114" s="223" t="e">
        <f t="shared" ca="1" si="27"/>
        <v>#NAME?</v>
      </c>
      <c r="D114" s="9" t="e">
        <f t="shared" ca="1" si="28"/>
        <v>#NAME?</v>
      </c>
      <c r="E114" s="9" t="e">
        <f t="shared" ca="1" si="29"/>
        <v>#NAME?</v>
      </c>
      <c r="F114" s="9"/>
      <c r="G114" s="9" t="e">
        <f t="shared" ca="1" si="30"/>
        <v>#NAME?</v>
      </c>
      <c r="H114" s="223" t="e">
        <f t="shared" ca="1" si="30"/>
        <v>#NAME?</v>
      </c>
      <c r="I114" s="9" t="e">
        <f t="shared" ca="1" si="31"/>
        <v>#NAME?</v>
      </c>
      <c r="J114" s="9" t="e">
        <f t="shared" ca="1" si="32"/>
        <v>#NAME?</v>
      </c>
      <c r="K114" s="9" t="e">
        <f t="shared" ca="1" si="33"/>
        <v>#NAME?</v>
      </c>
      <c r="L114" s="9" t="e">
        <f t="shared" ca="1" si="33"/>
        <v>#NAME?</v>
      </c>
      <c r="M114" s="9"/>
      <c r="N114" s="9" t="e">
        <f t="shared" ca="1" si="25"/>
        <v>#NAME?</v>
      </c>
      <c r="O114" s="9"/>
      <c r="P114" s="223" t="e">
        <f ca="1">DATEVALUE(_xll.BDP($A$47&amp;"/"&amp;$B$47&amp;" "&amp;$A114&amp;"@"&amp;$A$2&amp;" Curncy","SETTLE_DT"))</f>
        <v>#NAME?</v>
      </c>
      <c r="Q114" s="9" t="e">
        <f t="shared" ca="1" si="40"/>
        <v>#NAME?</v>
      </c>
      <c r="R114" s="9">
        <f>IF($R$93="USD",1,_xll.BInterpol($B$99:$B$119,$D$99:$D$119,Q114,"Linear"))</f>
        <v>1</v>
      </c>
      <c r="S114" s="9">
        <f>IF($R$93="USD",1,_xll.BInterpol($B$99:$B$119,$E$99:$E$119,Q114,"Linear"))</f>
        <v>1</v>
      </c>
      <c r="T114" s="9" t="e">
        <f ca="1">IF($T$93="USD",1,_xll.BInterpol($G$99:$G$119,$I$99:$I$119,Q114,"Linear"))</f>
        <v>#NAME?</v>
      </c>
      <c r="U114" s="9" t="e">
        <f ca="1">IF($T$93="USD",1,_xll.BInterpol($G$99:$G$119,$J$99:$J$119,Q114,"Linear"))</f>
        <v>#NAME?</v>
      </c>
      <c r="V114" s="338" t="e">
        <f t="shared" ca="1" si="34"/>
        <v>#NAME?</v>
      </c>
      <c r="W114" s="338" t="e">
        <f t="shared" ca="1" si="35"/>
        <v>#NAME?</v>
      </c>
      <c r="X114" s="338" t="e">
        <f t="shared" ca="1" si="36"/>
        <v>#NAME?</v>
      </c>
      <c r="Y114" s="338" t="e">
        <f t="shared" ca="1" si="37"/>
        <v>#NAME?</v>
      </c>
      <c r="Z114" s="339" t="e">
        <f t="shared" ca="1" si="38"/>
        <v>#NAME?</v>
      </c>
      <c r="AA114" s="339" t="e">
        <f t="shared" ca="1" si="39"/>
        <v>#NAME?</v>
      </c>
      <c r="AB114" s="339" t="e">
        <f t="shared" ca="1" si="41"/>
        <v>#NAME?</v>
      </c>
      <c r="AC114" s="339" t="e">
        <f t="shared" ca="1" si="42"/>
        <v>#NAME?</v>
      </c>
    </row>
    <row r="115" spans="1:29" s="10" customFormat="1">
      <c r="A115" s="9" t="str">
        <f t="shared" si="27"/>
        <v>12M</v>
      </c>
      <c r="B115" s="9" t="e">
        <f t="shared" ca="1" si="27"/>
        <v>#NAME?</v>
      </c>
      <c r="C115" s="223" t="e">
        <f t="shared" ca="1" si="27"/>
        <v>#NAME?</v>
      </c>
      <c r="D115" s="9" t="e">
        <f t="shared" ca="1" si="28"/>
        <v>#NAME?</v>
      </c>
      <c r="E115" s="9" t="e">
        <f t="shared" ca="1" si="29"/>
        <v>#NAME?</v>
      </c>
      <c r="F115" s="9"/>
      <c r="G115" s="9" t="e">
        <f t="shared" ca="1" si="30"/>
        <v>#NAME?</v>
      </c>
      <c r="H115" s="223" t="e">
        <f t="shared" ca="1" si="30"/>
        <v>#NAME?</v>
      </c>
      <c r="I115" s="9" t="e">
        <f t="shared" ca="1" si="31"/>
        <v>#NAME?</v>
      </c>
      <c r="J115" s="9" t="e">
        <f t="shared" ca="1" si="32"/>
        <v>#NAME?</v>
      </c>
      <c r="K115" s="9" t="e">
        <f t="shared" ca="1" si="33"/>
        <v>#NAME?</v>
      </c>
      <c r="L115" s="9" t="e">
        <f t="shared" ca="1" si="33"/>
        <v>#NAME?</v>
      </c>
      <c r="M115" s="9"/>
      <c r="N115" s="9" t="e">
        <f t="shared" ca="1" si="25"/>
        <v>#NAME?</v>
      </c>
      <c r="O115" s="9"/>
      <c r="P115" s="223" t="e">
        <f ca="1">DATEVALUE(_xll.BDP($A$47&amp;"/"&amp;$B$47&amp;" "&amp;$A115&amp;"@"&amp;$A$2&amp;" Curncy","SETTLE_DT"))</f>
        <v>#NAME?</v>
      </c>
      <c r="Q115" s="9" t="e">
        <f t="shared" ca="1" si="40"/>
        <v>#NAME?</v>
      </c>
      <c r="R115" s="9">
        <f>IF($R$93="USD",1,_xll.BInterpol($B$99:$B$119,$D$99:$D$119,Q115,"Linear"))</f>
        <v>1</v>
      </c>
      <c r="S115" s="9">
        <f>IF($R$93="USD",1,_xll.BInterpol($B$99:$B$119,$E$99:$E$119,Q115,"Linear"))</f>
        <v>1</v>
      </c>
      <c r="T115" s="9" t="e">
        <f ca="1">IF($T$93="USD",1,_xll.BInterpol($G$99:$G$119,$I$99:$I$119,Q115,"Linear"))</f>
        <v>#NAME?</v>
      </c>
      <c r="U115" s="9" t="e">
        <f ca="1">IF($T$93="USD",1,_xll.BInterpol($G$99:$G$119,$J$99:$J$119,Q115,"Linear"))</f>
        <v>#NAME?</v>
      </c>
      <c r="V115" s="338" t="e">
        <f t="shared" ca="1" si="34"/>
        <v>#NAME?</v>
      </c>
      <c r="W115" s="338" t="e">
        <f t="shared" ca="1" si="35"/>
        <v>#NAME?</v>
      </c>
      <c r="X115" s="338" t="e">
        <f t="shared" ca="1" si="36"/>
        <v>#NAME?</v>
      </c>
      <c r="Y115" s="338" t="e">
        <f t="shared" ca="1" si="37"/>
        <v>#NAME?</v>
      </c>
      <c r="Z115" s="339" t="e">
        <f t="shared" ca="1" si="38"/>
        <v>#NAME?</v>
      </c>
      <c r="AA115" s="339" t="e">
        <f t="shared" ca="1" si="39"/>
        <v>#NAME?</v>
      </c>
      <c r="AB115" s="339" t="e">
        <f t="shared" ca="1" si="41"/>
        <v>#NAME?</v>
      </c>
      <c r="AC115" s="339" t="e">
        <f t="shared" ca="1" si="42"/>
        <v>#NAME?</v>
      </c>
    </row>
    <row r="116" spans="1:29">
      <c r="A116" s="9" t="str">
        <f t="shared" si="27"/>
        <v>2Y</v>
      </c>
      <c r="B116" s="9" t="e">
        <f t="shared" ca="1" si="27"/>
        <v>#NAME?</v>
      </c>
      <c r="C116" s="223" t="e">
        <f t="shared" ca="1" si="27"/>
        <v>#NAME?</v>
      </c>
      <c r="D116" s="9" t="e">
        <f t="shared" ca="1" si="28"/>
        <v>#NAME?</v>
      </c>
      <c r="E116" s="9" t="e">
        <f t="shared" ca="1" si="29"/>
        <v>#NAME?</v>
      </c>
      <c r="G116" s="9" t="e">
        <f t="shared" ca="1" si="30"/>
        <v>#NAME?</v>
      </c>
      <c r="H116" s="223" t="e">
        <f t="shared" ca="1" si="30"/>
        <v>#NAME?</v>
      </c>
      <c r="I116" s="9" t="e">
        <f t="shared" ca="1" si="31"/>
        <v>#NAME?</v>
      </c>
      <c r="J116" s="9" t="e">
        <f t="shared" ca="1" si="32"/>
        <v>#NAME?</v>
      </c>
      <c r="K116" s="9" t="e">
        <f t="shared" ca="1" si="33"/>
        <v>#NAME?</v>
      </c>
      <c r="L116" s="9" t="e">
        <f t="shared" ca="1" si="33"/>
        <v>#NAME?</v>
      </c>
      <c r="N116" s="9" t="e">
        <f t="shared" ca="1" si="25"/>
        <v>#NAME?</v>
      </c>
      <c r="P116" s="223" t="e">
        <f ca="1">DATEVALUE(_xll.BDP($A$47&amp;"/"&amp;$B$47&amp;" "&amp;$A116&amp;"@"&amp;$A$2&amp;" Curncy","SETTLE_DT"))</f>
        <v>#NAME?</v>
      </c>
      <c r="Q116" s="9" t="e">
        <f t="shared" ca="1" si="40"/>
        <v>#NAME?</v>
      </c>
      <c r="R116" s="9">
        <f>IF($R$93="USD",1,_xll.BInterpol($B$99:$B$119,$D$99:$D$119,Q116,"Linear"))</f>
        <v>1</v>
      </c>
      <c r="S116" s="9">
        <f>IF($R$93="USD",1,_xll.BInterpol($B$99:$B$119,$E$99:$E$119,Q116,"Linear"))</f>
        <v>1</v>
      </c>
      <c r="T116" s="9" t="e">
        <f ca="1">IF($T$93="USD",1,_xll.BInterpol($G$99:$G$119,$I$99:$I$119,Q116,"Linear"))</f>
        <v>#NAME?</v>
      </c>
      <c r="U116" s="9" t="e">
        <f ca="1">IF($T$93="USD",1,_xll.BInterpol($G$99:$G$119,$J$99:$J$119,Q116,"Linear"))</f>
        <v>#NAME?</v>
      </c>
      <c r="V116" s="338" t="e">
        <f t="shared" ca="1" si="34"/>
        <v>#NAME?</v>
      </c>
      <c r="W116" s="338" t="e">
        <f t="shared" ca="1" si="35"/>
        <v>#NAME?</v>
      </c>
      <c r="X116" s="338" t="e">
        <f t="shared" ca="1" si="36"/>
        <v>#NAME?</v>
      </c>
      <c r="Y116" s="338" t="e">
        <f t="shared" ca="1" si="37"/>
        <v>#NAME?</v>
      </c>
      <c r="Z116" s="339" t="e">
        <f t="shared" ca="1" si="38"/>
        <v>#NAME?</v>
      </c>
      <c r="AA116" s="339" t="e">
        <f t="shared" ca="1" si="39"/>
        <v>#NAME?</v>
      </c>
      <c r="AB116" s="339" t="e">
        <f t="shared" ca="1" si="41"/>
        <v>#NAME?</v>
      </c>
      <c r="AC116" s="339" t="e">
        <f t="shared" ca="1" si="42"/>
        <v>#NAME?</v>
      </c>
    </row>
    <row r="117" spans="1:29">
      <c r="A117" s="9" t="str">
        <f t="shared" si="27"/>
        <v>3Y</v>
      </c>
      <c r="B117" s="9" t="e">
        <f t="shared" ca="1" si="27"/>
        <v>#NAME?</v>
      </c>
      <c r="C117" s="223" t="e">
        <f t="shared" ca="1" si="27"/>
        <v>#NAME?</v>
      </c>
      <c r="D117" s="9" t="e">
        <f t="shared" ca="1" si="28"/>
        <v>#NAME?</v>
      </c>
      <c r="E117" s="9" t="e">
        <f t="shared" ca="1" si="29"/>
        <v>#NAME?</v>
      </c>
      <c r="G117" s="9" t="e">
        <f t="shared" ca="1" si="30"/>
        <v>#NAME?</v>
      </c>
      <c r="H117" s="223" t="e">
        <f t="shared" ca="1" si="30"/>
        <v>#NAME?</v>
      </c>
      <c r="I117" s="9" t="e">
        <f t="shared" ca="1" si="31"/>
        <v>#NAME?</v>
      </c>
      <c r="J117" s="9" t="e">
        <f t="shared" ca="1" si="32"/>
        <v>#NAME?</v>
      </c>
      <c r="K117" s="9" t="e">
        <f t="shared" ca="1" si="33"/>
        <v>#NAME?</v>
      </c>
      <c r="L117" s="9" t="e">
        <f t="shared" ca="1" si="33"/>
        <v>#NAME?</v>
      </c>
      <c r="N117" s="9" t="e">
        <f t="shared" ca="1" si="25"/>
        <v>#NAME?</v>
      </c>
      <c r="P117" s="223" t="e">
        <f ca="1">DATEVALUE(_xll.BDP($A$47&amp;"/"&amp;$B$47&amp;" "&amp;$A117&amp;"@"&amp;$A$2&amp;" Curncy","SETTLE_DT"))</f>
        <v>#NAME?</v>
      </c>
      <c r="Q117" s="9" t="e">
        <f t="shared" ca="1" si="40"/>
        <v>#NAME?</v>
      </c>
      <c r="R117" s="9">
        <f>IF($R$93="USD",1,_xll.BInterpol($B$99:$B$119,$D$99:$D$119,Q117,"Linear"))</f>
        <v>1</v>
      </c>
      <c r="S117" s="9">
        <f>IF($R$93="USD",1,_xll.BInterpol($B$99:$B$119,$E$99:$E$119,Q117,"Linear"))</f>
        <v>1</v>
      </c>
      <c r="T117" s="9" t="e">
        <f ca="1">IF($T$93="USD",1,_xll.BInterpol($G$99:$G$119,$I$99:$I$119,Q117,"Linear"))</f>
        <v>#NAME?</v>
      </c>
      <c r="U117" s="9" t="e">
        <f ca="1">IF($T$93="USD",1,_xll.BInterpol($G$99:$G$119,$J$99:$J$119,Q117,"Linear"))</f>
        <v>#NAME?</v>
      </c>
      <c r="V117" s="338" t="e">
        <f t="shared" ca="1" si="34"/>
        <v>#NAME?</v>
      </c>
      <c r="W117" s="338" t="e">
        <f t="shared" ca="1" si="35"/>
        <v>#NAME?</v>
      </c>
      <c r="X117" s="338" t="e">
        <f t="shared" ca="1" si="36"/>
        <v>#NAME?</v>
      </c>
      <c r="Y117" s="338" t="e">
        <f t="shared" ca="1" si="37"/>
        <v>#NAME?</v>
      </c>
      <c r="Z117" s="339" t="e">
        <f t="shared" ca="1" si="38"/>
        <v>#NAME?</v>
      </c>
      <c r="AA117" s="339" t="e">
        <f t="shared" ca="1" si="39"/>
        <v>#NAME?</v>
      </c>
      <c r="AB117" s="339" t="e">
        <f t="shared" ca="1" si="41"/>
        <v>#NAME?</v>
      </c>
      <c r="AC117" s="339" t="e">
        <f t="shared" ca="1" si="42"/>
        <v>#NAME?</v>
      </c>
    </row>
    <row r="118" spans="1:29">
      <c r="A118" s="9" t="str">
        <f t="shared" si="27"/>
        <v>4Y</v>
      </c>
      <c r="B118" s="9" t="e">
        <f t="shared" ca="1" si="27"/>
        <v>#NAME?</v>
      </c>
      <c r="C118" s="223" t="e">
        <f t="shared" ca="1" si="27"/>
        <v>#NAME?</v>
      </c>
      <c r="D118" s="9" t="e">
        <f t="shared" ca="1" si="28"/>
        <v>#NAME?</v>
      </c>
      <c r="E118" s="9" t="e">
        <f t="shared" ca="1" si="29"/>
        <v>#NAME?</v>
      </c>
      <c r="G118" s="9" t="e">
        <f t="shared" ca="1" si="30"/>
        <v>#NAME?</v>
      </c>
      <c r="H118" s="223" t="e">
        <f t="shared" ca="1" si="30"/>
        <v>#NAME?</v>
      </c>
      <c r="I118" s="9" t="e">
        <f t="shared" ca="1" si="31"/>
        <v>#NAME?</v>
      </c>
      <c r="J118" s="9" t="e">
        <f t="shared" ca="1" si="32"/>
        <v>#NAME?</v>
      </c>
      <c r="K118" s="9" t="e">
        <f t="shared" ca="1" si="33"/>
        <v>#NAME?</v>
      </c>
      <c r="L118" s="9" t="e">
        <f t="shared" ca="1" si="33"/>
        <v>#NAME?</v>
      </c>
      <c r="N118" s="9" t="e">
        <f t="shared" ca="1" si="25"/>
        <v>#NAME?</v>
      </c>
      <c r="P118" s="223" t="e">
        <f ca="1">DATEVALUE(_xll.BDP($A$47&amp;"/"&amp;$B$47&amp;" "&amp;$A118&amp;"@"&amp;$A$2&amp;" Curncy","SETTLE_DT"))</f>
        <v>#NAME?</v>
      </c>
      <c r="Q118" s="9" t="e">
        <f t="shared" ca="1" si="40"/>
        <v>#NAME?</v>
      </c>
      <c r="R118" s="9">
        <f>IF($R$93="USD",1,_xll.BInterpol($B$99:$B$119,$D$99:$D$119,Q118,"Linear"))</f>
        <v>1</v>
      </c>
      <c r="S118" s="9">
        <f>IF($R$93="USD",1,_xll.BInterpol($B$99:$B$119,$E$99:$E$119,Q118,"Linear"))</f>
        <v>1</v>
      </c>
      <c r="T118" s="9" t="e">
        <f ca="1">IF($T$93="USD",1,_xll.BInterpol($G$99:$G$119,$I$99:$I$119,Q118,"Linear"))</f>
        <v>#NAME?</v>
      </c>
      <c r="U118" s="9" t="e">
        <f ca="1">IF($T$93="USD",1,_xll.BInterpol($G$99:$G$119,$J$99:$J$119,Q118,"Linear"))</f>
        <v>#NAME?</v>
      </c>
      <c r="V118" s="338" t="e">
        <f t="shared" ca="1" si="34"/>
        <v>#NAME?</v>
      </c>
      <c r="W118" s="338" t="e">
        <f t="shared" ca="1" si="35"/>
        <v>#NAME?</v>
      </c>
      <c r="X118" s="338" t="e">
        <f t="shared" ca="1" si="36"/>
        <v>#NAME?</v>
      </c>
      <c r="Y118" s="338" t="e">
        <f t="shared" ca="1" si="37"/>
        <v>#NAME?</v>
      </c>
      <c r="Z118" s="339" t="e">
        <f t="shared" ca="1" si="38"/>
        <v>#NAME?</v>
      </c>
      <c r="AA118" s="339" t="e">
        <f t="shared" ca="1" si="39"/>
        <v>#NAME?</v>
      </c>
      <c r="AB118" s="339" t="e">
        <f t="shared" ca="1" si="41"/>
        <v>#NAME?</v>
      </c>
      <c r="AC118" s="339" t="e">
        <f t="shared" ca="1" si="42"/>
        <v>#NAME?</v>
      </c>
    </row>
    <row r="119" spans="1:29">
      <c r="A119" s="9" t="str">
        <f t="shared" si="27"/>
        <v>5Y</v>
      </c>
      <c r="B119" s="9" t="e">
        <f t="shared" ca="1" si="27"/>
        <v>#NAME?</v>
      </c>
      <c r="C119" s="223" t="e">
        <f t="shared" ca="1" si="27"/>
        <v>#NAME?</v>
      </c>
      <c r="D119" s="9" t="e">
        <f t="shared" ca="1" si="28"/>
        <v>#NAME?</v>
      </c>
      <c r="E119" s="9" t="e">
        <f t="shared" ca="1" si="29"/>
        <v>#NAME?</v>
      </c>
      <c r="G119" s="9" t="e">
        <f t="shared" ca="1" si="30"/>
        <v>#NAME?</v>
      </c>
      <c r="H119" s="223" t="e">
        <f t="shared" ca="1" si="30"/>
        <v>#NAME?</v>
      </c>
      <c r="I119" s="9" t="e">
        <f t="shared" ca="1" si="31"/>
        <v>#NAME?</v>
      </c>
      <c r="J119" s="9" t="e">
        <f t="shared" ca="1" si="32"/>
        <v>#NAME?</v>
      </c>
      <c r="K119" s="9" t="e">
        <f t="shared" ca="1" si="33"/>
        <v>#NAME?</v>
      </c>
      <c r="L119" s="9" t="e">
        <f t="shared" ca="1" si="33"/>
        <v>#NAME?</v>
      </c>
      <c r="N119" s="9" t="e">
        <f t="shared" ca="1" si="25"/>
        <v>#NAME?</v>
      </c>
      <c r="P119" s="223" t="e">
        <f ca="1">DATEVALUE(_xll.BDP($A$47&amp;"/"&amp;$B$47&amp;" "&amp;$A119&amp;"@"&amp;$A$2&amp;" Curncy","SETTLE_DT"))</f>
        <v>#NAME?</v>
      </c>
      <c r="Q119" s="9" t="e">
        <f t="shared" ca="1" si="40"/>
        <v>#NAME?</v>
      </c>
      <c r="R119" s="9">
        <f>IF($R$93="USD",1,_xll.BInterpol($B$99:$B$119,$D$99:$D$119,Q119,"Linear"))</f>
        <v>1</v>
      </c>
      <c r="S119" s="9">
        <f>IF($R$93="USD",1,_xll.BInterpol($B$99:$B$119,$E$99:$E$119,Q119,"Linear"))</f>
        <v>1</v>
      </c>
      <c r="T119" s="9" t="e">
        <f ca="1">IF($T$93="USD",1,_xll.BInterpol($G$99:$G$119,$I$99:$I$119,Q119,"Linear"))</f>
        <v>#NAME?</v>
      </c>
      <c r="U119" s="9" t="e">
        <f ca="1">IF($T$93="USD",1,_xll.BInterpol($G$99:$G$119,$J$99:$J$119,Q119,"Linear"))</f>
        <v>#NAME?</v>
      </c>
      <c r="V119" s="338" t="e">
        <f t="shared" ca="1" si="34"/>
        <v>#NAME?</v>
      </c>
      <c r="W119" s="338" t="e">
        <f t="shared" ca="1" si="35"/>
        <v>#NAME?</v>
      </c>
      <c r="X119" s="338" t="e">
        <f t="shared" ca="1" si="36"/>
        <v>#NAME?</v>
      </c>
      <c r="Y119" s="338" t="e">
        <f t="shared" ca="1" si="37"/>
        <v>#NAME?</v>
      </c>
      <c r="Z119" s="339" t="e">
        <f t="shared" ca="1" si="38"/>
        <v>#NAME?</v>
      </c>
      <c r="AA119" s="339" t="e">
        <f t="shared" ca="1" si="39"/>
        <v>#NAME?</v>
      </c>
      <c r="AB119" s="339" t="e">
        <f t="shared" ca="1" si="41"/>
        <v>#NAME?</v>
      </c>
      <c r="AC119" s="339" t="e">
        <f t="shared" ca="1" si="42"/>
        <v>#NAME?</v>
      </c>
    </row>
    <row r="120" spans="1:29">
      <c r="B120" s="10"/>
      <c r="C120" s="248"/>
      <c r="D120" s="248"/>
      <c r="E120" s="248"/>
      <c r="F120" s="10"/>
      <c r="G120" s="248"/>
      <c r="L120" s="10"/>
      <c r="M120" s="248"/>
      <c r="N120" s="248"/>
      <c r="O120" s="260"/>
    </row>
    <row r="121" spans="1:29">
      <c r="B121" s="10"/>
      <c r="C121" s="248"/>
      <c r="D121" s="248"/>
      <c r="E121" s="248"/>
      <c r="F121" s="248"/>
      <c r="G121" s="248"/>
      <c r="L121" s="10"/>
      <c r="M121" s="248"/>
      <c r="N121" s="248"/>
      <c r="O121" s="260"/>
      <c r="R121" s="340"/>
    </row>
    <row r="122" spans="1:29">
      <c r="B122" s="10"/>
      <c r="C122" s="248"/>
      <c r="D122" s="248"/>
      <c r="E122" s="248"/>
      <c r="F122" s="10"/>
      <c r="G122" s="248"/>
      <c r="R122" s="340"/>
    </row>
    <row r="123" spans="1:29">
      <c r="B123" s="10"/>
      <c r="C123" s="10"/>
      <c r="D123" s="10"/>
      <c r="E123" s="10"/>
      <c r="F123" s="10"/>
    </row>
  </sheetData>
  <protectedRanges>
    <protectedRange sqref="B31:B33" name="範圍3_1_1"/>
    <protectedRange sqref="C31:I33 T25:Z26" name="範圍2_1_1"/>
    <protectedRange sqref="AU2:AU8 AU20:AU25 AM2:AT25 AL1:AT1" name="範圍2_1"/>
    <protectedRange sqref="AU9:AU19" name="範圍2"/>
    <protectedRange sqref="AW5:BB25" name="範圍2_1_5"/>
    <protectedRange sqref="Y31 AC31:AD34 Z31:AB36" name="範圍2_1_6"/>
  </protectedRanges>
  <mergeCells count="13">
    <mergeCell ref="B1:C1"/>
    <mergeCell ref="A39:D39"/>
    <mergeCell ref="R4:U4"/>
    <mergeCell ref="R15:U15"/>
    <mergeCell ref="H32:H33"/>
    <mergeCell ref="O4:P4"/>
    <mergeCell ref="H35:H36"/>
    <mergeCell ref="Q36:Q37"/>
    <mergeCell ref="P36:P37"/>
    <mergeCell ref="AO5:AP7"/>
    <mergeCell ref="O31:P31"/>
    <mergeCell ref="N35:Q35"/>
    <mergeCell ref="Y25:Y26"/>
  </mergeCells>
  <phoneticPr fontId="2" type="noConversion"/>
  <dataValidations disablePrompts="1" count="1">
    <dataValidation type="list" allowBlank="1" showInputMessage="1" showErrorMessage="1" sqref="F2 D2">
      <formula1>"USD,EUR,GBP,AUD,NZD,JPY,CHF,SGD,HKD,THB,ZAR,CAD,TWD,SEK,CNH"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X33"/>
  <sheetViews>
    <sheetView topLeftCell="A13" zoomScale="70" zoomScaleNormal="70" workbookViewId="0">
      <selection activeCell="O26" sqref="O26"/>
    </sheetView>
  </sheetViews>
  <sheetFormatPr defaultRowHeight="12.75"/>
  <cols>
    <col min="1" max="2" width="9" style="378"/>
    <col min="3" max="3" width="9" style="414"/>
    <col min="4" max="8" width="9" style="378"/>
    <col min="9" max="9" width="8.625" style="378" bestFit="1" customWidth="1"/>
    <col min="10" max="10" width="9" style="378"/>
    <col min="11" max="12" width="10" style="378" bestFit="1" customWidth="1"/>
    <col min="13" max="13" width="12" style="378" bestFit="1" customWidth="1"/>
    <col min="14" max="14" width="9" style="378"/>
    <col min="15" max="15" width="12" style="378" bestFit="1" customWidth="1"/>
    <col min="16" max="16" width="15.375" style="378" bestFit="1" customWidth="1"/>
    <col min="17" max="17" width="14.875" style="378" customWidth="1"/>
    <col min="18" max="19" width="14.625" style="378" bestFit="1" customWidth="1"/>
    <col min="20" max="20" width="12.625" style="378" customWidth="1"/>
    <col min="21" max="21" width="12" style="378" bestFit="1" customWidth="1"/>
    <col min="22" max="16384" width="9" style="378"/>
  </cols>
  <sheetData>
    <row r="1" spans="1:20" ht="15">
      <c r="A1" s="374" t="s">
        <v>158</v>
      </c>
      <c r="B1" s="375"/>
      <c r="C1" s="376" t="s">
        <v>159</v>
      </c>
      <c r="D1" s="377" t="s">
        <v>83</v>
      </c>
      <c r="E1" s="377" t="s">
        <v>197</v>
      </c>
      <c r="F1" s="375"/>
      <c r="G1" s="375"/>
      <c r="H1" s="375"/>
      <c r="I1" s="375"/>
      <c r="J1" s="375"/>
      <c r="K1" s="375"/>
    </row>
    <row r="2" spans="1:20">
      <c r="A2" s="375"/>
      <c r="B2" s="375"/>
      <c r="C2" s="376"/>
      <c r="D2" s="375"/>
      <c r="E2" s="375"/>
      <c r="F2" s="375"/>
      <c r="G2" s="375"/>
      <c r="H2" s="375"/>
      <c r="I2" s="375"/>
      <c r="J2" s="375"/>
      <c r="K2" s="375"/>
    </row>
    <row r="3" spans="1:20">
      <c r="A3" s="375"/>
      <c r="B3" s="379" t="s">
        <v>13</v>
      </c>
      <c r="C3" s="380" t="str">
        <f>_xll.RtGet("IDN_SELECTFEED","TPITWDOND=","PRIM ACT 1")</f>
        <v>Not Signed In</v>
      </c>
      <c r="D3" s="375"/>
      <c r="E3" s="375"/>
      <c r="F3" s="375"/>
      <c r="G3" s="375"/>
      <c r="H3" s="375"/>
      <c r="I3" s="375"/>
      <c r="J3" s="375"/>
      <c r="K3" s="375"/>
    </row>
    <row r="4" spans="1:20" ht="15">
      <c r="A4" s="381"/>
      <c r="B4" s="382"/>
      <c r="C4" s="383"/>
      <c r="D4" s="375"/>
      <c r="E4" s="375"/>
      <c r="F4" s="375"/>
      <c r="G4" s="375"/>
      <c r="H4" s="375"/>
      <c r="I4" s="375"/>
      <c r="J4" s="375"/>
      <c r="K4" s="375"/>
    </row>
    <row r="5" spans="1:20" ht="15">
      <c r="A5" s="381"/>
      <c r="B5" s="382"/>
      <c r="C5" s="383"/>
      <c r="D5" s="384"/>
      <c r="E5" s="384"/>
      <c r="F5" s="375"/>
      <c r="G5" s="375"/>
      <c r="H5" s="375"/>
      <c r="I5" s="375"/>
      <c r="J5" s="375"/>
      <c r="K5" s="375"/>
    </row>
    <row r="6" spans="1:20" ht="15">
      <c r="A6" s="381"/>
      <c r="B6" s="382"/>
      <c r="C6" s="385"/>
      <c r="D6" s="384"/>
      <c r="E6" s="384"/>
      <c r="F6" s="375"/>
      <c r="G6" s="375"/>
      <c r="H6" s="375"/>
      <c r="I6" s="375"/>
      <c r="J6" s="375"/>
      <c r="K6" s="375"/>
    </row>
    <row r="7" spans="1:20" ht="15">
      <c r="A7" s="381"/>
      <c r="B7" s="382"/>
      <c r="C7" s="385"/>
      <c r="D7" s="384"/>
      <c r="E7" s="384"/>
      <c r="F7" s="375"/>
      <c r="G7" s="375"/>
      <c r="H7" s="375"/>
      <c r="I7" s="375"/>
      <c r="J7" s="375"/>
      <c r="K7" s="375"/>
    </row>
    <row r="8" spans="1:20" ht="15">
      <c r="A8" s="381"/>
      <c r="B8" s="382"/>
      <c r="C8" s="383"/>
      <c r="D8" s="384"/>
      <c r="E8" s="384"/>
      <c r="F8" s="375"/>
      <c r="G8" s="375"/>
      <c r="H8" s="375"/>
      <c r="I8" s="375"/>
      <c r="J8" s="375"/>
      <c r="K8" s="375"/>
    </row>
    <row r="9" spans="1:20" ht="16.5">
      <c r="A9" s="375"/>
      <c r="B9" s="386" t="s">
        <v>160</v>
      </c>
      <c r="C9" s="415" t="e">
        <f ca="1">_xll.BDP("TAIBOR3M INDEX","PX_LAST")</f>
        <v>#NAME?</v>
      </c>
      <c r="D9" s="387"/>
      <c r="E9" s="387"/>
      <c r="F9" s="375"/>
      <c r="G9" s="375"/>
      <c r="H9" s="375"/>
      <c r="I9" s="375"/>
      <c r="J9" s="375"/>
      <c r="K9" s="375"/>
      <c r="N9" s="388">
        <v>0.47977999999999998</v>
      </c>
    </row>
    <row r="10" spans="1:20" ht="19.5">
      <c r="A10" s="375"/>
      <c r="B10" s="382" t="s">
        <v>161</v>
      </c>
      <c r="C10" s="415" t="e">
        <f ca="1">_xll.BDP("TAIBOR6M INDEX","PX_LAST")</f>
        <v>#NAME?</v>
      </c>
      <c r="D10" s="389" t="s">
        <v>246</v>
      </c>
      <c r="E10" s="389"/>
      <c r="F10" s="389" t="s">
        <v>162</v>
      </c>
      <c r="G10" s="389"/>
      <c r="H10" s="389" t="s">
        <v>198</v>
      </c>
      <c r="I10" s="389"/>
      <c r="J10" s="375"/>
      <c r="K10" s="375"/>
      <c r="N10" s="388">
        <v>0.56889000000000001</v>
      </c>
      <c r="O10" s="390" t="e">
        <f ca="1">C10-N10</f>
        <v>#NAME?</v>
      </c>
      <c r="P10" s="391"/>
      <c r="Q10" s="391"/>
      <c r="R10" s="391"/>
      <c r="S10" s="391"/>
      <c r="T10" s="391"/>
    </row>
    <row r="11" spans="1:20" ht="26.25">
      <c r="A11" s="392" t="s">
        <v>70</v>
      </c>
      <c r="B11" s="382" t="s">
        <v>57</v>
      </c>
      <c r="C11" s="383" t="e">
        <f ca="1">AVERAGE(D11:G11)</f>
        <v>#NAME?</v>
      </c>
      <c r="D11" s="415" t="e">
        <f ca="1">_xll.BDP("TDSWO1 TPRA Curncy","BID")</f>
        <v>#NAME?</v>
      </c>
      <c r="E11" s="415" t="e">
        <f ca="1">_xll.BDP("TDSWO1 TPRA Curncy","ASK")</f>
        <v>#NAME?</v>
      </c>
      <c r="F11" s="415" t="e">
        <f ca="1">_xll.BDP("TDSWO1 ICSG Curncy","BID")</f>
        <v>#NAME?</v>
      </c>
      <c r="G11" s="415" t="e">
        <f ca="1">_xll.BDP("TDSWO1 ICSG Curncy","ASK")</f>
        <v>#NAME?</v>
      </c>
      <c r="H11"/>
      <c r="I11"/>
      <c r="J11" s="393" t="s">
        <v>199</v>
      </c>
      <c r="K11" s="375"/>
      <c r="N11" s="388">
        <v>0.49</v>
      </c>
      <c r="O11" s="390" t="e">
        <f t="shared" ref="O11:O16" ca="1" si="0">C11-N11</f>
        <v>#NAME?</v>
      </c>
      <c r="P11" s="390"/>
      <c r="Q11" s="390"/>
      <c r="R11" s="394"/>
      <c r="S11" s="395"/>
      <c r="T11" s="396"/>
    </row>
    <row r="12" spans="1:20" ht="26.25">
      <c r="A12" s="375"/>
      <c r="B12" s="382" t="s">
        <v>74</v>
      </c>
      <c r="C12" s="383" t="e">
        <f t="shared" ref="C12:C24" ca="1" si="1">AVERAGE(D12:G12)</f>
        <v>#NAME?</v>
      </c>
      <c r="D12" s="415" t="e">
        <f ca="1">_xll.BDP("TDSWO2 TPRA Curncy","BID")</f>
        <v>#NAME?</v>
      </c>
      <c r="E12" s="415" t="e">
        <f ca="1">_xll.BDP("TDSWO2 TPRA Curncy","ASK")</f>
        <v>#NAME?</v>
      </c>
      <c r="F12" s="415" t="e">
        <f ca="1">_xll.BDP("TDSWO2 ICSG Curncy","BID")</f>
        <v>#NAME?</v>
      </c>
      <c r="G12" s="415" t="e">
        <f ca="1">_xll.BDP("TDSWO2 ICSG Curncy","ASK")</f>
        <v>#NAME?</v>
      </c>
      <c r="H12"/>
      <c r="I12"/>
      <c r="J12" s="393" t="s">
        <v>181</v>
      </c>
      <c r="K12" s="375"/>
      <c r="L12" s="397" t="e">
        <f t="shared" ref="L12:L17" ca="1" si="2">(C12-C11)*100</f>
        <v>#NAME?</v>
      </c>
      <c r="M12" s="398">
        <f t="shared" ref="M12:M17" si="3">(N12-N11)*100</f>
        <v>3.3749999999999947</v>
      </c>
      <c r="N12" s="388">
        <v>0.52374999999999994</v>
      </c>
      <c r="O12" s="390" t="e">
        <f t="shared" ca="1" si="0"/>
        <v>#NAME?</v>
      </c>
      <c r="P12" s="391"/>
      <c r="Q12" s="391"/>
      <c r="R12" s="391"/>
      <c r="S12" s="391"/>
      <c r="T12" s="391"/>
    </row>
    <row r="13" spans="1:20" ht="26.25">
      <c r="A13" s="399"/>
      <c r="B13" s="382" t="s">
        <v>75</v>
      </c>
      <c r="C13" s="383" t="e">
        <f t="shared" ca="1" si="1"/>
        <v>#NAME?</v>
      </c>
      <c r="D13" s="415" t="e">
        <f ca="1">_xll.BDP("TDSWO3 TPRA Curncy","BID")</f>
        <v>#NAME?</v>
      </c>
      <c r="E13" s="415" t="e">
        <f ca="1">_xll.BDP("TDSWO3 TPRA Curncy","ASK")</f>
        <v>#NAME?</v>
      </c>
      <c r="F13" s="415" t="e">
        <f ca="1">_xll.BDP("TDSWO3 ICSG Curncy","BID")</f>
        <v>#NAME?</v>
      </c>
      <c r="G13" s="415" t="e">
        <f ca="1">_xll.BDP("TDSWO3 ICSG Curncy","ASK")</f>
        <v>#NAME?</v>
      </c>
      <c r="H13"/>
      <c r="I13"/>
      <c r="J13" s="393" t="s">
        <v>182</v>
      </c>
      <c r="K13" s="375"/>
      <c r="L13" s="397" t="e">
        <f t="shared" ca="1" si="2"/>
        <v>#NAME?</v>
      </c>
      <c r="M13" s="398">
        <f t="shared" si="3"/>
        <v>3.6250000000000115</v>
      </c>
      <c r="N13" s="388">
        <v>0.56000000000000005</v>
      </c>
      <c r="O13" s="390" t="e">
        <f t="shared" ca="1" si="0"/>
        <v>#NAME?</v>
      </c>
      <c r="P13" s="396"/>
      <c r="Q13" s="396"/>
      <c r="R13" s="400"/>
      <c r="S13" s="400"/>
      <c r="T13" s="400"/>
    </row>
    <row r="14" spans="1:20" ht="26.25">
      <c r="A14" s="401"/>
      <c r="B14" s="382" t="s">
        <v>72</v>
      </c>
      <c r="C14" s="383" t="e">
        <f t="shared" ca="1" si="1"/>
        <v>#NAME?</v>
      </c>
      <c r="D14" s="415" t="e">
        <f ca="1">_xll.BDP("TDSWO4 TPRA Curncy","BID")</f>
        <v>#NAME?</v>
      </c>
      <c r="E14" s="415" t="e">
        <f ca="1">_xll.BDP("TDSWO4 TPRA Curncy","ASK")</f>
        <v>#NAME?</v>
      </c>
      <c r="F14" s="415" t="e">
        <f ca="1">_xll.BDP("TDSWO4 ICSG Curncy","BID")</f>
        <v>#NAME?</v>
      </c>
      <c r="G14" s="415" t="e">
        <f ca="1">_xll.BDP("TDSWO4 ICSG Curncy","ASK")</f>
        <v>#NAME?</v>
      </c>
      <c r="H14"/>
      <c r="I14"/>
      <c r="J14" s="393" t="s">
        <v>183</v>
      </c>
      <c r="K14" s="375"/>
      <c r="L14" s="397" t="e">
        <f t="shared" ca="1" si="2"/>
        <v>#NAME?</v>
      </c>
      <c r="M14" s="398">
        <f t="shared" si="3"/>
        <v>3.9999999999999925</v>
      </c>
      <c r="N14" s="388">
        <v>0.6</v>
      </c>
      <c r="O14" s="390" t="e">
        <f t="shared" ca="1" si="0"/>
        <v>#NAME?</v>
      </c>
      <c r="P14" s="391"/>
      <c r="Q14" s="391"/>
      <c r="R14" s="391"/>
      <c r="S14" s="391"/>
      <c r="T14" s="391"/>
    </row>
    <row r="15" spans="1:20" ht="26.25">
      <c r="A15" s="401"/>
      <c r="B15" s="382" t="s">
        <v>76</v>
      </c>
      <c r="C15" s="383" t="e">
        <f t="shared" ca="1" si="1"/>
        <v>#NAME?</v>
      </c>
      <c r="D15" s="415" t="e">
        <f ca="1">_xll.BDP("TDSWO5 TPRA Curncy","BID")</f>
        <v>#NAME?</v>
      </c>
      <c r="E15" s="415" t="e">
        <f ca="1">_xll.BDP("TDSWO5 TPRA Curncy","ASK")</f>
        <v>#NAME?</v>
      </c>
      <c r="F15" s="415" t="e">
        <f ca="1">_xll.BDP("TDSWO5 ICSG Curncy","BID")</f>
        <v>#NAME?</v>
      </c>
      <c r="G15" s="415" t="e">
        <f ca="1">_xll.BDP("TDSWO5 ICSG Curncy","ASK")</f>
        <v>#NAME?</v>
      </c>
      <c r="H15"/>
      <c r="I15"/>
      <c r="J15" s="393" t="s">
        <v>184</v>
      </c>
      <c r="K15" s="375"/>
      <c r="L15" s="397" t="e">
        <f ca="1">(C15-C14)*100</f>
        <v>#NAME?</v>
      </c>
      <c r="M15" s="398">
        <f t="shared" si="3"/>
        <v>3.5000000000000031</v>
      </c>
      <c r="N15" s="388">
        <v>0.63500000000000001</v>
      </c>
      <c r="O15" s="390" t="e">
        <f t="shared" ca="1" si="0"/>
        <v>#NAME?</v>
      </c>
      <c r="P15" s="396">
        <f>N15-N12</f>
        <v>0.11125000000000007</v>
      </c>
      <c r="Q15" s="402"/>
      <c r="R15" s="402"/>
      <c r="S15" s="402"/>
      <c r="T15" s="402"/>
    </row>
    <row r="16" spans="1:20" ht="26.25">
      <c r="A16" s="401"/>
      <c r="B16" s="382" t="s">
        <v>73</v>
      </c>
      <c r="C16" s="383" t="e">
        <f t="shared" ca="1" si="1"/>
        <v>#NAME?</v>
      </c>
      <c r="D16" s="415" t="e">
        <f ca="1">_xll.BDP("TDSWO7 TPRA Curncy","BID")</f>
        <v>#NAME?</v>
      </c>
      <c r="E16" s="415" t="e">
        <f ca="1">_xll.BDP("TDSWO7 TPRA Curncy","ASK")</f>
        <v>#NAME?</v>
      </c>
      <c r="F16" s="415" t="e">
        <f ca="1">_xll.BDP("TDSWO7 ICSG Curncy","BID")</f>
        <v>#NAME?</v>
      </c>
      <c r="G16" s="415" t="e">
        <f ca="1">_xll.BDP("TDSWO7 ICSG Curncy","ASK")</f>
        <v>#NAME?</v>
      </c>
      <c r="H16"/>
      <c r="I16"/>
      <c r="J16" s="393" t="s">
        <v>200</v>
      </c>
      <c r="K16" s="375"/>
      <c r="L16" s="397" t="e">
        <f ca="1">(C16-C15)*100</f>
        <v>#NAME?</v>
      </c>
      <c r="M16" s="398">
        <f t="shared" si="3"/>
        <v>6.3749999999999973</v>
      </c>
      <c r="N16" s="388">
        <v>0.69874999999999998</v>
      </c>
      <c r="O16" s="390" t="e">
        <f t="shared" ca="1" si="0"/>
        <v>#NAME?</v>
      </c>
      <c r="P16" s="391"/>
      <c r="Q16" s="391"/>
      <c r="R16" s="391"/>
      <c r="S16" s="391"/>
      <c r="T16" s="391"/>
    </row>
    <row r="17" spans="1:24" ht="27" thickBot="1">
      <c r="A17" s="401"/>
      <c r="B17" s="423" t="s">
        <v>144</v>
      </c>
      <c r="C17" s="424" t="e">
        <f t="shared" ca="1" si="1"/>
        <v>#NAME?</v>
      </c>
      <c r="D17" s="416" t="e">
        <f ca="1">_xll.BDP("TDSWO10 TPRA Curncy","BID")</f>
        <v>#NAME?</v>
      </c>
      <c r="E17" s="416" t="e">
        <f ca="1">_xll.BDP("TDSWO10 TPRA Curncy","ASK")</f>
        <v>#NAME?</v>
      </c>
      <c r="F17" s="416" t="e">
        <f ca="1">_xll.BDP("TDSWO10 ICSG Curncy","BID")</f>
        <v>#NAME?</v>
      </c>
      <c r="G17" s="416" t="e">
        <f ca="1">_xll.BDP("TDSWO10 ICSG Curncy","ASK")</f>
        <v>#NAME?</v>
      </c>
      <c r="H17" s="425"/>
      <c r="I17" s="425"/>
      <c r="J17" s="426" t="s">
        <v>201</v>
      </c>
      <c r="K17" s="427"/>
      <c r="L17" s="428" t="e">
        <f t="shared" ca="1" si="2"/>
        <v>#NAME?</v>
      </c>
      <c r="M17" s="429">
        <f t="shared" si="3"/>
        <v>8.5000000000000071</v>
      </c>
      <c r="N17" s="430">
        <v>0.78375000000000006</v>
      </c>
      <c r="O17" s="431" t="e">
        <f ca="1">C17-N17</f>
        <v>#NAME?</v>
      </c>
      <c r="P17" s="432"/>
      <c r="R17" s="403"/>
      <c r="S17" s="396"/>
      <c r="T17" s="396"/>
      <c r="V17" s="404"/>
    </row>
    <row r="18" spans="1:24" ht="26.25">
      <c r="A18" s="401" t="s">
        <v>71</v>
      </c>
      <c r="B18" s="382" t="s">
        <v>57</v>
      </c>
      <c r="C18" s="383" t="e">
        <f ca="1">AVERAGE(D18:G18)</f>
        <v>#NAME?</v>
      </c>
      <c r="D18" s="415" t="e">
        <f ca="1">_xll.BDP("NTUSWO1 TPRA Curncy","BID")</f>
        <v>#NAME?</v>
      </c>
      <c r="E18" s="415" t="e">
        <f ca="1">_xll.BDP("NTUSWO1 TPRA Curncy","ASK")</f>
        <v>#NAME?</v>
      </c>
      <c r="F18" s="415" t="e">
        <f ca="1">_xll.BDP("NTUSWO1 ICSG Curncy","BID")</f>
        <v>#NAME?</v>
      </c>
      <c r="G18" s="415" t="e">
        <f ca="1">_xll.BDP("NTUSWO1 ICSG Curncy","ASK")</f>
        <v>#NAME?</v>
      </c>
      <c r="H18" s="406"/>
      <c r="I18" s="406"/>
      <c r="J18" s="417" t="s">
        <v>202</v>
      </c>
      <c r="K18" s="417" t="s">
        <v>203</v>
      </c>
      <c r="L18" s="418"/>
      <c r="M18" s="419"/>
      <c r="N18" s="420">
        <v>-9.7500000000000003E-2</v>
      </c>
      <c r="O18" s="421" t="e">
        <f ca="1">P18-N18</f>
        <v>#NAME?</v>
      </c>
      <c r="P18" s="422" t="e">
        <f t="shared" ref="P18:P24" ca="1" si="4">C18</f>
        <v>#NAME?</v>
      </c>
      <c r="Q18" s="405" t="e">
        <f t="shared" ref="Q18:Q24" ca="1" si="5">IF(C18=0,"FUCK","GOOD")</f>
        <v>#NAME?</v>
      </c>
      <c r="R18" s="405"/>
      <c r="T18" s="391"/>
      <c r="V18" s="402"/>
    </row>
    <row r="19" spans="1:24" ht="26.25">
      <c r="A19" s="401"/>
      <c r="B19" s="382" t="s">
        <v>215</v>
      </c>
      <c r="C19" s="383" t="e">
        <f t="shared" ca="1" si="1"/>
        <v>#NAME?</v>
      </c>
      <c r="D19" s="415" t="e">
        <f ca="1">_xll.BDP("NTUSWO2 TPRA Curncy","BID")</f>
        <v>#NAME?</v>
      </c>
      <c r="E19" s="415" t="e">
        <f ca="1">_xll.BDP("NTUSWO2 TPRA Curncy","ASK")</f>
        <v>#NAME?</v>
      </c>
      <c r="F19" s="415" t="e">
        <f ca="1">_xll.BDP("NTUSWO2 ICSG Curncy","BID")</f>
        <v>#NAME?</v>
      </c>
      <c r="G19" s="415" t="e">
        <f ca="1">_xll.BDP("NTUSWO2 ICSG Curncy","ASK")</f>
        <v>#NAME?</v>
      </c>
      <c r="H19" s="406"/>
      <c r="I19" s="406"/>
      <c r="J19" s="393" t="s">
        <v>185</v>
      </c>
      <c r="K19" s="393" t="s">
        <v>186</v>
      </c>
      <c r="M19" s="407" t="e">
        <f t="shared" ref="M19:M24" ca="1" si="6">P19-P18</f>
        <v>#NAME?</v>
      </c>
      <c r="N19" s="388">
        <v>-0.15</v>
      </c>
      <c r="O19" s="390" t="e">
        <f t="shared" ref="O19:O24" ca="1" si="7">P19-N19</f>
        <v>#NAME?</v>
      </c>
      <c r="P19" s="405" t="e">
        <f ca="1">C19</f>
        <v>#NAME?</v>
      </c>
      <c r="Q19" s="405" t="e">
        <f t="shared" ca="1" si="5"/>
        <v>#NAME?</v>
      </c>
      <c r="R19" s="396"/>
      <c r="T19" s="396"/>
    </row>
    <row r="20" spans="1:24" ht="26.25">
      <c r="A20" s="401"/>
      <c r="B20" s="382" t="s">
        <v>75</v>
      </c>
      <c r="C20" s="383" t="e">
        <f t="shared" ca="1" si="1"/>
        <v>#NAME?</v>
      </c>
      <c r="D20" s="415" t="e">
        <f ca="1">_xll.BDP("NTUSWO3 TPRA Curncy","BID")</f>
        <v>#NAME?</v>
      </c>
      <c r="E20" s="415" t="e">
        <f ca="1">_xll.BDP("NTUSWO3 TPRA Curncy","ASK")</f>
        <v>#NAME?</v>
      </c>
      <c r="F20" s="415" t="e">
        <f ca="1">_xll.BDP("NTUSWO3 ICSG Curncy","BID")</f>
        <v>#NAME?</v>
      </c>
      <c r="G20" s="415" t="e">
        <f ca="1">_xll.BDP("NTUSWO3 ICSG Curncy","ASK")</f>
        <v>#NAME?</v>
      </c>
      <c r="H20" s="406"/>
      <c r="I20" s="406"/>
      <c r="J20" s="393" t="s">
        <v>187</v>
      </c>
      <c r="K20" s="393" t="s">
        <v>188</v>
      </c>
      <c r="M20" s="407" t="e">
        <f t="shared" ca="1" si="6"/>
        <v>#NAME?</v>
      </c>
      <c r="N20" s="388">
        <v>-7.7500000000000013E-2</v>
      </c>
      <c r="O20" s="408" t="e">
        <f ca="1">P20-N20</f>
        <v>#NAME?</v>
      </c>
      <c r="P20" s="405" t="e">
        <f t="shared" ca="1" si="4"/>
        <v>#NAME?</v>
      </c>
      <c r="Q20" s="405" t="e">
        <f t="shared" ca="1" si="5"/>
        <v>#NAME?</v>
      </c>
      <c r="R20" s="391"/>
      <c r="S20" s="391"/>
    </row>
    <row r="21" spans="1:24" ht="26.25">
      <c r="A21" s="375"/>
      <c r="B21" s="382" t="s">
        <v>72</v>
      </c>
      <c r="C21" s="383" t="e">
        <f t="shared" ca="1" si="1"/>
        <v>#NAME?</v>
      </c>
      <c r="D21" s="415" t="e">
        <f ca="1">_xll.BDP("NTUSWO4 TPRA Curncy","BID")</f>
        <v>#NAME?</v>
      </c>
      <c r="E21" s="415" t="e">
        <f ca="1">_xll.BDP("NTUSWO4 TPRA Curncy","ASK")</f>
        <v>#NAME?</v>
      </c>
      <c r="F21" s="415" t="e">
        <f ca="1">_xll.BDP("NTUSWO4 ICSG Curncy","BID")</f>
        <v>#NAME?</v>
      </c>
      <c r="G21" s="415" t="e">
        <f ca="1">_xll.BDP("NTUSWO4 ICSG Curncy","ASK")</f>
        <v>#NAME?</v>
      </c>
      <c r="H21" s="406"/>
      <c r="I21" s="406"/>
      <c r="J21" s="393" t="s">
        <v>189</v>
      </c>
      <c r="K21" s="393" t="s">
        <v>190</v>
      </c>
      <c r="M21" s="407" t="e">
        <f t="shared" ca="1" si="6"/>
        <v>#NAME?</v>
      </c>
      <c r="N21" s="388">
        <v>5.7500000000000009E-2</v>
      </c>
      <c r="O21" s="390" t="e">
        <f ca="1">P21-N21</f>
        <v>#NAME?</v>
      </c>
      <c r="P21" s="405" t="e">
        <f t="shared" ca="1" si="4"/>
        <v>#NAME?</v>
      </c>
      <c r="Q21" s="405" t="e">
        <f t="shared" ca="1" si="5"/>
        <v>#NAME?</v>
      </c>
      <c r="R21" s="396"/>
      <c r="S21" s="396"/>
    </row>
    <row r="22" spans="1:24" ht="26.25">
      <c r="A22" s="375"/>
      <c r="B22" s="382" t="s">
        <v>76</v>
      </c>
      <c r="C22" s="383" t="e">
        <f t="shared" ca="1" si="1"/>
        <v>#NAME?</v>
      </c>
      <c r="D22" s="415">
        <v>0</v>
      </c>
      <c r="E22" s="415" t="e">
        <f ca="1">_xll.BDP("NTUSWO5 TPRA Curncy","ASK")</f>
        <v>#NAME?</v>
      </c>
      <c r="F22" s="415" t="e">
        <f ca="1">_xll.BDP("NTUSWO5 ICSG Curncy","BID")</f>
        <v>#NAME?</v>
      </c>
      <c r="G22" s="415" t="e">
        <f ca="1">_xll.BDP("NTUSWO5 ICSG Curncy","ASK")</f>
        <v>#NAME?</v>
      </c>
      <c r="H22" s="406"/>
      <c r="I22" s="406"/>
      <c r="J22" s="393" t="s">
        <v>191</v>
      </c>
      <c r="K22" s="393" t="s">
        <v>192</v>
      </c>
      <c r="M22" s="407" t="e">
        <f t="shared" ca="1" si="6"/>
        <v>#NAME?</v>
      </c>
      <c r="N22" s="388">
        <v>0.125</v>
      </c>
      <c r="O22" s="390" t="e">
        <f t="shared" ca="1" si="7"/>
        <v>#NAME?</v>
      </c>
      <c r="P22" s="405" t="e">
        <f t="shared" ca="1" si="4"/>
        <v>#NAME?</v>
      </c>
      <c r="Q22" s="405" t="e">
        <f t="shared" ca="1" si="5"/>
        <v>#NAME?</v>
      </c>
    </row>
    <row r="23" spans="1:24" ht="26.25">
      <c r="A23" s="375"/>
      <c r="B23" s="382" t="s">
        <v>73</v>
      </c>
      <c r="C23" s="383" t="e">
        <f t="shared" ca="1" si="1"/>
        <v>#NAME?</v>
      </c>
      <c r="D23" s="415" t="e">
        <f ca="1">_xll.BDP("NTUSWO7 TPRA Curncy","BID")</f>
        <v>#NAME?</v>
      </c>
      <c r="E23" s="415" t="e">
        <f ca="1">_xll.BDP("NTUSWO7 TPRA Curncy","ASK")</f>
        <v>#NAME?</v>
      </c>
      <c r="F23" s="415" t="e">
        <f ca="1">_xll.BDP("NTUSWO7 ICSG Curncy","BID")</f>
        <v>#NAME?</v>
      </c>
      <c r="G23" s="415" t="e">
        <f ca="1">_xll.BDP("NTUSWO7 ICSG Curncy","ASK")</f>
        <v>#NAME?</v>
      </c>
      <c r="H23" s="406"/>
      <c r="I23" s="406"/>
      <c r="J23" s="393" t="s">
        <v>204</v>
      </c>
      <c r="K23" s="393" t="s">
        <v>193</v>
      </c>
      <c r="M23" s="407" t="e">
        <f t="shared" ca="1" si="6"/>
        <v>#NAME?</v>
      </c>
      <c r="N23" s="388">
        <v>0.21750000000000003</v>
      </c>
      <c r="O23" s="390" t="e">
        <f t="shared" ca="1" si="7"/>
        <v>#NAME?</v>
      </c>
      <c r="P23" s="405" t="e">
        <f t="shared" ca="1" si="4"/>
        <v>#NAME?</v>
      </c>
      <c r="Q23" s="405" t="e">
        <f t="shared" ca="1" si="5"/>
        <v>#NAME?</v>
      </c>
    </row>
    <row r="24" spans="1:24" ht="26.25">
      <c r="A24" s="375"/>
      <c r="B24" s="382" t="s">
        <v>144</v>
      </c>
      <c r="C24" s="383" t="e">
        <f t="shared" ca="1" si="1"/>
        <v>#NAME?</v>
      </c>
      <c r="D24" s="415" t="e">
        <f ca="1">_xll.BDP("NTUSWO10 TPRA Curncy","BID")</f>
        <v>#NAME?</v>
      </c>
      <c r="E24" s="415" t="e">
        <f ca="1">_xll.BDP("NTUSWO10 TPRA Curncy","ASK")</f>
        <v>#NAME?</v>
      </c>
      <c r="F24" s="415" t="e">
        <f ca="1">_xll.BDP("NTUSWO10 ICSG Curncy","BID")</f>
        <v>#NAME?</v>
      </c>
      <c r="G24" s="415" t="e">
        <f ca="1">_xll.BDP("NTUSWO10 ICSG Curncy","ASK")</f>
        <v>#NAME?</v>
      </c>
      <c r="H24" s="406"/>
      <c r="I24" s="406"/>
      <c r="J24" s="393" t="s">
        <v>205</v>
      </c>
      <c r="K24" s="393" t="s">
        <v>206</v>
      </c>
      <c r="M24" s="407" t="e">
        <f t="shared" ca="1" si="6"/>
        <v>#NAME?</v>
      </c>
      <c r="N24" s="388">
        <v>0.33499999999999996</v>
      </c>
      <c r="O24" s="390" t="e">
        <f t="shared" ca="1" si="7"/>
        <v>#NAME?</v>
      </c>
      <c r="P24" s="405" t="e">
        <f t="shared" ca="1" si="4"/>
        <v>#NAME?</v>
      </c>
      <c r="Q24" s="405" t="e">
        <f t="shared" ca="1" si="5"/>
        <v>#NAME?</v>
      </c>
    </row>
    <row r="25" spans="1:24" ht="26.25">
      <c r="B25" s="382" t="s">
        <v>207</v>
      </c>
      <c r="C25" s="383" t="e">
        <f ca="1">AVERAGE(D25:G25)</f>
        <v>#NAME?</v>
      </c>
      <c r="D25" s="415" t="e">
        <f ca="1">_xll.BDP("NTUSWOF  TPRA Curncy","BID")</f>
        <v>#NAME?</v>
      </c>
      <c r="E25" s="415" t="e">
        <f ca="1">_xll.BDP("NTUSWOF  TPRA Curncy","ASK")</f>
        <v>#NAME?</v>
      </c>
      <c r="F25" s="415"/>
      <c r="G25" s="415"/>
      <c r="H25" s="406"/>
      <c r="I25" s="406"/>
      <c r="J25" s="393" t="s">
        <v>208</v>
      </c>
      <c r="K25" s="393" t="s">
        <v>209</v>
      </c>
      <c r="N25" s="378">
        <v>2.5000000000000001E-2</v>
      </c>
      <c r="O25" s="390" t="e">
        <f t="shared" ref="O25:O33" ca="1" si="8">C25-N25</f>
        <v>#NAME?</v>
      </c>
    </row>
    <row r="26" spans="1:24" ht="19.5">
      <c r="B26" s="375"/>
      <c r="C26" s="375"/>
      <c r="D26" s="389" t="s">
        <v>247</v>
      </c>
      <c r="E26" s="389"/>
      <c r="F26" s="389" t="s">
        <v>162</v>
      </c>
      <c r="G26" s="375"/>
      <c r="O26" s="390">
        <f t="shared" si="8"/>
        <v>0</v>
      </c>
    </row>
    <row r="27" spans="1:24" ht="39">
      <c r="B27" s="375" t="s">
        <v>210</v>
      </c>
      <c r="C27" s="409" t="e">
        <f ca="1">AVERAGE(D27:G27)</f>
        <v>#NAME?</v>
      </c>
      <c r="D27" s="433" t="e">
        <f ca="1">_xll.BDP("TDSWNI1 TPRA Curncy","BID")</f>
        <v>#NAME?</v>
      </c>
      <c r="E27" s="433" t="e">
        <f ca="1">_xll.BDP("TDSWNI1 TPRA Curncy","ASK")</f>
        <v>#NAME?</v>
      </c>
      <c r="F27" s="433" t="e">
        <f ca="1">_xll.BDP("TDSWNI1 ICSG Curncy","BID")</f>
        <v>#NAME?</v>
      </c>
      <c r="G27" s="433" t="e">
        <f ca="1">_xll.BDP("TDSWNI1 ICSG Curncy","ASK")</f>
        <v>#NAME?</v>
      </c>
      <c r="H27" s="410" t="e">
        <f ca="1">C27-C11</f>
        <v>#NAME?</v>
      </c>
      <c r="K27" s="378" t="s">
        <v>244</v>
      </c>
      <c r="L27" s="378" t="s">
        <v>243</v>
      </c>
      <c r="N27" s="378">
        <v>0.49249999999999999</v>
      </c>
      <c r="O27" s="390" t="e">
        <f t="shared" ca="1" si="8"/>
        <v>#NAME?</v>
      </c>
      <c r="U27" s="391"/>
      <c r="V27" s="391"/>
      <c r="W27" s="391"/>
      <c r="X27" s="391"/>
    </row>
    <row r="28" spans="1:24" ht="39.75">
      <c r="B28" s="375" t="s">
        <v>194</v>
      </c>
      <c r="C28" s="409" t="e">
        <f t="shared" ref="C28:C33" ca="1" si="9">AVERAGE(D28:G28)</f>
        <v>#NAME?</v>
      </c>
      <c r="D28" s="433" t="e">
        <f ca="1">_xll.BDP("TDSWNI2 TPRA Curncy","BID")</f>
        <v>#NAME?</v>
      </c>
      <c r="E28" s="433" t="e">
        <f ca="1">_xll.BDP("TDSWNI2 TPRA Curncy","ASK")</f>
        <v>#NAME?</v>
      </c>
      <c r="F28" s="433" t="e">
        <f ca="1">_xll.BDP("TDSWNI2 ICSG Curncy","BID")</f>
        <v>#NAME?</v>
      </c>
      <c r="G28" s="433" t="e">
        <f ca="1">_xll.BDP("TDSWNI2 ICSG Curncy","ASK")</f>
        <v>#NAME?</v>
      </c>
      <c r="K28" s="378" t="s">
        <v>245</v>
      </c>
      <c r="N28" s="378">
        <v>0.52625000000000011</v>
      </c>
      <c r="O28" s="390" t="e">
        <f t="shared" ca="1" si="8"/>
        <v>#NAME?</v>
      </c>
      <c r="P28" s="411" t="e">
        <f ca="1">C28-C27</f>
        <v>#NAME?</v>
      </c>
    </row>
    <row r="29" spans="1:24" ht="27">
      <c r="B29" s="375" t="s">
        <v>195</v>
      </c>
      <c r="C29" s="409" t="e">
        <f t="shared" ca="1" si="9"/>
        <v>#NAME?</v>
      </c>
      <c r="D29" s="433" t="e">
        <f ca="1">_xll.BDP("TDSWNI3 TPRA Curncy","BID")</f>
        <v>#NAME?</v>
      </c>
      <c r="E29" s="433" t="e">
        <f ca="1">_xll.BDP("TDSWNI3 TPRA Curncy","ASK")</f>
        <v>#NAME?</v>
      </c>
      <c r="F29" s="433" t="e">
        <f ca="1">_xll.BDP("TDSWNI3 ICSG Curncy","BID")</f>
        <v>#NAME?</v>
      </c>
      <c r="G29" s="433" t="e">
        <f ca="1">_xll.BDP("TDSWNI3 ICSG Curncy","ASK")</f>
        <v>#NAME?</v>
      </c>
      <c r="H29" s="410" t="e">
        <f ca="1">C29-C13</f>
        <v>#NAME?</v>
      </c>
      <c r="I29" s="412">
        <v>3.9166666666666683E-2</v>
      </c>
      <c r="N29" s="378">
        <v>0.56625000000000003</v>
      </c>
      <c r="O29" s="390" t="e">
        <f t="shared" ca="1" si="8"/>
        <v>#NAME?</v>
      </c>
      <c r="P29" s="411" t="e">
        <f ca="1">C29-C28</f>
        <v>#NAME?</v>
      </c>
    </row>
    <row r="30" spans="1:24" ht="27">
      <c r="A30" s="413" t="s">
        <v>211</v>
      </c>
      <c r="B30" s="375" t="s">
        <v>196</v>
      </c>
      <c r="C30" s="409" t="e">
        <f t="shared" ca="1" si="9"/>
        <v>#NAME?</v>
      </c>
      <c r="D30" s="433" t="e">
        <f ca="1">_xll.BDP("TDSWNI4 TPRA Curncy","BID")</f>
        <v>#NAME?</v>
      </c>
      <c r="E30" s="433" t="e">
        <f ca="1">_xll.BDP("TDSWNI4 TPRA Curncy","ASK")</f>
        <v>#NAME?</v>
      </c>
      <c r="F30" s="433" t="e">
        <f ca="1">_xll.BDP("TDSWNI4 ICSG Curncy","BID")</f>
        <v>#NAME?</v>
      </c>
      <c r="G30" s="433" t="e">
        <f ca="1">_xll.BDP("TDSWNI4 ICSG Curncy","ASK")</f>
        <v>#NAME?</v>
      </c>
      <c r="H30" s="410" t="e">
        <f ca="1">C30-C14</f>
        <v>#NAME?</v>
      </c>
      <c r="I30" s="412">
        <v>6.3333333333333242E-2</v>
      </c>
      <c r="L30" s="403"/>
      <c r="M30" s="403"/>
      <c r="N30" s="378">
        <v>0.62124999999999997</v>
      </c>
      <c r="O30" s="390" t="e">
        <f t="shared" ca="1" si="8"/>
        <v>#NAME?</v>
      </c>
      <c r="P30" s="411" t="e">
        <f ca="1">C30-C29</f>
        <v>#NAME?</v>
      </c>
    </row>
    <row r="31" spans="1:24" ht="27">
      <c r="A31" s="412" t="e">
        <f ca="1">C31-C15</f>
        <v>#NAME?</v>
      </c>
      <c r="B31" s="375" t="s">
        <v>212</v>
      </c>
      <c r="C31" s="409" t="e">
        <f t="shared" ca="1" si="9"/>
        <v>#NAME?</v>
      </c>
      <c r="D31" s="433" t="e">
        <f ca="1">_xll.BDP("TDSWNI5 TPRA Curncy","BID")</f>
        <v>#NAME?</v>
      </c>
      <c r="E31" s="433" t="e">
        <f ca="1">_xll.BDP("TDSWNI5 TPRA Curncy","ASK")</f>
        <v>#NAME?</v>
      </c>
      <c r="F31" s="433" t="e">
        <f ca="1">_xll.BDP("TDSWNI5 ICSG Curncy","BID")</f>
        <v>#NAME?</v>
      </c>
      <c r="G31" s="433" t="e">
        <f ca="1">_xll.BDP("TDSWNI5 ICSG Curncy","ASK")</f>
        <v>#NAME?</v>
      </c>
      <c r="H31" s="410" t="e">
        <f ca="1">C31-C15</f>
        <v>#NAME?</v>
      </c>
      <c r="I31" s="412">
        <v>8.666666666666667E-2</v>
      </c>
      <c r="J31" s="403"/>
      <c r="L31" s="404"/>
      <c r="M31" s="404"/>
      <c r="N31" s="378">
        <v>0.67875000000000008</v>
      </c>
      <c r="O31" s="390" t="e">
        <f t="shared" ca="1" si="8"/>
        <v>#NAME?</v>
      </c>
      <c r="P31" s="411" t="e">
        <f ca="1">C31-C30</f>
        <v>#NAME?</v>
      </c>
    </row>
    <row r="32" spans="1:24" ht="26.25">
      <c r="B32" s="375" t="s">
        <v>213</v>
      </c>
      <c r="C32" s="409" t="e">
        <f t="shared" ca="1" si="9"/>
        <v>#NAME?</v>
      </c>
      <c r="D32" s="433" t="e">
        <f ca="1">_xll.BDP("TDSWNI7 TPRA Curncy","BID")</f>
        <v>#NAME?</v>
      </c>
      <c r="E32" s="433" t="e">
        <f ca="1">_xll.BDP("TDSWNI7 TPRA Curncy","ASK")</f>
        <v>#NAME?</v>
      </c>
      <c r="F32" s="433" t="e">
        <f ca="1">_xll.BDP("TDSWNI7 ICSG Curncy","BID")</f>
        <v>#NAME?</v>
      </c>
      <c r="G32" s="433" t="e">
        <f ca="1">_xll.BDP("TDSWNI7 ICSG Curncy","ASK")</f>
        <v>#NAME?</v>
      </c>
      <c r="N32" s="378">
        <v>0.76500000000000001</v>
      </c>
      <c r="O32" s="390" t="e">
        <f t="shared" ca="1" si="8"/>
        <v>#NAME?</v>
      </c>
    </row>
    <row r="33" spans="2:15" ht="26.25">
      <c r="B33" s="375" t="s">
        <v>214</v>
      </c>
      <c r="C33" s="409" t="e">
        <f t="shared" ca="1" si="9"/>
        <v>#NAME?</v>
      </c>
      <c r="D33" s="433" t="e">
        <f ca="1">_xll.BDP("TDSWNI10 TPRA Curncy","BID")</f>
        <v>#NAME?</v>
      </c>
      <c r="E33" s="433" t="e">
        <f ca="1">_xll.BDP("TDSWNI10 TPRA Curncy","ASK")</f>
        <v>#NAME?</v>
      </c>
      <c r="F33" s="433" t="e">
        <f ca="1">_xll.BDP("TDSWNI10 ICSG Curncy","BID")</f>
        <v>#NAME?</v>
      </c>
      <c r="G33" s="433" t="e">
        <f ca="1">_xll.BDP("TDSWNI10 ICSG Curncy","ASK")</f>
        <v>#NAME?</v>
      </c>
      <c r="K33" s="403"/>
      <c r="N33" s="378">
        <v>0.86499999999999999</v>
      </c>
      <c r="O33" s="390" t="e">
        <f t="shared" ca="1" si="8"/>
        <v>#NAME?</v>
      </c>
    </row>
  </sheetData>
  <phoneticPr fontId="2" type="noConversion"/>
  <conditionalFormatting sqref="Q18:Q24">
    <cfRule type="cellIs" dxfId="1" priority="1" stopIfTrue="1" operator="equal">
      <formula>"FUCK"</formula>
    </cfRule>
    <cfRule type="cellIs" dxfId="0" priority="2" stopIfTrue="1" operator="equal">
      <formula>"""GOOD"""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5" r:id="rId4" name="Button 5">
              <controlPr defaultSize="0" print="0" autoFill="0" autoPict="0" macro="[1]!PASTA">
                <anchor moveWithCells="1" sizeWithCells="1">
                  <from>
                    <xdr:col>11</xdr:col>
                    <xdr:colOff>0</xdr:colOff>
                    <xdr:row>7</xdr:row>
                    <xdr:rowOff>0</xdr:rowOff>
                  </from>
                  <to>
                    <xdr:col>11</xdr:col>
                    <xdr:colOff>571500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5" name="Button 6">
              <controlPr defaultSize="0" print="0" autoFill="0" autoPict="0" macro="[1]!PASTA">
                <anchor moveWithCells="1" sizeWithCells="1">
                  <from>
                    <xdr:col>11</xdr:col>
                    <xdr:colOff>0</xdr:colOff>
                    <xdr:row>7</xdr:row>
                    <xdr:rowOff>0</xdr:rowOff>
                  </from>
                  <to>
                    <xdr:col>11</xdr:col>
                    <xdr:colOff>571500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H17"/>
  <sheetViews>
    <sheetView zoomScale="85" zoomScaleNormal="85" workbookViewId="0">
      <selection activeCell="H5" sqref="H5"/>
    </sheetView>
  </sheetViews>
  <sheetFormatPr defaultRowHeight="12.75"/>
  <cols>
    <col min="1" max="1" width="9" style="441"/>
    <col min="2" max="2" width="9.875" style="435" bestFit="1" customWidth="1"/>
    <col min="3" max="4" width="13.875" style="436" bestFit="1" customWidth="1"/>
    <col min="5" max="5" width="13.875" style="441" customWidth="1"/>
    <col min="6" max="6" width="11.75" style="441" bestFit="1" customWidth="1"/>
    <col min="7" max="8" width="26.375" style="441" bestFit="1" customWidth="1"/>
    <col min="9" max="16384" width="9" style="441"/>
  </cols>
  <sheetData>
    <row r="3" spans="2:8" ht="16.5">
      <c r="C3" s="436" t="s">
        <v>216</v>
      </c>
      <c r="D3" s="437"/>
      <c r="E3" s="438"/>
      <c r="F3" s="439" t="s">
        <v>217</v>
      </c>
      <c r="G3" s="440" t="s">
        <v>217</v>
      </c>
      <c r="H3" s="440" t="s">
        <v>217</v>
      </c>
    </row>
    <row r="4" spans="2:8" ht="16.5">
      <c r="C4" s="442" t="s">
        <v>89</v>
      </c>
      <c r="D4" s="443" t="s">
        <v>172</v>
      </c>
      <c r="E4" s="438"/>
      <c r="F4" s="444" t="s">
        <v>218</v>
      </c>
      <c r="G4" s="445" t="s">
        <v>89</v>
      </c>
      <c r="H4" s="445" t="s">
        <v>172</v>
      </c>
    </row>
    <row r="5" spans="2:8" ht="16.5">
      <c r="B5" s="446" t="s">
        <v>219</v>
      </c>
      <c r="C5" s="447">
        <v>-5.0000000000000001E-4</v>
      </c>
      <c r="D5" s="448">
        <v>0</v>
      </c>
      <c r="F5" s="449" t="s">
        <v>220</v>
      </c>
      <c r="G5" s="449" t="e">
        <f ca="1">PLContribFull(C5,"Bid",F5,"Forex","Ticker",4)</f>
        <v>#NAME?</v>
      </c>
      <c r="H5" s="449" t="e">
        <f ca="1">PLContribFull(D5,"Ask",F5,"Forex","Ticker",4)</f>
        <v>#NAME?</v>
      </c>
    </row>
    <row r="6" spans="2:8" ht="16.5">
      <c r="B6" s="450" t="s">
        <v>221</v>
      </c>
      <c r="C6" s="447">
        <v>-2E-3</v>
      </c>
      <c r="D6" s="448">
        <v>0</v>
      </c>
      <c r="F6" s="449" t="s">
        <v>222</v>
      </c>
      <c r="G6" s="449" t="e">
        <f ca="1">_xll.PLContribFull(C6,"Bid",F6,"Forex","Ticker",4)</f>
        <v>#NAME?</v>
      </c>
      <c r="H6" s="449" t="e">
        <f ca="1">_xll.PLContribFull(D6,"Ask",F6,"Forex","Ticker",4)</f>
        <v>#NAME?</v>
      </c>
    </row>
    <row r="7" spans="2:8" ht="16.5">
      <c r="B7" s="450" t="s">
        <v>223</v>
      </c>
      <c r="C7" s="447"/>
      <c r="D7" s="448"/>
      <c r="F7" s="449" t="s">
        <v>224</v>
      </c>
      <c r="G7" s="449" t="e">
        <f ca="1">_xll.PLContribFull(C7,"Bid",F7,"Forex","Ticker",4)</f>
        <v>#NAME?</v>
      </c>
      <c r="H7" s="449" t="e">
        <f ca="1">_xll.PLContribFull(D7,"Ask",F7,"Forex","Ticker",4)</f>
        <v>#NAME?</v>
      </c>
    </row>
    <row r="8" spans="2:8" ht="16.5">
      <c r="B8" s="450" t="s">
        <v>225</v>
      </c>
      <c r="C8" s="447"/>
      <c r="D8" s="448"/>
      <c r="F8" s="449" t="s">
        <v>226</v>
      </c>
      <c r="G8" s="449" t="e">
        <f ca="1">_xll.PLContribFull(C8,"Bid",F8,"Forex","Ticker",4)</f>
        <v>#NAME?</v>
      </c>
      <c r="H8" s="449" t="e">
        <f ca="1">_xll.PLContribFull(D8,"Ask",F8,"Forex","Ticker",4)</f>
        <v>#NAME?</v>
      </c>
    </row>
    <row r="9" spans="2:8" ht="16.5">
      <c r="B9" s="450" t="s">
        <v>227</v>
      </c>
      <c r="C9" s="447"/>
      <c r="D9" s="448"/>
      <c r="F9" s="449" t="s">
        <v>228</v>
      </c>
      <c r="G9" s="449" t="e">
        <f ca="1">_xll.PLContribFull(C9,"Bid",F9,"Forex","Ticker",4)</f>
        <v>#NAME?</v>
      </c>
      <c r="H9" s="449" t="e">
        <f ca="1">_xll.PLContribFull(D9,"Ask",F9,"Forex","Ticker",4)</f>
        <v>#NAME?</v>
      </c>
    </row>
    <row r="10" spans="2:8" ht="16.5">
      <c r="B10" s="450" t="s">
        <v>229</v>
      </c>
      <c r="C10" s="447"/>
      <c r="D10" s="448"/>
      <c r="F10" s="449" t="s">
        <v>230</v>
      </c>
      <c r="G10" s="449" t="e">
        <f ca="1">_xll.PLContribFull(C10,"Bid",F10,"Forex","Ticker",4)</f>
        <v>#NAME?</v>
      </c>
      <c r="H10" s="449" t="e">
        <f ca="1">_xll.PLContribFull(D10,"Ask",F10,"Forex","Ticker",4)</f>
        <v>#NAME?</v>
      </c>
    </row>
    <row r="11" spans="2:8" ht="16.5">
      <c r="B11" s="450" t="s">
        <v>231</v>
      </c>
      <c r="C11" s="447"/>
      <c r="D11" s="448"/>
      <c r="F11" s="449" t="s">
        <v>232</v>
      </c>
      <c r="G11" s="449" t="e">
        <f ca="1">_xll.PLContribFull(C11,"Bid",F11,"Forex","Ticker",4)</f>
        <v>#NAME?</v>
      </c>
      <c r="H11" s="449" t="e">
        <f ca="1">_xll.PLContribFull(D11,"Ask",F11,"Forex","Ticker",4)</f>
        <v>#NAME?</v>
      </c>
    </row>
    <row r="12" spans="2:8" ht="16.5">
      <c r="B12" s="450" t="s">
        <v>233</v>
      </c>
      <c r="C12" s="447"/>
      <c r="D12" s="448"/>
      <c r="F12" s="449" t="s">
        <v>234</v>
      </c>
      <c r="G12" s="449" t="e">
        <f ca="1">_xll.PLContribFull(C12,"Bid",F12,"Forex","Ticker",4)</f>
        <v>#NAME?</v>
      </c>
      <c r="H12" s="449" t="e">
        <f ca="1">_xll.PLContribFull(D12,"Ask",F12,"Forex","Ticker",4)</f>
        <v>#NAME?</v>
      </c>
    </row>
    <row r="13" spans="2:8" ht="16.5">
      <c r="B13" s="450" t="s">
        <v>235</v>
      </c>
      <c r="C13" s="447"/>
      <c r="D13" s="448"/>
      <c r="F13" s="449" t="s">
        <v>236</v>
      </c>
      <c r="G13" s="449" t="e">
        <f ca="1">_xll.PLContribFull(C13,"Bid",F13,"Forex","Ticker",4)</f>
        <v>#NAME?</v>
      </c>
      <c r="H13" s="449" t="e">
        <f ca="1">_xll.PLContribFull(D13,"Ask",F13,"Forex","Ticker",4)</f>
        <v>#NAME?</v>
      </c>
    </row>
    <row r="14" spans="2:8" ht="16.5">
      <c r="B14" s="450" t="s">
        <v>237</v>
      </c>
      <c r="C14" s="447"/>
      <c r="D14" s="448"/>
      <c r="F14" s="449" t="s">
        <v>238</v>
      </c>
      <c r="G14" s="449" t="e">
        <f ca="1">_xll.PLContribFull(C14,"Bid",F14,"Forex","Ticker",4)</f>
        <v>#NAME?</v>
      </c>
      <c r="H14" s="449" t="e">
        <f ca="1">_xll.PLContribFull(D14,"Ask",F14,"Forex","Ticker",4)</f>
        <v>#NAME?</v>
      </c>
    </row>
    <row r="15" spans="2:8" ht="16.5">
      <c r="B15" s="450" t="s">
        <v>239</v>
      </c>
      <c r="C15" s="447"/>
      <c r="D15" s="448"/>
      <c r="F15" s="449" t="s">
        <v>240</v>
      </c>
      <c r="G15" s="449" t="e">
        <f ca="1">_xll.PLContribFull(C15,"Bid",F15,"Forex","Ticker",4)</f>
        <v>#NAME?</v>
      </c>
      <c r="H15" s="449" t="e">
        <f ca="1">_xll.PLContribFull(D15,"Ask",F15,"Forex","Ticker",4)</f>
        <v>#NAME?</v>
      </c>
    </row>
    <row r="16" spans="2:8" ht="16.5">
      <c r="B16" s="450" t="s">
        <v>241</v>
      </c>
      <c r="C16" s="447"/>
      <c r="D16" s="448"/>
      <c r="F16" s="449" t="s">
        <v>242</v>
      </c>
      <c r="G16" s="449" t="e">
        <f ca="1">_xll.PLContribFull(C16,"Bid",F16,"Forex","Ticker",4)</f>
        <v>#NAME?</v>
      </c>
      <c r="H16" s="449" t="e">
        <f ca="1">_xll.PLContribFull(D16,"Ask",F16,"Forex","Ticker",4)</f>
        <v>#NAME?</v>
      </c>
    </row>
    <row r="17" spans="2:3" ht="16.5">
      <c r="B17" s="450"/>
      <c r="C17" s="437"/>
    </row>
  </sheetData>
  <phoneticPr fontId="2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4"/>
  <sheetViews>
    <sheetView workbookViewId="0">
      <selection activeCell="A26" sqref="A26"/>
    </sheetView>
  </sheetViews>
  <sheetFormatPr defaultRowHeight="16.5"/>
  <cols>
    <col min="1" max="1" width="10.875" bestFit="1" customWidth="1"/>
  </cols>
  <sheetData>
    <row r="1" spans="1:7">
      <c r="B1" t="s">
        <v>254</v>
      </c>
      <c r="C1" t="s">
        <v>255</v>
      </c>
      <c r="D1" t="s">
        <v>256</v>
      </c>
      <c r="E1" t="s">
        <v>257</v>
      </c>
      <c r="F1" t="s">
        <v>258</v>
      </c>
    </row>
    <row r="2" spans="1:7">
      <c r="A2" t="s">
        <v>259</v>
      </c>
      <c r="B2">
        <v>2</v>
      </c>
      <c r="C2">
        <v>1</v>
      </c>
      <c r="D2">
        <v>6</v>
      </c>
      <c r="E2">
        <v>1</v>
      </c>
      <c r="F2">
        <v>0</v>
      </c>
    </row>
    <row r="3" spans="1:7">
      <c r="A3" t="s">
        <v>260</v>
      </c>
      <c r="B3">
        <v>2</v>
      </c>
      <c r="C3">
        <v>1</v>
      </c>
      <c r="D3">
        <v>6</v>
      </c>
      <c r="E3">
        <v>1</v>
      </c>
      <c r="F3">
        <v>0</v>
      </c>
    </row>
    <row r="4" spans="1:7">
      <c r="A4" t="s">
        <v>261</v>
      </c>
      <c r="B4">
        <v>2</v>
      </c>
      <c r="C4">
        <v>1</v>
      </c>
      <c r="D4">
        <v>6</v>
      </c>
      <c r="E4">
        <v>1</v>
      </c>
      <c r="F4">
        <v>0</v>
      </c>
    </row>
    <row r="5" spans="1:7">
      <c r="A5" t="s">
        <v>262</v>
      </c>
      <c r="B5">
        <v>2</v>
      </c>
      <c r="C5">
        <v>0</v>
      </c>
      <c r="D5">
        <v>4</v>
      </c>
      <c r="E5">
        <v>2</v>
      </c>
      <c r="F5">
        <v>0</v>
      </c>
    </row>
    <row r="6" spans="1:7">
      <c r="A6" t="s">
        <v>263</v>
      </c>
      <c r="B6">
        <v>3</v>
      </c>
      <c r="C6">
        <v>1</v>
      </c>
      <c r="D6">
        <v>7</v>
      </c>
      <c r="E6">
        <v>1</v>
      </c>
      <c r="F6">
        <v>0</v>
      </c>
    </row>
    <row r="7" spans="1:7">
      <c r="A7" t="s">
        <v>264</v>
      </c>
      <c r="B7">
        <v>1</v>
      </c>
      <c r="C7">
        <v>0</v>
      </c>
      <c r="D7">
        <v>2</v>
      </c>
      <c r="E7">
        <v>1</v>
      </c>
      <c r="F7">
        <v>1</v>
      </c>
    </row>
    <row r="8" spans="1:7">
      <c r="A8" t="s">
        <v>265</v>
      </c>
      <c r="B8">
        <v>2</v>
      </c>
      <c r="C8">
        <v>0</v>
      </c>
      <c r="D8">
        <v>4</v>
      </c>
      <c r="E8">
        <v>2</v>
      </c>
      <c r="F8">
        <v>0</v>
      </c>
    </row>
    <row r="9" spans="1:7">
      <c r="A9" t="s">
        <v>266</v>
      </c>
      <c r="B9">
        <v>2</v>
      </c>
      <c r="C9">
        <v>1</v>
      </c>
      <c r="D9">
        <v>6</v>
      </c>
      <c r="E9">
        <v>1</v>
      </c>
      <c r="F9">
        <v>0</v>
      </c>
    </row>
    <row r="10" spans="1:7">
      <c r="A10" t="s">
        <v>267</v>
      </c>
      <c r="B10">
        <v>1</v>
      </c>
      <c r="C10">
        <v>0</v>
      </c>
      <c r="D10">
        <v>2</v>
      </c>
      <c r="E10">
        <v>1</v>
      </c>
      <c r="F10">
        <v>0</v>
      </c>
    </row>
    <row r="12" spans="1:7">
      <c r="B12">
        <f>SUM(B2:B11)</f>
        <v>17</v>
      </c>
      <c r="C12">
        <f>SUM(C2:C11)</f>
        <v>5</v>
      </c>
      <c r="D12">
        <f>SUM(D2:D11)</f>
        <v>43</v>
      </c>
      <c r="E12">
        <f>SUM(E2:E11)</f>
        <v>11</v>
      </c>
      <c r="F12">
        <f>SUM(F2:F11)</f>
        <v>1</v>
      </c>
    </row>
    <row r="13" spans="1:7">
      <c r="B13">
        <v>855</v>
      </c>
      <c r="C13">
        <v>530</v>
      </c>
      <c r="D13">
        <v>130</v>
      </c>
      <c r="E13">
        <v>70</v>
      </c>
      <c r="F13">
        <v>1300</v>
      </c>
    </row>
    <row r="14" spans="1:7">
      <c r="B14">
        <f>B12*B13</f>
        <v>14535</v>
      </c>
      <c r="C14">
        <f>C12*C13</f>
        <v>2650</v>
      </c>
      <c r="D14">
        <f>D12*D13</f>
        <v>5590</v>
      </c>
      <c r="E14">
        <f>E12*E13</f>
        <v>770</v>
      </c>
      <c r="F14">
        <f>F12*F13</f>
        <v>1300</v>
      </c>
      <c r="G14">
        <f>SUM(B14:F14)</f>
        <v>24845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>
      <selection activeCell="A7" sqref="A7:B8"/>
    </sheetView>
  </sheetViews>
  <sheetFormatPr defaultRowHeight="16.5"/>
  <sheetData>
    <row r="1" spans="1:2">
      <c r="A1" t="s">
        <v>268</v>
      </c>
    </row>
    <row r="2" spans="1:2">
      <c r="A2" t="s">
        <v>269</v>
      </c>
      <c r="B2" t="s">
        <v>270</v>
      </c>
    </row>
    <row r="4" spans="1:2">
      <c r="A4" t="s">
        <v>280</v>
      </c>
    </row>
    <row r="5" spans="1:2">
      <c r="A5" t="s">
        <v>281</v>
      </c>
      <c r="B5" t="s">
        <v>282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9"/>
  <sheetViews>
    <sheetView topLeftCell="A10" workbookViewId="0">
      <selection activeCell="E13" sqref="E13:G19"/>
    </sheetView>
  </sheetViews>
  <sheetFormatPr defaultRowHeight="16.5"/>
  <cols>
    <col min="1" max="1" width="29" style="453" bestFit="1" customWidth="1"/>
    <col min="2" max="2" width="36.625" style="453" bestFit="1" customWidth="1"/>
    <col min="3" max="4" width="9" style="453"/>
    <col min="5" max="5" width="4" style="453" bestFit="1" customWidth="1"/>
    <col min="6" max="6" width="13" style="453" customWidth="1"/>
    <col min="7" max="7" width="11.75" style="453" bestFit="1" customWidth="1"/>
    <col min="8" max="16384" width="9" style="453"/>
  </cols>
  <sheetData>
    <row r="1" spans="1:8">
      <c r="B1" s="454" t="s">
        <v>287</v>
      </c>
    </row>
    <row r="2" spans="1:8">
      <c r="A2" s="453" t="s">
        <v>284</v>
      </c>
      <c r="B2" s="453" t="s">
        <v>285</v>
      </c>
    </row>
    <row r="3" spans="1:8">
      <c r="B3" s="453" t="s">
        <v>286</v>
      </c>
    </row>
    <row r="7" spans="1:8" ht="17.25" thickBot="1"/>
    <row r="8" spans="1:8" ht="17.25" thickBot="1">
      <c r="A8" s="455" t="s">
        <v>304</v>
      </c>
      <c r="B8" s="456"/>
    </row>
    <row r="9" spans="1:8">
      <c r="A9" s="457" t="s">
        <v>288</v>
      </c>
      <c r="B9" s="458" t="s">
        <v>289</v>
      </c>
    </row>
    <row r="10" spans="1:8">
      <c r="A10" s="459" t="s">
        <v>290</v>
      </c>
      <c r="B10" s="460" t="s">
        <v>291</v>
      </c>
    </row>
    <row r="11" spans="1:8">
      <c r="A11" s="459" t="s">
        <v>292</v>
      </c>
      <c r="B11" s="460" t="s">
        <v>293</v>
      </c>
    </row>
    <row r="12" spans="1:8" ht="17.25" thickBot="1">
      <c r="A12" s="459" t="s">
        <v>294</v>
      </c>
      <c r="B12" s="460" t="s">
        <v>295</v>
      </c>
    </row>
    <row r="13" spans="1:8">
      <c r="A13" s="459" t="s">
        <v>296</v>
      </c>
      <c r="B13" s="460" t="s">
        <v>297</v>
      </c>
      <c r="E13" s="491" t="s">
        <v>312</v>
      </c>
      <c r="F13" s="491" t="s">
        <v>313</v>
      </c>
      <c r="G13" s="491" t="s">
        <v>314</v>
      </c>
      <c r="H13" s="463"/>
    </row>
    <row r="14" spans="1:8" ht="17.25" thickBot="1">
      <c r="A14" s="459" t="s">
        <v>298</v>
      </c>
      <c r="B14" s="460" t="s">
        <v>299</v>
      </c>
      <c r="E14" s="492"/>
      <c r="F14" s="492"/>
      <c r="G14" s="492"/>
      <c r="H14" s="463"/>
    </row>
    <row r="15" spans="1:8" ht="17.25" thickBot="1">
      <c r="A15" s="459" t="s">
        <v>300</v>
      </c>
      <c r="B15" s="460" t="s">
        <v>301</v>
      </c>
      <c r="E15" s="464">
        <v>1</v>
      </c>
      <c r="F15" s="465" t="s">
        <v>315</v>
      </c>
      <c r="G15" s="465" t="s">
        <v>316</v>
      </c>
      <c r="H15" s="463"/>
    </row>
    <row r="16" spans="1:8" ht="17.25" thickBot="1">
      <c r="A16" s="461" t="s">
        <v>302</v>
      </c>
      <c r="B16" s="462" t="s">
        <v>303</v>
      </c>
      <c r="E16" s="464">
        <v>2</v>
      </c>
      <c r="F16" s="465" t="s">
        <v>317</v>
      </c>
      <c r="G16" s="465" t="s">
        <v>318</v>
      </c>
      <c r="H16" s="463"/>
    </row>
    <row r="17" spans="1:8" ht="17.25" thickBot="1">
      <c r="A17" s="461" t="s">
        <v>305</v>
      </c>
      <c r="B17" s="462" t="s">
        <v>306</v>
      </c>
      <c r="E17" s="464">
        <v>3</v>
      </c>
      <c r="F17" s="465" t="s">
        <v>319</v>
      </c>
      <c r="G17" s="465" t="s">
        <v>320</v>
      </c>
      <c r="H17" s="463"/>
    </row>
    <row r="18" spans="1:8" ht="17.25" thickBot="1">
      <c r="E18" s="464">
        <v>4</v>
      </c>
      <c r="F18" s="465" t="s">
        <v>321</v>
      </c>
      <c r="G18" s="465" t="s">
        <v>322</v>
      </c>
      <c r="H18" s="463"/>
    </row>
    <row r="19" spans="1:8" ht="17.25" thickBot="1">
      <c r="E19" s="464">
        <v>5</v>
      </c>
      <c r="F19" s="466" t="s">
        <v>323</v>
      </c>
      <c r="G19" s="465" t="s">
        <v>324</v>
      </c>
      <c r="H19" s="463"/>
    </row>
    <row r="20" spans="1:8" ht="17.25" thickBot="1">
      <c r="A20" s="455" t="s">
        <v>307</v>
      </c>
      <c r="B20" s="456"/>
    </row>
    <row r="21" spans="1:8">
      <c r="A21" s="457" t="s">
        <v>288</v>
      </c>
      <c r="B21" s="458" t="s">
        <v>308</v>
      </c>
    </row>
    <row r="22" spans="1:8">
      <c r="A22" s="459" t="s">
        <v>290</v>
      </c>
      <c r="B22" s="460" t="s">
        <v>291</v>
      </c>
    </row>
    <row r="23" spans="1:8">
      <c r="A23" s="459" t="s">
        <v>292</v>
      </c>
      <c r="B23" s="460" t="s">
        <v>293</v>
      </c>
    </row>
    <row r="24" spans="1:8">
      <c r="A24" s="459" t="s">
        <v>294</v>
      </c>
      <c r="B24" s="460" t="s">
        <v>295</v>
      </c>
    </row>
    <row r="25" spans="1:8">
      <c r="A25" s="459" t="s">
        <v>296</v>
      </c>
      <c r="B25" s="460" t="s">
        <v>309</v>
      </c>
    </row>
    <row r="26" spans="1:8">
      <c r="A26" s="459" t="s">
        <v>298</v>
      </c>
      <c r="B26" s="460" t="s">
        <v>299</v>
      </c>
    </row>
    <row r="27" spans="1:8">
      <c r="A27" s="459" t="s">
        <v>300</v>
      </c>
      <c r="B27" s="460" t="s">
        <v>310</v>
      </c>
    </row>
    <row r="28" spans="1:8" ht="17.25" thickBot="1">
      <c r="A28" s="461" t="s">
        <v>302</v>
      </c>
      <c r="B28" s="462" t="s">
        <v>311</v>
      </c>
    </row>
    <row r="29" spans="1:8" ht="17.25" thickBot="1">
      <c r="A29" s="461" t="s">
        <v>305</v>
      </c>
      <c r="B29" s="462" t="s">
        <v>306</v>
      </c>
    </row>
  </sheetData>
  <mergeCells count="3">
    <mergeCell ref="E13:E14"/>
    <mergeCell ref="F13:F14"/>
    <mergeCell ref="G13:G14"/>
  </mergeCells>
  <phoneticPr fontId="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LongProperties xmlns="http://schemas.microsoft.com/office/2006/metadata/longProperties"/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文件" ma:contentTypeID="0x0101006D6C46071D73104683CAC8DC0DC0BC85" ma:contentTypeVersion="0" ma:contentTypeDescription="建立新的文件。" ma:contentTypeScope="" ma:versionID="7d3d4b260f1ba33102ca5c08ed9345b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f3953557f0f1147f3121d816f5f5c76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內容類型"/>
        <xsd:element ref="dc:title" minOccurs="0" maxOccurs="1" ma:index="4" ma:displayName="標題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C890FE4-61CD-4725-9AB2-F309E4D1DFD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750B651-FF15-46CF-BE21-098ACF57AA0D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5F0EBF50-ABB7-4193-BD76-CAFAF200A3DF}">
  <ds:schemaRefs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terms/"/>
    <ds:schemaRef ds:uri="http://schemas.openxmlformats.org/package/2006/metadata/core-properties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D944A3E9-8982-4548-9A17-026D75F9399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1</vt:i4>
      </vt:variant>
    </vt:vector>
  </HeadingPairs>
  <TitlesOfParts>
    <vt:vector size="7" baseType="lpstr">
      <vt:lpstr>Pricer</vt:lpstr>
      <vt:lpstr>BBGIRSCCS</vt:lpstr>
      <vt:lpstr>工作表1</vt:lpstr>
      <vt:lpstr>工作表2</vt:lpstr>
      <vt:lpstr>ACPS</vt:lpstr>
      <vt:lpstr>Trading Product</vt:lpstr>
      <vt:lpstr>美元多利</vt:lpstr>
    </vt:vector>
  </TitlesOfParts>
  <Company>FUBONGROUP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FBUSR</dc:creator>
  <cp:lastModifiedBy>王信閎</cp:lastModifiedBy>
  <cp:lastPrinted>2011-05-26T00:11:55Z</cp:lastPrinted>
  <dcterms:created xsi:type="dcterms:W3CDTF">2008-02-04T06:34:07Z</dcterms:created>
  <dcterms:modified xsi:type="dcterms:W3CDTF">2021-11-12T08:59:58Z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sMyDocuments">
    <vt:lpwstr>1</vt:lpwstr>
  </property>
</Properties>
</file>