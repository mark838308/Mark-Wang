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defaultThemeVersion="153222"/>
  <mc:AlternateContent xmlns:mc="http://schemas.openxmlformats.org/markup-compatibility/2006">
    <mc:Choice Requires="x15">
      <x15ac:absPath xmlns:x15ac="http://schemas.microsoft.com/office/spreadsheetml/2010/11/ac" url="C:\Users\1080131\Desktop\"/>
    </mc:Choice>
  </mc:AlternateContent>
  <bookViews>
    <workbookView xWindow="0" yWindow="0" windowWidth="25200" windowHeight="11280" activeTab="8"/>
  </bookViews>
  <sheets>
    <sheet name="1002" sheetId="749" r:id="rId1"/>
    <sheet name="1003" sheetId="750" r:id="rId2"/>
    <sheet name="1004" sheetId="751" r:id="rId3"/>
    <sheet name="1005" sheetId="752" r:id="rId4"/>
    <sheet name="1006" sheetId="753" r:id="rId5"/>
    <sheet name="1011" sheetId="754" r:id="rId6"/>
    <sheet name="1012" sheetId="755" r:id="rId7"/>
    <sheet name="1013" sheetId="756" r:id="rId8"/>
    <sheet name="冷券表" sheetId="86" r:id="rId9"/>
    <sheet name="OTC報價" sheetId="708" r:id="rId10"/>
    <sheet name="理論價" sheetId="744" r:id="rId11"/>
    <sheet name="短券到期天數" sheetId="734"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_xlnm._FilterDatabase" localSheetId="0" hidden="1">'1002'!$A$4:$O$135</definedName>
    <definedName name="_xlnm._FilterDatabase" localSheetId="1" hidden="1">'1003'!$A$4:$E$131</definedName>
    <definedName name="_xlnm._FilterDatabase" localSheetId="2" hidden="1">'1004'!$A$4:$O$135</definedName>
    <definedName name="_xlnm._FilterDatabase" localSheetId="3" hidden="1">'1005'!$A$4:$E$130</definedName>
    <definedName name="_xlnm._FilterDatabase" localSheetId="5" hidden="1">'1011'!$A$4:$E$131</definedName>
    <definedName name="_xlnm._FilterDatabase" localSheetId="6" hidden="1">'1012'!$A$4:$E$131</definedName>
    <definedName name="_xlnm._FilterDatabase" localSheetId="7" hidden="1">'1013'!$A$4:$E$131</definedName>
    <definedName name="ACCRI" localSheetId="0">'[1]公債價格計算 (2)'!$A$1</definedName>
    <definedName name="ACCRI" localSheetId="1">'[1]公債價格計算 (2)'!$A$1</definedName>
    <definedName name="ACCRI" localSheetId="2">'[1]公債價格計算 (2)'!$A$1</definedName>
    <definedName name="ACCRI" localSheetId="3">'[1]公債價格計算 (2)'!$A$1</definedName>
    <definedName name="ACCRI" localSheetId="5">'[1]公債價格計算 (2)'!$A$1</definedName>
    <definedName name="ACCRI" localSheetId="6">'[1]公債價格計算 (2)'!$A$1</definedName>
    <definedName name="ACCRI" localSheetId="7">'[1]公債價格計算 (2)'!$A$1</definedName>
    <definedName name="ACCRI">'[2]公債價格計算 (2)'!$A$1</definedName>
    <definedName name="Coupon938" localSheetId="0">'[3]950801'!$AO$129</definedName>
    <definedName name="Coupon938" localSheetId="1">'[3]950801'!$AO$129</definedName>
    <definedName name="Coupon938" localSheetId="2">'[3]950801'!$AO$129</definedName>
    <definedName name="Coupon938" localSheetId="3">'[3]950801'!$AO$129</definedName>
    <definedName name="Coupon938" localSheetId="5">'[3]950801'!$AO$129</definedName>
    <definedName name="Coupon938" localSheetId="6">'[3]950801'!$AO$129</definedName>
    <definedName name="Coupon938" localSheetId="7">'[3]950801'!$AO$129</definedName>
    <definedName name="Coupon938">'[4]950801'!$AO$129</definedName>
    <definedName name="Issue938" localSheetId="0">'[3]950801'!$AO$127</definedName>
    <definedName name="Issue938" localSheetId="1">'[3]950801'!$AO$127</definedName>
    <definedName name="Issue938" localSheetId="2">'[3]950801'!$AO$127</definedName>
    <definedName name="Issue938" localSheetId="3">'[3]950801'!$AO$127</definedName>
    <definedName name="Issue938" localSheetId="5">'[3]950801'!$AO$127</definedName>
    <definedName name="Issue938" localSheetId="6">'[3]950801'!$AO$127</definedName>
    <definedName name="Issue938" localSheetId="7">'[3]950801'!$AO$127</definedName>
    <definedName name="Issue938">'[4]950801'!$AO$127</definedName>
    <definedName name="Maturity938" localSheetId="0">'[3]950801'!$AO$128</definedName>
    <definedName name="Maturity938" localSheetId="1">'[3]950801'!$AO$128</definedName>
    <definedName name="Maturity938" localSheetId="2">'[3]950801'!$AO$128</definedName>
    <definedName name="Maturity938" localSheetId="3">'[3]950801'!$AO$128</definedName>
    <definedName name="Maturity938" localSheetId="5">'[3]950801'!$AO$128</definedName>
    <definedName name="Maturity938" localSheetId="6">'[3]950801'!$AO$128</definedName>
    <definedName name="Maturity938" localSheetId="7">'[3]950801'!$AO$128</definedName>
    <definedName name="Maturity938">'[4]950801'!$AO$128</definedName>
    <definedName name="_xlnm.Print_Area" localSheetId="4">'1006'!$A$2:$P$27</definedName>
    <definedName name="_xlnm.Print_Area" localSheetId="10">理論價!$A$2:$O$144</definedName>
    <definedName name="_xlnm.Print_Titles" localSheetId="4">'1006'!$2:$4</definedName>
    <definedName name="_xlnm.Print_Titles" localSheetId="10">理論價!$2:$5</definedName>
  </definedNames>
  <calcPr calcId="152511"/>
</workbook>
</file>

<file path=xl/calcChain.xml><?xml version="1.0" encoding="utf-8"?>
<calcChain xmlns="http://schemas.openxmlformats.org/spreadsheetml/2006/main">
  <c r="D138" i="86" l="1"/>
  <c r="B138" i="86"/>
  <c r="D137" i="86"/>
  <c r="B137" i="86"/>
  <c r="D136" i="86"/>
  <c r="B136" i="86"/>
  <c r="D135" i="86"/>
  <c r="B135" i="86"/>
  <c r="D134" i="86"/>
  <c r="B134" i="86"/>
  <c r="D133" i="86"/>
  <c r="B133" i="86"/>
  <c r="D132" i="86"/>
  <c r="B132" i="86"/>
  <c r="D131" i="86"/>
  <c r="B131" i="86"/>
  <c r="D130" i="86"/>
  <c r="B130" i="86"/>
  <c r="D129" i="86"/>
  <c r="B129" i="86"/>
  <c r="D128" i="86"/>
  <c r="B128" i="86"/>
  <c r="D127" i="86"/>
  <c r="B127" i="86"/>
  <c r="D126" i="86"/>
  <c r="B126" i="86"/>
  <c r="D125" i="86"/>
  <c r="B125" i="86"/>
  <c r="D124" i="86"/>
  <c r="B124" i="86"/>
  <c r="D123" i="86"/>
  <c r="B123" i="86"/>
  <c r="D122" i="86"/>
  <c r="B122" i="86"/>
  <c r="D121" i="86"/>
  <c r="B121" i="86"/>
  <c r="D120" i="86"/>
  <c r="B120" i="86"/>
  <c r="D119" i="86"/>
  <c r="B119" i="86"/>
  <c r="D118" i="86"/>
  <c r="B118" i="86"/>
  <c r="D117" i="86"/>
  <c r="B117" i="86"/>
  <c r="D116" i="86"/>
  <c r="B116" i="86"/>
  <c r="D115" i="86"/>
  <c r="B115" i="86"/>
  <c r="D114" i="86"/>
  <c r="B114" i="86"/>
  <c r="D113" i="86"/>
  <c r="B113" i="86"/>
  <c r="D112" i="86"/>
  <c r="B112" i="86"/>
  <c r="D111" i="86"/>
  <c r="B111" i="86"/>
  <c r="D110" i="86"/>
  <c r="B110" i="86"/>
  <c r="D109" i="86"/>
  <c r="B109" i="86"/>
  <c r="D108" i="86"/>
  <c r="B108" i="86"/>
  <c r="D107" i="86"/>
  <c r="B107" i="86"/>
  <c r="D106" i="86"/>
  <c r="B106" i="86"/>
  <c r="D105" i="86"/>
  <c r="B105" i="86"/>
  <c r="D104" i="86"/>
  <c r="B104" i="86"/>
  <c r="D103" i="86"/>
  <c r="B103" i="86"/>
  <c r="D102" i="86"/>
  <c r="B102" i="86"/>
  <c r="D101" i="86"/>
  <c r="B101" i="86"/>
  <c r="D100" i="86"/>
  <c r="B100" i="86"/>
  <c r="D99" i="86"/>
  <c r="B99" i="86"/>
  <c r="D98" i="86"/>
  <c r="B98" i="86"/>
  <c r="D97" i="86"/>
  <c r="B97" i="86"/>
  <c r="D96" i="86"/>
  <c r="B96" i="86"/>
  <c r="D95" i="86"/>
  <c r="B95" i="86"/>
  <c r="D94" i="86"/>
  <c r="B94" i="86"/>
  <c r="D93" i="86"/>
  <c r="B93" i="86"/>
  <c r="D92" i="86"/>
  <c r="B92" i="86"/>
  <c r="D91" i="86"/>
  <c r="B91" i="86"/>
  <c r="D90" i="86"/>
  <c r="B90" i="86"/>
  <c r="D89" i="86"/>
  <c r="B89" i="86"/>
  <c r="D88" i="86"/>
  <c r="B88" i="86"/>
  <c r="D87" i="86"/>
  <c r="B87" i="86"/>
  <c r="D86" i="86"/>
  <c r="B86" i="86"/>
  <c r="D85" i="86"/>
  <c r="B85" i="86"/>
  <c r="D84" i="86"/>
  <c r="B84" i="86"/>
  <c r="D83" i="86"/>
  <c r="B83" i="86"/>
  <c r="D82" i="86"/>
  <c r="B82" i="86"/>
  <c r="D81" i="86"/>
  <c r="B81" i="86"/>
  <c r="D80" i="86"/>
  <c r="B80" i="86"/>
  <c r="D79" i="86"/>
  <c r="B79" i="86"/>
  <c r="D78" i="86"/>
  <c r="B78" i="86"/>
  <c r="D77" i="86"/>
  <c r="B77" i="86"/>
  <c r="D76" i="86"/>
  <c r="B76" i="86"/>
  <c r="D75" i="86"/>
  <c r="B75" i="86"/>
  <c r="D74" i="86"/>
  <c r="B74" i="86"/>
  <c r="D73" i="86"/>
  <c r="B73" i="86"/>
  <c r="D72" i="86"/>
  <c r="B72" i="86"/>
  <c r="D71" i="86"/>
  <c r="B71" i="86"/>
  <c r="D70" i="86"/>
  <c r="B70" i="86"/>
  <c r="D69" i="86"/>
  <c r="B69" i="86"/>
  <c r="D68" i="86"/>
  <c r="B68" i="86"/>
  <c r="D67" i="86"/>
  <c r="B67" i="86"/>
  <c r="D66" i="86"/>
  <c r="B66" i="86"/>
  <c r="D65" i="86"/>
  <c r="B65" i="86"/>
  <c r="D64" i="86"/>
  <c r="B64" i="86"/>
  <c r="D63" i="86"/>
  <c r="B63" i="86"/>
  <c r="D62" i="86"/>
  <c r="B62" i="86"/>
  <c r="D61" i="86"/>
  <c r="B61" i="86"/>
  <c r="D60" i="86"/>
  <c r="B60" i="86"/>
  <c r="D59" i="86"/>
  <c r="B59" i="86"/>
  <c r="D58" i="86"/>
  <c r="B58" i="86"/>
  <c r="D57" i="86"/>
  <c r="B57" i="86"/>
  <c r="D56" i="86"/>
  <c r="B56" i="86"/>
  <c r="D55" i="86"/>
  <c r="B55" i="86"/>
  <c r="D54" i="86"/>
  <c r="B54" i="86"/>
  <c r="D53" i="86"/>
  <c r="B53" i="86"/>
  <c r="D52" i="86"/>
  <c r="B52" i="86"/>
  <c r="D51" i="86"/>
  <c r="B51" i="86"/>
  <c r="D50" i="86"/>
  <c r="B50" i="86"/>
  <c r="D49" i="86"/>
  <c r="B49" i="86"/>
  <c r="D48" i="86"/>
  <c r="B48" i="86"/>
  <c r="D47" i="86"/>
  <c r="B47" i="86"/>
  <c r="D46" i="86"/>
  <c r="B46" i="86"/>
  <c r="D45" i="86"/>
  <c r="B45" i="86"/>
  <c r="D44" i="86"/>
  <c r="B44" i="86"/>
  <c r="D43" i="86"/>
  <c r="B43" i="86"/>
  <c r="D42" i="86"/>
  <c r="B42" i="86"/>
  <c r="D41" i="86"/>
  <c r="B41" i="86"/>
  <c r="D40" i="86"/>
  <c r="B40" i="86"/>
  <c r="D39" i="86"/>
  <c r="B39" i="86"/>
  <c r="D38" i="86"/>
  <c r="B38" i="86"/>
  <c r="D37" i="86"/>
  <c r="B37" i="86"/>
  <c r="D36" i="86"/>
  <c r="B36" i="86"/>
  <c r="D35" i="86"/>
  <c r="B35" i="86"/>
  <c r="D34" i="86"/>
  <c r="B34" i="86"/>
  <c r="D33" i="86"/>
  <c r="B33" i="86"/>
  <c r="D32" i="86"/>
  <c r="B32" i="86"/>
  <c r="D31" i="86"/>
  <c r="B31" i="86"/>
  <c r="D30" i="86"/>
  <c r="B30" i="86"/>
  <c r="D29" i="86"/>
  <c r="B29" i="86"/>
  <c r="D28" i="86"/>
  <c r="B28" i="86"/>
  <c r="D27" i="86"/>
  <c r="B27" i="86"/>
  <c r="D26" i="86"/>
  <c r="B26" i="86"/>
  <c r="D25" i="86"/>
  <c r="B25" i="86"/>
  <c r="D24" i="86"/>
  <c r="B24" i="86"/>
  <c r="D23" i="86"/>
  <c r="B23" i="86"/>
  <c r="D22" i="86"/>
  <c r="B22" i="86"/>
  <c r="D21" i="86"/>
  <c r="B21" i="86"/>
  <c r="D20" i="86"/>
  <c r="B20" i="86"/>
  <c r="D19" i="86"/>
  <c r="B19" i="86"/>
  <c r="D18" i="86"/>
  <c r="B18" i="86"/>
  <c r="D17" i="86"/>
  <c r="B17" i="86"/>
  <c r="D16" i="86"/>
  <c r="B16" i="86"/>
  <c r="D15" i="86"/>
  <c r="B15" i="86"/>
  <c r="D14" i="86"/>
  <c r="B14" i="86"/>
  <c r="D13" i="86"/>
  <c r="B13" i="86"/>
  <c r="D12" i="86"/>
  <c r="B12" i="86"/>
  <c r="D11" i="86"/>
  <c r="B11" i="86"/>
  <c r="D10" i="86"/>
  <c r="B10" i="86"/>
  <c r="D9" i="86"/>
  <c r="B9" i="86"/>
  <c r="D8" i="86"/>
  <c r="B8" i="86"/>
  <c r="D7" i="86"/>
  <c r="B7" i="86"/>
  <c r="D6" i="86"/>
  <c r="B6" i="86"/>
  <c r="D5" i="86"/>
  <c r="B5" i="86"/>
  <c r="E6" i="86" l="1"/>
  <c r="E7" i="86"/>
  <c r="E8" i="86"/>
  <c r="E9" i="86"/>
  <c r="E10" i="86"/>
  <c r="E11" i="86"/>
  <c r="E12" i="86"/>
  <c r="E13" i="86"/>
  <c r="E14" i="86"/>
  <c r="E15" i="86"/>
  <c r="E16" i="86"/>
  <c r="E17" i="86"/>
  <c r="E18" i="86"/>
  <c r="E19" i="86"/>
  <c r="E20" i="86"/>
  <c r="E21" i="86"/>
  <c r="E22" i="86"/>
  <c r="E23" i="86"/>
  <c r="E24" i="86"/>
  <c r="E25" i="86"/>
  <c r="E26" i="86"/>
  <c r="E27" i="86"/>
  <c r="E28" i="86"/>
  <c r="E29" i="86"/>
  <c r="E30" i="86"/>
  <c r="E31" i="86"/>
  <c r="E32" i="86"/>
  <c r="E33" i="86"/>
  <c r="E34" i="86"/>
  <c r="E35" i="86"/>
  <c r="E36" i="86"/>
  <c r="E37" i="86"/>
  <c r="E38" i="86"/>
  <c r="E39" i="86"/>
  <c r="E40" i="86"/>
  <c r="E41" i="86"/>
  <c r="E42" i="86"/>
  <c r="E43" i="86"/>
  <c r="E44" i="86"/>
  <c r="E45" i="86"/>
  <c r="E46" i="86"/>
  <c r="E47" i="86"/>
  <c r="E48" i="86"/>
  <c r="E49" i="86"/>
  <c r="E50" i="86"/>
  <c r="E51" i="86"/>
  <c r="E52" i="86"/>
  <c r="E53" i="86"/>
  <c r="E54" i="86"/>
  <c r="E55" i="86"/>
  <c r="E56" i="86"/>
  <c r="E57" i="86"/>
  <c r="E58" i="86"/>
  <c r="E59" i="86"/>
  <c r="E60" i="86"/>
  <c r="E61" i="86"/>
  <c r="E62" i="86"/>
  <c r="E63" i="86"/>
  <c r="E64" i="86"/>
  <c r="E65" i="86"/>
  <c r="E66" i="86"/>
  <c r="E67" i="86"/>
  <c r="E68" i="86"/>
  <c r="E69" i="86"/>
  <c r="E70" i="86"/>
  <c r="E71" i="86"/>
  <c r="E72" i="86"/>
  <c r="E73" i="86"/>
  <c r="E74" i="86"/>
  <c r="E75" i="86"/>
  <c r="E76" i="86"/>
  <c r="E77" i="86"/>
  <c r="E78" i="86"/>
  <c r="E79" i="86"/>
  <c r="E80" i="86"/>
  <c r="E81" i="86"/>
  <c r="E82" i="86"/>
  <c r="E83" i="86"/>
  <c r="E84" i="86"/>
  <c r="E85" i="86"/>
  <c r="E86" i="86"/>
  <c r="E87" i="86"/>
  <c r="E88" i="86"/>
  <c r="E89" i="86"/>
  <c r="E90" i="86"/>
  <c r="E91" i="86"/>
  <c r="E92" i="86"/>
  <c r="E93" i="86"/>
  <c r="E94" i="86"/>
  <c r="E95" i="86"/>
  <c r="E96" i="86"/>
  <c r="E97" i="86"/>
  <c r="E98" i="86"/>
  <c r="E99" i="86"/>
  <c r="E100" i="86"/>
  <c r="E101" i="86"/>
  <c r="E102" i="86"/>
  <c r="E103" i="86"/>
  <c r="E104" i="86"/>
  <c r="E105" i="86"/>
  <c r="E106" i="86"/>
  <c r="E107" i="86"/>
  <c r="E108" i="86"/>
  <c r="E109" i="86"/>
  <c r="E110" i="86"/>
  <c r="E111" i="86"/>
  <c r="E112" i="86"/>
  <c r="E113" i="86"/>
  <c r="E114" i="86"/>
  <c r="E115" i="86"/>
  <c r="E116" i="86"/>
  <c r="E117" i="86"/>
  <c r="E118" i="86"/>
  <c r="E119" i="86"/>
  <c r="E120" i="86"/>
  <c r="E121" i="86"/>
  <c r="E122" i="86"/>
  <c r="E123" i="86"/>
  <c r="E124" i="86"/>
  <c r="E125" i="86"/>
  <c r="E126" i="86"/>
  <c r="E127" i="86"/>
  <c r="E128" i="86"/>
  <c r="E129" i="86"/>
  <c r="E130" i="86"/>
  <c r="E131" i="86"/>
  <c r="E132" i="86"/>
  <c r="E133" i="86"/>
  <c r="E134" i="86"/>
  <c r="E135" i="86"/>
  <c r="E136" i="86"/>
  <c r="E137" i="86"/>
  <c r="E138" i="86"/>
  <c r="E5" i="86"/>
  <c r="E2" i="86" l="1"/>
  <c r="F6" i="86" l="1"/>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55" i="86"/>
  <c r="F56" i="86"/>
  <c r="F57" i="86"/>
  <c r="F58" i="86"/>
  <c r="F59" i="86"/>
  <c r="F60" i="86"/>
  <c r="F61" i="86"/>
  <c r="F62" i="86"/>
  <c r="F63" i="86"/>
  <c r="F64" i="86"/>
  <c r="F65" i="86"/>
  <c r="F66" i="86"/>
  <c r="F67" i="86"/>
  <c r="F68" i="86"/>
  <c r="F69" i="86"/>
  <c r="F70" i="86"/>
  <c r="F71" i="86"/>
  <c r="F72" i="86"/>
  <c r="F73" i="86"/>
  <c r="F74" i="86"/>
  <c r="F75" i="86"/>
  <c r="F76" i="86"/>
  <c r="F77" i="86"/>
  <c r="F78" i="86"/>
  <c r="F79" i="86"/>
  <c r="F80" i="86"/>
  <c r="F81" i="86"/>
  <c r="F82" i="86"/>
  <c r="F83" i="86"/>
  <c r="F84" i="86"/>
  <c r="F85" i="86"/>
  <c r="F86" i="86"/>
  <c r="F87" i="86"/>
  <c r="F88" i="86"/>
  <c r="F89" i="86"/>
  <c r="F90" i="86"/>
  <c r="F91" i="86"/>
  <c r="F92" i="86"/>
  <c r="F93" i="86"/>
  <c r="F94" i="86"/>
  <c r="F95" i="86"/>
  <c r="F96" i="86"/>
  <c r="F97" i="86"/>
  <c r="F98" i="86"/>
  <c r="F99" i="86"/>
  <c r="F100" i="86"/>
  <c r="F101" i="86"/>
  <c r="F102" i="86"/>
  <c r="F103" i="86"/>
  <c r="F104" i="86"/>
  <c r="F105" i="86"/>
  <c r="F106" i="86"/>
  <c r="F107" i="86"/>
  <c r="F108" i="86"/>
  <c r="F109" i="86"/>
  <c r="F110" i="86"/>
  <c r="F111" i="86"/>
  <c r="F112" i="86"/>
  <c r="F113" i="86"/>
  <c r="F114" i="86"/>
  <c r="F115" i="86"/>
  <c r="F116" i="86"/>
  <c r="F117" i="86"/>
  <c r="F118" i="86"/>
  <c r="F119" i="86"/>
  <c r="F120" i="86"/>
  <c r="F121" i="86"/>
  <c r="F122" i="86"/>
  <c r="F123" i="86"/>
  <c r="F124" i="86"/>
  <c r="F125" i="86"/>
  <c r="F126" i="86"/>
  <c r="F127" i="86"/>
  <c r="F128" i="86"/>
  <c r="F129" i="86"/>
  <c r="F130" i="86"/>
  <c r="F131" i="86"/>
  <c r="F132" i="86"/>
  <c r="F133" i="86"/>
  <c r="F134" i="86"/>
  <c r="F135" i="86"/>
  <c r="F136" i="86"/>
  <c r="F137" i="86"/>
  <c r="F138" i="86"/>
  <c r="F5" i="86"/>
  <c r="F2" i="86"/>
  <c r="E1" i="86" s="1"/>
  <c r="G6" i="86" l="1"/>
  <c r="G7" i="86"/>
  <c r="G8" i="86"/>
  <c r="G9" i="86"/>
  <c r="G10" i="86"/>
  <c r="G11" i="86"/>
  <c r="G12" i="86"/>
  <c r="G13" i="86"/>
  <c r="G14" i="86"/>
  <c r="G15" i="86"/>
  <c r="G16" i="86"/>
  <c r="G17" i="86"/>
  <c r="G18" i="86"/>
  <c r="G19" i="86"/>
  <c r="G20" i="86"/>
  <c r="G21" i="86"/>
  <c r="G22" i="86"/>
  <c r="G23" i="86"/>
  <c r="G24" i="86"/>
  <c r="G25" i="86"/>
  <c r="G26" i="86"/>
  <c r="G27" i="86"/>
  <c r="G28" i="86"/>
  <c r="G29" i="86"/>
  <c r="G30" i="86"/>
  <c r="G31" i="86"/>
  <c r="G32" i="86"/>
  <c r="G33" i="86"/>
  <c r="G34" i="86"/>
  <c r="G35" i="86"/>
  <c r="G36" i="86"/>
  <c r="G37" i="86"/>
  <c r="G38" i="86"/>
  <c r="G39" i="86"/>
  <c r="G40" i="86"/>
  <c r="G41" i="86"/>
  <c r="G42" i="86"/>
  <c r="G43" i="86"/>
  <c r="G44" i="86"/>
  <c r="G45" i="86"/>
  <c r="G46" i="86"/>
  <c r="G47" i="86"/>
  <c r="G48" i="86"/>
  <c r="G49" i="86"/>
  <c r="G50" i="86"/>
  <c r="G51" i="86"/>
  <c r="G52" i="86"/>
  <c r="G53" i="86"/>
  <c r="G54" i="86"/>
  <c r="G55" i="86"/>
  <c r="G56" i="86"/>
  <c r="G57" i="86"/>
  <c r="G58" i="86"/>
  <c r="G59" i="86"/>
  <c r="G60" i="86"/>
  <c r="G61" i="86"/>
  <c r="G62" i="86"/>
  <c r="G63" i="86"/>
  <c r="G64" i="86"/>
  <c r="G65" i="86"/>
  <c r="G66" i="86"/>
  <c r="G67" i="86"/>
  <c r="G68" i="86"/>
  <c r="G69" i="86"/>
  <c r="G70" i="86"/>
  <c r="G71" i="86"/>
  <c r="G72" i="86"/>
  <c r="G73" i="86"/>
  <c r="G74" i="86"/>
  <c r="G75" i="86"/>
  <c r="G76" i="86"/>
  <c r="G77" i="86"/>
  <c r="G78" i="86"/>
  <c r="G79" i="86"/>
  <c r="G80" i="86"/>
  <c r="G81" i="86"/>
  <c r="G82" i="86"/>
  <c r="G83" i="86"/>
  <c r="G84" i="86"/>
  <c r="G85" i="86"/>
  <c r="G86" i="86"/>
  <c r="G87" i="86"/>
  <c r="G88" i="86"/>
  <c r="G89" i="86"/>
  <c r="G90" i="86"/>
  <c r="G91" i="86"/>
  <c r="G92" i="86"/>
  <c r="G93" i="86"/>
  <c r="G94" i="86"/>
  <c r="G95" i="86"/>
  <c r="G96" i="86"/>
  <c r="G97" i="86"/>
  <c r="G98" i="86"/>
  <c r="G99" i="86"/>
  <c r="G100" i="86"/>
  <c r="G101" i="86"/>
  <c r="G102" i="86"/>
  <c r="G103" i="86"/>
  <c r="G104" i="86"/>
  <c r="G105" i="86"/>
  <c r="G106" i="86"/>
  <c r="G107" i="86"/>
  <c r="G108" i="86"/>
  <c r="G109" i="86"/>
  <c r="G110" i="86"/>
  <c r="G111" i="86"/>
  <c r="G112" i="86"/>
  <c r="G113" i="86"/>
  <c r="G114" i="86"/>
  <c r="G115" i="86"/>
  <c r="G116" i="86"/>
  <c r="G117" i="86"/>
  <c r="G118" i="86"/>
  <c r="G119" i="86"/>
  <c r="G120" i="86"/>
  <c r="G121" i="86"/>
  <c r="G122" i="86"/>
  <c r="G123" i="86"/>
  <c r="G124" i="86"/>
  <c r="G125" i="86"/>
  <c r="G126" i="86"/>
  <c r="G127" i="86"/>
  <c r="G128" i="86"/>
  <c r="G129" i="86"/>
  <c r="G130" i="86"/>
  <c r="G131" i="86"/>
  <c r="G132" i="86"/>
  <c r="G133" i="86"/>
  <c r="G134" i="86"/>
  <c r="G135" i="86"/>
  <c r="G136" i="86"/>
  <c r="G137" i="86"/>
  <c r="G138" i="86"/>
  <c r="G5" i="86"/>
  <c r="G2" i="86"/>
  <c r="F1" i="86" s="1"/>
  <c r="H10" i="86"/>
  <c r="H19" i="86"/>
  <c r="H23" i="86"/>
  <c r="H30" i="86"/>
  <c r="H38" i="86"/>
  <c r="H40" i="86"/>
  <c r="H50" i="86"/>
  <c r="H64" i="86"/>
  <c r="H66" i="86"/>
  <c r="H67" i="86"/>
  <c r="H75" i="86"/>
  <c r="H76" i="86"/>
  <c r="H99" i="86"/>
  <c r="H129" i="86"/>
  <c r="H131" i="86"/>
  <c r="P20" i="753"/>
  <c r="O20" i="753"/>
  <c r="H2" i="86" l="1"/>
  <c r="G1" i="86" s="1"/>
  <c r="I6" i="86" l="1"/>
  <c r="I7" i="86"/>
  <c r="I8" i="86"/>
  <c r="I9" i="86"/>
  <c r="I10" i="86"/>
  <c r="I11" i="86"/>
  <c r="I12" i="86"/>
  <c r="I13" i="86"/>
  <c r="I14" i="86"/>
  <c r="I15" i="86"/>
  <c r="I16" i="86"/>
  <c r="I17" i="86"/>
  <c r="I18" i="86"/>
  <c r="I19" i="86"/>
  <c r="I20" i="86"/>
  <c r="I21" i="86"/>
  <c r="I22" i="86"/>
  <c r="I23" i="86"/>
  <c r="I24" i="86"/>
  <c r="I25" i="86"/>
  <c r="I26" i="86"/>
  <c r="I27" i="86"/>
  <c r="I28" i="86"/>
  <c r="I29" i="86"/>
  <c r="I30" i="86"/>
  <c r="I31" i="86"/>
  <c r="I32" i="86"/>
  <c r="I33" i="86"/>
  <c r="I34" i="86"/>
  <c r="I35" i="86"/>
  <c r="I36" i="86"/>
  <c r="I37" i="86"/>
  <c r="I38" i="86"/>
  <c r="I39" i="86"/>
  <c r="I40" i="86"/>
  <c r="I41" i="86"/>
  <c r="I42" i="86"/>
  <c r="I43" i="86"/>
  <c r="I44" i="86"/>
  <c r="I45" i="86"/>
  <c r="I46" i="86"/>
  <c r="I47" i="86"/>
  <c r="I48" i="86"/>
  <c r="I49" i="86"/>
  <c r="I50" i="86"/>
  <c r="I51" i="86"/>
  <c r="I52" i="86"/>
  <c r="I53" i="86"/>
  <c r="I54" i="86"/>
  <c r="I55" i="86"/>
  <c r="I56" i="86"/>
  <c r="I57" i="86"/>
  <c r="I58" i="86"/>
  <c r="I59" i="86"/>
  <c r="I60" i="86"/>
  <c r="I61" i="86"/>
  <c r="I62" i="86"/>
  <c r="I63" i="86"/>
  <c r="I64" i="86"/>
  <c r="I65" i="86"/>
  <c r="I66" i="86"/>
  <c r="I67" i="86"/>
  <c r="I68" i="86"/>
  <c r="I69" i="86"/>
  <c r="I70" i="86"/>
  <c r="I71" i="86"/>
  <c r="I72" i="86"/>
  <c r="I73" i="86"/>
  <c r="I74" i="86"/>
  <c r="I75" i="86"/>
  <c r="I76" i="86"/>
  <c r="I77" i="86"/>
  <c r="I78" i="86"/>
  <c r="I79" i="86"/>
  <c r="I80" i="86"/>
  <c r="I81" i="86"/>
  <c r="I82" i="86"/>
  <c r="I83" i="86"/>
  <c r="I84" i="86"/>
  <c r="I85" i="86"/>
  <c r="I86" i="86"/>
  <c r="I87" i="86"/>
  <c r="I88" i="86"/>
  <c r="I89" i="86"/>
  <c r="I90" i="86"/>
  <c r="I91" i="86"/>
  <c r="I92" i="86"/>
  <c r="I93" i="86"/>
  <c r="I94" i="86"/>
  <c r="I95" i="86"/>
  <c r="I96" i="86"/>
  <c r="I97" i="86"/>
  <c r="I98" i="86"/>
  <c r="I99" i="86"/>
  <c r="I100" i="86"/>
  <c r="I101" i="86"/>
  <c r="I102" i="86"/>
  <c r="I103" i="86"/>
  <c r="I104" i="86"/>
  <c r="I105" i="86"/>
  <c r="I106" i="86"/>
  <c r="I107" i="86"/>
  <c r="I108" i="86"/>
  <c r="I109" i="86"/>
  <c r="I110" i="86"/>
  <c r="I111" i="86"/>
  <c r="I112" i="86"/>
  <c r="I113" i="86"/>
  <c r="I114" i="86"/>
  <c r="I115" i="86"/>
  <c r="I116" i="86"/>
  <c r="I117" i="86"/>
  <c r="I118" i="86"/>
  <c r="I119" i="86"/>
  <c r="I120" i="86"/>
  <c r="I121" i="86"/>
  <c r="I122" i="86"/>
  <c r="I123" i="86"/>
  <c r="I124" i="86"/>
  <c r="I125" i="86"/>
  <c r="I126" i="86"/>
  <c r="I127" i="86"/>
  <c r="I128" i="86"/>
  <c r="I129" i="86"/>
  <c r="I130" i="86"/>
  <c r="I131" i="86"/>
  <c r="I132" i="86"/>
  <c r="I133" i="86"/>
  <c r="I134" i="86"/>
  <c r="I135" i="86"/>
  <c r="I136" i="86"/>
  <c r="I137" i="86"/>
  <c r="I138" i="86"/>
  <c r="I5" i="86"/>
  <c r="O243" i="752" l="1"/>
  <c r="N243" i="752"/>
  <c r="M243" i="752"/>
  <c r="L243" i="752"/>
  <c r="K243" i="752"/>
  <c r="J243" i="752"/>
  <c r="I243" i="752"/>
  <c r="H243" i="752"/>
  <c r="G243" i="752"/>
  <c r="F243" i="752"/>
  <c r="O242" i="752"/>
  <c r="N242" i="752"/>
  <c r="M242" i="752"/>
  <c r="L242" i="752"/>
  <c r="K242" i="752"/>
  <c r="J242" i="752"/>
  <c r="I242" i="752"/>
  <c r="H242" i="752"/>
  <c r="G242" i="752"/>
  <c r="F242" i="752"/>
  <c r="O241" i="752"/>
  <c r="N241" i="752"/>
  <c r="M241" i="752"/>
  <c r="L241" i="752"/>
  <c r="K241" i="752"/>
  <c r="J241" i="752"/>
  <c r="I241" i="752"/>
  <c r="H241" i="752"/>
  <c r="G241" i="752"/>
  <c r="F241" i="752"/>
  <c r="O240" i="752"/>
  <c r="N240" i="752"/>
  <c r="M240" i="752"/>
  <c r="L240" i="752"/>
  <c r="K240" i="752"/>
  <c r="J240" i="752"/>
  <c r="I240" i="752"/>
  <c r="H240" i="752"/>
  <c r="G240" i="752"/>
  <c r="F240" i="752"/>
  <c r="O239" i="752"/>
  <c r="N239" i="752"/>
  <c r="M239" i="752"/>
  <c r="L239" i="752"/>
  <c r="K239" i="752"/>
  <c r="J239" i="752"/>
  <c r="I239" i="752"/>
  <c r="H239" i="752"/>
  <c r="G239" i="752"/>
  <c r="F239" i="752"/>
  <c r="O238" i="752"/>
  <c r="N238" i="752"/>
  <c r="M238" i="752"/>
  <c r="L238" i="752"/>
  <c r="K238" i="752"/>
  <c r="J238" i="752"/>
  <c r="I238" i="752"/>
  <c r="H238" i="752"/>
  <c r="G238" i="752"/>
  <c r="F238" i="752"/>
  <c r="O237" i="752"/>
  <c r="N237" i="752"/>
  <c r="M237" i="752"/>
  <c r="L237" i="752"/>
  <c r="K237" i="752"/>
  <c r="J237" i="752"/>
  <c r="I237" i="752"/>
  <c r="H237" i="752"/>
  <c r="G237" i="752"/>
  <c r="F237" i="752"/>
  <c r="O236" i="752"/>
  <c r="N236" i="752"/>
  <c r="M236" i="752"/>
  <c r="L236" i="752"/>
  <c r="K236" i="752"/>
  <c r="J236" i="752"/>
  <c r="I236" i="752"/>
  <c r="H236" i="752"/>
  <c r="G236" i="752"/>
  <c r="F236" i="752"/>
  <c r="O235" i="752"/>
  <c r="N235" i="752"/>
  <c r="M235" i="752"/>
  <c r="L235" i="752"/>
  <c r="K235" i="752"/>
  <c r="J235" i="752"/>
  <c r="I235" i="752"/>
  <c r="H235" i="752"/>
  <c r="G235" i="752"/>
  <c r="F235" i="752"/>
  <c r="O234" i="752"/>
  <c r="N234" i="752"/>
  <c r="M234" i="752"/>
  <c r="L234" i="752"/>
  <c r="K234" i="752"/>
  <c r="J234" i="752"/>
  <c r="I234" i="752"/>
  <c r="H234" i="752"/>
  <c r="G234" i="752"/>
  <c r="F234" i="752"/>
  <c r="O233" i="752"/>
  <c r="N233" i="752"/>
  <c r="M233" i="752"/>
  <c r="L233" i="752"/>
  <c r="K233" i="752"/>
  <c r="J233" i="752"/>
  <c r="I233" i="752"/>
  <c r="H233" i="752"/>
  <c r="G233" i="752"/>
  <c r="F233" i="752"/>
  <c r="O232" i="752"/>
  <c r="N232" i="752"/>
  <c r="M232" i="752"/>
  <c r="L232" i="752"/>
  <c r="K232" i="752"/>
  <c r="J232" i="752"/>
  <c r="I232" i="752"/>
  <c r="H232" i="752"/>
  <c r="G232" i="752"/>
  <c r="F232" i="752"/>
  <c r="O231" i="752"/>
  <c r="N231" i="752"/>
  <c r="M231" i="752"/>
  <c r="L231" i="752"/>
  <c r="K231" i="752"/>
  <c r="J231" i="752"/>
  <c r="I231" i="752"/>
  <c r="H231" i="752"/>
  <c r="G231" i="752"/>
  <c r="F231" i="752"/>
  <c r="O230" i="752"/>
  <c r="N230" i="752"/>
  <c r="M230" i="752"/>
  <c r="L230" i="752"/>
  <c r="K230" i="752"/>
  <c r="J230" i="752"/>
  <c r="I230" i="752"/>
  <c r="H230" i="752"/>
  <c r="G230" i="752"/>
  <c r="F230" i="752"/>
  <c r="O229" i="752"/>
  <c r="N229" i="752"/>
  <c r="M229" i="752"/>
  <c r="L229" i="752"/>
  <c r="K229" i="752"/>
  <c r="J229" i="752"/>
  <c r="I229" i="752"/>
  <c r="H229" i="752"/>
  <c r="G229" i="752"/>
  <c r="F229" i="752"/>
  <c r="O228" i="752"/>
  <c r="N228" i="752"/>
  <c r="M228" i="752"/>
  <c r="L228" i="752"/>
  <c r="K228" i="752"/>
  <c r="J228" i="752"/>
  <c r="I228" i="752"/>
  <c r="H228" i="752"/>
  <c r="G228" i="752"/>
  <c r="F228" i="752"/>
  <c r="O227" i="752"/>
  <c r="N227" i="752"/>
  <c r="M227" i="752"/>
  <c r="L227" i="752"/>
  <c r="K227" i="752"/>
  <c r="J227" i="752"/>
  <c r="I227" i="752"/>
  <c r="H227" i="752"/>
  <c r="G227" i="752"/>
  <c r="F227" i="752"/>
  <c r="O226" i="752"/>
  <c r="N226" i="752"/>
  <c r="M226" i="752"/>
  <c r="L226" i="752"/>
  <c r="K226" i="752"/>
  <c r="J226" i="752"/>
  <c r="I226" i="752"/>
  <c r="H226" i="752"/>
  <c r="G226" i="752"/>
  <c r="F226" i="752"/>
  <c r="O225" i="752"/>
  <c r="N225" i="752"/>
  <c r="M225" i="752"/>
  <c r="L225" i="752"/>
  <c r="K225" i="752"/>
  <c r="J225" i="752"/>
  <c r="I225" i="752"/>
  <c r="H225" i="752"/>
  <c r="G225" i="752"/>
  <c r="F225" i="752"/>
  <c r="O224" i="752"/>
  <c r="N224" i="752"/>
  <c r="M224" i="752"/>
  <c r="L224" i="752"/>
  <c r="K224" i="752"/>
  <c r="J224" i="752"/>
  <c r="I224" i="752"/>
  <c r="H224" i="752"/>
  <c r="G224" i="752"/>
  <c r="F224" i="752"/>
  <c r="O223" i="752"/>
  <c r="N223" i="752"/>
  <c r="M223" i="752"/>
  <c r="L223" i="752"/>
  <c r="K223" i="752"/>
  <c r="J223" i="752"/>
  <c r="I223" i="752"/>
  <c r="H223" i="752"/>
  <c r="G223" i="752"/>
  <c r="F223" i="752"/>
  <c r="O222" i="752"/>
  <c r="N222" i="752"/>
  <c r="M222" i="752"/>
  <c r="L222" i="752"/>
  <c r="K222" i="752"/>
  <c r="J222" i="752"/>
  <c r="I222" i="752"/>
  <c r="H222" i="752"/>
  <c r="G222" i="752"/>
  <c r="F222" i="752"/>
  <c r="O221" i="752"/>
  <c r="N221" i="752"/>
  <c r="M221" i="752"/>
  <c r="L221" i="752"/>
  <c r="K221" i="752"/>
  <c r="J221" i="752"/>
  <c r="I221" i="752"/>
  <c r="H221" i="752"/>
  <c r="G221" i="752"/>
  <c r="F221" i="752"/>
  <c r="O220" i="752"/>
  <c r="N220" i="752"/>
  <c r="M220" i="752"/>
  <c r="L220" i="752"/>
  <c r="K220" i="752"/>
  <c r="J220" i="752"/>
  <c r="I220" i="752"/>
  <c r="H220" i="752"/>
  <c r="G220" i="752"/>
  <c r="F220" i="752"/>
  <c r="O219" i="752"/>
  <c r="N219" i="752"/>
  <c r="M219" i="752"/>
  <c r="L219" i="752"/>
  <c r="K219" i="752"/>
  <c r="J219" i="752"/>
  <c r="I219" i="752"/>
  <c r="H219" i="752"/>
  <c r="G219" i="752"/>
  <c r="F219" i="752"/>
  <c r="O218" i="752"/>
  <c r="N218" i="752"/>
  <c r="M218" i="752"/>
  <c r="L218" i="752"/>
  <c r="K218" i="752"/>
  <c r="J218" i="752"/>
  <c r="I218" i="752"/>
  <c r="H218" i="752"/>
  <c r="G218" i="752"/>
  <c r="F218" i="752"/>
  <c r="O217" i="752"/>
  <c r="N217" i="752"/>
  <c r="M217" i="752"/>
  <c r="L217" i="752"/>
  <c r="K217" i="752"/>
  <c r="J217" i="752"/>
  <c r="I217" i="752"/>
  <c r="H217" i="752"/>
  <c r="G217" i="752"/>
  <c r="F217" i="752"/>
  <c r="O216" i="752"/>
  <c r="N216" i="752"/>
  <c r="M216" i="752"/>
  <c r="L216" i="752"/>
  <c r="K216" i="752"/>
  <c r="J216" i="752"/>
  <c r="I216" i="752"/>
  <c r="H216" i="752"/>
  <c r="G216" i="752"/>
  <c r="F216" i="752"/>
  <c r="O215" i="752"/>
  <c r="N215" i="752"/>
  <c r="M215" i="752"/>
  <c r="L215" i="752"/>
  <c r="K215" i="752"/>
  <c r="J215" i="752"/>
  <c r="I215" i="752"/>
  <c r="H215" i="752"/>
  <c r="G215" i="752"/>
  <c r="F215" i="752"/>
  <c r="O214" i="752"/>
  <c r="N214" i="752"/>
  <c r="M214" i="752"/>
  <c r="L214" i="752"/>
  <c r="K214" i="752"/>
  <c r="J214" i="752"/>
  <c r="I214" i="752"/>
  <c r="H214" i="752"/>
  <c r="G214" i="752"/>
  <c r="F214" i="752"/>
  <c r="O213" i="752"/>
  <c r="N213" i="752"/>
  <c r="M213" i="752"/>
  <c r="L213" i="752"/>
  <c r="K213" i="752"/>
  <c r="J213" i="752"/>
  <c r="I213" i="752"/>
  <c r="H213" i="752"/>
  <c r="G213" i="752"/>
  <c r="F213" i="752"/>
  <c r="O212" i="752"/>
  <c r="N212" i="752"/>
  <c r="M212" i="752"/>
  <c r="L212" i="752"/>
  <c r="K212" i="752"/>
  <c r="J212" i="752"/>
  <c r="I212" i="752"/>
  <c r="H212" i="752"/>
  <c r="G212" i="752"/>
  <c r="F212" i="752"/>
  <c r="O211" i="752"/>
  <c r="N211" i="752"/>
  <c r="M211" i="752"/>
  <c r="L211" i="752"/>
  <c r="K211" i="752"/>
  <c r="J211" i="752"/>
  <c r="I211" i="752"/>
  <c r="H211" i="752"/>
  <c r="G211" i="752"/>
  <c r="F211" i="752"/>
  <c r="O210" i="752"/>
  <c r="N210" i="752"/>
  <c r="M210" i="752"/>
  <c r="L210" i="752"/>
  <c r="K210" i="752"/>
  <c r="J210" i="752"/>
  <c r="I210" i="752"/>
  <c r="H210" i="752"/>
  <c r="G210" i="752"/>
  <c r="F210" i="752"/>
  <c r="O209" i="752"/>
  <c r="N209" i="752"/>
  <c r="M209" i="752"/>
  <c r="L209" i="752"/>
  <c r="K209" i="752"/>
  <c r="J209" i="752"/>
  <c r="I209" i="752"/>
  <c r="H209" i="752"/>
  <c r="G209" i="752"/>
  <c r="F209" i="752"/>
  <c r="O208" i="752"/>
  <c r="N208" i="752"/>
  <c r="M208" i="752"/>
  <c r="L208" i="752"/>
  <c r="K208" i="752"/>
  <c r="J208" i="752"/>
  <c r="I208" i="752"/>
  <c r="H208" i="752"/>
  <c r="G208" i="752"/>
  <c r="F208" i="752"/>
  <c r="O207" i="752"/>
  <c r="N207" i="752"/>
  <c r="M207" i="752"/>
  <c r="L207" i="752"/>
  <c r="K207" i="752"/>
  <c r="J207" i="752"/>
  <c r="I207" i="752"/>
  <c r="H207" i="752"/>
  <c r="G207" i="752"/>
  <c r="F207" i="752"/>
  <c r="O206" i="752"/>
  <c r="N206" i="752"/>
  <c r="M206" i="752"/>
  <c r="L206" i="752"/>
  <c r="K206" i="752"/>
  <c r="J206" i="752"/>
  <c r="I206" i="752"/>
  <c r="H206" i="752"/>
  <c r="G206" i="752"/>
  <c r="F206" i="752"/>
  <c r="O205" i="752"/>
  <c r="N205" i="752"/>
  <c r="M205" i="752"/>
  <c r="L205" i="752"/>
  <c r="K205" i="752"/>
  <c r="J205" i="752"/>
  <c r="I205" i="752"/>
  <c r="H205" i="752"/>
  <c r="G205" i="752"/>
  <c r="F205" i="752"/>
  <c r="O204" i="752"/>
  <c r="N204" i="752"/>
  <c r="M204" i="752"/>
  <c r="L204" i="752"/>
  <c r="K204" i="752"/>
  <c r="J204" i="752"/>
  <c r="I204" i="752"/>
  <c r="H204" i="752"/>
  <c r="G204" i="752"/>
  <c r="F204" i="752"/>
  <c r="O203" i="752"/>
  <c r="N203" i="752"/>
  <c r="M203" i="752"/>
  <c r="L203" i="752"/>
  <c r="K203" i="752"/>
  <c r="J203" i="752"/>
  <c r="I203" i="752"/>
  <c r="H203" i="752"/>
  <c r="G203" i="752"/>
  <c r="F203" i="752"/>
  <c r="O202" i="752"/>
  <c r="N202" i="752"/>
  <c r="M202" i="752"/>
  <c r="L202" i="752"/>
  <c r="K202" i="752"/>
  <c r="J202" i="752"/>
  <c r="I202" i="752"/>
  <c r="H202" i="752"/>
  <c r="G202" i="752"/>
  <c r="F202" i="752"/>
  <c r="O201" i="752"/>
  <c r="N201" i="752"/>
  <c r="M201" i="752"/>
  <c r="L201" i="752"/>
  <c r="K201" i="752"/>
  <c r="J201" i="752"/>
  <c r="I201" i="752"/>
  <c r="H201" i="752"/>
  <c r="G201" i="752"/>
  <c r="F201" i="752"/>
  <c r="O200" i="752"/>
  <c r="N200" i="752"/>
  <c r="M200" i="752"/>
  <c r="L200" i="752"/>
  <c r="K200" i="752"/>
  <c r="J200" i="752"/>
  <c r="I200" i="752"/>
  <c r="H200" i="752"/>
  <c r="G200" i="752"/>
  <c r="F200" i="752"/>
  <c r="O199" i="752"/>
  <c r="N199" i="752"/>
  <c r="M199" i="752"/>
  <c r="L199" i="752"/>
  <c r="K199" i="752"/>
  <c r="J199" i="752"/>
  <c r="I199" i="752"/>
  <c r="H199" i="752"/>
  <c r="G199" i="752"/>
  <c r="F199" i="752"/>
  <c r="O198" i="752"/>
  <c r="N198" i="752"/>
  <c r="M198" i="752"/>
  <c r="L198" i="752"/>
  <c r="K198" i="752"/>
  <c r="J198" i="752"/>
  <c r="I198" i="752"/>
  <c r="H198" i="752"/>
  <c r="G198" i="752"/>
  <c r="F198" i="752"/>
  <c r="O197" i="752"/>
  <c r="N197" i="752"/>
  <c r="M197" i="752"/>
  <c r="L197" i="752"/>
  <c r="K197" i="752"/>
  <c r="J197" i="752"/>
  <c r="I197" i="752"/>
  <c r="H197" i="752"/>
  <c r="G197" i="752"/>
  <c r="F197" i="752"/>
  <c r="O196" i="752"/>
  <c r="N196" i="752"/>
  <c r="M196" i="752"/>
  <c r="L196" i="752"/>
  <c r="K196" i="752"/>
  <c r="J196" i="752"/>
  <c r="I196" i="752"/>
  <c r="H196" i="752"/>
  <c r="G196" i="752"/>
  <c r="F196" i="752"/>
  <c r="O195" i="752"/>
  <c r="N195" i="752"/>
  <c r="M195" i="752"/>
  <c r="L195" i="752"/>
  <c r="K195" i="752"/>
  <c r="J195" i="752"/>
  <c r="I195" i="752"/>
  <c r="H195" i="752"/>
  <c r="G195" i="752"/>
  <c r="F195" i="752"/>
  <c r="O194" i="752"/>
  <c r="N194" i="752"/>
  <c r="M194" i="752"/>
  <c r="L194" i="752"/>
  <c r="K194" i="752"/>
  <c r="J194" i="752"/>
  <c r="I194" i="752"/>
  <c r="H194" i="752"/>
  <c r="G194" i="752"/>
  <c r="F194" i="752"/>
  <c r="O193" i="752"/>
  <c r="N193" i="752"/>
  <c r="M193" i="752"/>
  <c r="L193" i="752"/>
  <c r="K193" i="752"/>
  <c r="J193" i="752"/>
  <c r="I193" i="752"/>
  <c r="H193" i="752"/>
  <c r="G193" i="752"/>
  <c r="F193" i="752"/>
  <c r="O192" i="752"/>
  <c r="N192" i="752"/>
  <c r="M192" i="752"/>
  <c r="L192" i="752"/>
  <c r="K192" i="752"/>
  <c r="J192" i="752"/>
  <c r="I192" i="752"/>
  <c r="H192" i="752"/>
  <c r="G192" i="752"/>
  <c r="F192" i="752"/>
  <c r="O191" i="752"/>
  <c r="N191" i="752"/>
  <c r="M191" i="752"/>
  <c r="L191" i="752"/>
  <c r="K191" i="752"/>
  <c r="J191" i="752"/>
  <c r="I191" i="752"/>
  <c r="H191" i="752"/>
  <c r="G191" i="752"/>
  <c r="F191" i="752"/>
  <c r="O190" i="752"/>
  <c r="N190" i="752"/>
  <c r="M190" i="752"/>
  <c r="L190" i="752"/>
  <c r="K190" i="752"/>
  <c r="J190" i="752"/>
  <c r="I190" i="752"/>
  <c r="H190" i="752"/>
  <c r="G190" i="752"/>
  <c r="F190" i="752"/>
  <c r="O189" i="752"/>
  <c r="N189" i="752"/>
  <c r="M189" i="752"/>
  <c r="L189" i="752"/>
  <c r="K189" i="752"/>
  <c r="J189" i="752"/>
  <c r="I189" i="752"/>
  <c r="H189" i="752"/>
  <c r="G189" i="752"/>
  <c r="F189" i="752"/>
  <c r="O188" i="752"/>
  <c r="N188" i="752"/>
  <c r="M188" i="752"/>
  <c r="L188" i="752"/>
  <c r="K188" i="752"/>
  <c r="J188" i="752"/>
  <c r="I188" i="752"/>
  <c r="H188" i="752"/>
  <c r="G188" i="752"/>
  <c r="F188" i="752"/>
  <c r="O187" i="752"/>
  <c r="N187" i="752"/>
  <c r="M187" i="752"/>
  <c r="L187" i="752"/>
  <c r="K187" i="752"/>
  <c r="J187" i="752"/>
  <c r="I187" i="752"/>
  <c r="H187" i="752"/>
  <c r="G187" i="752"/>
  <c r="F187" i="752"/>
  <c r="O186" i="752"/>
  <c r="N186" i="752"/>
  <c r="M186" i="752"/>
  <c r="L186" i="752"/>
  <c r="K186" i="752"/>
  <c r="J186" i="752"/>
  <c r="I186" i="752"/>
  <c r="H186" i="752"/>
  <c r="G186" i="752"/>
  <c r="F186" i="752"/>
  <c r="O185" i="752"/>
  <c r="N185" i="752"/>
  <c r="M185" i="752"/>
  <c r="L185" i="752"/>
  <c r="K185" i="752"/>
  <c r="J185" i="752"/>
  <c r="I185" i="752"/>
  <c r="H185" i="752"/>
  <c r="G185" i="752"/>
  <c r="F185" i="752"/>
  <c r="O184" i="752"/>
  <c r="N184" i="752"/>
  <c r="M184" i="752"/>
  <c r="L184" i="752"/>
  <c r="K184" i="752"/>
  <c r="J184" i="752"/>
  <c r="I184" i="752"/>
  <c r="H184" i="752"/>
  <c r="G184" i="752"/>
  <c r="F184" i="752"/>
  <c r="O183" i="752"/>
  <c r="N183" i="752"/>
  <c r="M183" i="752"/>
  <c r="L183" i="752"/>
  <c r="K183" i="752"/>
  <c r="J183" i="752"/>
  <c r="I183" i="752"/>
  <c r="H183" i="752"/>
  <c r="G183" i="752"/>
  <c r="F183" i="752"/>
  <c r="O182" i="752"/>
  <c r="N182" i="752"/>
  <c r="M182" i="752"/>
  <c r="L182" i="752"/>
  <c r="K182" i="752"/>
  <c r="J182" i="752"/>
  <c r="I182" i="752"/>
  <c r="H182" i="752"/>
  <c r="G182" i="752"/>
  <c r="F182" i="752"/>
  <c r="O181" i="752"/>
  <c r="N181" i="752"/>
  <c r="M181" i="752"/>
  <c r="L181" i="752"/>
  <c r="K181" i="752"/>
  <c r="J181" i="752"/>
  <c r="I181" i="752"/>
  <c r="H181" i="752"/>
  <c r="G181" i="752"/>
  <c r="F181" i="752"/>
  <c r="O180" i="752"/>
  <c r="N180" i="752"/>
  <c r="M180" i="752"/>
  <c r="L180" i="752"/>
  <c r="K180" i="752"/>
  <c r="J180" i="752"/>
  <c r="I180" i="752"/>
  <c r="H180" i="752"/>
  <c r="G180" i="752"/>
  <c r="F180" i="752"/>
  <c r="O179" i="752"/>
  <c r="N179" i="752"/>
  <c r="M179" i="752"/>
  <c r="L179" i="752"/>
  <c r="K179" i="752"/>
  <c r="J179" i="752"/>
  <c r="I179" i="752"/>
  <c r="H179" i="752"/>
  <c r="G179" i="752"/>
  <c r="F179" i="752"/>
  <c r="O178" i="752"/>
  <c r="N178" i="752"/>
  <c r="M178" i="752"/>
  <c r="L178" i="752"/>
  <c r="K178" i="752"/>
  <c r="J178" i="752"/>
  <c r="I178" i="752"/>
  <c r="H178" i="752"/>
  <c r="G178" i="752"/>
  <c r="F178" i="752"/>
  <c r="O177" i="752"/>
  <c r="N177" i="752"/>
  <c r="M177" i="752"/>
  <c r="L177" i="752"/>
  <c r="K177" i="752"/>
  <c r="J177" i="752"/>
  <c r="I177" i="752"/>
  <c r="H177" i="752"/>
  <c r="G177" i="752"/>
  <c r="F177" i="752"/>
  <c r="O176" i="752"/>
  <c r="N176" i="752"/>
  <c r="M176" i="752"/>
  <c r="L176" i="752"/>
  <c r="K176" i="752"/>
  <c r="J176" i="752"/>
  <c r="I176" i="752"/>
  <c r="H176" i="752"/>
  <c r="G176" i="752"/>
  <c r="F176" i="752"/>
  <c r="O175" i="752"/>
  <c r="N175" i="752"/>
  <c r="M175" i="752"/>
  <c r="L175" i="752"/>
  <c r="K175" i="752"/>
  <c r="J175" i="752"/>
  <c r="I175" i="752"/>
  <c r="H175" i="752"/>
  <c r="G175" i="752"/>
  <c r="F175" i="752"/>
  <c r="O174" i="752"/>
  <c r="N174" i="752"/>
  <c r="M174" i="752"/>
  <c r="L174" i="752"/>
  <c r="K174" i="752"/>
  <c r="J174" i="752"/>
  <c r="I174" i="752"/>
  <c r="H174" i="752"/>
  <c r="G174" i="752"/>
  <c r="F174" i="752"/>
  <c r="O173" i="752"/>
  <c r="N173" i="752"/>
  <c r="M173" i="752"/>
  <c r="L173" i="752"/>
  <c r="K173" i="752"/>
  <c r="J173" i="752"/>
  <c r="I173" i="752"/>
  <c r="H173" i="752"/>
  <c r="G173" i="752"/>
  <c r="F173" i="752"/>
  <c r="O172" i="752"/>
  <c r="N172" i="752"/>
  <c r="M172" i="752"/>
  <c r="L172" i="752"/>
  <c r="K172" i="752"/>
  <c r="J172" i="752"/>
  <c r="I172" i="752"/>
  <c r="H172" i="752"/>
  <c r="G172" i="752"/>
  <c r="F172" i="752"/>
  <c r="O171" i="752"/>
  <c r="N171" i="752"/>
  <c r="M171" i="752"/>
  <c r="L171" i="752"/>
  <c r="K171" i="752"/>
  <c r="J171" i="752"/>
  <c r="I171" i="752"/>
  <c r="H171" i="752"/>
  <c r="G171" i="752"/>
  <c r="F171" i="752"/>
  <c r="O170" i="752"/>
  <c r="N170" i="752"/>
  <c r="M170" i="752"/>
  <c r="L170" i="752"/>
  <c r="K170" i="752"/>
  <c r="J170" i="752"/>
  <c r="I170" i="752"/>
  <c r="H170" i="752"/>
  <c r="G170" i="752"/>
  <c r="F170" i="752"/>
  <c r="O169" i="752"/>
  <c r="N169" i="752"/>
  <c r="M169" i="752"/>
  <c r="L169" i="752"/>
  <c r="K169" i="752"/>
  <c r="J169" i="752"/>
  <c r="I169" i="752"/>
  <c r="H169" i="752"/>
  <c r="G169" i="752"/>
  <c r="F169" i="752"/>
  <c r="O168" i="752"/>
  <c r="N168" i="752"/>
  <c r="M168" i="752"/>
  <c r="L168" i="752"/>
  <c r="K168" i="752"/>
  <c r="J168" i="752"/>
  <c r="I168" i="752"/>
  <c r="H168" i="752"/>
  <c r="G168" i="752"/>
  <c r="F168" i="752"/>
  <c r="O167" i="752"/>
  <c r="N167" i="752"/>
  <c r="M167" i="752"/>
  <c r="L167" i="752"/>
  <c r="K167" i="752"/>
  <c r="J167" i="752"/>
  <c r="I167" i="752"/>
  <c r="H167" i="752"/>
  <c r="G167" i="752"/>
  <c r="F167" i="752"/>
  <c r="O166" i="752"/>
  <c r="N166" i="752"/>
  <c r="M166" i="752"/>
  <c r="L166" i="752"/>
  <c r="K166" i="752"/>
  <c r="J166" i="752"/>
  <c r="I166" i="752"/>
  <c r="H166" i="752"/>
  <c r="G166" i="752"/>
  <c r="F166" i="752"/>
  <c r="O165" i="752"/>
  <c r="N165" i="752"/>
  <c r="M165" i="752"/>
  <c r="L165" i="752"/>
  <c r="K165" i="752"/>
  <c r="J165" i="752"/>
  <c r="I165" i="752"/>
  <c r="H165" i="752"/>
  <c r="G165" i="752"/>
  <c r="F165" i="752"/>
  <c r="O164" i="752"/>
  <c r="N164" i="752"/>
  <c r="M164" i="752"/>
  <c r="L164" i="752"/>
  <c r="K164" i="752"/>
  <c r="J164" i="752"/>
  <c r="I164" i="752"/>
  <c r="H164" i="752"/>
  <c r="G164" i="752"/>
  <c r="F164" i="752"/>
  <c r="O163" i="752"/>
  <c r="N163" i="752"/>
  <c r="M163" i="752"/>
  <c r="L163" i="752"/>
  <c r="K163" i="752"/>
  <c r="J163" i="752"/>
  <c r="I163" i="752"/>
  <c r="H163" i="752"/>
  <c r="G163" i="752"/>
  <c r="F163" i="752"/>
  <c r="O162" i="752"/>
  <c r="N162" i="752"/>
  <c r="M162" i="752"/>
  <c r="L162" i="752"/>
  <c r="K162" i="752"/>
  <c r="J162" i="752"/>
  <c r="I162" i="752"/>
  <c r="H162" i="752"/>
  <c r="G162" i="752"/>
  <c r="F162" i="752"/>
  <c r="O161" i="752"/>
  <c r="N161" i="752"/>
  <c r="M161" i="752"/>
  <c r="L161" i="752"/>
  <c r="K161" i="752"/>
  <c r="J161" i="752"/>
  <c r="I161" i="752"/>
  <c r="H161" i="752"/>
  <c r="G161" i="752"/>
  <c r="F161" i="752"/>
  <c r="O160" i="752"/>
  <c r="N160" i="752"/>
  <c r="M160" i="752"/>
  <c r="L160" i="752"/>
  <c r="K160" i="752"/>
  <c r="J160" i="752"/>
  <c r="I160" i="752"/>
  <c r="H160" i="752"/>
  <c r="G160" i="752"/>
  <c r="F160" i="752"/>
  <c r="O159" i="752"/>
  <c r="N159" i="752"/>
  <c r="M159" i="752"/>
  <c r="L159" i="752"/>
  <c r="K159" i="752"/>
  <c r="J159" i="752"/>
  <c r="I159" i="752"/>
  <c r="H159" i="752"/>
  <c r="G159" i="752"/>
  <c r="F159" i="752"/>
  <c r="O158" i="752"/>
  <c r="N158" i="752"/>
  <c r="M158" i="752"/>
  <c r="L158" i="752"/>
  <c r="K158" i="752"/>
  <c r="J158" i="752"/>
  <c r="I158" i="752"/>
  <c r="H158" i="752"/>
  <c r="G158" i="752"/>
  <c r="F158" i="752"/>
  <c r="O157" i="752"/>
  <c r="N157" i="752"/>
  <c r="M157" i="752"/>
  <c r="L157" i="752"/>
  <c r="K157" i="752"/>
  <c r="J157" i="752"/>
  <c r="I157" i="752"/>
  <c r="H157" i="752"/>
  <c r="G157" i="752"/>
  <c r="F157" i="752"/>
  <c r="O156" i="752"/>
  <c r="N156" i="752"/>
  <c r="M156" i="752"/>
  <c r="L156" i="752"/>
  <c r="K156" i="752"/>
  <c r="J156" i="752"/>
  <c r="I156" i="752"/>
  <c r="H156" i="752"/>
  <c r="G156" i="752"/>
  <c r="F156" i="752"/>
  <c r="O155" i="752"/>
  <c r="N155" i="752"/>
  <c r="M155" i="752"/>
  <c r="L155" i="752"/>
  <c r="K155" i="752"/>
  <c r="J155" i="752"/>
  <c r="I155" i="752"/>
  <c r="H155" i="752"/>
  <c r="G155" i="752"/>
  <c r="F155" i="752"/>
  <c r="O154" i="752"/>
  <c r="N154" i="752"/>
  <c r="M154" i="752"/>
  <c r="L154" i="752"/>
  <c r="K154" i="752"/>
  <c r="J154" i="752"/>
  <c r="I154" i="752"/>
  <c r="H154" i="752"/>
  <c r="G154" i="752"/>
  <c r="F154" i="752"/>
  <c r="O153" i="752"/>
  <c r="N153" i="752"/>
  <c r="M153" i="752"/>
  <c r="L153" i="752"/>
  <c r="K153" i="752"/>
  <c r="J153" i="752"/>
  <c r="I153" i="752"/>
  <c r="H153" i="752"/>
  <c r="G153" i="752"/>
  <c r="F153" i="752"/>
  <c r="O152" i="752"/>
  <c r="N152" i="752"/>
  <c r="M152" i="752"/>
  <c r="L152" i="752"/>
  <c r="K152" i="752"/>
  <c r="J152" i="752"/>
  <c r="I152" i="752"/>
  <c r="H152" i="752"/>
  <c r="G152" i="752"/>
  <c r="F152" i="752"/>
  <c r="O151" i="752"/>
  <c r="N151" i="752"/>
  <c r="M151" i="752"/>
  <c r="L151" i="752"/>
  <c r="K151" i="752"/>
  <c r="J151" i="752"/>
  <c r="I151" i="752"/>
  <c r="H151" i="752"/>
  <c r="G151" i="752"/>
  <c r="F151" i="752"/>
  <c r="O150" i="752"/>
  <c r="N150" i="752"/>
  <c r="M150" i="752"/>
  <c r="L150" i="752"/>
  <c r="K150" i="752"/>
  <c r="J150" i="752"/>
  <c r="I150" i="752"/>
  <c r="H150" i="752"/>
  <c r="G150" i="752"/>
  <c r="F150" i="752"/>
  <c r="O149" i="752"/>
  <c r="N149" i="752"/>
  <c r="M149" i="752"/>
  <c r="L149" i="752"/>
  <c r="K149" i="752"/>
  <c r="J149" i="752"/>
  <c r="I149" i="752"/>
  <c r="H149" i="752"/>
  <c r="G149" i="752"/>
  <c r="F149" i="752"/>
  <c r="O148" i="752"/>
  <c r="N148" i="752"/>
  <c r="M148" i="752"/>
  <c r="L148" i="752"/>
  <c r="K148" i="752"/>
  <c r="J148" i="752"/>
  <c r="I148" i="752"/>
  <c r="H148" i="752"/>
  <c r="G148" i="752"/>
  <c r="F148" i="752"/>
  <c r="O147" i="752"/>
  <c r="N147" i="752"/>
  <c r="M147" i="752"/>
  <c r="L147" i="752"/>
  <c r="K147" i="752"/>
  <c r="J147" i="752"/>
  <c r="I147" i="752"/>
  <c r="H147" i="752"/>
  <c r="G147" i="752"/>
  <c r="F147" i="752"/>
  <c r="O146" i="752"/>
  <c r="N146" i="752"/>
  <c r="M146" i="752"/>
  <c r="L146" i="752"/>
  <c r="K146" i="752"/>
  <c r="J146" i="752"/>
  <c r="I146" i="752"/>
  <c r="H146" i="752"/>
  <c r="G146" i="752"/>
  <c r="F146" i="752"/>
  <c r="O145" i="752"/>
  <c r="N145" i="752"/>
  <c r="M145" i="752"/>
  <c r="L145" i="752"/>
  <c r="K145" i="752"/>
  <c r="J145" i="752"/>
  <c r="I145" i="752"/>
  <c r="H145" i="752"/>
  <c r="G145" i="752"/>
  <c r="F145" i="752"/>
  <c r="O144" i="752"/>
  <c r="N144" i="752"/>
  <c r="M144" i="752"/>
  <c r="L144" i="752"/>
  <c r="K144" i="752"/>
  <c r="J144" i="752"/>
  <c r="I144" i="752"/>
  <c r="H144" i="752"/>
  <c r="G144" i="752"/>
  <c r="F144" i="752"/>
  <c r="O143" i="752"/>
  <c r="N143" i="752"/>
  <c r="M143" i="752"/>
  <c r="L143" i="752"/>
  <c r="K143" i="752"/>
  <c r="J143" i="752"/>
  <c r="I143" i="752"/>
  <c r="H143" i="752"/>
  <c r="G143" i="752"/>
  <c r="F143" i="752"/>
  <c r="O142" i="752"/>
  <c r="N142" i="752"/>
  <c r="M142" i="752"/>
  <c r="L142" i="752"/>
  <c r="K142" i="752"/>
  <c r="J142" i="752"/>
  <c r="I142" i="752"/>
  <c r="H142" i="752"/>
  <c r="G142" i="752"/>
  <c r="F142" i="752"/>
  <c r="O141" i="752"/>
  <c r="N141" i="752"/>
  <c r="M141" i="752"/>
  <c r="L141" i="752"/>
  <c r="K141" i="752"/>
  <c r="J141" i="752"/>
  <c r="I141" i="752"/>
  <c r="H141" i="752"/>
  <c r="G141" i="752"/>
  <c r="F141" i="752"/>
  <c r="O140" i="752"/>
  <c r="N140" i="752"/>
  <c r="M140" i="752"/>
  <c r="L140" i="752"/>
  <c r="K140" i="752"/>
  <c r="J140" i="752"/>
  <c r="I140" i="752"/>
  <c r="H140" i="752"/>
  <c r="G140" i="752"/>
  <c r="F140" i="752"/>
  <c r="O139" i="752"/>
  <c r="N139" i="752"/>
  <c r="M139" i="752"/>
  <c r="L139" i="752"/>
  <c r="K139" i="752"/>
  <c r="J139" i="752"/>
  <c r="I139" i="752"/>
  <c r="H139" i="752"/>
  <c r="G139" i="752"/>
  <c r="F139" i="752"/>
  <c r="O138" i="752"/>
  <c r="N138" i="752"/>
  <c r="M138" i="752"/>
  <c r="L138" i="752"/>
  <c r="K138" i="752"/>
  <c r="J138" i="752"/>
  <c r="I138" i="752"/>
  <c r="H138" i="752"/>
  <c r="G138" i="752"/>
  <c r="F138" i="752"/>
  <c r="O1" i="752"/>
  <c r="I2" i="86" l="1"/>
  <c r="H1" i="86" s="1"/>
  <c r="J6" i="86" l="1"/>
  <c r="J7" i="86"/>
  <c r="J8" i="86"/>
  <c r="J9" i="86"/>
  <c r="J10" i="86"/>
  <c r="J11" i="86"/>
  <c r="J12" i="86"/>
  <c r="J13" i="86"/>
  <c r="J14" i="86"/>
  <c r="J15" i="86"/>
  <c r="J16" i="86"/>
  <c r="J17" i="86"/>
  <c r="J18" i="86"/>
  <c r="J19" i="86"/>
  <c r="J20" i="86"/>
  <c r="J21" i="86"/>
  <c r="J22" i="86"/>
  <c r="J23" i="86"/>
  <c r="J24" i="86"/>
  <c r="J25" i="86"/>
  <c r="J26" i="86"/>
  <c r="J27" i="86"/>
  <c r="J28" i="86"/>
  <c r="J29" i="86"/>
  <c r="J30" i="86"/>
  <c r="J31" i="86"/>
  <c r="J32" i="86"/>
  <c r="J33" i="86"/>
  <c r="J34" i="86"/>
  <c r="J35" i="86"/>
  <c r="J36" i="86"/>
  <c r="J37" i="86"/>
  <c r="J38" i="86"/>
  <c r="J39" i="86"/>
  <c r="J40" i="86"/>
  <c r="J41" i="86"/>
  <c r="J42" i="86"/>
  <c r="J43" i="86"/>
  <c r="J44" i="86"/>
  <c r="J45" i="86"/>
  <c r="J46" i="86"/>
  <c r="J47" i="86"/>
  <c r="J48" i="86"/>
  <c r="J49" i="86"/>
  <c r="J50" i="86"/>
  <c r="J51" i="86"/>
  <c r="J52" i="86"/>
  <c r="J53" i="86"/>
  <c r="J54" i="86"/>
  <c r="J55" i="86"/>
  <c r="J56" i="86"/>
  <c r="J57" i="86"/>
  <c r="J58" i="86"/>
  <c r="J59" i="86"/>
  <c r="J60" i="86"/>
  <c r="J61" i="86"/>
  <c r="J62" i="86"/>
  <c r="J63" i="86"/>
  <c r="J64" i="86"/>
  <c r="J65" i="86"/>
  <c r="J66" i="86"/>
  <c r="J67" i="86"/>
  <c r="J68" i="86"/>
  <c r="J69" i="86"/>
  <c r="J70" i="86"/>
  <c r="J71" i="86"/>
  <c r="J72" i="86"/>
  <c r="J73" i="86"/>
  <c r="J74" i="86"/>
  <c r="J75" i="86"/>
  <c r="J76" i="86"/>
  <c r="J77" i="86"/>
  <c r="J78" i="86"/>
  <c r="J79" i="86"/>
  <c r="J80" i="86"/>
  <c r="J81" i="86"/>
  <c r="J82" i="86"/>
  <c r="J83" i="86"/>
  <c r="J84" i="86"/>
  <c r="J85" i="86"/>
  <c r="J86" i="86"/>
  <c r="J87" i="86"/>
  <c r="J88" i="86"/>
  <c r="J89" i="86"/>
  <c r="J90" i="86"/>
  <c r="J91" i="86"/>
  <c r="J92" i="86"/>
  <c r="J93" i="86"/>
  <c r="J94" i="86"/>
  <c r="J95" i="86"/>
  <c r="J96" i="86"/>
  <c r="J97" i="86"/>
  <c r="J98" i="86"/>
  <c r="J99" i="86"/>
  <c r="J100" i="86"/>
  <c r="J101" i="86"/>
  <c r="J102" i="86"/>
  <c r="J103" i="86"/>
  <c r="J104" i="86"/>
  <c r="J105" i="86"/>
  <c r="J106" i="86"/>
  <c r="J107" i="86"/>
  <c r="J108" i="86"/>
  <c r="J109" i="86"/>
  <c r="J110" i="86"/>
  <c r="J111" i="86"/>
  <c r="J112" i="86"/>
  <c r="J113" i="86"/>
  <c r="J114" i="86"/>
  <c r="J115" i="86"/>
  <c r="J116" i="86"/>
  <c r="J117" i="86"/>
  <c r="J118" i="86"/>
  <c r="J119" i="86"/>
  <c r="J120" i="86"/>
  <c r="J121" i="86"/>
  <c r="J122" i="86"/>
  <c r="J123" i="86"/>
  <c r="J124" i="86"/>
  <c r="J125" i="86"/>
  <c r="J126" i="86"/>
  <c r="J127" i="86"/>
  <c r="J128" i="86"/>
  <c r="J129" i="86"/>
  <c r="J130" i="86"/>
  <c r="J131" i="86"/>
  <c r="J132" i="86"/>
  <c r="J133" i="86"/>
  <c r="J134" i="86"/>
  <c r="J135" i="86"/>
  <c r="J136" i="86"/>
  <c r="J137" i="86"/>
  <c r="J138" i="86"/>
  <c r="J5" i="86"/>
  <c r="J2" i="86" l="1"/>
  <c r="I1" i="86" s="1"/>
  <c r="M102" i="86" l="1"/>
  <c r="K18" i="86" l="1"/>
  <c r="K11" i="86"/>
  <c r="K6" i="86"/>
  <c r="K7" i="86"/>
  <c r="K8" i="86"/>
  <c r="K9" i="86"/>
  <c r="K10" i="86"/>
  <c r="K12" i="86"/>
  <c r="K13" i="86"/>
  <c r="K14" i="86"/>
  <c r="K15" i="86"/>
  <c r="K16" i="86"/>
  <c r="K17" i="86"/>
  <c r="K19" i="86"/>
  <c r="K20" i="86"/>
  <c r="K21" i="86"/>
  <c r="K22" i="86"/>
  <c r="K23" i="86"/>
  <c r="K24" i="86"/>
  <c r="K25" i="86"/>
  <c r="K26" i="86"/>
  <c r="K27" i="86"/>
  <c r="K28" i="86"/>
  <c r="K29" i="86"/>
  <c r="K30" i="86"/>
  <c r="K31" i="86"/>
  <c r="K32" i="86"/>
  <c r="K33" i="86"/>
  <c r="K34" i="86"/>
  <c r="K35" i="86"/>
  <c r="K36" i="86"/>
  <c r="K37" i="86"/>
  <c r="K38" i="86"/>
  <c r="K39" i="86"/>
  <c r="K40" i="86"/>
  <c r="K41" i="86"/>
  <c r="K42" i="86"/>
  <c r="K43" i="86"/>
  <c r="K44" i="86"/>
  <c r="K45" i="86"/>
  <c r="K46" i="86"/>
  <c r="K47" i="86"/>
  <c r="K48" i="86"/>
  <c r="K49" i="86"/>
  <c r="K50" i="86"/>
  <c r="K51" i="86"/>
  <c r="K52" i="86"/>
  <c r="K53" i="86"/>
  <c r="K54" i="86"/>
  <c r="K55" i="86"/>
  <c r="K56" i="86"/>
  <c r="K57" i="86"/>
  <c r="K58" i="86"/>
  <c r="K59" i="86"/>
  <c r="K60" i="86"/>
  <c r="K61" i="86"/>
  <c r="K62" i="86"/>
  <c r="K63" i="86"/>
  <c r="K64" i="86"/>
  <c r="K65" i="86"/>
  <c r="K66" i="86"/>
  <c r="K67" i="86"/>
  <c r="K68" i="86"/>
  <c r="K69" i="86"/>
  <c r="K70" i="86"/>
  <c r="K71" i="86"/>
  <c r="K72" i="86"/>
  <c r="K73" i="86"/>
  <c r="K74" i="86"/>
  <c r="K75" i="86"/>
  <c r="K76" i="86"/>
  <c r="K77" i="86"/>
  <c r="K78" i="86"/>
  <c r="K79" i="86"/>
  <c r="K80" i="86"/>
  <c r="K81" i="86"/>
  <c r="K82" i="86"/>
  <c r="K83" i="86"/>
  <c r="K84" i="86"/>
  <c r="K85" i="86"/>
  <c r="K86" i="86"/>
  <c r="K87" i="86"/>
  <c r="K88" i="86"/>
  <c r="K89" i="86"/>
  <c r="K90" i="86"/>
  <c r="K91" i="86"/>
  <c r="K92" i="86"/>
  <c r="K93" i="86"/>
  <c r="K94" i="86"/>
  <c r="K95" i="86"/>
  <c r="K96" i="86"/>
  <c r="K97" i="86"/>
  <c r="K98" i="86"/>
  <c r="K99" i="86"/>
  <c r="K100" i="86"/>
  <c r="K101" i="86"/>
  <c r="K102" i="86"/>
  <c r="K103" i="86"/>
  <c r="K104" i="86"/>
  <c r="K105" i="86"/>
  <c r="K106" i="86"/>
  <c r="K107" i="86"/>
  <c r="K108" i="86"/>
  <c r="K109" i="86"/>
  <c r="K110" i="86"/>
  <c r="K111" i="86"/>
  <c r="K112" i="86"/>
  <c r="K113" i="86"/>
  <c r="K114" i="86"/>
  <c r="K115" i="86"/>
  <c r="K116" i="86"/>
  <c r="K117" i="86"/>
  <c r="K118" i="86"/>
  <c r="K119" i="86"/>
  <c r="K120" i="86"/>
  <c r="K121" i="86"/>
  <c r="K122" i="86"/>
  <c r="K123" i="86"/>
  <c r="K124" i="86"/>
  <c r="K125" i="86"/>
  <c r="K126" i="86"/>
  <c r="K127" i="86"/>
  <c r="K128" i="86"/>
  <c r="K129" i="86"/>
  <c r="K130" i="86"/>
  <c r="K131" i="86"/>
  <c r="K132" i="86"/>
  <c r="K133" i="86"/>
  <c r="K134" i="86"/>
  <c r="K135" i="86"/>
  <c r="K136" i="86"/>
  <c r="K137" i="86"/>
  <c r="K138" i="86"/>
  <c r="K5" i="86"/>
  <c r="R18" i="750"/>
  <c r="K2" i="86" l="1"/>
  <c r="J1" i="86" s="1"/>
  <c r="L75" i="86" l="1"/>
  <c r="L76" i="86"/>
  <c r="M76" i="86"/>
  <c r="L77" i="86"/>
  <c r="N77" i="86"/>
  <c r="P77" i="86"/>
  <c r="Q77" i="86"/>
  <c r="L6" i="86"/>
  <c r="L7" i="86"/>
  <c r="L8" i="86"/>
  <c r="L9" i="86"/>
  <c r="L10" i="86"/>
  <c r="L11" i="86"/>
  <c r="L12" i="86"/>
  <c r="L13" i="86"/>
  <c r="L14" i="86"/>
  <c r="L15" i="86"/>
  <c r="L16" i="86"/>
  <c r="L17" i="86"/>
  <c r="L18" i="86"/>
  <c r="L19" i="86"/>
  <c r="L20" i="86"/>
  <c r="L21" i="86"/>
  <c r="L22" i="86"/>
  <c r="L23" i="86"/>
  <c r="L24" i="86"/>
  <c r="L25" i="86"/>
  <c r="L26" i="86"/>
  <c r="L27" i="86"/>
  <c r="L28" i="86"/>
  <c r="L29" i="86"/>
  <c r="L30" i="86"/>
  <c r="L31" i="86"/>
  <c r="L32" i="86"/>
  <c r="L33" i="86"/>
  <c r="L34" i="86"/>
  <c r="L35" i="86"/>
  <c r="L36" i="86"/>
  <c r="L37" i="86"/>
  <c r="L38" i="86"/>
  <c r="L39" i="86"/>
  <c r="L40" i="86"/>
  <c r="L41" i="86"/>
  <c r="L42" i="86"/>
  <c r="L43" i="86"/>
  <c r="L44" i="86"/>
  <c r="L45" i="86"/>
  <c r="L46" i="86"/>
  <c r="L47" i="86"/>
  <c r="L48" i="86"/>
  <c r="L49" i="86"/>
  <c r="L50" i="86"/>
  <c r="L51" i="86"/>
  <c r="L52" i="86"/>
  <c r="L53" i="86"/>
  <c r="L54" i="86"/>
  <c r="L55" i="86"/>
  <c r="L56" i="86"/>
  <c r="L57" i="86"/>
  <c r="L58" i="86"/>
  <c r="L59" i="86"/>
  <c r="L60" i="86"/>
  <c r="L61" i="86"/>
  <c r="L62" i="86"/>
  <c r="L63" i="86"/>
  <c r="L64" i="86"/>
  <c r="L65" i="86"/>
  <c r="L66" i="86"/>
  <c r="L67" i="86"/>
  <c r="L68" i="86"/>
  <c r="L69" i="86"/>
  <c r="L70" i="86"/>
  <c r="L71" i="86"/>
  <c r="L72" i="86"/>
  <c r="L73" i="86"/>
  <c r="L74" i="86"/>
  <c r="L78" i="86"/>
  <c r="L79" i="86"/>
  <c r="L80" i="86"/>
  <c r="L81" i="86"/>
  <c r="L82" i="86"/>
  <c r="L83" i="86"/>
  <c r="L84" i="86"/>
  <c r="L85" i="86"/>
  <c r="L86" i="86"/>
  <c r="L87" i="86"/>
  <c r="L88" i="86"/>
  <c r="L89" i="86"/>
  <c r="L90" i="86"/>
  <c r="L91" i="86"/>
  <c r="L92" i="86"/>
  <c r="L93" i="86"/>
  <c r="L94" i="86"/>
  <c r="L95" i="86"/>
  <c r="L96" i="86"/>
  <c r="L97" i="86"/>
  <c r="L98" i="86"/>
  <c r="L99" i="86"/>
  <c r="L100" i="86"/>
  <c r="L101" i="86"/>
  <c r="L102" i="86"/>
  <c r="L103" i="86"/>
  <c r="L104" i="86"/>
  <c r="L105" i="86"/>
  <c r="L106" i="86"/>
  <c r="L107" i="86"/>
  <c r="L108" i="86"/>
  <c r="L109" i="86"/>
  <c r="L110" i="86"/>
  <c r="L111" i="86"/>
  <c r="L112" i="86"/>
  <c r="L113" i="86"/>
  <c r="L114" i="86"/>
  <c r="L115" i="86"/>
  <c r="L116" i="86"/>
  <c r="L117" i="86"/>
  <c r="L118" i="86"/>
  <c r="L119" i="86"/>
  <c r="L120" i="86"/>
  <c r="L121" i="86"/>
  <c r="L122" i="86"/>
  <c r="L123" i="86"/>
  <c r="L124" i="86"/>
  <c r="L125" i="86"/>
  <c r="L126" i="86"/>
  <c r="L127" i="86"/>
  <c r="L128" i="86"/>
  <c r="L129" i="86"/>
  <c r="L130" i="86"/>
  <c r="L131" i="86"/>
  <c r="L132" i="86"/>
  <c r="L133" i="86"/>
  <c r="L134" i="86"/>
  <c r="L135" i="86"/>
  <c r="L136" i="86"/>
  <c r="L137" i="86"/>
  <c r="L5" i="86"/>
  <c r="L2" i="86"/>
  <c r="K1" i="86" s="1"/>
  <c r="M35" i="86" l="1"/>
  <c r="M67" i="86"/>
  <c r="M72" i="86"/>
  <c r="M74" i="86"/>
  <c r="M94" i="86"/>
  <c r="M100" i="86"/>
  <c r="M129" i="86"/>
  <c r="O129" i="86" l="1"/>
  <c r="O103" i="86"/>
  <c r="O67" i="86"/>
  <c r="O66" i="86"/>
  <c r="O61" i="86"/>
  <c r="O38" i="86"/>
  <c r="O35" i="86"/>
  <c r="M2" i="86" l="1"/>
  <c r="L1" i="86" s="1"/>
  <c r="N6" i="86" l="1"/>
  <c r="N7" i="86"/>
  <c r="N8" i="86"/>
  <c r="N9" i="86"/>
  <c r="N10" i="86"/>
  <c r="N11" i="86"/>
  <c r="N12" i="86"/>
  <c r="N13" i="86"/>
  <c r="N14" i="86"/>
  <c r="N15" i="86"/>
  <c r="N16" i="86"/>
  <c r="N17" i="86"/>
  <c r="N18" i="86"/>
  <c r="N19" i="86"/>
  <c r="N20" i="86"/>
  <c r="N21" i="86"/>
  <c r="N22" i="86"/>
  <c r="N23" i="86"/>
  <c r="N24" i="86"/>
  <c r="N25" i="86"/>
  <c r="N26" i="86"/>
  <c r="N27" i="86"/>
  <c r="N28" i="86"/>
  <c r="N29" i="86"/>
  <c r="N30" i="86"/>
  <c r="N31" i="86"/>
  <c r="N32" i="86"/>
  <c r="N33" i="86"/>
  <c r="N34" i="86"/>
  <c r="N35" i="86"/>
  <c r="N36" i="86"/>
  <c r="N37" i="86"/>
  <c r="N38" i="86"/>
  <c r="N39" i="86"/>
  <c r="N40" i="86"/>
  <c r="N41" i="86"/>
  <c r="N42" i="86"/>
  <c r="N43" i="86"/>
  <c r="N44" i="86"/>
  <c r="N45" i="86"/>
  <c r="N46" i="86"/>
  <c r="N47" i="86"/>
  <c r="N48" i="86"/>
  <c r="N49" i="86"/>
  <c r="N50" i="86"/>
  <c r="N51" i="86"/>
  <c r="N52" i="86"/>
  <c r="N53" i="86"/>
  <c r="N54" i="86"/>
  <c r="N55" i="86"/>
  <c r="N56" i="86"/>
  <c r="N57" i="86"/>
  <c r="N58" i="86"/>
  <c r="N59" i="86"/>
  <c r="N60" i="86"/>
  <c r="N61" i="86"/>
  <c r="N62" i="86"/>
  <c r="N63" i="86"/>
  <c r="N64" i="86"/>
  <c r="N65" i="86"/>
  <c r="N66" i="86"/>
  <c r="N67" i="86"/>
  <c r="N68" i="86"/>
  <c r="N69" i="86"/>
  <c r="N70" i="86"/>
  <c r="N71" i="86"/>
  <c r="N72" i="86"/>
  <c r="N73" i="86"/>
  <c r="N74" i="86"/>
  <c r="N78" i="86"/>
  <c r="N79" i="86"/>
  <c r="N80" i="86"/>
  <c r="N81" i="86"/>
  <c r="N82" i="86"/>
  <c r="N83" i="86"/>
  <c r="N84" i="86"/>
  <c r="N85" i="86"/>
  <c r="N86" i="86"/>
  <c r="N87" i="86"/>
  <c r="N88" i="86"/>
  <c r="N89" i="86"/>
  <c r="N90" i="86"/>
  <c r="N91" i="86"/>
  <c r="N92" i="86"/>
  <c r="N93" i="86"/>
  <c r="N94" i="86"/>
  <c r="N95" i="86"/>
  <c r="N96" i="86"/>
  <c r="N97" i="86"/>
  <c r="N98" i="86"/>
  <c r="N99" i="86"/>
  <c r="N100" i="86"/>
  <c r="N101" i="86"/>
  <c r="N102" i="86"/>
  <c r="N103" i="86"/>
  <c r="N104" i="86"/>
  <c r="N105" i="86"/>
  <c r="N106" i="86"/>
  <c r="N107" i="86"/>
  <c r="N108" i="86"/>
  <c r="N109" i="86"/>
  <c r="N110" i="86"/>
  <c r="N111" i="86"/>
  <c r="N112" i="86"/>
  <c r="N113" i="86"/>
  <c r="N114" i="86"/>
  <c r="N115" i="86"/>
  <c r="N116" i="86"/>
  <c r="N117" i="86"/>
  <c r="N118" i="86"/>
  <c r="N119" i="86"/>
  <c r="N120" i="86"/>
  <c r="N121" i="86"/>
  <c r="N122" i="86"/>
  <c r="N123" i="86"/>
  <c r="N124" i="86"/>
  <c r="N125" i="86"/>
  <c r="N126" i="86"/>
  <c r="N127" i="86"/>
  <c r="N128" i="86"/>
  <c r="N129" i="86"/>
  <c r="N130" i="86"/>
  <c r="N131" i="86"/>
  <c r="N132" i="86"/>
  <c r="N133" i="86"/>
  <c r="N134" i="86"/>
  <c r="N135" i="86"/>
  <c r="N136" i="86"/>
  <c r="N137" i="86"/>
  <c r="N5" i="86"/>
  <c r="N2" i="86"/>
  <c r="M1" i="86" s="1"/>
  <c r="C12" i="708"/>
  <c r="B11" i="708" l="1"/>
  <c r="O2" i="86" l="1"/>
  <c r="N1" i="86" s="1"/>
  <c r="P19" i="86" l="1"/>
  <c r="P6" i="86"/>
  <c r="P7" i="86"/>
  <c r="P8" i="86"/>
  <c r="P9" i="86"/>
  <c r="P10" i="86"/>
  <c r="P11" i="86"/>
  <c r="P12" i="86"/>
  <c r="P13" i="86"/>
  <c r="P14" i="86"/>
  <c r="P15" i="86"/>
  <c r="P16" i="86"/>
  <c r="P17" i="86"/>
  <c r="P18" i="86"/>
  <c r="P20" i="86"/>
  <c r="P21" i="86"/>
  <c r="P22" i="86"/>
  <c r="P23" i="86"/>
  <c r="P24" i="86"/>
  <c r="P25" i="86"/>
  <c r="P26" i="86"/>
  <c r="P27" i="86"/>
  <c r="P28" i="86"/>
  <c r="P29" i="86"/>
  <c r="P30" i="86"/>
  <c r="P31" i="86"/>
  <c r="P32" i="86"/>
  <c r="P33" i="86"/>
  <c r="P34" i="86"/>
  <c r="P35" i="86"/>
  <c r="P36" i="86"/>
  <c r="P37" i="86"/>
  <c r="P38" i="86"/>
  <c r="P39" i="86"/>
  <c r="P40" i="86"/>
  <c r="P41" i="86"/>
  <c r="P42" i="86"/>
  <c r="P43" i="86"/>
  <c r="P44" i="86"/>
  <c r="P45" i="86"/>
  <c r="P46" i="86"/>
  <c r="P47" i="86"/>
  <c r="P48" i="86"/>
  <c r="P49" i="86"/>
  <c r="P50" i="86"/>
  <c r="P51" i="86"/>
  <c r="P52" i="86"/>
  <c r="P53" i="86"/>
  <c r="P54" i="86"/>
  <c r="P55" i="86"/>
  <c r="P56" i="86"/>
  <c r="P57" i="86"/>
  <c r="P58" i="86"/>
  <c r="P59" i="86"/>
  <c r="P60" i="86"/>
  <c r="P61" i="86"/>
  <c r="P62" i="86"/>
  <c r="P63" i="86"/>
  <c r="P64" i="86"/>
  <c r="P65" i="86"/>
  <c r="P66" i="86"/>
  <c r="P67" i="86"/>
  <c r="P68" i="86"/>
  <c r="P69" i="86"/>
  <c r="P70" i="86"/>
  <c r="P71" i="86"/>
  <c r="P72" i="86"/>
  <c r="P73" i="86"/>
  <c r="P74" i="86"/>
  <c r="P78" i="86"/>
  <c r="P79" i="86"/>
  <c r="P80" i="86"/>
  <c r="P81" i="86"/>
  <c r="P82" i="86"/>
  <c r="P83" i="86"/>
  <c r="P84" i="86"/>
  <c r="P85" i="86"/>
  <c r="P86" i="86"/>
  <c r="P87" i="86"/>
  <c r="P88" i="86"/>
  <c r="P89" i="86"/>
  <c r="P90" i="86"/>
  <c r="P91" i="86"/>
  <c r="P92" i="86"/>
  <c r="P93" i="86"/>
  <c r="P94" i="86"/>
  <c r="P95" i="86"/>
  <c r="P96" i="86"/>
  <c r="P97" i="86"/>
  <c r="P98" i="86"/>
  <c r="P99" i="86"/>
  <c r="P100" i="86"/>
  <c r="P101" i="86"/>
  <c r="P102" i="86"/>
  <c r="P103" i="86"/>
  <c r="P104" i="86"/>
  <c r="P105" i="86"/>
  <c r="P106" i="86"/>
  <c r="P107" i="86"/>
  <c r="P108" i="86"/>
  <c r="P109" i="86"/>
  <c r="P110" i="86"/>
  <c r="P111" i="86"/>
  <c r="P112" i="86"/>
  <c r="P113" i="86"/>
  <c r="P114" i="86"/>
  <c r="P115" i="86"/>
  <c r="P116" i="86"/>
  <c r="P117" i="86"/>
  <c r="P118" i="86"/>
  <c r="P119" i="86"/>
  <c r="P120" i="86"/>
  <c r="P121" i="86"/>
  <c r="P122" i="86"/>
  <c r="P123" i="86"/>
  <c r="P124" i="86"/>
  <c r="P125" i="86"/>
  <c r="P126" i="86"/>
  <c r="P127" i="86"/>
  <c r="P128" i="86"/>
  <c r="P129" i="86"/>
  <c r="P130" i="86"/>
  <c r="P131" i="86"/>
  <c r="P132" i="86"/>
  <c r="P133" i="86"/>
  <c r="P134" i="86"/>
  <c r="P135" i="86"/>
  <c r="P136" i="86"/>
  <c r="P137" i="86"/>
  <c r="P5" i="86"/>
  <c r="C13" i="708" l="1"/>
  <c r="C14" i="708"/>
  <c r="C15" i="708"/>
  <c r="C16" i="708"/>
  <c r="C11" i="708"/>
  <c r="P2" i="86" l="1"/>
  <c r="O1" i="86" s="1"/>
  <c r="Q20" i="86" l="1"/>
  <c r="Q21" i="86"/>
  <c r="Q22" i="86"/>
  <c r="Q23" i="86"/>
  <c r="Q24" i="86"/>
  <c r="Q25" i="86"/>
  <c r="Q26" i="86"/>
  <c r="Q27" i="86"/>
  <c r="Q28" i="86"/>
  <c r="Q29" i="86"/>
  <c r="Q30" i="86"/>
  <c r="Q31" i="86"/>
  <c r="Q32" i="86"/>
  <c r="Q33" i="86"/>
  <c r="Q34" i="86"/>
  <c r="Q35" i="86"/>
  <c r="Q36" i="86"/>
  <c r="Q37" i="86"/>
  <c r="Q38" i="86"/>
  <c r="Q39" i="86"/>
  <c r="Q40" i="86"/>
  <c r="Q41" i="86"/>
  <c r="Q42" i="86"/>
  <c r="Q43" i="86"/>
  <c r="Q44" i="86"/>
  <c r="Q45" i="86"/>
  <c r="Q46" i="86"/>
  <c r="Q47" i="86"/>
  <c r="Q48" i="86"/>
  <c r="Q49" i="86"/>
  <c r="Q50" i="86"/>
  <c r="Q51" i="86"/>
  <c r="Q52" i="86"/>
  <c r="Q53" i="86"/>
  <c r="Q54" i="86"/>
  <c r="Q55" i="86"/>
  <c r="Q56" i="86"/>
  <c r="Q57" i="86"/>
  <c r="Q58" i="86"/>
  <c r="Q59" i="86"/>
  <c r="Q60" i="86"/>
  <c r="Q61" i="86"/>
  <c r="Q62" i="86"/>
  <c r="Q63" i="86"/>
  <c r="Q64" i="86"/>
  <c r="Q65" i="86"/>
  <c r="Q66" i="86"/>
  <c r="Q67" i="86"/>
  <c r="Q68" i="86"/>
  <c r="Q69" i="86"/>
  <c r="Q70" i="86"/>
  <c r="Q71" i="86"/>
  <c r="Q72" i="86"/>
  <c r="Q73" i="86"/>
  <c r="Q74" i="86"/>
  <c r="Q78" i="86"/>
  <c r="Q79" i="86"/>
  <c r="Q80" i="86"/>
  <c r="Q81" i="86"/>
  <c r="Q82" i="86"/>
  <c r="Q83" i="86"/>
  <c r="Q84" i="86"/>
  <c r="Q85" i="86"/>
  <c r="Q86" i="86"/>
  <c r="Q87" i="86"/>
  <c r="Q88" i="86"/>
  <c r="Q89" i="86"/>
  <c r="Q90" i="86"/>
  <c r="Q91" i="86"/>
  <c r="Q92" i="86"/>
  <c r="Q93" i="86"/>
  <c r="Q94" i="86"/>
  <c r="Q95" i="86"/>
  <c r="Q96" i="86"/>
  <c r="Q97" i="86"/>
  <c r="Q98" i="86"/>
  <c r="Q99" i="86"/>
  <c r="Q100" i="86"/>
  <c r="Q101" i="86"/>
  <c r="Q102" i="86"/>
  <c r="Q103" i="86"/>
  <c r="Q104" i="86"/>
  <c r="Q105" i="86"/>
  <c r="Q106" i="86"/>
  <c r="Q107" i="86"/>
  <c r="Q108" i="86"/>
  <c r="Q109" i="86"/>
  <c r="Q110" i="86"/>
  <c r="Q111" i="86"/>
  <c r="Q112" i="86"/>
  <c r="Q113" i="86"/>
  <c r="Q114" i="86"/>
  <c r="Q115" i="86"/>
  <c r="Q116" i="86"/>
  <c r="Q117" i="86"/>
  <c r="Q118" i="86"/>
  <c r="Q119" i="86"/>
  <c r="Q120" i="86"/>
  <c r="Q121" i="86"/>
  <c r="Q122" i="86"/>
  <c r="Q123" i="86"/>
  <c r="Q124" i="86"/>
  <c r="Q125" i="86"/>
  <c r="Q126" i="86"/>
  <c r="Q127" i="86"/>
  <c r="Q128" i="86"/>
  <c r="Q129" i="86"/>
  <c r="Q130" i="86"/>
  <c r="Q131" i="86"/>
  <c r="Q132" i="86"/>
  <c r="Q133" i="86"/>
  <c r="Q134" i="86"/>
  <c r="Q135" i="86"/>
  <c r="Q136" i="86"/>
  <c r="Q137" i="86"/>
  <c r="Q6" i="86"/>
  <c r="Q7" i="86"/>
  <c r="Q8" i="86"/>
  <c r="Q9" i="86"/>
  <c r="Q10" i="86"/>
  <c r="Q11" i="86"/>
  <c r="Q12" i="86"/>
  <c r="Q13" i="86"/>
  <c r="Q14" i="86"/>
  <c r="Q15" i="86"/>
  <c r="Q16" i="86"/>
  <c r="Q17" i="86"/>
  <c r="Q18" i="86"/>
  <c r="Q19" i="86"/>
  <c r="Q5" i="86"/>
  <c r="R137" i="86"/>
  <c r="R136" i="86"/>
  <c r="R135" i="86"/>
  <c r="R134" i="86"/>
  <c r="R133" i="86"/>
  <c r="R132" i="86"/>
  <c r="R131" i="86"/>
  <c r="R130" i="86"/>
  <c r="R129" i="86"/>
  <c r="R128" i="86"/>
  <c r="R127" i="86"/>
  <c r="R126" i="86"/>
  <c r="R125" i="86"/>
  <c r="R124" i="86"/>
  <c r="R123" i="86"/>
  <c r="R122" i="86"/>
  <c r="R121" i="86"/>
  <c r="R120" i="86"/>
  <c r="R119" i="86"/>
  <c r="R118" i="86"/>
  <c r="R117" i="86"/>
  <c r="R116" i="86"/>
  <c r="R115" i="86"/>
  <c r="R114" i="86"/>
  <c r="R113" i="86"/>
  <c r="R112" i="86"/>
  <c r="R111" i="86"/>
  <c r="R110" i="86"/>
  <c r="R109" i="86"/>
  <c r="R108" i="86"/>
  <c r="R107" i="86"/>
  <c r="R106" i="86"/>
  <c r="R105" i="86"/>
  <c r="R104" i="86"/>
  <c r="R103" i="86"/>
  <c r="R102" i="86"/>
  <c r="R101" i="86"/>
  <c r="R100" i="86"/>
  <c r="R99" i="86"/>
  <c r="R98" i="86"/>
  <c r="R97" i="86"/>
  <c r="R96" i="86"/>
  <c r="R95" i="86"/>
  <c r="R94" i="86"/>
  <c r="R93" i="86"/>
  <c r="R92" i="86"/>
  <c r="R91" i="86"/>
  <c r="R90" i="86"/>
  <c r="R89" i="86"/>
  <c r="R88" i="86"/>
  <c r="R87" i="86"/>
  <c r="R86" i="86"/>
  <c r="R85" i="86"/>
  <c r="R84" i="86"/>
  <c r="R83" i="86"/>
  <c r="R82" i="86"/>
  <c r="R81" i="86"/>
  <c r="R80" i="86"/>
  <c r="R79" i="86"/>
  <c r="R78" i="86"/>
  <c r="R77" i="86"/>
  <c r="R74" i="86"/>
  <c r="R73" i="86"/>
  <c r="R72" i="86"/>
  <c r="R71" i="86"/>
  <c r="R70" i="86"/>
  <c r="R69" i="86"/>
  <c r="R68" i="86"/>
  <c r="R67" i="86"/>
  <c r="R66" i="86"/>
  <c r="R65" i="86"/>
  <c r="R64" i="86"/>
  <c r="R63" i="86"/>
  <c r="R62" i="86"/>
  <c r="R61" i="86"/>
  <c r="R60" i="86"/>
  <c r="R59" i="86"/>
  <c r="R58" i="86"/>
  <c r="R57" i="86"/>
  <c r="R56" i="86"/>
  <c r="R55" i="86"/>
  <c r="R54" i="86"/>
  <c r="R53" i="86"/>
  <c r="R52" i="86"/>
  <c r="R51" i="86"/>
  <c r="R50" i="86"/>
  <c r="R49" i="86"/>
  <c r="R48" i="86"/>
  <c r="R47" i="86"/>
  <c r="R46" i="86"/>
  <c r="R45" i="86"/>
  <c r="R44" i="86"/>
  <c r="R43" i="86"/>
  <c r="R42" i="86"/>
  <c r="R41" i="86"/>
  <c r="R40" i="86"/>
  <c r="R39" i="86"/>
  <c r="R38" i="86"/>
  <c r="R37" i="86"/>
  <c r="R36" i="86"/>
  <c r="R35" i="86"/>
  <c r="R34" i="86"/>
  <c r="R33" i="86"/>
  <c r="R32" i="86"/>
  <c r="R31" i="86"/>
  <c r="R30" i="86"/>
  <c r="R29" i="86"/>
  <c r="R28" i="86"/>
  <c r="R27" i="86"/>
  <c r="R26" i="86"/>
  <c r="R25" i="86"/>
  <c r="R24" i="86"/>
  <c r="R23" i="86"/>
  <c r="R22" i="86"/>
  <c r="R21" i="86"/>
  <c r="R20" i="86"/>
  <c r="R19" i="86"/>
  <c r="R18" i="86"/>
  <c r="R17" i="86"/>
  <c r="R16" i="86"/>
  <c r="R15" i="86"/>
  <c r="R14" i="86"/>
  <c r="R13" i="86"/>
  <c r="R12" i="86"/>
  <c r="R11" i="86"/>
  <c r="R10" i="86"/>
  <c r="R9" i="86"/>
  <c r="R8" i="86"/>
  <c r="R7" i="86"/>
  <c r="R6" i="86"/>
  <c r="R5" i="86"/>
  <c r="Q2" i="86" l="1"/>
  <c r="P1" i="86" s="1"/>
  <c r="R2" i="86"/>
  <c r="S2" i="86"/>
  <c r="T2" i="86"/>
  <c r="Q1" i="86" l="1"/>
  <c r="R1" i="86" l="1"/>
  <c r="S137" i="86" l="1"/>
  <c r="S136" i="86"/>
  <c r="S135" i="86"/>
  <c r="S134" i="86"/>
  <c r="S133" i="86"/>
  <c r="S132" i="86"/>
  <c r="S131" i="86"/>
  <c r="S130" i="86"/>
  <c r="S129" i="86"/>
  <c r="S128" i="86"/>
  <c r="S127" i="86"/>
  <c r="S126" i="86"/>
  <c r="S125" i="86"/>
  <c r="S124" i="86"/>
  <c r="S123" i="86"/>
  <c r="S122" i="86"/>
  <c r="S121" i="86"/>
  <c r="S120" i="86"/>
  <c r="S119" i="86"/>
  <c r="S118" i="86"/>
  <c r="S117" i="86"/>
  <c r="S116" i="86"/>
  <c r="S115" i="86"/>
  <c r="S114" i="86"/>
  <c r="S113" i="86"/>
  <c r="S112" i="86"/>
  <c r="S111" i="86"/>
  <c r="S110" i="86"/>
  <c r="S109" i="86"/>
  <c r="S108" i="86"/>
  <c r="S107" i="86"/>
  <c r="S106" i="86"/>
  <c r="S105" i="86"/>
  <c r="S104" i="86"/>
  <c r="S103" i="86"/>
  <c r="S102" i="86"/>
  <c r="S101" i="86"/>
  <c r="S100" i="86"/>
  <c r="S99" i="86"/>
  <c r="S98" i="86"/>
  <c r="S97" i="86"/>
  <c r="S96" i="86"/>
  <c r="S95" i="86"/>
  <c r="S94" i="86"/>
  <c r="S93" i="86"/>
  <c r="S92" i="86"/>
  <c r="S91" i="86"/>
  <c r="S90" i="86"/>
  <c r="S89" i="86"/>
  <c r="S88" i="86"/>
  <c r="S87" i="86"/>
  <c r="S86" i="86"/>
  <c r="S85" i="86"/>
  <c r="S84" i="86"/>
  <c r="S83" i="86"/>
  <c r="S82" i="86"/>
  <c r="S81" i="86"/>
  <c r="S80" i="86"/>
  <c r="S79" i="86"/>
  <c r="S78" i="86"/>
  <c r="S77" i="86"/>
  <c r="S74" i="86"/>
  <c r="S73" i="86"/>
  <c r="S72" i="86"/>
  <c r="S71" i="86"/>
  <c r="S70" i="86"/>
  <c r="S69" i="86"/>
  <c r="S68" i="86"/>
  <c r="S67" i="86"/>
  <c r="S66" i="86"/>
  <c r="S65" i="86"/>
  <c r="S64" i="86"/>
  <c r="S63" i="86"/>
  <c r="S62" i="86"/>
  <c r="S61" i="86"/>
  <c r="S60" i="86"/>
  <c r="S59" i="86"/>
  <c r="S58" i="86"/>
  <c r="S57" i="86"/>
  <c r="S56" i="86"/>
  <c r="S55" i="86"/>
  <c r="S54" i="86"/>
  <c r="S53" i="86"/>
  <c r="S52" i="86"/>
  <c r="S51" i="86"/>
  <c r="S50" i="86"/>
  <c r="S49" i="86"/>
  <c r="S48" i="86"/>
  <c r="S47" i="86"/>
  <c r="S46" i="86"/>
  <c r="S45" i="86"/>
  <c r="S44" i="86"/>
  <c r="S43" i="86"/>
  <c r="S42" i="86"/>
  <c r="S41" i="86"/>
  <c r="S40" i="86"/>
  <c r="S39" i="86"/>
  <c r="S38" i="86"/>
  <c r="S37" i="86"/>
  <c r="S36" i="86"/>
  <c r="S35" i="86"/>
  <c r="S34" i="86"/>
  <c r="S33" i="86"/>
  <c r="S32" i="86"/>
  <c r="S31" i="86"/>
  <c r="S30" i="86"/>
  <c r="S29" i="86"/>
  <c r="S28" i="86"/>
  <c r="S27" i="86"/>
  <c r="S26" i="86"/>
  <c r="S25" i="86"/>
  <c r="S24" i="86"/>
  <c r="S23" i="86"/>
  <c r="S22" i="86"/>
  <c r="S21" i="86"/>
  <c r="S20" i="86"/>
  <c r="S19" i="86"/>
  <c r="S18" i="86"/>
  <c r="S17" i="86"/>
  <c r="S16" i="86"/>
  <c r="S15" i="86"/>
  <c r="S14" i="86"/>
  <c r="S13" i="86"/>
  <c r="S12" i="86"/>
  <c r="S11" i="86"/>
  <c r="S10" i="86"/>
  <c r="S9" i="86"/>
  <c r="S8" i="86"/>
  <c r="S7" i="86"/>
  <c r="S6" i="86"/>
  <c r="S5" i="86"/>
  <c r="S1" i="86" l="1"/>
  <c r="D1" i="734" l="1"/>
  <c r="E1" i="734" s="1"/>
  <c r="AT1" i="86"/>
  <c r="AS1" i="86"/>
  <c r="AR1" i="86"/>
  <c r="AQ1" i="86"/>
  <c r="AP1" i="86"/>
  <c r="AO1" i="86"/>
  <c r="AN1" i="86"/>
  <c r="AM1" i="86"/>
  <c r="AL1" i="86"/>
  <c r="AK1" i="86"/>
  <c r="AJ1" i="86"/>
  <c r="AI1" i="86"/>
  <c r="AH1" i="86"/>
  <c r="AG1" i="86"/>
  <c r="AF1" i="86"/>
  <c r="AE1" i="86"/>
  <c r="AD1" i="86"/>
  <c r="AC1" i="86"/>
  <c r="AB1" i="86"/>
  <c r="AA1" i="86"/>
  <c r="Z1" i="86"/>
  <c r="Y1" i="86"/>
  <c r="X1" i="86"/>
  <c r="W1" i="86"/>
  <c r="V1" i="86"/>
  <c r="U1" i="86"/>
  <c r="T1" i="86"/>
  <c r="E18" i="734" l="1"/>
  <c r="G18" i="734" s="1"/>
  <c r="H18" i="734" s="1"/>
  <c r="E14" i="734"/>
  <c r="G14" i="734" s="1"/>
  <c r="H14" i="734" s="1"/>
  <c r="E10" i="734"/>
  <c r="G10" i="734" s="1"/>
  <c r="H10" i="734" s="1"/>
  <c r="E6" i="734"/>
  <c r="G6" i="734" s="1"/>
  <c r="H6" i="734" s="1"/>
  <c r="E5" i="734"/>
  <c r="G5" i="734" s="1"/>
  <c r="H5" i="734" s="1"/>
  <c r="E12" i="734"/>
  <c r="G12" i="734" s="1"/>
  <c r="H12" i="734" s="1"/>
  <c r="E9" i="734"/>
  <c r="G9" i="734" s="1"/>
  <c r="H9" i="734" s="1"/>
  <c r="E13" i="734"/>
  <c r="G13" i="734" s="1"/>
  <c r="H13" i="734" s="1"/>
  <c r="E17" i="734"/>
  <c r="G17" i="734" s="1"/>
  <c r="H17" i="734" s="1"/>
  <c r="E4" i="734"/>
  <c r="G4" i="734" s="1"/>
  <c r="H4" i="734" s="1"/>
  <c r="E8" i="734"/>
  <c r="G8" i="734" s="1"/>
  <c r="H8" i="734" s="1"/>
  <c r="E16" i="734"/>
  <c r="G16" i="734" s="1"/>
  <c r="H16" i="734" s="1"/>
  <c r="E15" i="734"/>
  <c r="G15" i="734" s="1"/>
  <c r="H15" i="734" s="1"/>
  <c r="E11" i="734"/>
  <c r="G11" i="734" s="1"/>
  <c r="H11" i="734" s="1"/>
  <c r="E7" i="734"/>
  <c r="G7" i="734" s="1"/>
  <c r="H7" i="734" s="1"/>
  <c r="D7" i="734"/>
  <c r="D11" i="734"/>
  <c r="D15" i="734"/>
  <c r="D16" i="734"/>
  <c r="D8" i="734"/>
  <c r="D5" i="734"/>
  <c r="D9" i="734"/>
  <c r="D13" i="734"/>
  <c r="D17" i="734"/>
  <c r="D12" i="734"/>
  <c r="D4" i="734"/>
  <c r="D6" i="734"/>
  <c r="D10" i="734"/>
  <c r="D14" i="734"/>
  <c r="D18" i="734"/>
</calcChain>
</file>

<file path=xl/comments1.xml><?xml version="1.0" encoding="utf-8"?>
<comments xmlns="http://schemas.openxmlformats.org/spreadsheetml/2006/main">
  <authors>
    <author>王信閎</author>
  </authors>
  <commentList>
    <comment ref="T4" authorId="0" shapeId="0">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<sst xmlns="http://schemas.openxmlformats.org/spreadsheetml/2006/main" count="15598" uniqueCount="1199">
  <si>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</si>
  <si>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</si>
  <si>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</si>
  <si>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</si>
  <si>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</si>
  <si>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</si>
  <si>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</si>
  <si>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</si>
  <si>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</si>
  <si>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</si>
  <si>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</si>
  <si>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</si>
  <si>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</si>
  <si>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</si>
  <si>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</si>
  <si>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</si>
  <si>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</si>
  <si>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</si>
  <si>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</si>
  <si>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</si>
  <si>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</si>
  <si>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</si>
  <si>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</si>
  <si>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</si>
  <si>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</si>
  <si>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</si>
  <si>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</si>
  <si>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</si>
  <si>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</si>
  <si>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</si>
  <si>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</si>
  <si>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</si>
  <si>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</si>
  <si>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</si>
  <si>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</si>
  <si>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</si>
  <si>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</si>
  <si>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</si>
  <si>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</si>
  <si>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</si>
  <si>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</si>
  <si>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</si>
  <si>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</si>
  <si>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</si>
  <si>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</si>
  <si>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</si>
  <si>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</si>
  <si>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</si>
  <si>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</si>
  <si>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</si>
  <si>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</si>
  <si>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</si>
  <si>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</si>
  <si>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</si>
  <si>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</si>
  <si>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</si>
  <si>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</si>
  <si>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</si>
  <si>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</si>
  <si>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</si>
  <si>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</si>
  <si>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</si>
  <si>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</si>
  <si>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</si>
  <si>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</si>
  <si>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</si>
  <si>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</si>
  <si>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</si>
  <si>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</si>
  <si>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</si>
  <si>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</si>
  <si>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</si>
  <si>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</si>
  <si>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</si>
  <si>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</si>
  <si>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</si>
  <si>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</si>
  <si>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</si>
  <si>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</si>
  <si>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</si>
  <si>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</si>
  <si>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</si>
  <si>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</si>
  <si>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</si>
  <si>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</si>
  <si>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</si>
  <si>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</si>
  <si>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</si>
  <si>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</si>
  <si>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</si>
  <si>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</si>
  <si>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</si>
  <si>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A09111</t>
    <phoneticPr fontId="0" type="Hiragana"/>
  </si>
  <si>
    <t>A09112</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</si>
  <si>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</si>
  <si>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</si>
  <si>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</si>
  <si>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</si>
  <si>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</si>
  <si>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</si>
  <si>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</si>
  <si>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</si>
  <si>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</si>
  <si>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</si>
  <si>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</si>
  <si>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</si>
  <si>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</si>
  <si>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</si>
  <si>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</si>
  <si>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</si>
  <si>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</si>
  <si>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</si>
  <si>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</si>
  <si>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</si>
  <si>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</si>
  <si>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</si>
  <si>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</si>
  <si>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</si>
  <si>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</si>
  <si>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</si>
  <si>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</si>
  <si>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</si>
  <si>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</si>
  <si>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</si>
  <si>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</si>
  <si>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</si>
  <si>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</si>
  <si>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</si>
  <si>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</si>
  <si>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</si>
  <si>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</si>
  <si>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</si>
  <si>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</si>
  <si>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</si>
  <si>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</si>
  <si>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</si>
  <si>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</si>
  <si>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</si>
  <si>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</si>
  <si>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</si>
  <si>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</si>
  <si>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</si>
  <si>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</si>
  <si>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</si>
  <si>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</si>
  <si>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</si>
  <si>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</si>
  <si>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</si>
  <si>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</si>
  <si>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</si>
  <si>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</si>
  <si>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</si>
  <si>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</si>
  <si>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</si>
  <si>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</si>
  <si>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</si>
  <si>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</si>
  <si>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</si>
  <si>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</si>
  <si>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</si>
  <si>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</si>
  <si>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</si>
  <si>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</si>
  <si>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</si>
  <si>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</si>
  <si>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</si>
  <si>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</si>
  <si>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</si>
  <si>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</si>
  <si>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</si>
  <si>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</si>
  <si>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</si>
  <si>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</si>
  <si>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</si>
  <si>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</si>
  <si>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</si>
  <si>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</si>
  <si>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</si>
  <si>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</si>
  <si>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</si>
  <si>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</si>
  <si>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</si>
  <si>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</si>
  <si>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</si>
  <si>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</si>
  <si>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</si>
  <si>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</si>
  <si>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</si>
  <si>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</si>
  <si>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</si>
  <si>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</si>
  <si>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</si>
  <si>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</si>
  <si>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</si>
  <si>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</si>
  <si>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</si>
  <si>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</si>
  <si>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</si>
  <si>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</si>
  <si>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</si>
  <si>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</si>
  <si>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</si>
  <si>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</si>
  <si>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</si>
  <si>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</si>
  <si>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</si>
  <si>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</si>
  <si>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</si>
  <si>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</si>
  <si>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</si>
  <si>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</si>
  <si>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</si>
  <si>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</si>
  <si>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</si>
  <si>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</si>
  <si>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</si>
  <si>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</si>
  <si>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A11202</t>
    <phoneticPr fontId="0" type="Hiragana"/>
  </si>
  <si>
    <t>A11106</t>
  </si>
  <si>
    <t>A11107</t>
  </si>
  <si>
    <t>116/06/23</t>
  </si>
  <si>
    <t>121/06/30</t>
  </si>
  <si>
    <t>141/05/20</t>
  </si>
  <si>
    <t>A11105</t>
  </si>
  <si>
    <t>A11106</t>
    <phoneticPr fontId="0" type="Hiragana"/>
  </si>
  <si>
    <t>A11107</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</si>
  <si>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</si>
  <si>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</si>
  <si>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</si>
  <si>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</si>
  <si>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</si>
  <si>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</si>
  <si>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</si>
  <si>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</si>
  <si>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</si>
  <si>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</si>
  <si>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</si>
  <si>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</si>
  <si>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</si>
  <si>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</si>
  <si>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</si>
  <si>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</si>
  <si>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</si>
  <si>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</si>
  <si>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</si>
  <si>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</si>
  <si>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</si>
  <si>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</si>
  <si>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</si>
  <si>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</si>
  <si>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</si>
  <si>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</si>
  <si>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</si>
  <si>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</si>
  <si>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</si>
  <si>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</si>
  <si>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</si>
  <si>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</si>
  <si>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</si>
  <si>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</si>
  <si>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</si>
  <si>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</si>
  <si>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</si>
  <si>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</si>
  <si>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</si>
  <si>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</si>
  <si>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</si>
  <si>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</si>
  <si>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</si>
  <si>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</si>
  <si>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</si>
  <si>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</si>
  <si>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</si>
  <si>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</si>
  <si>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</si>
  <si>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</si>
  <si>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</si>
  <si>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</si>
  <si>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</si>
  <si>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</si>
  <si>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A12101</t>
    <phoneticPr fontId="0" type="Hiragana"/>
  </si>
  <si>
    <t>A12201</t>
    <phoneticPr fontId="0" type="Hiragana"/>
  </si>
  <si>
    <t>A12102</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</si>
  <si>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</si>
  <si>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</si>
  <si>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</si>
  <si>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</si>
  <si>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</si>
  <si>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</si>
  <si>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</si>
  <si>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</si>
  <si>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A12105</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</si>
  <si>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</si>
  <si>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</si>
  <si>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</si>
  <si>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</si>
  <si>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</si>
  <si>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A12109</t>
    <phoneticPr fontId="0" type="Hiragana"/>
  </si>
  <si>
    <t>剩餘
年限</t>
    <phoneticPr fontId="12" type="noConversion"/>
  </si>
  <si>
    <t>DY</t>
  </si>
  <si>
    <r>
      <t>平均</t>
    </r>
    <r>
      <rPr>
        <sz val="6"/>
        <rFont val="新細明體"/>
        <family val="1"/>
        <charset val="136"/>
      </rPr>
      <t xml:space="preserve">
</t>
    </r>
    <r>
      <rPr>
        <sz val="8"/>
        <rFont val="新細明體"/>
        <family val="1"/>
        <charset val="136"/>
      </rPr>
      <t>Volume-Weighted
Average</t>
    </r>
    <phoneticPr fontId="10" type="noConversion"/>
  </si>
  <si>
    <t>Count</t>
  </si>
  <si>
    <t>行業別</t>
  </si>
  <si>
    <t>賣超面額(元)</t>
  </si>
  <si>
    <t>112/11/23</t>
  </si>
  <si>
    <t>113/01/14</t>
  </si>
  <si>
    <t>113/02/10</t>
  </si>
  <si>
    <t>113/03/03</t>
  </si>
  <si>
    <t>A12108</t>
  </si>
  <si>
    <t>113/03/31</t>
  </si>
  <si>
    <t>113/07/17</t>
  </si>
  <si>
    <t>銀行</t>
    <phoneticPr fontId="10" type="noConversion"/>
  </si>
  <si>
    <t>113/09/26</t>
  </si>
  <si>
    <t>113/11/18</t>
  </si>
  <si>
    <t>114/01/10</t>
  </si>
  <si>
    <t>114/02/25</t>
  </si>
  <si>
    <t>114/02/23</t>
  </si>
  <si>
    <t>114/03/13</t>
  </si>
  <si>
    <t>114/07/17</t>
  </si>
  <si>
    <t>114/09/11</t>
  </si>
  <si>
    <t>114/12/08</t>
  </si>
  <si>
    <t>A12106</t>
  </si>
  <si>
    <t>117/05/26</t>
  </si>
  <si>
    <t>117/09/15</t>
  </si>
  <si>
    <t>A12107</t>
  </si>
  <si>
    <t>122/06/09</t>
  </si>
  <si>
    <t>A12109</t>
  </si>
  <si>
    <t>132/09/22</t>
  </si>
  <si>
    <t>A12105</t>
  </si>
  <si>
    <t>142/05/12</t>
  </si>
  <si>
    <t>-</t>
  </si>
  <si>
    <t>理論殖利率</t>
    <phoneticPr fontId="0" type="Hiragana"/>
  </si>
  <si>
    <t>債券代號</t>
    <phoneticPr fontId="1" type="noConversion"/>
  </si>
  <si>
    <t>指標利率</t>
    <phoneticPr fontId="0" type="Hiragana"/>
  </si>
  <si>
    <t>升降幅</t>
    <phoneticPr fontId="1" type="noConversion"/>
  </si>
  <si>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</si>
  <si>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</si>
  <si>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</si>
  <si>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</si>
  <si>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</si>
  <si>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</si>
  <si>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</si>
  <si>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</si>
  <si>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</si>
  <si>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</si>
  <si>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</si>
  <si>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票面</t>
    <phoneticPr fontId="10" type="noConversion"/>
  </si>
  <si>
    <r>
      <t xml:space="preserve">最低
</t>
    </r>
    <r>
      <rPr>
        <sz val="10"/>
        <rFont val="Times New Roman"/>
        <family val="1"/>
      </rPr>
      <t>Lowest</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</si>
  <si>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</si>
  <si>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</si>
  <si>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</si>
  <si>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證券</t>
    <phoneticPr fontId="10" type="noConversion"/>
  </si>
  <si>
    <t>B638BH</t>
  </si>
  <si>
    <t>P12聯電1</t>
  </si>
  <si>
    <t>理論價</t>
    <phoneticPr fontId="1" type="noConversion"/>
  </si>
  <si>
    <t>100央債甲2</t>
  </si>
  <si>
    <t>101央債乙1</t>
  </si>
  <si>
    <t>102央債甲9</t>
  </si>
  <si>
    <t>103央債甲3</t>
  </si>
  <si>
    <t>103央債甲5</t>
  </si>
  <si>
    <t>103央甲11</t>
  </si>
  <si>
    <t>103央甲14</t>
  </si>
  <si>
    <t>104央債甲2</t>
  </si>
  <si>
    <t>104央債甲7</t>
  </si>
  <si>
    <t>105央債甲2</t>
  </si>
  <si>
    <t>105央債甲4</t>
  </si>
  <si>
    <t>105央債甲9</t>
  </si>
  <si>
    <t>105央甲11</t>
  </si>
  <si>
    <t>106央債甲4</t>
  </si>
  <si>
    <t>106央債甲9</t>
  </si>
  <si>
    <t>106央甲11</t>
  </si>
  <si>
    <t>107央債甲3</t>
  </si>
  <si>
    <t>107央債甲8</t>
  </si>
  <si>
    <t>107央甲10</t>
  </si>
  <si>
    <t>108央債甲4</t>
  </si>
  <si>
    <t>108央甲10</t>
  </si>
  <si>
    <t>109央債甲3</t>
  </si>
  <si>
    <t>109央債甲5</t>
  </si>
  <si>
    <t>109央債甲8</t>
  </si>
  <si>
    <t>110央債甲2</t>
  </si>
  <si>
    <t>110央債甲5</t>
  </si>
  <si>
    <t>110央債甲8</t>
  </si>
  <si>
    <t>110央甲12</t>
  </si>
  <si>
    <t>110央債乙2</t>
  </si>
  <si>
    <t>111央債甲3</t>
  </si>
  <si>
    <t>111央甲11</t>
  </si>
  <si>
    <t>112央債乙1</t>
  </si>
  <si>
    <t>93央債甲六</t>
  </si>
  <si>
    <t>95央債甲二</t>
  </si>
  <si>
    <t>96央債甲7</t>
  </si>
  <si>
    <t>98央債甲2</t>
  </si>
  <si>
    <t>99央債甲4</t>
  </si>
  <si>
    <t>各期次債券公平價格
Government Bonds Fair Value</t>
    <phoneticPr fontId="2" type="noConversion"/>
  </si>
  <si>
    <t>日期 Date：112/09/26</t>
    <phoneticPr fontId="2" type="noConversion"/>
  </si>
  <si>
    <t>債券代號
Bond Code</t>
    <phoneticPr fontId="10"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</si>
  <si>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</si>
  <si>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</si>
  <si>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10" type="noConversion"/>
  </si>
  <si>
    <r>
      <t xml:space="preserve">存續期間
</t>
    </r>
    <r>
      <rPr>
        <sz val="8"/>
        <rFont val="Times New Roman"/>
        <family val="1"/>
      </rPr>
      <t>Duration</t>
    </r>
    <phoneticPr fontId="10" type="noConversion"/>
  </si>
  <si>
    <r>
      <t>票面利率</t>
    </r>
    <r>
      <rPr>
        <sz val="8"/>
        <rFont val="Times New Roman"/>
        <family val="1"/>
      </rPr>
      <t>(%)
Coupon
Rate(%)</t>
    </r>
    <phoneticPr fontId="10" type="noConversion"/>
  </si>
  <si>
    <t>每年付/計
息次數
Coupon /
Compound Frequency</t>
    <phoneticPr fontId="10"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</si>
  <si>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</si>
  <si>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</si>
  <si>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</si>
  <si>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</si>
  <si>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</si>
  <si>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</si>
  <si>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</si>
  <si>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10"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</si>
  <si>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10" type="noConversion"/>
  </si>
  <si>
    <r>
      <t>理論
殖利率</t>
    </r>
    <r>
      <rPr>
        <sz val="8"/>
        <rFont val="Times New Roman"/>
        <family val="1"/>
      </rPr>
      <t xml:space="preserve">
Theoretical 
Yield %</t>
    </r>
    <phoneticPr fontId="10" type="noConversion"/>
  </si>
  <si>
    <r>
      <t>理論價</t>
    </r>
    <r>
      <rPr>
        <sz val="8"/>
        <rFont val="Times New Roman"/>
        <family val="1"/>
      </rPr>
      <t>(</t>
    </r>
    <r>
      <rPr>
        <sz val="8"/>
        <rFont val="細明體"/>
        <family val="3"/>
        <charset val="136"/>
      </rPr>
      <t>元</t>
    </r>
    <r>
      <rPr>
        <sz val="8"/>
        <rFont val="Times New Roman"/>
        <family val="1"/>
      </rPr>
      <t>)
Theoretical
Price (NT)</t>
    </r>
    <phoneticPr fontId="10" type="noConversion"/>
  </si>
  <si>
    <t>107央甲11</t>
  </si>
  <si>
    <t>112/11/23</t>
    <phoneticPr fontId="10" type="noConversion"/>
  </si>
  <si>
    <t>1 / 1</t>
  </si>
  <si>
    <t>108央債甲1</t>
  </si>
  <si>
    <t>113/01/14</t>
    <phoneticPr fontId="10" type="noConversion"/>
  </si>
  <si>
    <t>93央債甲三</t>
  </si>
  <si>
    <t>113/02/10</t>
    <phoneticPr fontId="10" type="noConversion"/>
  </si>
  <si>
    <t>103央債甲6</t>
  </si>
  <si>
    <t>113/03/03</t>
    <phoneticPr fontId="10" type="noConversion"/>
  </si>
  <si>
    <t>111央債乙2</t>
  </si>
  <si>
    <t>113/03/31</t>
    <phoneticPr fontId="10" type="noConversion"/>
  </si>
  <si>
    <t>108央債甲7</t>
  </si>
  <si>
    <t>113/07/17</t>
    <phoneticPr fontId="10" type="noConversion"/>
  </si>
  <si>
    <t>103央甲13</t>
  </si>
  <si>
    <t>113/09/26</t>
    <phoneticPr fontId="10" type="noConversion"/>
  </si>
  <si>
    <t>93央債甲九</t>
  </si>
  <si>
    <t>113/11/18</t>
    <phoneticPr fontId="10" type="noConversion"/>
  </si>
  <si>
    <t>109央債甲1</t>
  </si>
  <si>
    <t>114/01/10</t>
    <phoneticPr fontId="10" type="noConversion"/>
  </si>
  <si>
    <t>94央債甲三</t>
  </si>
  <si>
    <t>114/02/25</t>
    <phoneticPr fontId="10" type="noConversion"/>
  </si>
  <si>
    <t>112央債甲3</t>
  </si>
  <si>
    <t>114/02/23</t>
    <phoneticPr fontId="10" type="noConversion"/>
  </si>
  <si>
    <t>104央債甲5</t>
  </si>
  <si>
    <t>114/03/13</t>
    <phoneticPr fontId="10" type="noConversion"/>
  </si>
  <si>
    <t>109央債甲7</t>
  </si>
  <si>
    <t>114/07/17</t>
    <phoneticPr fontId="10" type="noConversion"/>
  </si>
  <si>
    <t>104央甲12</t>
  </si>
  <si>
    <t>114/09/11</t>
    <phoneticPr fontId="10" type="noConversion"/>
  </si>
  <si>
    <t>109央甲12</t>
  </si>
  <si>
    <t>114/12/08</t>
    <phoneticPr fontId="10" type="noConversion"/>
  </si>
  <si>
    <t>110央債甲1</t>
  </si>
  <si>
    <t>115/01/13</t>
    <phoneticPr fontId="10" type="noConversion"/>
  </si>
  <si>
    <t>115/02/24</t>
    <phoneticPr fontId="10" type="noConversion"/>
  </si>
  <si>
    <t>115/03/04</t>
    <phoneticPr fontId="10" type="noConversion"/>
  </si>
  <si>
    <t>115/07/29</t>
    <phoneticPr fontId="10" type="noConversion"/>
  </si>
  <si>
    <t>115/09/07</t>
    <phoneticPr fontId="10" type="noConversion"/>
  </si>
  <si>
    <t>95央債甲7</t>
  </si>
  <si>
    <t>115/11/10</t>
    <phoneticPr fontId="10" type="noConversion"/>
  </si>
  <si>
    <t>96央債甲2</t>
  </si>
  <si>
    <t>116/02/14</t>
    <phoneticPr fontId="10" type="noConversion"/>
  </si>
  <si>
    <t>116/03/01</t>
    <phoneticPr fontId="10" type="noConversion"/>
  </si>
  <si>
    <t>116/02/24</t>
    <phoneticPr fontId="10" type="noConversion"/>
  </si>
  <si>
    <t>111央債甲6</t>
  </si>
  <si>
    <t>116/06/23</t>
    <phoneticPr fontId="10" type="noConversion"/>
  </si>
  <si>
    <t>116/11/16</t>
    <phoneticPr fontId="10" type="noConversion"/>
  </si>
  <si>
    <t>111央債甲8</t>
  </si>
  <si>
    <t>116/09/23</t>
    <phoneticPr fontId="10" type="noConversion"/>
  </si>
  <si>
    <t>116/09/20</t>
    <phoneticPr fontId="10" type="noConversion"/>
  </si>
  <si>
    <t>102央債甲1</t>
  </si>
  <si>
    <t>117/01/09</t>
    <phoneticPr fontId="10" type="noConversion"/>
  </si>
  <si>
    <t>97央債甲2</t>
  </si>
  <si>
    <t>117/02/14</t>
    <phoneticPr fontId="10" type="noConversion"/>
  </si>
  <si>
    <t>112央債甲1</t>
  </si>
  <si>
    <t>117/01/17</t>
    <phoneticPr fontId="10" type="noConversion"/>
  </si>
  <si>
    <t>107央債甲2</t>
  </si>
  <si>
    <t>117/02/08</t>
    <phoneticPr fontId="10" type="noConversion"/>
  </si>
  <si>
    <t>112央債甲6</t>
  </si>
  <si>
    <t>117/05/26</t>
    <phoneticPr fontId="10" type="noConversion"/>
  </si>
  <si>
    <t>107央債甲5</t>
  </si>
  <si>
    <t>117/06/08</t>
    <phoneticPr fontId="10" type="noConversion"/>
  </si>
  <si>
    <t>97央債甲5</t>
  </si>
  <si>
    <t>117/08/14</t>
    <phoneticPr fontId="10" type="noConversion"/>
  </si>
  <si>
    <t>112央債甲8</t>
  </si>
  <si>
    <t>117/09/15</t>
    <phoneticPr fontId="10" type="noConversion"/>
  </si>
  <si>
    <t>117/08/20</t>
    <phoneticPr fontId="10" type="noConversion"/>
  </si>
  <si>
    <t>107央債甲9</t>
  </si>
  <si>
    <t>117/10/17</t>
    <phoneticPr fontId="10" type="noConversion"/>
  </si>
  <si>
    <t>118/02/16</t>
    <phoneticPr fontId="10" type="noConversion"/>
  </si>
  <si>
    <t>108央債甲3</t>
  </si>
  <si>
    <t>118/02/13</t>
    <phoneticPr fontId="10" type="noConversion"/>
  </si>
  <si>
    <t>98央債甲5</t>
  </si>
  <si>
    <t>118/08/13</t>
    <phoneticPr fontId="10" type="noConversion"/>
  </si>
  <si>
    <t>108央債甲6</t>
  </si>
  <si>
    <t>118/06/26</t>
    <phoneticPr fontId="10" type="noConversion"/>
  </si>
  <si>
    <t>108央債甲9</t>
  </si>
  <si>
    <t>118/10/14</t>
    <phoneticPr fontId="10" type="noConversion"/>
  </si>
  <si>
    <t>119/02/22</t>
    <phoneticPr fontId="10" type="noConversion"/>
  </si>
  <si>
    <t>119/02/21</t>
    <phoneticPr fontId="10" type="noConversion"/>
  </si>
  <si>
    <t>99央債甲7</t>
  </si>
  <si>
    <t>119/08/12</t>
    <phoneticPr fontId="10" type="noConversion"/>
  </si>
  <si>
    <t>109央債甲6</t>
  </si>
  <si>
    <t>119/06/11</t>
    <phoneticPr fontId="10" type="noConversion"/>
  </si>
  <si>
    <t>120/01/13</t>
    <phoneticPr fontId="10" type="noConversion"/>
  </si>
  <si>
    <t>109央債甲9</t>
  </si>
  <si>
    <t>119/10/14</t>
    <phoneticPr fontId="10" type="noConversion"/>
  </si>
  <si>
    <t>90央債甲五</t>
  </si>
  <si>
    <t>120/07/17</t>
    <phoneticPr fontId="10" type="noConversion"/>
  </si>
  <si>
    <t>100央債乙1</t>
  </si>
  <si>
    <t>120/05/26</t>
    <phoneticPr fontId="10" type="noConversion"/>
  </si>
  <si>
    <t>110央債甲3</t>
  </si>
  <si>
    <t>120/02/22</t>
    <phoneticPr fontId="10" type="noConversion"/>
  </si>
  <si>
    <t>100央債甲7</t>
  </si>
  <si>
    <t>120/08/02</t>
    <phoneticPr fontId="10" type="noConversion"/>
  </si>
  <si>
    <t>110央債乙1</t>
  </si>
  <si>
    <t>120/05/07</t>
    <phoneticPr fontId="10" type="noConversion"/>
  </si>
  <si>
    <t>110央債甲7</t>
  </si>
  <si>
    <t>120/06/23</t>
    <phoneticPr fontId="10" type="noConversion"/>
  </si>
  <si>
    <t>101央債甲2</t>
  </si>
  <si>
    <t>121/01/20</t>
    <phoneticPr fontId="10" type="noConversion"/>
  </si>
  <si>
    <t>110央甲11</t>
  </si>
  <si>
    <t>120/10/22</t>
    <phoneticPr fontId="10" type="noConversion"/>
  </si>
  <si>
    <t>121/03/16</t>
    <phoneticPr fontId="10" type="noConversion"/>
  </si>
  <si>
    <t>111央債乙1</t>
  </si>
  <si>
    <t>121/01/10</t>
    <phoneticPr fontId="10" type="noConversion"/>
  </si>
  <si>
    <t>111央債甲2</t>
  </si>
  <si>
    <t>121/02/18</t>
    <phoneticPr fontId="10" type="noConversion"/>
  </si>
  <si>
    <t>111央債甲7</t>
  </si>
  <si>
    <t>121/06/30</t>
    <phoneticPr fontId="10" type="noConversion"/>
  </si>
  <si>
    <t>111央甲10</t>
  </si>
  <si>
    <t>121/10/17</t>
    <phoneticPr fontId="10" type="noConversion"/>
  </si>
  <si>
    <t>101央債甲7</t>
  </si>
  <si>
    <t>121/08/10</t>
    <phoneticPr fontId="10" type="noConversion"/>
  </si>
  <si>
    <t>102央債甲3</t>
  </si>
  <si>
    <t>122/01/28</t>
    <phoneticPr fontId="10" type="noConversion"/>
  </si>
  <si>
    <t>122/01/10</t>
    <phoneticPr fontId="10" type="noConversion"/>
  </si>
  <si>
    <t>102央債乙1</t>
  </si>
  <si>
    <t>122/03/21</t>
    <phoneticPr fontId="10" type="noConversion"/>
  </si>
  <si>
    <t>112央債甲2</t>
  </si>
  <si>
    <t>122/02/17</t>
    <phoneticPr fontId="10" type="noConversion"/>
  </si>
  <si>
    <t>102央債甲8</t>
  </si>
  <si>
    <t>122/07/26</t>
    <phoneticPr fontId="10" type="noConversion"/>
  </si>
  <si>
    <t>123/05/27</t>
    <phoneticPr fontId="10" type="noConversion"/>
  </si>
  <si>
    <t>112央債甲7</t>
  </si>
  <si>
    <t>122/06/09</t>
    <phoneticPr fontId="10" type="noConversion"/>
  </si>
  <si>
    <t>A12110R</t>
  </si>
  <si>
    <t>112央甲10</t>
  </si>
  <si>
    <t>122/10/05</t>
    <phoneticPr fontId="10" type="noConversion"/>
  </si>
  <si>
    <t>123/01/29</t>
    <phoneticPr fontId="10" type="noConversion"/>
  </si>
  <si>
    <t>A12110</t>
  </si>
  <si>
    <t>103央債甲7</t>
  </si>
  <si>
    <t>123/04/25</t>
    <phoneticPr fontId="10" type="noConversion"/>
  </si>
  <si>
    <t>123/10/02</t>
    <phoneticPr fontId="10" type="noConversion"/>
  </si>
  <si>
    <t>123/07/31</t>
    <phoneticPr fontId="10" type="noConversion"/>
  </si>
  <si>
    <t>124/01/23</t>
    <phoneticPr fontId="10" type="noConversion"/>
  </si>
  <si>
    <t>124/04/15</t>
    <phoneticPr fontId="10" type="noConversion"/>
  </si>
  <si>
    <t>104央甲14</t>
  </si>
  <si>
    <t>124/10/26</t>
    <phoneticPr fontId="10" type="noConversion"/>
  </si>
  <si>
    <t>125/01/22</t>
    <phoneticPr fontId="10" type="noConversion"/>
  </si>
  <si>
    <t>105央債甲6</t>
  </si>
  <si>
    <t>125/04/08</t>
    <phoneticPr fontId="10" type="noConversion"/>
  </si>
  <si>
    <t>125/07/19</t>
    <phoneticPr fontId="10" type="noConversion"/>
  </si>
  <si>
    <t>106央債甲3</t>
  </si>
  <si>
    <t>126/02/20</t>
    <phoneticPr fontId="10" type="noConversion"/>
  </si>
  <si>
    <t>106央債甲8</t>
  </si>
  <si>
    <t>126/08/18</t>
    <phoneticPr fontId="10" type="noConversion"/>
  </si>
  <si>
    <t>127/03/13</t>
    <phoneticPr fontId="10" type="noConversion"/>
  </si>
  <si>
    <t>127/09/21</t>
    <phoneticPr fontId="10" type="noConversion"/>
  </si>
  <si>
    <t>99央債甲2</t>
  </si>
  <si>
    <t>129/01/28</t>
    <phoneticPr fontId="10" type="noConversion"/>
  </si>
  <si>
    <t>108央債甲2</t>
  </si>
  <si>
    <t>128/01/28</t>
    <phoneticPr fontId="10" type="noConversion"/>
  </si>
  <si>
    <t>128/03/04</t>
    <phoneticPr fontId="10" type="noConversion"/>
  </si>
  <si>
    <t>99央債甲9</t>
  </si>
  <si>
    <t>129/12/28</t>
    <phoneticPr fontId="10" type="noConversion"/>
  </si>
  <si>
    <t>100央債甲4</t>
  </si>
  <si>
    <t>130/02/22</t>
    <phoneticPr fontId="10" type="noConversion"/>
  </si>
  <si>
    <t>108央債甲8</t>
  </si>
  <si>
    <t>128/09/06</t>
    <phoneticPr fontId="10" type="noConversion"/>
  </si>
  <si>
    <t>109央債甲2</t>
  </si>
  <si>
    <t>129/01/17</t>
    <phoneticPr fontId="10" type="noConversion"/>
  </si>
  <si>
    <t>100央債甲8</t>
  </si>
  <si>
    <t>130/08/22</t>
    <phoneticPr fontId="10" type="noConversion"/>
  </si>
  <si>
    <t>109央債甲4</t>
  </si>
  <si>
    <t>129/03/09</t>
    <phoneticPr fontId="10" type="noConversion"/>
  </si>
  <si>
    <t>101央債甲4</t>
  </si>
  <si>
    <t>131/02/13</t>
    <phoneticPr fontId="10" type="noConversion"/>
  </si>
  <si>
    <t>111央債甲9</t>
  </si>
  <si>
    <t>131/09/30</t>
    <phoneticPr fontId="10" type="noConversion"/>
  </si>
  <si>
    <t>132/08/02</t>
    <phoneticPr fontId="10" type="noConversion"/>
  </si>
  <si>
    <t>129/09/18</t>
    <phoneticPr fontId="10" type="noConversion"/>
  </si>
  <si>
    <t>101央債甲8</t>
  </si>
  <si>
    <t>131/08/24</t>
    <phoneticPr fontId="10" type="noConversion"/>
  </si>
  <si>
    <t>130/01/29</t>
    <phoneticPr fontId="10" type="noConversion"/>
  </si>
  <si>
    <t>102央債甲5</t>
  </si>
  <si>
    <t>132/02/26</t>
    <phoneticPr fontId="10" type="noConversion"/>
  </si>
  <si>
    <t>109央甲13</t>
  </si>
  <si>
    <t>129/12/29</t>
    <phoneticPr fontId="10" type="noConversion"/>
  </si>
  <si>
    <t>111央債甲1</t>
  </si>
  <si>
    <t>131/01/18</t>
    <phoneticPr fontId="10" type="noConversion"/>
  </si>
  <si>
    <t>130/05/21</t>
    <phoneticPr fontId="10" type="noConversion"/>
  </si>
  <si>
    <t>133/02/26</t>
    <phoneticPr fontId="10" type="noConversion"/>
  </si>
  <si>
    <t>111央債甲4</t>
  </si>
  <si>
    <t>131/03/04</t>
    <phoneticPr fontId="10" type="noConversion"/>
  </si>
  <si>
    <t>130/11/12</t>
    <phoneticPr fontId="10" type="noConversion"/>
  </si>
  <si>
    <t>112央債甲4</t>
  </si>
  <si>
    <t>132/03/03</t>
    <phoneticPr fontId="10" type="noConversion"/>
  </si>
  <si>
    <t>110央甲10</t>
  </si>
  <si>
    <t>130/09/29</t>
    <phoneticPr fontId="10" type="noConversion"/>
  </si>
  <si>
    <t>103央甲16</t>
  </si>
  <si>
    <t>133/11/26</t>
    <phoneticPr fontId="10" type="noConversion"/>
  </si>
  <si>
    <t>103央甲12</t>
  </si>
  <si>
    <t>133/08/04</t>
    <phoneticPr fontId="10" type="noConversion"/>
  </si>
  <si>
    <t>104央債甲4</t>
  </si>
  <si>
    <t>134/02/13</t>
    <phoneticPr fontId="10" type="noConversion"/>
  </si>
  <si>
    <t>103央債甲8</t>
  </si>
  <si>
    <t>133/05/28</t>
    <phoneticPr fontId="10" type="noConversion"/>
  </si>
  <si>
    <t>104央債甲8</t>
  </si>
  <si>
    <t>134/05/15</t>
    <phoneticPr fontId="10" type="noConversion"/>
  </si>
  <si>
    <t>112央債甲9</t>
  </si>
  <si>
    <t>132/09/22</t>
    <phoneticPr fontId="10" type="noConversion"/>
  </si>
  <si>
    <t>104央甲11</t>
  </si>
  <si>
    <t>134/08/10</t>
    <phoneticPr fontId="10" type="noConversion"/>
  </si>
  <si>
    <t>105央甲14</t>
  </si>
  <si>
    <t>135/11/25</t>
    <phoneticPr fontId="10" type="noConversion"/>
  </si>
  <si>
    <t>105央債甲7</t>
  </si>
  <si>
    <t>135/05/20</t>
    <phoneticPr fontId="10" type="noConversion"/>
  </si>
  <si>
    <t>106央債甲6</t>
  </si>
  <si>
    <t>136/05/26</t>
    <phoneticPr fontId="10" type="noConversion"/>
  </si>
  <si>
    <t>105央甲10</t>
  </si>
  <si>
    <t>135/08/05</t>
    <phoneticPr fontId="10" type="noConversion"/>
  </si>
  <si>
    <t>136/11/24</t>
    <phoneticPr fontId="10" type="noConversion"/>
  </si>
  <si>
    <t>107央債甲4</t>
  </si>
  <si>
    <t>137/05/18</t>
    <phoneticPr fontId="10" type="noConversion"/>
  </si>
  <si>
    <t>137/11/09</t>
    <phoneticPr fontId="10" type="noConversion"/>
  </si>
  <si>
    <t>141/11/11</t>
    <phoneticPr fontId="10" type="noConversion"/>
  </si>
  <si>
    <t>108央債甲5</t>
  </si>
  <si>
    <t>138/05/17</t>
    <phoneticPr fontId="10" type="noConversion"/>
  </si>
  <si>
    <t>111央債甲5</t>
  </si>
  <si>
    <t>141/05/20</t>
    <phoneticPr fontId="10" type="noConversion"/>
  </si>
  <si>
    <t>138/11/08</t>
    <phoneticPr fontId="10" type="noConversion"/>
  </si>
  <si>
    <t>139/05/12</t>
    <phoneticPr fontId="10" type="noConversion"/>
  </si>
  <si>
    <t>110央甲13</t>
  </si>
  <si>
    <t>140/12/23</t>
    <phoneticPr fontId="10" type="noConversion"/>
  </si>
  <si>
    <t>112央債甲5</t>
  </si>
  <si>
    <t>142/05/12</t>
    <phoneticPr fontId="10" type="noConversion"/>
  </si>
  <si>
    <t>A12111</t>
  </si>
  <si>
    <t>112央甲11</t>
  </si>
  <si>
    <t>142/11/22</t>
    <phoneticPr fontId="10" type="noConversion"/>
  </si>
  <si>
    <t>110央債甲4</t>
  </si>
  <si>
    <t>140/02/25</t>
    <phoneticPr fontId="10" type="noConversion"/>
  </si>
  <si>
    <t>109央甲11</t>
  </si>
  <si>
    <t>139/11/27</t>
    <phoneticPr fontId="10"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</si>
  <si>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10"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</si>
  <si>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10"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</si>
  <si>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10"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</si>
  <si>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10"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</si>
  <si>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10" type="noConversion"/>
  </si>
  <si>
    <t>B903YX</t>
  </si>
  <si>
    <t>P12台電2B</t>
  </si>
  <si>
    <t>A08101</t>
    <phoneticPr fontId="1" type="noConversion"/>
  </si>
  <si>
    <r>
      <t xml:space="preserve">最高
</t>
    </r>
    <r>
      <rPr>
        <sz val="10"/>
        <rFont val="Times New Roman"/>
        <family val="1"/>
      </rPr>
      <t>Highest</t>
    </r>
    <phoneticPr fontId="10" type="noConversion"/>
  </si>
  <si>
    <t>等殖</t>
    <phoneticPr fontId="10" type="noConversion"/>
  </si>
  <si>
    <t>處所</t>
    <phoneticPr fontId="10" type="noConversion"/>
  </si>
  <si>
    <t>日期 Date：112/10/02</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</si>
  <si>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</si>
  <si>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</si>
  <si>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</si>
  <si>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</si>
  <si>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</si>
  <si>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</si>
  <si>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</si>
  <si>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Date：2023/10/02</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</si>
  <si>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</si>
  <si>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</si>
  <si>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</si>
  <si>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</si>
  <si>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</si>
  <si>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</si>
  <si>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</si>
  <si>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</si>
  <si>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112/11/23</t>
    <phoneticPr fontId="10" type="noConversion"/>
  </si>
  <si>
    <t>銀行</t>
    <phoneticPr fontId="10" type="noConversion"/>
  </si>
  <si>
    <t>113/01/14</t>
    <phoneticPr fontId="10" type="noConversion"/>
  </si>
  <si>
    <t>票券</t>
    <phoneticPr fontId="10" type="noConversion"/>
  </si>
  <si>
    <t>113/02/10</t>
    <phoneticPr fontId="10" type="noConversion"/>
  </si>
  <si>
    <t>證券</t>
    <phoneticPr fontId="10" type="noConversion"/>
  </si>
  <si>
    <t>113/03/03</t>
    <phoneticPr fontId="10" type="noConversion"/>
  </si>
  <si>
    <t>113/03/31</t>
    <phoneticPr fontId="10" type="noConversion"/>
  </si>
  <si>
    <t>113/07/17</t>
    <phoneticPr fontId="10" type="noConversion"/>
  </si>
  <si>
    <t>113/09/26</t>
    <phoneticPr fontId="10" type="noConversion"/>
  </si>
  <si>
    <t>票券</t>
    <phoneticPr fontId="10" type="noConversion"/>
  </si>
  <si>
    <t>113/11/18</t>
    <phoneticPr fontId="10" type="noConversion"/>
  </si>
  <si>
    <t>114/01/10</t>
    <phoneticPr fontId="10" type="noConversion"/>
  </si>
  <si>
    <t>B618BT</t>
  </si>
  <si>
    <t>114/02/25</t>
    <phoneticPr fontId="10" type="noConversion"/>
  </si>
  <si>
    <t>114/02/23</t>
    <phoneticPr fontId="10" type="noConversion"/>
  </si>
  <si>
    <t>B618C3</t>
  </si>
  <si>
    <t>114/03/13</t>
    <phoneticPr fontId="10" type="noConversion"/>
  </si>
  <si>
    <t>114/07/17</t>
    <phoneticPr fontId="10" type="noConversion"/>
  </si>
  <si>
    <t>114/09/11</t>
    <phoneticPr fontId="10" type="noConversion"/>
  </si>
  <si>
    <t>114/12/08</t>
    <phoneticPr fontId="10" type="noConversion"/>
  </si>
  <si>
    <t>B903YT</t>
  </si>
  <si>
    <t>115/01/13</t>
    <phoneticPr fontId="10" type="noConversion"/>
  </si>
  <si>
    <t>115/02/24</t>
    <phoneticPr fontId="10" type="noConversion"/>
  </si>
  <si>
    <t>G10163</t>
  </si>
  <si>
    <t>115/03/04</t>
    <phoneticPr fontId="10" type="noConversion"/>
  </si>
  <si>
    <t>115/07/29</t>
    <phoneticPr fontId="10" type="noConversion"/>
  </si>
  <si>
    <t>HB1001</t>
  </si>
  <si>
    <t>115/09/07</t>
    <phoneticPr fontId="10" type="noConversion"/>
  </si>
  <si>
    <t>115/11/10</t>
    <phoneticPr fontId="10" type="noConversion"/>
  </si>
  <si>
    <t>116/02/14</t>
    <phoneticPr fontId="10" type="noConversion"/>
  </si>
  <si>
    <t>116/03/01</t>
    <phoneticPr fontId="10" type="noConversion"/>
  </si>
  <si>
    <t>116/02/24</t>
    <phoneticPr fontId="10" type="noConversion"/>
  </si>
  <si>
    <t>116/06/23</t>
    <phoneticPr fontId="10" type="noConversion"/>
  </si>
  <si>
    <t>116/11/16</t>
    <phoneticPr fontId="10" type="noConversion"/>
  </si>
  <si>
    <t>116/09/23</t>
    <phoneticPr fontId="10" type="noConversion"/>
  </si>
  <si>
    <t>116/09/20</t>
    <phoneticPr fontId="10" type="noConversion"/>
  </si>
  <si>
    <t>117/01/09</t>
    <phoneticPr fontId="10" type="noConversion"/>
  </si>
  <si>
    <t>117/02/14</t>
    <phoneticPr fontId="10" type="noConversion"/>
  </si>
  <si>
    <t>117/01/17</t>
    <phoneticPr fontId="10" type="noConversion"/>
  </si>
  <si>
    <t>117/02/08</t>
    <phoneticPr fontId="10" type="noConversion"/>
  </si>
  <si>
    <t>117/05/26</t>
    <phoneticPr fontId="10" type="noConversion"/>
  </si>
  <si>
    <t>117/06/08</t>
    <phoneticPr fontId="10" type="noConversion"/>
  </si>
  <si>
    <t>117/08/14</t>
    <phoneticPr fontId="10" type="noConversion"/>
  </si>
  <si>
    <t>117/09/15</t>
    <phoneticPr fontId="10" type="noConversion"/>
  </si>
  <si>
    <t>117/08/20</t>
    <phoneticPr fontId="10" type="noConversion"/>
  </si>
  <si>
    <t>117/10/17</t>
    <phoneticPr fontId="10" type="noConversion"/>
  </si>
  <si>
    <t>118/02/16</t>
    <phoneticPr fontId="10" type="noConversion"/>
  </si>
  <si>
    <t>118/02/13</t>
    <phoneticPr fontId="10" type="noConversion"/>
  </si>
  <si>
    <t>118/08/13</t>
    <phoneticPr fontId="10" type="noConversion"/>
  </si>
  <si>
    <t>118/06/26</t>
    <phoneticPr fontId="10" type="noConversion"/>
  </si>
  <si>
    <t xml:space="preserve">  </t>
    <phoneticPr fontId="10" type="noConversion"/>
  </si>
  <si>
    <t>118/10/14</t>
    <phoneticPr fontId="10" type="noConversion"/>
  </si>
  <si>
    <t>119/02/22</t>
    <phoneticPr fontId="10" type="noConversion"/>
  </si>
  <si>
    <t>119/02/21</t>
    <phoneticPr fontId="10" type="noConversion"/>
  </si>
  <si>
    <t>119/08/12</t>
    <phoneticPr fontId="10" type="noConversion"/>
  </si>
  <si>
    <t>119/06/11</t>
    <phoneticPr fontId="10" type="noConversion"/>
  </si>
  <si>
    <t>120/01/13</t>
    <phoneticPr fontId="10" type="noConversion"/>
  </si>
  <si>
    <t>119/10/14</t>
    <phoneticPr fontId="10" type="noConversion"/>
  </si>
  <si>
    <t>120/07/17</t>
    <phoneticPr fontId="10" type="noConversion"/>
  </si>
  <si>
    <t>120/05/26</t>
    <phoneticPr fontId="10" type="noConversion"/>
  </si>
  <si>
    <t>120/02/22</t>
    <phoneticPr fontId="10" type="noConversion"/>
  </si>
  <si>
    <t>120/08/02</t>
    <phoneticPr fontId="10" type="noConversion"/>
  </si>
  <si>
    <t>120/05/07</t>
    <phoneticPr fontId="10" type="noConversion"/>
  </si>
  <si>
    <t>120/06/23</t>
    <phoneticPr fontId="10" type="noConversion"/>
  </si>
  <si>
    <t>121/01/20</t>
    <phoneticPr fontId="10" type="noConversion"/>
  </si>
  <si>
    <t>120/10/22</t>
    <phoneticPr fontId="10" type="noConversion"/>
  </si>
  <si>
    <t>121/03/16</t>
    <phoneticPr fontId="10" type="noConversion"/>
  </si>
  <si>
    <t>121/01/10</t>
    <phoneticPr fontId="10" type="noConversion"/>
  </si>
  <si>
    <t>121/02/18</t>
    <phoneticPr fontId="10" type="noConversion"/>
  </si>
  <si>
    <t>121/06/30</t>
    <phoneticPr fontId="10" type="noConversion"/>
  </si>
  <si>
    <t>121/10/17</t>
    <phoneticPr fontId="10" type="noConversion"/>
  </si>
  <si>
    <t>121/08/10</t>
    <phoneticPr fontId="10" type="noConversion"/>
  </si>
  <si>
    <t>122/01/28</t>
    <phoneticPr fontId="10" type="noConversion"/>
  </si>
  <si>
    <t>122/01/10</t>
    <phoneticPr fontId="10" type="noConversion"/>
  </si>
  <si>
    <t>122/03/21</t>
    <phoneticPr fontId="10" type="noConversion"/>
  </si>
  <si>
    <t>122/02/17</t>
    <phoneticPr fontId="10" type="noConversion"/>
  </si>
  <si>
    <t>122/07/26</t>
    <phoneticPr fontId="10" type="noConversion"/>
  </si>
  <si>
    <t>123/05/27</t>
    <phoneticPr fontId="10" type="noConversion"/>
  </si>
  <si>
    <t>122/06/09</t>
    <phoneticPr fontId="10" type="noConversion"/>
  </si>
  <si>
    <t>122/10/05</t>
    <phoneticPr fontId="10" type="noConversion"/>
  </si>
  <si>
    <t>123/01/29</t>
    <phoneticPr fontId="10" type="noConversion"/>
  </si>
  <si>
    <t>123/04/25</t>
    <phoneticPr fontId="10" type="noConversion"/>
  </si>
  <si>
    <t>123/07/31</t>
    <phoneticPr fontId="10" type="noConversion"/>
  </si>
  <si>
    <t>123/10/02</t>
    <phoneticPr fontId="10" type="noConversion"/>
  </si>
  <si>
    <t>124/01/23</t>
    <phoneticPr fontId="10" type="noConversion"/>
  </si>
  <si>
    <t>124/04/15</t>
    <phoneticPr fontId="10" type="noConversion"/>
  </si>
  <si>
    <t>124/10/26</t>
    <phoneticPr fontId="10" type="noConversion"/>
  </si>
  <si>
    <t>125/01/22</t>
    <phoneticPr fontId="10" type="noConversion"/>
  </si>
  <si>
    <t>125/04/08</t>
    <phoneticPr fontId="10" type="noConversion"/>
  </si>
  <si>
    <t>125/07/19</t>
    <phoneticPr fontId="10" type="noConversion"/>
  </si>
  <si>
    <t>126/02/20</t>
    <phoneticPr fontId="10" type="noConversion"/>
  </si>
  <si>
    <t>126/08/18</t>
    <phoneticPr fontId="10" type="noConversion"/>
  </si>
  <si>
    <t>127/03/13</t>
    <phoneticPr fontId="10" type="noConversion"/>
  </si>
  <si>
    <t>129/01/28</t>
    <phoneticPr fontId="10" type="noConversion"/>
  </si>
  <si>
    <t>127/09/21</t>
    <phoneticPr fontId="10" type="noConversion"/>
  </si>
  <si>
    <t>128/01/28</t>
    <phoneticPr fontId="10" type="noConversion"/>
  </si>
  <si>
    <t>128/03/04</t>
    <phoneticPr fontId="10" type="noConversion"/>
  </si>
  <si>
    <t>129/12/28</t>
    <phoneticPr fontId="10" type="noConversion"/>
  </si>
  <si>
    <t>130/02/22</t>
    <phoneticPr fontId="10" type="noConversion"/>
  </si>
  <si>
    <t>128/09/06</t>
    <phoneticPr fontId="10" type="noConversion"/>
  </si>
  <si>
    <t>129/01/17</t>
    <phoneticPr fontId="10" type="noConversion"/>
  </si>
  <si>
    <t>130/08/22</t>
    <phoneticPr fontId="10" type="noConversion"/>
  </si>
  <si>
    <t>129/03/09</t>
    <phoneticPr fontId="10" type="noConversion"/>
  </si>
  <si>
    <t>131/02/13</t>
    <phoneticPr fontId="10" type="noConversion"/>
  </si>
  <si>
    <t>132/08/02</t>
    <phoneticPr fontId="10" type="noConversion"/>
  </si>
  <si>
    <t>129/09/18</t>
    <phoneticPr fontId="10" type="noConversion"/>
  </si>
  <si>
    <t>131/09/30</t>
    <phoneticPr fontId="10" type="noConversion"/>
  </si>
  <si>
    <t>131/08/24</t>
    <phoneticPr fontId="10" type="noConversion"/>
  </si>
  <si>
    <t>130/01/29</t>
    <phoneticPr fontId="10" type="noConversion"/>
  </si>
  <si>
    <t>132/02/26</t>
    <phoneticPr fontId="10" type="noConversion"/>
  </si>
  <si>
    <t>129/12/29</t>
    <phoneticPr fontId="10" type="noConversion"/>
  </si>
  <si>
    <t>131/01/18</t>
    <phoneticPr fontId="10" type="noConversion"/>
  </si>
  <si>
    <t>130/05/21</t>
    <phoneticPr fontId="10" type="noConversion"/>
  </si>
  <si>
    <t>133/02/26</t>
    <phoneticPr fontId="10" type="noConversion"/>
  </si>
  <si>
    <t>131/03/04</t>
    <phoneticPr fontId="10" type="noConversion"/>
  </si>
  <si>
    <t>130/11/12</t>
    <phoneticPr fontId="10" type="noConversion"/>
  </si>
  <si>
    <t>132/03/03</t>
    <phoneticPr fontId="10" type="noConversion"/>
  </si>
  <si>
    <t>133/11/26</t>
    <phoneticPr fontId="10" type="noConversion"/>
  </si>
  <si>
    <t>133/08/04</t>
    <phoneticPr fontId="10" type="noConversion"/>
  </si>
  <si>
    <t>134/02/13</t>
    <phoneticPr fontId="10" type="noConversion"/>
  </si>
  <si>
    <t>130/09/29</t>
    <phoneticPr fontId="10" type="noConversion"/>
  </si>
  <si>
    <t>133/05/28</t>
    <phoneticPr fontId="10" type="noConversion"/>
  </si>
  <si>
    <t>134/05/15</t>
    <phoneticPr fontId="10" type="noConversion"/>
  </si>
  <si>
    <t>132/09/22</t>
    <phoneticPr fontId="10" type="noConversion"/>
  </si>
  <si>
    <t>134/08/10</t>
    <phoneticPr fontId="10" type="noConversion"/>
  </si>
  <si>
    <t>135/11/25</t>
    <phoneticPr fontId="10" type="noConversion"/>
  </si>
  <si>
    <t>135/05/20</t>
    <phoneticPr fontId="10" type="noConversion"/>
  </si>
  <si>
    <t>136/05/26</t>
    <phoneticPr fontId="10" type="noConversion"/>
  </si>
  <si>
    <t>135/08/05</t>
    <phoneticPr fontId="10" type="noConversion"/>
  </si>
  <si>
    <t>136/11/24</t>
    <phoneticPr fontId="10" type="noConversion"/>
  </si>
  <si>
    <t>137/05/18</t>
    <phoneticPr fontId="10" type="noConversion"/>
  </si>
  <si>
    <t>137/11/09</t>
    <phoneticPr fontId="10" type="noConversion"/>
  </si>
  <si>
    <t>141/11/11</t>
    <phoneticPr fontId="10" type="noConversion"/>
  </si>
  <si>
    <t>138/05/17</t>
    <phoneticPr fontId="10" type="noConversion"/>
  </si>
  <si>
    <t>141/05/20</t>
    <phoneticPr fontId="10" type="noConversion"/>
  </si>
  <si>
    <t>138/11/08</t>
    <phoneticPr fontId="10" type="noConversion"/>
  </si>
  <si>
    <t>139/05/12</t>
    <phoneticPr fontId="10" type="noConversion"/>
  </si>
  <si>
    <t>140/12/23</t>
    <phoneticPr fontId="10" type="noConversion"/>
  </si>
  <si>
    <t>142/05/12</t>
    <phoneticPr fontId="10" type="noConversion"/>
  </si>
  <si>
    <t>142/11/22</t>
    <phoneticPr fontId="10" type="noConversion"/>
  </si>
  <si>
    <t>140/02/25</t>
    <phoneticPr fontId="10" type="noConversion"/>
  </si>
  <si>
    <t>139/11/27</t>
    <phoneticPr fontId="10" type="noConversion"/>
  </si>
  <si>
    <t>P09台積3A</t>
  </si>
  <si>
    <t>P09台積6A</t>
  </si>
  <si>
    <t>P12台電1B</t>
  </si>
  <si>
    <t>110高市債1</t>
  </si>
  <si>
    <t>P08上海1B</t>
  </si>
  <si>
    <t>A12110</t>
    <phoneticPr fontId="1" type="noConversion"/>
  </si>
  <si>
    <t>A12110R</t>
    <phoneticPr fontId="1" type="noConversion"/>
  </si>
  <si>
    <t>A12111</t>
    <phoneticPr fontId="1" type="noConversion"/>
  </si>
  <si>
    <t>等殖</t>
    <phoneticPr fontId="10" type="noConversion"/>
  </si>
  <si>
    <t>處所</t>
    <phoneticPr fontId="10" type="noConversion"/>
  </si>
  <si>
    <t>日期 Date：112/10/03</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</si>
  <si>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</si>
  <si>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</si>
  <si>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</si>
  <si>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</si>
  <si>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</si>
  <si>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殖利率</t>
    </r>
    <r>
      <rPr>
        <sz val="10"/>
        <rFont val="Times New Roman"/>
        <family val="1"/>
      </rPr>
      <t>(%)
Yield</t>
    </r>
    <phoneticPr fontId="12" type="noConversion"/>
  </si>
  <si>
    <t>總筆數</t>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</si>
  <si>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</si>
  <si>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理論
殖利率</t>
    </r>
    <r>
      <rPr>
        <sz val="8"/>
        <rFont val="Times New Roman"/>
        <family val="1"/>
      </rPr>
      <t xml:space="preserve">
Theoretical 
Yield %</t>
    </r>
    <phoneticPr fontId="10" type="noConversion"/>
  </si>
  <si>
    <t>日期 Date：2023/10/03</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</si>
  <si>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</si>
  <si>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</si>
  <si>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</si>
  <si>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</si>
  <si>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</si>
  <si>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</si>
  <si>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</si>
  <si>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</si>
  <si>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</si>
  <si>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</si>
  <si>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</si>
  <si>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</si>
  <si>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銀行</t>
    <phoneticPr fontId="10" type="noConversion"/>
  </si>
  <si>
    <t>證券</t>
    <phoneticPr fontId="10" type="noConversion"/>
  </si>
  <si>
    <t>銀行</t>
    <phoneticPr fontId="10" type="noConversion"/>
  </si>
  <si>
    <t>B92353</t>
  </si>
  <si>
    <t>證券</t>
    <phoneticPr fontId="10" type="noConversion"/>
  </si>
  <si>
    <t>B98903</t>
  </si>
  <si>
    <t>122/10/05</t>
  </si>
  <si>
    <t>142/11/22</t>
  </si>
  <si>
    <t>P08遠鼎1</t>
  </si>
  <si>
    <t>P08國泰金1</t>
  </si>
  <si>
    <t>等殖</t>
    <phoneticPr fontId="10" type="noConversion"/>
  </si>
  <si>
    <t>處所</t>
    <phoneticPr fontId="10" type="noConversion"/>
  </si>
  <si>
    <t>日期 Date：112/10/04</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</si>
  <si>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</si>
  <si>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</si>
  <si>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</si>
  <si>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</si>
  <si>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</si>
  <si>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</si>
  <si>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</si>
  <si>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Date：2023/10/04</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</si>
  <si>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</si>
  <si>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</si>
  <si>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</si>
  <si>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</si>
  <si>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</si>
  <si>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</si>
  <si>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</si>
  <si>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</si>
  <si>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</si>
  <si>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</si>
  <si>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112/11/23</t>
    <phoneticPr fontId="10" type="noConversion"/>
  </si>
  <si>
    <t>銀行</t>
    <phoneticPr fontId="10" type="noConversion"/>
  </si>
  <si>
    <t>113/01/14</t>
    <phoneticPr fontId="10" type="noConversion"/>
  </si>
  <si>
    <t>證券</t>
    <phoneticPr fontId="10" type="noConversion"/>
  </si>
  <si>
    <t>113/02/10</t>
    <phoneticPr fontId="10" type="noConversion"/>
  </si>
  <si>
    <t>113/03/03</t>
    <phoneticPr fontId="10" type="noConversion"/>
  </si>
  <si>
    <t>證券</t>
    <phoneticPr fontId="10" type="noConversion"/>
  </si>
  <si>
    <t>113/03/31</t>
    <phoneticPr fontId="10" type="noConversion"/>
  </si>
  <si>
    <t>銀行</t>
    <phoneticPr fontId="10" type="noConversion"/>
  </si>
  <si>
    <t>113/07/17</t>
    <phoneticPr fontId="10" type="noConversion"/>
  </si>
  <si>
    <t>票券</t>
    <phoneticPr fontId="10" type="noConversion"/>
  </si>
  <si>
    <t>113/09/26</t>
    <phoneticPr fontId="10" type="noConversion"/>
  </si>
  <si>
    <t>113/11/18</t>
    <phoneticPr fontId="10" type="noConversion"/>
  </si>
  <si>
    <t>票券</t>
    <phoneticPr fontId="10" type="noConversion"/>
  </si>
  <si>
    <t>114/01/10</t>
    <phoneticPr fontId="10" type="noConversion"/>
  </si>
  <si>
    <t>114/02/25</t>
    <phoneticPr fontId="10" type="noConversion"/>
  </si>
  <si>
    <t>114/02/23</t>
    <phoneticPr fontId="10" type="noConversion"/>
  </si>
  <si>
    <t>114/03/13</t>
    <phoneticPr fontId="10" type="noConversion"/>
  </si>
  <si>
    <t>114/07/17</t>
    <phoneticPr fontId="10" type="noConversion"/>
  </si>
  <si>
    <t>114/09/11</t>
    <phoneticPr fontId="10" type="noConversion"/>
  </si>
  <si>
    <t>114/12/08</t>
    <phoneticPr fontId="10" type="noConversion"/>
  </si>
  <si>
    <t>115/01/13</t>
    <phoneticPr fontId="10" type="noConversion"/>
  </si>
  <si>
    <t>115/02/24</t>
    <phoneticPr fontId="10" type="noConversion"/>
  </si>
  <si>
    <t>115/03/04</t>
    <phoneticPr fontId="10" type="noConversion"/>
  </si>
  <si>
    <t>115/07/29</t>
    <phoneticPr fontId="10" type="noConversion"/>
  </si>
  <si>
    <t>115/09/07</t>
    <phoneticPr fontId="10" type="noConversion"/>
  </si>
  <si>
    <t>B401DJ</t>
  </si>
  <si>
    <t>115/11/10</t>
    <phoneticPr fontId="10" type="noConversion"/>
  </si>
  <si>
    <t>116/02/14</t>
    <phoneticPr fontId="10" type="noConversion"/>
  </si>
  <si>
    <t>B64614</t>
  </si>
  <si>
    <t>116/03/01</t>
    <phoneticPr fontId="10" type="noConversion"/>
  </si>
  <si>
    <t>116/02/24</t>
    <phoneticPr fontId="10" type="noConversion"/>
  </si>
  <si>
    <t>B702AK</t>
  </si>
  <si>
    <t>116/06/23</t>
    <phoneticPr fontId="10" type="noConversion"/>
  </si>
  <si>
    <t>116/11/16</t>
    <phoneticPr fontId="10" type="noConversion"/>
  </si>
  <si>
    <t>B801AQ</t>
  </si>
  <si>
    <t>116/09/23</t>
    <phoneticPr fontId="10" type="noConversion"/>
  </si>
  <si>
    <t>B97846</t>
  </si>
  <si>
    <t>116/09/20</t>
    <phoneticPr fontId="10" type="noConversion"/>
  </si>
  <si>
    <t>117/01/09</t>
    <phoneticPr fontId="10" type="noConversion"/>
  </si>
  <si>
    <t>B97855</t>
  </si>
  <si>
    <t>117/02/14</t>
    <phoneticPr fontId="10" type="noConversion"/>
  </si>
  <si>
    <t>117/01/17</t>
    <phoneticPr fontId="10" type="noConversion"/>
  </si>
  <si>
    <t>117/02/08</t>
    <phoneticPr fontId="10" type="noConversion"/>
  </si>
  <si>
    <t>117/05/26</t>
    <phoneticPr fontId="10" type="noConversion"/>
  </si>
  <si>
    <t>117/06/08</t>
    <phoneticPr fontId="10" type="noConversion"/>
  </si>
  <si>
    <t>117/08/14</t>
    <phoneticPr fontId="10" type="noConversion"/>
  </si>
  <si>
    <t>117/09/15</t>
    <phoneticPr fontId="10" type="noConversion"/>
  </si>
  <si>
    <t>117/08/20</t>
    <phoneticPr fontId="10" type="noConversion"/>
  </si>
  <si>
    <t>117/10/17</t>
    <phoneticPr fontId="10" type="noConversion"/>
  </si>
  <si>
    <t>118/02/16</t>
    <phoneticPr fontId="10" type="noConversion"/>
  </si>
  <si>
    <t>118/02/13</t>
    <phoneticPr fontId="10" type="noConversion"/>
  </si>
  <si>
    <t>118/08/13</t>
    <phoneticPr fontId="10" type="noConversion"/>
  </si>
  <si>
    <t>118/06/26</t>
    <phoneticPr fontId="10" type="noConversion"/>
  </si>
  <si>
    <t>118/10/14</t>
    <phoneticPr fontId="10" type="noConversion"/>
  </si>
  <si>
    <t>119/02/22</t>
    <phoneticPr fontId="10" type="noConversion"/>
  </si>
  <si>
    <t>119/02/21</t>
    <phoneticPr fontId="10" type="noConversion"/>
  </si>
  <si>
    <t>119/08/12</t>
    <phoneticPr fontId="10" type="noConversion"/>
  </si>
  <si>
    <t>119/06/11</t>
    <phoneticPr fontId="10" type="noConversion"/>
  </si>
  <si>
    <t>120/01/13</t>
    <phoneticPr fontId="10" type="noConversion"/>
  </si>
  <si>
    <t>119/10/14</t>
    <phoneticPr fontId="10" type="noConversion"/>
  </si>
  <si>
    <t>120/07/17</t>
    <phoneticPr fontId="10" type="noConversion"/>
  </si>
  <si>
    <t>120/05/26</t>
    <phoneticPr fontId="10" type="noConversion"/>
  </si>
  <si>
    <t>120/02/22</t>
    <phoneticPr fontId="10" type="noConversion"/>
  </si>
  <si>
    <t>120/08/02</t>
    <phoneticPr fontId="10" type="noConversion"/>
  </si>
  <si>
    <t>120/05/07</t>
    <phoneticPr fontId="10" type="noConversion"/>
  </si>
  <si>
    <t>120/06/23</t>
    <phoneticPr fontId="10" type="noConversion"/>
  </si>
  <si>
    <t>121/01/20</t>
    <phoneticPr fontId="10" type="noConversion"/>
  </si>
  <si>
    <t>120/10/22</t>
    <phoneticPr fontId="10" type="noConversion"/>
  </si>
  <si>
    <t>121/03/16</t>
    <phoneticPr fontId="10" type="noConversion"/>
  </si>
  <si>
    <t>121/01/10</t>
    <phoneticPr fontId="10" type="noConversion"/>
  </si>
  <si>
    <t>121/02/18</t>
    <phoneticPr fontId="10" type="noConversion"/>
  </si>
  <si>
    <t>121/06/30</t>
    <phoneticPr fontId="10" type="noConversion"/>
  </si>
  <si>
    <t>121/10/17</t>
    <phoneticPr fontId="10" type="noConversion"/>
  </si>
  <si>
    <t>121/08/10</t>
    <phoneticPr fontId="10" type="noConversion"/>
  </si>
  <si>
    <t>122/01/28</t>
    <phoneticPr fontId="10" type="noConversion"/>
  </si>
  <si>
    <t>122/01/10</t>
    <phoneticPr fontId="10" type="noConversion"/>
  </si>
  <si>
    <t>122/03/21</t>
    <phoneticPr fontId="10" type="noConversion"/>
  </si>
  <si>
    <t>122/02/17</t>
    <phoneticPr fontId="10" type="noConversion"/>
  </si>
  <si>
    <t>122/07/26</t>
    <phoneticPr fontId="10" type="noConversion"/>
  </si>
  <si>
    <t>123/05/27</t>
    <phoneticPr fontId="10" type="noConversion"/>
  </si>
  <si>
    <t>122/06/09</t>
    <phoneticPr fontId="10" type="noConversion"/>
  </si>
  <si>
    <t>122/10/05</t>
    <phoneticPr fontId="10" type="noConversion"/>
  </si>
  <si>
    <t>123/01/29</t>
    <phoneticPr fontId="10" type="noConversion"/>
  </si>
  <si>
    <t>123/04/25</t>
    <phoneticPr fontId="10" type="noConversion"/>
  </si>
  <si>
    <t>123/07/31</t>
    <phoneticPr fontId="10" type="noConversion"/>
  </si>
  <si>
    <t>123/10/02</t>
    <phoneticPr fontId="10" type="noConversion"/>
  </si>
  <si>
    <t>124/01/23</t>
    <phoneticPr fontId="10" type="noConversion"/>
  </si>
  <si>
    <t>124/04/15</t>
    <phoneticPr fontId="10" type="noConversion"/>
  </si>
  <si>
    <t>124/10/26</t>
    <phoneticPr fontId="10" type="noConversion"/>
  </si>
  <si>
    <t>125/01/22</t>
    <phoneticPr fontId="10" type="noConversion"/>
  </si>
  <si>
    <t>125/04/08</t>
    <phoneticPr fontId="10" type="noConversion"/>
  </si>
  <si>
    <t>125/07/19</t>
    <phoneticPr fontId="10" type="noConversion"/>
  </si>
  <si>
    <t>126/02/20</t>
    <phoneticPr fontId="10" type="noConversion"/>
  </si>
  <si>
    <t>126/08/18</t>
    <phoneticPr fontId="10" type="noConversion"/>
  </si>
  <si>
    <t>127/03/13</t>
    <phoneticPr fontId="10" type="noConversion"/>
  </si>
  <si>
    <t>129/01/28</t>
    <phoneticPr fontId="10" type="noConversion"/>
  </si>
  <si>
    <t>127/09/21</t>
    <phoneticPr fontId="10" type="noConversion"/>
  </si>
  <si>
    <t>128/01/28</t>
    <phoneticPr fontId="10" type="noConversion"/>
  </si>
  <si>
    <t>128/03/04</t>
    <phoneticPr fontId="10" type="noConversion"/>
  </si>
  <si>
    <t>129/12/28</t>
    <phoneticPr fontId="10" type="noConversion"/>
  </si>
  <si>
    <t>130/02/22</t>
    <phoneticPr fontId="10" type="noConversion"/>
  </si>
  <si>
    <t>128/09/06</t>
    <phoneticPr fontId="10" type="noConversion"/>
  </si>
  <si>
    <t>129/01/17</t>
    <phoneticPr fontId="10" type="noConversion"/>
  </si>
  <si>
    <t>130/08/22</t>
    <phoneticPr fontId="10" type="noConversion"/>
  </si>
  <si>
    <t>129/03/09</t>
    <phoneticPr fontId="10" type="noConversion"/>
  </si>
  <si>
    <t>131/02/13</t>
    <phoneticPr fontId="10" type="noConversion"/>
  </si>
  <si>
    <t>132/08/02</t>
    <phoneticPr fontId="10" type="noConversion"/>
  </si>
  <si>
    <t>129/09/18</t>
    <phoneticPr fontId="10" type="noConversion"/>
  </si>
  <si>
    <t>131/09/30</t>
    <phoneticPr fontId="10" type="noConversion"/>
  </si>
  <si>
    <t>131/08/24</t>
    <phoneticPr fontId="10" type="noConversion"/>
  </si>
  <si>
    <t>130/01/29</t>
    <phoneticPr fontId="10" type="noConversion"/>
  </si>
  <si>
    <t>132/02/26</t>
    <phoneticPr fontId="10" type="noConversion"/>
  </si>
  <si>
    <t>129/12/29</t>
    <phoneticPr fontId="10" type="noConversion"/>
  </si>
  <si>
    <t>131/01/18</t>
    <phoneticPr fontId="10" type="noConversion"/>
  </si>
  <si>
    <t>130/05/21</t>
    <phoneticPr fontId="10" type="noConversion"/>
  </si>
  <si>
    <t>133/02/26</t>
    <phoneticPr fontId="10" type="noConversion"/>
  </si>
  <si>
    <t>131/03/04</t>
    <phoneticPr fontId="10" type="noConversion"/>
  </si>
  <si>
    <t>130/11/12</t>
    <phoneticPr fontId="10" type="noConversion"/>
  </si>
  <si>
    <t>132/03/03</t>
    <phoneticPr fontId="10" type="noConversion"/>
  </si>
  <si>
    <t>133/11/26</t>
    <phoneticPr fontId="10" type="noConversion"/>
  </si>
  <si>
    <t>133/08/04</t>
    <phoneticPr fontId="10" type="noConversion"/>
  </si>
  <si>
    <t>134/02/13</t>
    <phoneticPr fontId="10" type="noConversion"/>
  </si>
  <si>
    <t>130/09/29</t>
    <phoneticPr fontId="10" type="noConversion"/>
  </si>
  <si>
    <t>133/05/28</t>
    <phoneticPr fontId="10" type="noConversion"/>
  </si>
  <si>
    <t>134/05/15</t>
    <phoneticPr fontId="10" type="noConversion"/>
  </si>
  <si>
    <t>132/09/22</t>
    <phoneticPr fontId="10" type="noConversion"/>
  </si>
  <si>
    <t>134/08/10</t>
    <phoneticPr fontId="10" type="noConversion"/>
  </si>
  <si>
    <t>135/11/25</t>
    <phoneticPr fontId="10" type="noConversion"/>
  </si>
  <si>
    <t xml:space="preserve">  </t>
    <phoneticPr fontId="10" type="noConversion"/>
  </si>
  <si>
    <t>135/05/20</t>
    <phoneticPr fontId="10" type="noConversion"/>
  </si>
  <si>
    <t>136/05/26</t>
    <phoneticPr fontId="10" type="noConversion"/>
  </si>
  <si>
    <t>135/08/05</t>
    <phoneticPr fontId="10" type="noConversion"/>
  </si>
  <si>
    <t>136/11/24</t>
    <phoneticPr fontId="10" type="noConversion"/>
  </si>
  <si>
    <t>137/05/18</t>
    <phoneticPr fontId="10" type="noConversion"/>
  </si>
  <si>
    <t>137/11/09</t>
    <phoneticPr fontId="10" type="noConversion"/>
  </si>
  <si>
    <t>141/11/11</t>
    <phoneticPr fontId="10" type="noConversion"/>
  </si>
  <si>
    <t>138/05/17</t>
    <phoneticPr fontId="10" type="noConversion"/>
  </si>
  <si>
    <t>141/05/20</t>
    <phoneticPr fontId="10" type="noConversion"/>
  </si>
  <si>
    <t>138/11/08</t>
    <phoneticPr fontId="10" type="noConversion"/>
  </si>
  <si>
    <t>139/05/12</t>
    <phoneticPr fontId="10" type="noConversion"/>
  </si>
  <si>
    <t>140/12/23</t>
    <phoneticPr fontId="10" type="noConversion"/>
  </si>
  <si>
    <t>142/05/12</t>
    <phoneticPr fontId="10" type="noConversion"/>
  </si>
  <si>
    <t>142/11/22</t>
    <phoneticPr fontId="10" type="noConversion"/>
  </si>
  <si>
    <t>140/02/25</t>
    <phoneticPr fontId="10" type="noConversion"/>
  </si>
  <si>
    <t>139/11/27</t>
    <phoneticPr fontId="10" type="noConversion"/>
  </si>
  <si>
    <t>P11國巨1</t>
  </si>
  <si>
    <t>P08南亞2A</t>
  </si>
  <si>
    <t>P08台化1A</t>
  </si>
  <si>
    <t>P12中鋼1A</t>
  </si>
  <si>
    <t>P08富邦金1</t>
  </si>
  <si>
    <t>P09富邦金8</t>
  </si>
  <si>
    <t>F19002</t>
  </si>
  <si>
    <t>P23CATLI2</t>
  </si>
  <si>
    <t>USD</t>
  </si>
  <si>
    <t>F12204</t>
  </si>
  <si>
    <t>P23NAB1</t>
  </si>
  <si>
    <t>處所</t>
    <phoneticPr fontId="10" type="noConversion"/>
  </si>
  <si>
    <t>存續
期間</t>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</si>
  <si>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</si>
  <si>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日期 Date：2023/10/05</t>
    <phoneticPr fontId="6" type="noConversion"/>
  </si>
  <si>
    <t>到期日</t>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</si>
  <si>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</si>
  <si>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</si>
  <si>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</si>
  <si>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</si>
  <si>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t>銀行</t>
    <phoneticPr fontId="10" type="noConversion"/>
  </si>
  <si>
    <t>證券</t>
    <phoneticPr fontId="10" type="noConversion"/>
  </si>
  <si>
    <t>票券</t>
    <phoneticPr fontId="10" type="noConversion"/>
  </si>
  <si>
    <t>證券</t>
    <phoneticPr fontId="10" type="noConversion"/>
  </si>
  <si>
    <t>B401DS</t>
  </si>
  <si>
    <t>B401DT</t>
  </si>
  <si>
    <t>B618BN</t>
  </si>
  <si>
    <t>票券</t>
    <phoneticPr fontId="10" type="noConversion"/>
  </si>
  <si>
    <t>B903Z2</t>
  </si>
  <si>
    <t>證券</t>
    <phoneticPr fontId="10" type="noConversion"/>
  </si>
  <si>
    <t>P12南亞1A</t>
  </si>
  <si>
    <t>P12南亞1B</t>
  </si>
  <si>
    <t>債券代號</t>
  </si>
  <si>
    <t>存續期間</t>
  </si>
  <si>
    <t>理論殖利率</t>
  </si>
  <si>
    <t>A04112</t>
    <phoneticPr fontId="1" type="noConversion"/>
  </si>
  <si>
    <t>A05104</t>
    <phoneticPr fontId="1" type="noConversion"/>
  </si>
  <si>
    <t>等殖成交行情表(買賣斷)
Daily Prices &amp; Volume－Outright Purchase &amp; Sales (Electronic Bonds Trading System)</t>
    <phoneticPr fontId="10" type="noConversion"/>
  </si>
  <si>
    <t>日期 Date：112/10/06</t>
    <phoneticPr fontId="12" type="noConversion"/>
  </si>
  <si>
    <t>債券
Bond</t>
    <phoneticPr fontId="10" type="noConversion"/>
  </si>
  <si>
    <t>存續
期間</t>
    <phoneticPr fontId="12" type="noConversion"/>
  </si>
  <si>
    <t>剩餘
年限</t>
    <phoneticPr fontId="12" type="noConversion"/>
  </si>
  <si>
    <r>
      <t>殖利率相對應百元價</t>
    </r>
    <r>
      <rPr>
        <sz val="10"/>
        <rFont val="Times New Roman"/>
        <family val="1"/>
      </rPr>
      <t>(</t>
    </r>
    <r>
      <rPr>
        <sz val="10"/>
        <rFont val="新細明體"/>
        <family val="1"/>
        <charset val="136"/>
      </rPr>
      <t>元</t>
    </r>
    <r>
      <rPr>
        <sz val="10"/>
        <rFont val="Times New Roman"/>
        <family val="1"/>
      </rPr>
      <t>)
Price(NT)</t>
    </r>
    <phoneticPr fontId="12" type="noConversion"/>
  </si>
  <si>
    <r>
      <t>總成交值</t>
    </r>
    <r>
      <rPr>
        <sz val="10"/>
        <rFont val="Times New Roman"/>
        <family val="1"/>
      </rPr>
      <t>(</t>
    </r>
    <r>
      <rPr>
        <sz val="10"/>
        <rFont val="新細明體"/>
        <family val="1"/>
        <charset val="136"/>
      </rPr>
      <t>元</t>
    </r>
    <r>
      <rPr>
        <sz val="10"/>
        <rFont val="Times New Roman"/>
        <family val="1"/>
      </rPr>
      <t xml:space="preserve">)
</t>
    </r>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</si>
  <si>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</si>
  <si>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 xml:space="preserve">代號
</t>
    </r>
    <r>
      <rPr>
        <sz val="10"/>
        <rFont val="Times New Roman"/>
        <family val="1"/>
      </rPr>
      <t>Code</t>
    </r>
    <phoneticPr fontId="10" type="noConversion"/>
  </si>
  <si>
    <r>
      <t xml:space="preserve">名稱
</t>
    </r>
    <r>
      <rPr>
        <sz val="10"/>
        <rFont val="Times New Roman"/>
        <family val="1"/>
      </rPr>
      <t>Name</t>
    </r>
    <phoneticPr fontId="10" type="noConversion"/>
  </si>
  <si>
    <t>Duration</t>
    <phoneticPr fontId="10" type="noConversion"/>
  </si>
  <si>
    <t>最低
Low</t>
    <phoneticPr fontId="10" type="noConversion"/>
  </si>
  <si>
    <t>最高
High</t>
    <phoneticPr fontId="12" type="noConversion"/>
  </si>
  <si>
    <t>平均
Average</t>
    <phoneticPr fontId="10" type="noConversion"/>
  </si>
  <si>
    <r>
      <t xml:space="preserve">漲跌
</t>
    </r>
    <r>
      <rPr>
        <sz val="10"/>
        <rFont val="Times New Roman"/>
        <family val="1"/>
      </rPr>
      <t>Change</t>
    </r>
    <phoneticPr fontId="10" type="noConversion"/>
  </si>
  <si>
    <t>11:55 - 12:00 平均
Averaged</t>
    <phoneticPr fontId="12" type="noConversion"/>
  </si>
  <si>
    <t>最高
High</t>
    <phoneticPr fontId="10" type="noConversion"/>
  </si>
  <si>
    <t>最低
Low</t>
    <phoneticPr fontId="10" type="noConversion"/>
  </si>
  <si>
    <t>11:55 - 12:00 平均
Volume-Weighted
Average</t>
    <phoneticPr fontId="12" type="noConversion"/>
  </si>
  <si>
    <t>Trading Value 
(NTD$)</t>
    <phoneticPr fontId="10" type="noConversion"/>
  </si>
  <si>
    <t>Total Trading Face Value
(NTD$100 Mil.)</t>
    <phoneticPr fontId="10" type="noConversion"/>
  </si>
  <si>
    <t>合計 Total</t>
    <phoneticPr fontId="10" type="noConversion"/>
  </si>
  <si>
    <t>註 Remark  ：</t>
    <phoneticPr fontId="12" type="noConversion"/>
  </si>
  <si>
    <t xml:space="preserve">1.平均殖利率係指當日有成交紀錄之加權平均殖利率 Average yield is the volume-weighted yield of day tradings. </t>
    <phoneticPr fontId="10" type="noConversion"/>
  </si>
  <si>
    <t>2.平均百元價係指前項平均殖利率相對應的百元價格 Average price is the price derived from previous mentioned average yield.</t>
    <phoneticPr fontId="10" type="noConversion"/>
  </si>
  <si>
    <t>3.本表包含公開報價、非公開報價及比對系統之成交資料。This table contains public quotation, non-public quotation and transaction data of the comparison system.</t>
    <phoneticPr fontId="10" type="noConversion"/>
  </si>
  <si>
    <t>4.自102/02/01起遇公債為發行前交易債券時，成交值一欄以該期公債之成交面額揭示。</t>
    <phoneticPr fontId="10" type="noConversion"/>
  </si>
  <si>
    <t xml:space="preserve">   From 2013/02/01, the amount value of the when-issued trading bond is disclosed in the face value of the bond.</t>
    <phoneticPr fontId="10" type="noConversion"/>
  </si>
  <si>
    <t>5.殖利率漲跌係指本日該券加權平均殖利率與其前一交易日加權平均殖利率之差異(包含公開報價、非公開報價及比對系統之交易)。</t>
    <phoneticPr fontId="10" type="noConversion"/>
  </si>
  <si>
    <t xml:space="preserve"> Yield change indicates the difference of the weighted average yield between today and previous trading day. (Including public quotes, non-public quotes, and comparison system transactions.)</t>
    <phoneticPr fontId="10" type="noConversion"/>
  </si>
  <si>
    <t>等殖</t>
    <phoneticPr fontId="10" type="noConversion"/>
  </si>
  <si>
    <t>處所</t>
    <phoneticPr fontId="10" type="noConversion"/>
  </si>
  <si>
    <t>日期 Date：112/10/11</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</si>
  <si>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</si>
  <si>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</si>
  <si>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</si>
  <si>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</si>
  <si>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</si>
  <si>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</si>
  <si>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</si>
  <si>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Date：2023/10/11</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</si>
  <si>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</si>
  <si>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</si>
  <si>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</si>
  <si>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</si>
  <si>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</si>
  <si>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</si>
  <si>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</si>
  <si>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</si>
  <si>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</si>
  <si>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銀行</t>
    <phoneticPr fontId="10" type="noConversion"/>
  </si>
  <si>
    <t>證券</t>
    <phoneticPr fontId="10" type="noConversion"/>
  </si>
  <si>
    <t>等殖</t>
    <phoneticPr fontId="10" type="noConversion"/>
  </si>
  <si>
    <t>處所</t>
    <phoneticPr fontId="10" type="noConversion"/>
  </si>
  <si>
    <t>日期 Date：112/10/12</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</si>
  <si>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</si>
  <si>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</si>
  <si>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</si>
  <si>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</si>
  <si>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</si>
  <si>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t>總筆數</t>
    <phoneticPr fontId="10" type="noConversion"/>
  </si>
  <si>
    <r>
      <t>理論
殖利率</t>
    </r>
    <r>
      <rPr>
        <sz val="8"/>
        <rFont val="Times New Roman"/>
        <family val="1"/>
      </rPr>
      <t xml:space="preserve">
Theoretical 
Yield %</t>
    </r>
    <phoneticPr fontId="10" type="noConversion"/>
  </si>
  <si>
    <t>日期 Date：2023/10/12</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</si>
  <si>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</si>
  <si>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</si>
  <si>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</si>
  <si>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</si>
  <si>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</si>
  <si>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</si>
  <si>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</si>
  <si>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</si>
  <si>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</si>
  <si>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</si>
  <si>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銀行</t>
    <phoneticPr fontId="10" type="noConversion"/>
  </si>
  <si>
    <t>證券</t>
    <phoneticPr fontId="10" type="noConversion"/>
  </si>
  <si>
    <t>銀行</t>
    <phoneticPr fontId="10" type="noConversion"/>
  </si>
  <si>
    <t>G13430</t>
  </si>
  <si>
    <t>P11輸銀1A</t>
  </si>
  <si>
    <t>G14929</t>
  </si>
  <si>
    <t>03彰銀1B</t>
  </si>
  <si>
    <t>B83425</t>
  </si>
  <si>
    <t>P12冠德1</t>
  </si>
  <si>
    <t>B99605</t>
  </si>
  <si>
    <t>P12國壽2A</t>
  </si>
  <si>
    <t>B99606</t>
  </si>
  <si>
    <t>P12國壽2B</t>
  </si>
  <si>
    <t>F02222</t>
  </si>
  <si>
    <t>16SG6</t>
  </si>
  <si>
    <t>NZD</t>
  </si>
  <si>
    <t>F10720</t>
  </si>
  <si>
    <t>P23BMO1</t>
  </si>
  <si>
    <t>等殖</t>
    <phoneticPr fontId="10" type="noConversion"/>
  </si>
  <si>
    <t>處所</t>
    <phoneticPr fontId="10" type="noConversion"/>
  </si>
  <si>
    <t>日期 Date：112/10/13</t>
  </si>
  <si>
    <t>債券等殖成交系統買賣超統計日報表
Electronic Bond Trading System Net Position Daily Report (Statistics)</t>
    <phoneticPr fontId="12" type="noConversion"/>
  </si>
  <si>
    <t>存續
期間</t>
    <phoneticPr fontId="12" type="noConversion"/>
  </si>
  <si>
    <t>剩餘
年限</t>
    <phoneticPr fontId="12" type="noConversion"/>
  </si>
  <si>
    <r>
      <t>殖利率</t>
    </r>
    <r>
      <rPr>
        <sz val="10"/>
        <rFont val="Times New Roman"/>
        <family val="1"/>
      </rPr>
      <t>(%)
Yield</t>
    </r>
    <phoneticPr fontId="12"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</si>
  <si>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</si>
  <si>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殖利率</t>
    </r>
    <r>
      <rPr>
        <sz val="10"/>
        <rFont val="Times New Roman"/>
        <family val="1"/>
      </rPr>
      <t>(%)
Yield</t>
    </r>
    <phoneticPr fontId="12" type="noConversion"/>
  </si>
  <si>
    <t>總筆數</t>
    <phoneticPr fontId="10" type="noConversion"/>
  </si>
  <si>
    <r>
      <t>總成交面額</t>
    </r>
    <r>
      <rPr>
        <sz val="10"/>
        <rFont val="Times New Roman"/>
        <family val="1"/>
      </rPr>
      <t>(</t>
    </r>
    <r>
      <rPr>
        <sz val="10"/>
        <rFont val="新細明體"/>
        <family val="1"/>
        <charset val="136"/>
      </rPr>
      <t>億</t>
    </r>
    <r>
      <rPr>
        <sz val="10"/>
        <rFont val="Times New Roman"/>
        <family val="1"/>
      </rPr>
      <t>)</t>
    </r>
    <phoneticPr fontId="10" type="noConversion"/>
  </si>
  <si>
    <r>
      <t>理論
殖利率</t>
    </r>
    <r>
      <rPr>
        <sz val="8"/>
        <rFont val="Times New Roman"/>
        <family val="1"/>
      </rPr>
      <t xml:space="preserve">
Theoretical 
Yield %</t>
    </r>
    <phoneticPr fontId="10" type="noConversion"/>
  </si>
  <si>
    <t>日期 Date：2023/10/13</t>
    <phoneticPr fontId="6" type="noConversion"/>
  </si>
  <si>
    <t>到期日</t>
    <phoneticPr fontId="10" type="noConversion"/>
  </si>
  <si>
    <t>票面</t>
    <phoneticPr fontId="10" type="noConversion"/>
  </si>
  <si>
    <r>
      <t xml:space="preserve">最高
</t>
    </r>
    <r>
      <rPr>
        <sz val="10"/>
        <rFont val="Times New Roman"/>
        <family val="1"/>
      </rPr>
      <t>Highest</t>
    </r>
    <phoneticPr fontId="10" type="noConversion"/>
  </si>
  <si>
    <r>
      <t xml:space="preserve">最低
</t>
    </r>
    <r>
      <rPr>
        <sz val="10"/>
        <rFont val="Times New Roman"/>
        <family val="1"/>
      </rPr>
      <t>Lowest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</si>
  <si>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</si>
  <si>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</si>
  <si>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r>
      <t xml:space="preserve">最高
</t>
    </r>
    <r>
      <rPr>
        <sz val="10"/>
        <rFont val="Times New Roman"/>
        <family val="1"/>
      </rPr>
      <t>Highest</t>
    </r>
    <phoneticPr fontId="10" type="noConversion"/>
  </si>
  <si>
    <r>
      <t>平均</t>
    </r>
    <r>
      <rPr>
        <sz val="6"/>
        <rFont val="新細明體"/>
        <family val="1"/>
        <charset val="136"/>
      </rPr>
      <t xml:space="preserve">
</t>
    </r>
    <r>
      <rPr>
        <sz val="8"/>
        <rFont val="新細明體"/>
        <family val="1"/>
        <charset val="136"/>
      </rPr>
      <t>Volume-Weighted
Average</t>
    </r>
    <phoneticPr fontId="10" type="noConversion"/>
  </si>
  <si>
    <t>Volume
(NT$100 Mil.)</t>
    <phoneticPr fontId="10" type="noConversion"/>
  </si>
  <si>
    <t>債券
Bond</t>
    <phoneticPr fontId="12" type="noConversion"/>
  </si>
  <si>
    <r>
      <t>買超面額</t>
    </r>
    <r>
      <rPr>
        <sz val="10"/>
        <rFont val="Times New Roman"/>
        <family val="1"/>
      </rPr>
      <t>(</t>
    </r>
    <r>
      <rPr>
        <sz val="10"/>
        <rFont val="新細明體"/>
        <family val="1"/>
        <charset val="136"/>
      </rPr>
      <t>元</t>
    </r>
    <r>
      <rPr>
        <sz val="10"/>
        <rFont val="Times New Roman"/>
        <family val="1"/>
      </rPr>
      <t>)</t>
    </r>
    <phoneticPr fontId="12" type="noConversion"/>
  </si>
  <si>
    <t>銀行</t>
    <phoneticPr fontId="10" type="noConversion"/>
  </si>
  <si>
    <t>證券</t>
    <phoneticPr fontId="10" type="noConversion"/>
  </si>
  <si>
    <t>銀行</t>
    <phoneticPr fontId="10" type="noConversion"/>
  </si>
  <si>
    <t>證券</t>
    <phoneticPr fontId="10" type="noConversion"/>
  </si>
  <si>
    <t>B69107</t>
  </si>
  <si>
    <t>B718A9</t>
  </si>
  <si>
    <t>B718AF</t>
  </si>
  <si>
    <t>銀行</t>
    <phoneticPr fontId="10" type="noConversion"/>
  </si>
  <si>
    <t>G102B8</t>
  </si>
  <si>
    <t>G13433</t>
  </si>
  <si>
    <t>P11玉銀3</t>
  </si>
  <si>
    <t>P11輸銀3</t>
  </si>
  <si>
    <t>P08和碩1A</t>
  </si>
  <si>
    <t>P12中油1A</t>
  </si>
  <si>
    <t>P12中油3A</t>
  </si>
  <si>
    <t>B718AG</t>
  </si>
  <si>
    <t>P12中油3B</t>
  </si>
  <si>
    <t>B718AH</t>
  </si>
  <si>
    <t>P12中油3C</t>
  </si>
  <si>
    <t>B97848</t>
  </si>
  <si>
    <t>P09富邦金1</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</si>
</sst>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0000"/>
    <numFmt numFmtId="190" formatCode="##0.0000"/>
    <numFmt numFmtId="191" formatCode="\ \+* #,##0.0000;\ \-* #,##0.0000;0.0000"/>
    <numFmt numFmtId="192" formatCode="\ #,##0.0000;\ \-#,##0.0000;\ \-"/>
  </numFmts>
  <fonts count="28">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12"/>
      <color rgb="FF000000"/>
      <name val="新細明體"/>
      <family val="1"/>
      <charset val="136"/>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10"/>
      <name val="細明體"/>
      <family val="3"/>
      <charset val="136"/>
    </font>
    <font>
      <b/>
      <sz val="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0"/>
      <color indexed="8"/>
      <name val="新細明體"/>
      <family val="1"/>
      <charset val="136"/>
    </font>
    <font>
      <sz val="10"/>
      <color indexed="10"/>
      <name val="新細明體"/>
      <family val="1"/>
      <charset val="136"/>
    </font>
    <font>
      <sz val="10"/>
      <color indexed="18"/>
      <name val="新細明體"/>
      <family val="1"/>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19">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4" fillId="0" borderId="0">
      <alignment vertical="center"/>
    </xf>
  </cellStyleXfs>
  <cellXfs count="125">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184" fontId="6" fillId="0" borderId="8" xfId="11" applyNumberFormat="1" applyFont="1" applyBorder="1" applyAlignment="1">
      <alignment horizontal="right" vertical="center" wrapText="1"/>
    </xf>
    <xf numFmtId="0" fontId="13" fillId="0" borderId="2" xfId="11" applyFont="1" applyBorder="1" applyAlignment="1">
      <alignment horizontal="right" vertical="top" wrapText="1" shrinkToFit="1"/>
    </xf>
    <xf numFmtId="0" fontId="6" fillId="0" borderId="2" xfId="11" applyFont="1" applyBorder="1" applyAlignment="1">
      <alignment horizontal="right" vertical="top" wrapText="1"/>
    </xf>
    <xf numFmtId="0" fontId="6" fillId="0" borderId="2" xfId="11" applyFont="1" applyBorder="1" applyAlignment="1">
      <alignment horizontal="center" vertical="center" wrapText="1"/>
    </xf>
    <xf numFmtId="0" fontId="6" fillId="0" borderId="3" xfId="11" applyFont="1" applyBorder="1" applyAlignment="1">
      <alignment horizontal="center"/>
    </xf>
    <xf numFmtId="0" fontId="6" fillId="0" borderId="3" xfId="11" applyFont="1" applyBorder="1" applyAlignment="1">
      <alignment horizontal="right"/>
    </xf>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0" xfId="11" applyNumberFormat="1" applyFont="1" applyAlignment="1">
      <alignment horizontal="right" vertical="center"/>
    </xf>
    <xf numFmtId="0" fontId="6" fillId="0" borderId="0" xfId="11" applyFont="1"/>
    <xf numFmtId="0" fontId="13" fillId="0" borderId="0" xfId="11" applyFont="1" applyAlignment="1">
      <alignment horizontal="right"/>
    </xf>
    <xf numFmtId="49" fontId="6" fillId="0" borderId="0" xfId="11" applyNumberFormat="1" applyFont="1" applyAlignment="1">
      <alignment horizontal="right"/>
    </xf>
    <xf numFmtId="0" fontId="6" fillId="0" borderId="0" xfId="11" applyFont="1" applyAlignment="1">
      <alignment horizontal="right"/>
    </xf>
    <xf numFmtId="186" fontId="8" fillId="0" borderId="0" xfId="11" applyNumberFormat="1" applyFont="1" applyAlignment="1">
      <alignment horizontal="right" vertical="center"/>
    </xf>
    <xf numFmtId="3" fontId="6" fillId="0" borderId="0" xfId="11" applyNumberFormat="1" applyFont="1" applyAlignment="1">
      <alignment horizontal="right" vertical="center"/>
    </xf>
    <xf numFmtId="3" fontId="8" fillId="0" borderId="1" xfId="11" applyNumberFormat="1" applyFont="1" applyBorder="1" applyAlignment="1">
      <alignment horizontal="right" vertical="center"/>
    </xf>
    <xf numFmtId="0" fontId="18" fillId="0" borderId="0" xfId="11" applyFont="1"/>
    <xf numFmtId="178" fontId="18" fillId="0" borderId="0" xfId="11" applyNumberFormat="1" applyFont="1"/>
    <xf numFmtId="187" fontId="0" fillId="0" borderId="0" xfId="0" applyNumberFormat="1">
      <alignment vertical="center"/>
    </xf>
    <xf numFmtId="0" fontId="19"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7" fillId="0" borderId="0" xfId="11" applyFont="1" applyAlignment="1">
      <alignment vertical="center"/>
    </xf>
    <xf numFmtId="188" fontId="8" fillId="0" borderId="0" xfId="11" applyNumberFormat="1" applyFont="1" applyAlignment="1">
      <alignment horizontal="right" vertical="center"/>
    </xf>
    <xf numFmtId="189"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89"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89" fontId="8" fillId="0" borderId="1" xfId="11" applyNumberFormat="1" applyFont="1" applyBorder="1" applyAlignment="1">
      <alignment horizontal="right" vertical="center"/>
    </xf>
    <xf numFmtId="49" fontId="13" fillId="2" borderId="0" xfId="11" applyNumberFormat="1" applyFont="1" applyFill="1" applyAlignment="1">
      <alignment horizontal="left" vertical="center"/>
    </xf>
    <xf numFmtId="49" fontId="13" fillId="2" borderId="0" xfId="11" applyNumberFormat="1" applyFont="1" applyFill="1" applyAlignment="1">
      <alignment vertical="center"/>
    </xf>
    <xf numFmtId="0" fontId="2" fillId="0" borderId="0" xfId="11" applyAlignment="1">
      <alignment vertical="center"/>
    </xf>
    <xf numFmtId="0" fontId="13"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176" fontId="0" fillId="3" borderId="0" xfId="0" applyNumberFormat="1" applyFill="1">
      <alignment vertical="center"/>
    </xf>
    <xf numFmtId="1" fontId="6" fillId="0" borderId="0" xfId="11" applyNumberFormat="1" applyFont="1"/>
    <xf numFmtId="49" fontId="8" fillId="0" borderId="5" xfId="11" applyNumberFormat="1" applyFont="1" applyBorder="1" applyAlignment="1">
      <alignment horizontal="center" vertical="center"/>
    </xf>
    <xf numFmtId="3" fontId="8" fillId="0" borderId="5" xfId="11" applyNumberFormat="1" applyFont="1" applyBorder="1" applyAlignment="1">
      <alignment horizontal="right" vertical="center"/>
    </xf>
    <xf numFmtId="49" fontId="8" fillId="0" borderId="0" xfId="18" applyNumberFormat="1" applyFont="1" applyAlignment="1">
      <alignment horizontal="center" vertical="center"/>
    </xf>
    <xf numFmtId="49" fontId="8" fillId="0" borderId="1" xfId="18" applyNumberFormat="1" applyFont="1" applyBorder="1" applyAlignment="1">
      <alignment horizontal="center" vertical="center"/>
    </xf>
    <xf numFmtId="0" fontId="6" fillId="0" borderId="7" xfId="11" applyFont="1" applyBorder="1" applyAlignment="1">
      <alignment horizontal="right" shrinkToFit="1"/>
    </xf>
    <xf numFmtId="0" fontId="6" fillId="0" borderId="0" xfId="11" applyFont="1" applyAlignment="1">
      <alignment vertical="center"/>
    </xf>
    <xf numFmtId="49" fontId="6" fillId="0" borderId="8" xfId="11" applyNumberFormat="1" applyFont="1" applyBorder="1" applyAlignment="1">
      <alignment horizontal="center" vertical="center" wrapText="1"/>
    </xf>
    <xf numFmtId="49" fontId="6" fillId="0" borderId="8" xfId="11" applyNumberFormat="1" applyFont="1" applyBorder="1" applyAlignment="1">
      <alignment horizontal="left" vertical="center" wrapText="1"/>
    </xf>
    <xf numFmtId="0" fontId="6" fillId="0" borderId="8" xfId="11" applyFont="1" applyBorder="1" applyAlignment="1">
      <alignment horizontal="right" vertical="center" wrapText="1"/>
    </xf>
    <xf numFmtId="0" fontId="17" fillId="0" borderId="8" xfId="11" applyFont="1" applyBorder="1" applyAlignment="1">
      <alignment horizontal="right" vertical="center" wrapText="1"/>
    </xf>
    <xf numFmtId="0" fontId="6" fillId="0" borderId="2" xfId="11" applyFont="1" applyBorder="1" applyAlignment="1">
      <alignment horizontal="right" vertical="top" wrapText="1" shrinkToFit="1"/>
    </xf>
    <xf numFmtId="0" fontId="6" fillId="0" borderId="0" xfId="11" applyFont="1" applyAlignment="1">
      <alignment horizontal="center" vertical="center" wrapText="1"/>
    </xf>
    <xf numFmtId="190" fontId="8" fillId="0" borderId="0" xfId="11" applyNumberFormat="1" applyFont="1" applyAlignment="1">
      <alignment horizontal="right" vertical="center"/>
    </xf>
    <xf numFmtId="191" fontId="8" fillId="0" borderId="0" xfId="11" applyNumberFormat="1" applyFont="1" applyAlignment="1">
      <alignment horizontal="right" vertical="center"/>
    </xf>
    <xf numFmtId="192" fontId="8" fillId="0" borderId="0" xfId="11" applyNumberFormat="1" applyFont="1" applyAlignment="1">
      <alignment horizontal="right" vertical="center"/>
    </xf>
    <xf numFmtId="185" fontId="8" fillId="0" borderId="0" xfId="11" applyNumberFormat="1" applyFont="1" applyAlignment="1">
      <alignment horizontal="right" vertical="center"/>
    </xf>
    <xf numFmtId="0" fontId="6" fillId="0" borderId="0" xfId="11" applyFont="1" applyAlignment="1">
      <alignment horizontal="center" wrapText="1"/>
    </xf>
    <xf numFmtId="0" fontId="6" fillId="0" borderId="0" xfId="11" applyFont="1" applyAlignment="1">
      <alignment vertical="top"/>
    </xf>
    <xf numFmtId="49" fontId="6" fillId="0" borderId="9" xfId="11" applyNumberFormat="1" applyFont="1" applyBorder="1" applyAlignment="1">
      <alignment horizontal="left"/>
    </xf>
    <xf numFmtId="49" fontId="6" fillId="0" borderId="9" xfId="11" applyNumberFormat="1" applyFont="1" applyBorder="1" applyAlignment="1">
      <alignment horizontal="center" wrapText="1"/>
    </xf>
    <xf numFmtId="179" fontId="6" fillId="0" borderId="9" xfId="11" applyNumberFormat="1" applyFont="1" applyBorder="1" applyAlignment="1">
      <alignment horizontal="center" wrapText="1"/>
    </xf>
    <xf numFmtId="0" fontId="6" fillId="0" borderId="9" xfId="11" applyFont="1" applyBorder="1" applyAlignment="1">
      <alignment horizontal="center"/>
    </xf>
    <xf numFmtId="0" fontId="6" fillId="0" borderId="9" xfId="11" applyFont="1" applyBorder="1" applyAlignment="1">
      <alignment horizontal="center" wrapText="1"/>
    </xf>
    <xf numFmtId="184" fontId="6" fillId="0" borderId="9" xfId="11" applyNumberFormat="1" applyFont="1" applyBorder="1" applyAlignment="1">
      <alignment horizontal="center" wrapText="1"/>
    </xf>
    <xf numFmtId="3" fontId="6" fillId="0" borderId="9" xfId="11" applyNumberFormat="1" applyFont="1" applyBorder="1" applyAlignment="1">
      <alignment horizontal="right" wrapText="1"/>
    </xf>
    <xf numFmtId="185" fontId="6" fillId="0" borderId="9" xfId="11" applyNumberFormat="1" applyFont="1" applyBorder="1" applyAlignment="1">
      <alignment horizontal="right" wrapText="1"/>
    </xf>
    <xf numFmtId="0" fontId="6" fillId="2" borderId="0" xfId="11" applyFont="1" applyFill="1" applyAlignment="1">
      <alignment horizontal="left" vertical="top"/>
    </xf>
    <xf numFmtId="0" fontId="6" fillId="0" borderId="0" xfId="11" applyFont="1" applyAlignment="1">
      <alignment horizontal="left" vertical="top"/>
    </xf>
    <xf numFmtId="0" fontId="25" fillId="0" borderId="0" xfId="11" applyFont="1" applyAlignment="1">
      <alignment horizontal="right" vertical="top"/>
    </xf>
    <xf numFmtId="0" fontId="25" fillId="0" borderId="0" xfId="11" applyFont="1" applyAlignment="1">
      <alignment horizontal="left" vertical="top"/>
    </xf>
    <xf numFmtId="0" fontId="25" fillId="2" borderId="0" xfId="11" applyFont="1" applyFill="1" applyAlignment="1">
      <alignment horizontal="left" vertical="top"/>
    </xf>
    <xf numFmtId="0" fontId="26" fillId="0" borderId="0" xfId="11" applyFont="1" applyAlignment="1">
      <alignment horizontal="left"/>
    </xf>
    <xf numFmtId="0" fontId="27" fillId="0" borderId="0" xfId="11" applyFont="1" applyAlignment="1">
      <alignment horizontal="left" indent="2"/>
    </xf>
    <xf numFmtId="0" fontId="6" fillId="2" borderId="0" xfId="11" applyFont="1" applyFill="1"/>
    <xf numFmtId="0" fontId="0" fillId="0" borderId="0" xfId="0" applyAlignment="1">
      <alignment vertical="center"/>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1"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4" fillId="0" borderId="8" xfId="11" applyFont="1" applyBorder="1" applyAlignment="1">
      <alignment horizontal="right" vertical="center" wrapText="1" shrinkToFit="1"/>
    </xf>
    <xf numFmtId="0" fontId="6" fillId="0" borderId="8" xfId="11" applyFont="1" applyBorder="1" applyAlignment="1">
      <alignment horizontal="center" vertical="center" wrapText="1"/>
    </xf>
    <xf numFmtId="0" fontId="6" fillId="0" borderId="8" xfId="11" applyFont="1" applyBorder="1" applyAlignment="1">
      <alignment horizontal="center" vertical="center"/>
    </xf>
    <xf numFmtId="0" fontId="6" fillId="0" borderId="4" xfId="11" applyFont="1" applyBorder="1" applyAlignment="1">
      <alignment horizontal="center" vertical="center" wrapText="1"/>
    </xf>
    <xf numFmtId="0" fontId="6" fillId="0" borderId="5" xfId="11" applyFont="1" applyBorder="1" applyAlignment="1">
      <alignment horizontal="center" vertical="center" wrapText="1"/>
    </xf>
    <xf numFmtId="0" fontId="6" fillId="0" borderId="6" xfId="11" applyFont="1" applyBorder="1" applyAlignment="1">
      <alignment horizontal="center" vertical="center" wrapText="1"/>
    </xf>
    <xf numFmtId="179" fontId="6" fillId="0" borderId="6" xfId="11" applyNumberFormat="1" applyFont="1" applyBorder="1" applyAlignment="1">
      <alignment horizontal="center" vertical="center" wrapText="1"/>
    </xf>
    <xf numFmtId="0" fontId="6" fillId="0" borderId="0" xfId="11" applyFont="1" applyAlignment="1">
      <alignment horizontal="right" vertical="top" wrapText="1"/>
    </xf>
    <xf numFmtId="0" fontId="17" fillId="0" borderId="8" xfId="11" applyFont="1" applyBorder="1" applyAlignment="1">
      <alignment horizontal="center" vertical="center" wrapText="1" shrinkToFit="1"/>
    </xf>
    <xf numFmtId="0" fontId="17" fillId="0" borderId="8" xfId="11" applyFont="1" applyBorder="1" applyAlignment="1">
      <alignment horizontal="left" vertical="center" wrapText="1" shrinkToFit="1"/>
    </xf>
    <xf numFmtId="0" fontId="17" fillId="0" borderId="8" xfId="11" applyFont="1" applyBorder="1" applyAlignment="1">
      <alignment horizontal="right" vertical="center" wrapText="1" shrinkToFit="1"/>
    </xf>
  </cellXfs>
  <cellStyles count="19">
    <cellStyle name="Euro" xfId="6"/>
    <cellStyle name="一般" xfId="0" builtinId="0"/>
    <cellStyle name="一般 10" xfId="11"/>
    <cellStyle name="一般 2" xfId="1"/>
    <cellStyle name="一般 2 2" xfId="7"/>
    <cellStyle name="一般 2 3" xfId="8"/>
    <cellStyle name="一般 2 4" xfId="18"/>
    <cellStyle name="一般 3" xfId="2"/>
    <cellStyle name="一般 4" xfId="3"/>
    <cellStyle name="一般 5" xfId="4"/>
    <cellStyle name="一般 6" xfId="5"/>
    <cellStyle name="千分位 2" xfId="12"/>
    <cellStyle name="千分位 2 2" xfId="13"/>
    <cellStyle name="千分位 2 3" xfId="14"/>
    <cellStyle name="千分位 3" xfId="15"/>
    <cellStyle name="千分位 3 2" xfId="16"/>
    <cellStyle name="千分位 3 3" xfId="17"/>
    <cellStyle name="百分比 2" xfId="9"/>
    <cellStyle name="超連結 2" xf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26" Type="http://schemas.openxmlformats.org/officeDocument/2006/relationships/externalLink" Target="externalLinks/externalLink14.xml"/><Relationship Id="rId21" Type="http://schemas.openxmlformats.org/officeDocument/2006/relationships/externalLink" Target="externalLinks/externalLink9.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externalLink" Target="externalLinks/externalLink13.xml"/><Relationship Id="rId33" Type="http://schemas.openxmlformats.org/officeDocument/2006/relationships/externalLink" Target="externalLinks/externalLink2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externalLink" Target="externalLinks/externalLink8.xml"/><Relationship Id="rId29" Type="http://schemas.openxmlformats.org/officeDocument/2006/relationships/externalLink" Target="externalLinks/externalLink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2.xml"/><Relationship Id="rId32" Type="http://schemas.openxmlformats.org/officeDocument/2006/relationships/externalLink" Target="externalLinks/externalLink2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externalLink" Target="externalLinks/externalLink11.xml"/><Relationship Id="rId28" Type="http://schemas.openxmlformats.org/officeDocument/2006/relationships/externalLink" Target="externalLinks/externalLink1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7.xml"/><Relationship Id="rId31" Type="http://schemas.openxmlformats.org/officeDocument/2006/relationships/externalLink" Target="externalLinks/externalLink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externalLink" Target="externalLinks/externalLink10.xml"/><Relationship Id="rId27" Type="http://schemas.openxmlformats.org/officeDocument/2006/relationships/externalLink" Target="externalLinks/externalLink15.xml"/><Relationship Id="rId30" Type="http://schemas.openxmlformats.org/officeDocument/2006/relationships/externalLink" Target="externalLinks/externalLink1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27778;&#29229;\&#27599;&#26085;&#25104;&#20132;\&#20844;&#20661;&#25104;&#20132;201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101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101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100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1004.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1006.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0928.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1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等殖"/>
      <sheetName val="處所"/>
      <sheetName val="等殖買賣超"/>
      <sheetName val="公平價格"/>
      <sheetName val="底稿"/>
      <sheetName val="20231005"/>
      <sheetName val="20230925"/>
      <sheetName val="20230920"/>
      <sheetName val="20230913"/>
      <sheetName val="20230907"/>
      <sheetName val="20230905"/>
      <sheetName val="20230904"/>
      <sheetName val="20230901"/>
      <sheetName val="20230831"/>
      <sheetName val="20230829"/>
      <sheetName val="20230828"/>
      <sheetName val="20230825"/>
      <sheetName val="工作表2"/>
      <sheetName val="工作表3"/>
      <sheetName val="工作表4"/>
      <sheetName val="工作表5"/>
      <sheetName val="工作表6"/>
      <sheetName val="工作表7"/>
      <sheetName val="工作表8"/>
      <sheetName val="工作表9"/>
      <sheetName val="工作表10"/>
      <sheetName val="工作表11"/>
      <sheetName val="工作表12"/>
      <sheetName val="工作表13"/>
      <sheetName val="工作表14"/>
      <sheetName val="工作表15"/>
      <sheetName val="工作表16"/>
      <sheetName val="工作表17"/>
      <sheetName val="工作表18"/>
      <sheetName val="工作表19"/>
      <sheetName val="20211228"/>
      <sheetName val="20211228-1"/>
      <sheetName val="20211227"/>
      <sheetName val="20211223"/>
      <sheetName val="20211221"/>
      <sheetName val="20211220"/>
      <sheetName val="20211214"/>
      <sheetName val="20211213"/>
      <sheetName val="20211209"/>
      <sheetName val="20211207"/>
      <sheetName val="20211203"/>
      <sheetName val="20211130"/>
      <sheetName val="20211129"/>
      <sheetName val="20211125"/>
      <sheetName val="20211124"/>
      <sheetName val="20211123"/>
      <sheetName val="20211122"/>
      <sheetName val="20211119"/>
      <sheetName val="20211117"/>
      <sheetName val="20211115"/>
      <sheetName val="20211112"/>
      <sheetName val="20211111"/>
      <sheetName val="20211110"/>
      <sheetName val="20211108"/>
      <sheetName val="20211103"/>
      <sheetName val="20211026"/>
      <sheetName val="20211025"/>
      <sheetName val="20211022"/>
      <sheetName val="20211021"/>
      <sheetName val="20211020"/>
      <sheetName val="20211019"/>
      <sheetName val="20211018"/>
      <sheetName val="20211015"/>
      <sheetName val="20211013"/>
      <sheetName val="20211012"/>
      <sheetName val="20211008"/>
      <sheetName val="20211006"/>
      <sheetName val="20211004"/>
      <sheetName val="20211001"/>
      <sheetName val="20210930"/>
      <sheetName val="20210929"/>
      <sheetName val="20210928"/>
      <sheetName val="20210927"/>
      <sheetName val="20210922"/>
      <sheetName val="20210917"/>
      <sheetName val="20210916"/>
      <sheetName val="20210915"/>
      <sheetName val="20210914"/>
      <sheetName val="20210913"/>
      <sheetName val="20210910"/>
      <sheetName val="20210909"/>
      <sheetName val="20210908"/>
      <sheetName val="20210906"/>
      <sheetName val="20210903"/>
      <sheetName val="20210902"/>
      <sheetName val="20210901"/>
      <sheetName val="20210831"/>
      <sheetName val="20210827"/>
      <sheetName val="20210826"/>
      <sheetName val="20210825"/>
      <sheetName val="20210824"/>
      <sheetName val="20210823"/>
      <sheetName val="20210820"/>
      <sheetName val="20210819"/>
      <sheetName val="20210818"/>
      <sheetName val="20210817"/>
      <sheetName val="20210816"/>
      <sheetName val="20210813"/>
      <sheetName val="20210812"/>
      <sheetName val="20210811"/>
      <sheetName val="20210810"/>
      <sheetName val="20210804"/>
      <sheetName val="20210803"/>
      <sheetName val="20210802"/>
      <sheetName val="20210730"/>
      <sheetName val="20210729"/>
      <sheetName val="20210728"/>
      <sheetName val="20210727"/>
      <sheetName val="20210726"/>
      <sheetName val="20210723"/>
      <sheetName val="20210722"/>
      <sheetName val="20210721"/>
      <sheetName val="20210720"/>
      <sheetName val="20210719"/>
      <sheetName val="20210716"/>
      <sheetName val="20210715"/>
      <sheetName val="20210714"/>
      <sheetName val="20210713"/>
      <sheetName val="20210712"/>
      <sheetName val="20210709"/>
      <sheetName val="20210708"/>
      <sheetName val="20210707"/>
      <sheetName val="20210706"/>
      <sheetName val="20210705"/>
      <sheetName val="20210702"/>
      <sheetName val="20210701"/>
      <sheetName val="20210630"/>
      <sheetName val="20210629"/>
      <sheetName val="20210628"/>
      <sheetName val="20210625"/>
      <sheetName val="20210624"/>
      <sheetName val="20210623"/>
      <sheetName val="20210622"/>
      <sheetName val="20210621"/>
      <sheetName val="20210618"/>
      <sheetName val="20210617"/>
      <sheetName val="20210616"/>
      <sheetName val="20210615"/>
      <sheetName val="20210610"/>
      <sheetName val="20210609"/>
      <sheetName val="20210608"/>
      <sheetName val="20210607"/>
      <sheetName val="20210604"/>
      <sheetName val="20210603"/>
      <sheetName val="20210602"/>
      <sheetName val="20210601"/>
      <sheetName val="20210531"/>
      <sheetName val="20210528"/>
      <sheetName val="20210527"/>
      <sheetName val="20210526"/>
      <sheetName val="20210525"/>
      <sheetName val="20210518"/>
      <sheetName val="20210311"/>
      <sheetName val="20210310"/>
      <sheetName val="20210309"/>
      <sheetName val="20210308"/>
      <sheetName val="20210305"/>
      <sheetName val="20210304"/>
      <sheetName val="20210303"/>
      <sheetName val="20210302"/>
      <sheetName val="20210226"/>
      <sheetName val="20210225"/>
      <sheetName val="20210224"/>
      <sheetName val="20210223"/>
      <sheetName val="20210222"/>
      <sheetName val="20210219"/>
      <sheetName val="20210218"/>
      <sheetName val="20210217"/>
      <sheetName val="20210205"/>
      <sheetName val="20210204"/>
      <sheetName val="20210203"/>
      <sheetName val="20210202"/>
      <sheetName val="20210201"/>
      <sheetName val="20210129"/>
      <sheetName val="20210128"/>
      <sheetName val="20210127"/>
      <sheetName val="20210126"/>
      <sheetName val="20210125"/>
      <sheetName val="20210122"/>
      <sheetName val="20210121"/>
      <sheetName val="20210120"/>
      <sheetName val="20210119"/>
      <sheetName val="20210118"/>
      <sheetName val="20210115"/>
      <sheetName val="20210114"/>
      <sheetName val="20210113"/>
      <sheetName val="20210112"/>
      <sheetName val="20210111"/>
      <sheetName val="20210108"/>
      <sheetName val="20210107"/>
      <sheetName val="20210106"/>
      <sheetName val="工作表"/>
      <sheetName val="20150727"/>
    </sheetNames>
    <sheetDataSet>
      <sheetData sheetId="0">
        <row r="1">
          <cell r="A1" t="str">
            <v>等殖成交行情表(買賣斷)
Daily Prices &amp; Volume－Outright Purchase &amp; Sales (Electronic Bonds Trading System)</v>
          </cell>
        </row>
        <row r="2">
          <cell r="A2" t="str">
            <v>日期 Date：112/10/05</v>
          </cell>
        </row>
        <row r="3">
          <cell r="A3" t="str">
            <v>債券
Bond</v>
          </cell>
          <cell r="C3" t="str">
            <v>存續
期間</v>
          </cell>
          <cell r="D3" t="str">
            <v>剩餘
年限</v>
          </cell>
          <cell r="E3" t="str">
            <v>殖利率相對應百元價(元)
Price(NT)</v>
          </cell>
          <cell r="J3" t="str">
            <v>殖利率(%)
Yield</v>
          </cell>
          <cell r="O3" t="str">
            <v xml:space="preserve">總成交值(元)
</v>
          </cell>
          <cell r="P3" t="str">
            <v>總成交面額(億)</v>
          </cell>
        </row>
        <row r="4">
          <cell r="A4" t="str">
            <v>代號
Code</v>
          </cell>
          <cell r="B4" t="str">
            <v>名稱
Name</v>
          </cell>
          <cell r="C4" t="str">
            <v>Duration</v>
          </cell>
          <cell r="D4" t="str">
            <v>DY</v>
          </cell>
          <cell r="E4" t="str">
            <v>最低
Low</v>
          </cell>
          <cell r="F4" t="str">
            <v>最高
High</v>
          </cell>
          <cell r="G4" t="str">
            <v>平均
Average</v>
          </cell>
          <cell r="H4" t="str">
            <v>漲跌
Change</v>
          </cell>
          <cell r="I4" t="str">
            <v>11:55 - 12:00 平均
Averaged</v>
          </cell>
          <cell r="J4" t="str">
            <v>最高
High</v>
          </cell>
          <cell r="K4" t="str">
            <v>最低
Low</v>
          </cell>
          <cell r="L4" t="str">
            <v>平均
Volume-Weighted
Average</v>
          </cell>
          <cell r="M4" t="str">
            <v>漲跌
Change</v>
          </cell>
          <cell r="N4" t="str">
            <v>11:55 - 12:00 平均
Volume-Weighted
Average</v>
          </cell>
          <cell r="O4" t="str">
            <v>Trading Value 
(NTD$)</v>
          </cell>
          <cell r="P4" t="str">
            <v>Total Trading Face Value
(NTD$100 Mil.)</v>
          </cell>
        </row>
        <row r="5">
          <cell r="A5" t="str">
            <v>A08107</v>
          </cell>
          <cell r="B5" t="str">
            <v>108央債甲7</v>
          </cell>
          <cell r="C5">
            <v>0.76</v>
          </cell>
          <cell r="D5">
            <v>0.78</v>
          </cell>
          <cell r="E5">
            <v>99.665700000000001</v>
          </cell>
          <cell r="F5">
            <v>99.677099999999996</v>
          </cell>
          <cell r="G5">
            <v>99.672200000000004</v>
          </cell>
          <cell r="H5">
            <v>4.7000000000000002E-3</v>
          </cell>
          <cell r="I5" t="str">
            <v>-</v>
          </cell>
          <cell r="J5">
            <v>0.94</v>
          </cell>
          <cell r="K5">
            <v>0.92500000000000004</v>
          </cell>
          <cell r="L5">
            <v>0.93149999999999999</v>
          </cell>
          <cell r="M5">
            <v>1.5E-3</v>
          </cell>
          <cell r="N5">
            <v>0</v>
          </cell>
          <cell r="O5">
            <v>946885004</v>
          </cell>
          <cell r="P5">
            <v>9.5</v>
          </cell>
        </row>
        <row r="6">
          <cell r="A6" t="str">
            <v>A10107</v>
          </cell>
          <cell r="B6" t="str">
            <v>110央債甲7</v>
          </cell>
          <cell r="C6">
            <v>7.5</v>
          </cell>
          <cell r="D6">
            <v>7.71</v>
          </cell>
          <cell r="E6">
            <v>93.466999999999999</v>
          </cell>
          <cell r="F6">
            <v>93.481099999999998</v>
          </cell>
          <cell r="G6">
            <v>93.474000000000004</v>
          </cell>
          <cell r="H6">
            <v>-9.0999999999999998E-2</v>
          </cell>
          <cell r="I6" t="str">
            <v>-</v>
          </cell>
          <cell r="J6">
            <v>1.2709999999999999</v>
          </cell>
          <cell r="K6">
            <v>1.2689999999999999</v>
          </cell>
          <cell r="L6">
            <v>1.27</v>
          </cell>
          <cell r="M6">
            <v>1.4500000000000001E-2</v>
          </cell>
          <cell r="N6">
            <v>0</v>
          </cell>
          <cell r="O6">
            <v>93474047</v>
          </cell>
          <cell r="P6">
            <v>1</v>
          </cell>
        </row>
        <row r="7">
          <cell r="A7" t="str">
            <v>A11110</v>
          </cell>
          <cell r="B7" t="str">
            <v>111央甲10</v>
          </cell>
          <cell r="C7">
            <v>8.19</v>
          </cell>
          <cell r="D7">
            <v>9.0299999999999994</v>
          </cell>
          <cell r="E7">
            <v>103.9695</v>
          </cell>
          <cell r="F7">
            <v>104.0215</v>
          </cell>
          <cell r="G7">
            <v>103.9834</v>
          </cell>
          <cell r="H7">
            <v>-0.34350000000000003</v>
          </cell>
          <cell r="I7">
            <v>104.0215</v>
          </cell>
          <cell r="J7">
            <v>1.2809999999999999</v>
          </cell>
          <cell r="K7">
            <v>1.2749999999999999</v>
          </cell>
          <cell r="L7">
            <v>1.2794000000000001</v>
          </cell>
          <cell r="M7">
            <v>3.8899999999999997E-2</v>
          </cell>
          <cell r="N7">
            <v>1.2749999999999999</v>
          </cell>
          <cell r="O7">
            <v>779870995</v>
          </cell>
          <cell r="P7">
            <v>7.5</v>
          </cell>
        </row>
        <row r="8">
          <cell r="A8" t="str">
            <v>A12106</v>
          </cell>
          <cell r="B8" t="str">
            <v>112央債甲6</v>
          </cell>
          <cell r="C8">
            <v>4.47</v>
          </cell>
          <cell r="D8">
            <v>4.6399999999999997</v>
          </cell>
          <cell r="E8">
            <v>99.144400000000005</v>
          </cell>
          <cell r="F8">
            <v>99.153300000000002</v>
          </cell>
          <cell r="G8">
            <v>99.149299999999997</v>
          </cell>
          <cell r="H8">
            <v>3.32E-2</v>
          </cell>
          <cell r="I8" t="str">
            <v>-</v>
          </cell>
          <cell r="J8">
            <v>1.1910000000000001</v>
          </cell>
          <cell r="K8">
            <v>1.1890000000000001</v>
          </cell>
          <cell r="L8">
            <v>1.1899</v>
          </cell>
          <cell r="M8">
            <v>-6.8999999999999999E-3</v>
          </cell>
          <cell r="N8">
            <v>0</v>
          </cell>
          <cell r="O8">
            <v>1685537669</v>
          </cell>
          <cell r="P8">
            <v>17</v>
          </cell>
        </row>
        <row r="9">
          <cell r="A9" t="str">
            <v>A12110R</v>
          </cell>
          <cell r="B9" t="str">
            <v>112央甲10</v>
          </cell>
          <cell r="C9">
            <v>9.16</v>
          </cell>
          <cell r="D9">
            <v>10</v>
          </cell>
          <cell r="E9">
            <v>99.705500000000001</v>
          </cell>
          <cell r="F9">
            <v>99.705500000000001</v>
          </cell>
          <cell r="G9">
            <v>99.705500000000001</v>
          </cell>
          <cell r="H9">
            <v>9.9699999999999997E-2</v>
          </cell>
          <cell r="I9" t="str">
            <v>-</v>
          </cell>
          <cell r="J9">
            <v>1.282</v>
          </cell>
          <cell r="K9">
            <v>1.282</v>
          </cell>
          <cell r="L9">
            <v>1.282</v>
          </cell>
          <cell r="M9">
            <v>-1.09E-2</v>
          </cell>
          <cell r="N9">
            <v>0</v>
          </cell>
          <cell r="O9">
            <v>50000000</v>
          </cell>
          <cell r="P9">
            <v>0.5</v>
          </cell>
        </row>
        <row r="10">
          <cell r="A10" t="str">
            <v>B401DS</v>
          </cell>
          <cell r="B10" t="str">
            <v>P12南亞1A</v>
          </cell>
          <cell r="C10">
            <v>4.29</v>
          </cell>
          <cell r="D10">
            <v>5</v>
          </cell>
          <cell r="E10">
            <v>99.999799999999993</v>
          </cell>
          <cell r="F10">
            <v>99.999799999999993</v>
          </cell>
          <cell r="G10">
            <v>99.999799999999993</v>
          </cell>
          <cell r="H10">
            <v>99.999799999999993</v>
          </cell>
          <cell r="I10" t="str">
            <v>-</v>
          </cell>
          <cell r="J10">
            <v>1.57</v>
          </cell>
          <cell r="K10">
            <v>1.57</v>
          </cell>
          <cell r="L10">
            <v>1.57</v>
          </cell>
          <cell r="M10">
            <v>0</v>
          </cell>
          <cell r="N10">
            <v>0</v>
          </cell>
          <cell r="O10">
            <v>999998040</v>
          </cell>
          <cell r="P10">
            <v>10</v>
          </cell>
        </row>
        <row r="11">
          <cell r="A11" t="str">
            <v>B401DT</v>
          </cell>
          <cell r="B11" t="str">
            <v>P12南亞1B</v>
          </cell>
          <cell r="C11">
            <v>8.66</v>
          </cell>
          <cell r="D11">
            <v>10</v>
          </cell>
          <cell r="E11">
            <v>100.0171</v>
          </cell>
          <cell r="F11">
            <v>100.0864</v>
          </cell>
          <cell r="G11">
            <v>100.0552</v>
          </cell>
          <cell r="H11">
            <v>100.0552</v>
          </cell>
          <cell r="I11" t="str">
            <v>-</v>
          </cell>
          <cell r="J11">
            <v>1.768</v>
          </cell>
          <cell r="K11">
            <v>1.76</v>
          </cell>
          <cell r="L11">
            <v>1.7636000000000001</v>
          </cell>
          <cell r="M11">
            <v>-6.4000000000000003E-3</v>
          </cell>
          <cell r="N11">
            <v>0</v>
          </cell>
          <cell r="O11">
            <v>300163830</v>
          </cell>
          <cell r="P11">
            <v>3</v>
          </cell>
        </row>
        <row r="12">
          <cell r="A12" t="str">
            <v>B618BN</v>
          </cell>
          <cell r="B12" t="str">
            <v>P09台積1B</v>
          </cell>
          <cell r="C12">
            <v>3.36</v>
          </cell>
          <cell r="D12">
            <v>3.46</v>
          </cell>
          <cell r="E12">
            <v>96.932299999999998</v>
          </cell>
          <cell r="F12">
            <v>96.932299999999998</v>
          </cell>
          <cell r="G12">
            <v>96.932299999999998</v>
          </cell>
          <cell r="H12">
            <v>-2.2519</v>
          </cell>
          <cell r="I12">
            <v>96.932299999999998</v>
          </cell>
          <cell r="J12">
            <v>1.54</v>
          </cell>
          <cell r="K12">
            <v>1.54</v>
          </cell>
          <cell r="L12">
            <v>1.54</v>
          </cell>
          <cell r="M12">
            <v>0.68</v>
          </cell>
          <cell r="N12">
            <v>1.54</v>
          </cell>
          <cell r="O12">
            <v>193864544</v>
          </cell>
          <cell r="P12">
            <v>2</v>
          </cell>
        </row>
        <row r="13">
          <cell r="A13" t="str">
            <v>B638BH</v>
          </cell>
          <cell r="B13" t="str">
            <v>P12聯電1</v>
          </cell>
          <cell r="C13">
            <v>4.7</v>
          </cell>
          <cell r="D13">
            <v>4.9400000000000004</v>
          </cell>
          <cell r="E13">
            <v>99.924000000000007</v>
          </cell>
          <cell r="F13">
            <v>99.924000000000007</v>
          </cell>
          <cell r="G13">
            <v>99.924000000000007</v>
          </cell>
          <cell r="H13">
            <v>1E-4</v>
          </cell>
          <cell r="I13" t="str">
            <v>-</v>
          </cell>
          <cell r="J13">
            <v>1.6359999999999999</v>
          </cell>
          <cell r="K13">
            <v>1.6359999999999999</v>
          </cell>
          <cell r="L13">
            <v>1.6359999999999999</v>
          </cell>
          <cell r="M13">
            <v>0</v>
          </cell>
          <cell r="N13">
            <v>0</v>
          </cell>
          <cell r="O13">
            <v>199847912</v>
          </cell>
          <cell r="P13">
            <v>2</v>
          </cell>
        </row>
        <row r="14">
          <cell r="A14" t="str">
            <v>B903Z2</v>
          </cell>
          <cell r="B14" t="str">
            <v>P12台電3B</v>
          </cell>
          <cell r="C14">
            <v>4.45</v>
          </cell>
          <cell r="D14">
            <v>4.6900000000000004</v>
          </cell>
          <cell r="E14">
            <v>99.907799999999995</v>
          </cell>
          <cell r="F14">
            <v>99.907799999999995</v>
          </cell>
          <cell r="G14">
            <v>99.907799999999995</v>
          </cell>
          <cell r="H14">
            <v>-0.121</v>
          </cell>
          <cell r="I14">
            <v>99.907799999999995</v>
          </cell>
          <cell r="J14">
            <v>1.59</v>
          </cell>
          <cell r="K14">
            <v>1.59</v>
          </cell>
          <cell r="L14">
            <v>1.59</v>
          </cell>
          <cell r="M14">
            <v>2.7E-2</v>
          </cell>
          <cell r="N14">
            <v>1.59</v>
          </cell>
          <cell r="O14">
            <v>99907824</v>
          </cell>
          <cell r="P14">
            <v>1</v>
          </cell>
        </row>
        <row r="15">
          <cell r="A15" t="str">
            <v>合計 Total</v>
          </cell>
          <cell r="O15">
            <v>5349549865</v>
          </cell>
          <cell r="P15">
            <v>53.5</v>
          </cell>
        </row>
        <row r="16">
          <cell r="A16" t="str">
            <v>註 Remark  ：</v>
          </cell>
          <cell r="C16" t="str">
            <v xml:space="preserve">1.平均殖利率係指當日有成交紀錄之加權平均殖利率 Average yield is the volume-weighted yield of day tradings. </v>
          </cell>
        </row>
        <row r="17">
          <cell r="C17" t="str">
            <v>2.平均百元價係指前項平均殖利率相對應的百元價格 Average price is the price derived from previous mentioned average yield.</v>
          </cell>
        </row>
        <row r="18">
          <cell r="C18" t="str">
            <v>3.本表包含公開報價、非公開報價及比對系統之成交資料。This table contains public quotation, non-public quotation and transaction data of the comparison system.</v>
          </cell>
        </row>
        <row r="19">
          <cell r="C19" t="str">
            <v>4.自102/02/01起遇公債為發行前交易債券時，成交值一欄以該期公債之成交面額揭示。</v>
          </cell>
        </row>
        <row r="20">
          <cell r="C20" t="str">
            <v xml:space="preserve">   From 2013/02/01, the amount value of the when-issued trading bond is disclosed in the face value of the bond.</v>
          </cell>
        </row>
        <row r="21">
          <cell r="C21" t="str">
            <v>5.殖利率漲跌係指本日該券加權平均殖利率與其前一交易日加權平均殖利率之差異(包含公開報價、非公開報價及比對系統之交易)。</v>
          </cell>
        </row>
        <row r="22">
          <cell r="C22" t="str">
            <v xml:space="preserve"> Yield change indicates the difference of the weighted average yield between today and previous trading day. (Including public quotes, non-public quotes, and comparison system transactions.)</v>
          </cell>
        </row>
      </sheetData>
      <sheetData sheetId="1">
        <row r="1">
          <cell r="A1" t="str">
            <v>處所成交行情表(買賣斷)&lt;初步值&gt;
Daily Prices &amp; Volume－Outright Purchase &amp; Sales (Over The Counter)&lt;Estimated Value&gt;</v>
          </cell>
        </row>
        <row r="2">
          <cell r="A2" t="str">
            <v>日期 Date：112/10/05</v>
          </cell>
        </row>
        <row r="3">
          <cell r="A3" t="str">
            <v>債券
Bonds</v>
          </cell>
          <cell r="C3" t="str">
            <v>幣別</v>
          </cell>
          <cell r="D3" t="str">
            <v>存續期間</v>
          </cell>
          <cell r="E3" t="str">
            <v>剩餘年限</v>
          </cell>
          <cell r="F3" t="str">
            <v>殖利率相對應百元價
Per-Hundred Price</v>
          </cell>
          <cell r="I3" t="str">
            <v>殖利率%
Yield%</v>
          </cell>
          <cell r="L3" t="str">
            <v>與前一
營業日
比較%</v>
          </cell>
          <cell r="M3" t="str">
            <v>總成交金額</v>
          </cell>
          <cell r="N3" t="str">
            <v>總成交面額</v>
          </cell>
          <cell r="O3" t="str">
            <v>總筆數</v>
          </cell>
          <cell r="P3" t="str">
            <v>與公債殖利率之差異點</v>
          </cell>
        </row>
        <row r="4">
          <cell r="A4" t="str">
            <v>代號
Code</v>
          </cell>
          <cell r="B4" t="str">
            <v>名稱
Name</v>
          </cell>
          <cell r="C4" t="str">
            <v>Currency</v>
          </cell>
          <cell r="D4" t="str">
            <v>Duration</v>
          </cell>
          <cell r="E4" t="str">
            <v>DY</v>
          </cell>
          <cell r="F4" t="str">
            <v>最低
Low</v>
          </cell>
          <cell r="G4" t="str">
            <v>最高
High</v>
          </cell>
          <cell r="H4" t="str">
            <v>加權平均 Average</v>
          </cell>
          <cell r="I4" t="str">
            <v>最高
High</v>
          </cell>
          <cell r="J4" t="str">
            <v>最低
Low</v>
          </cell>
          <cell r="K4" t="str">
            <v>加權平均Volume-Weighted Average</v>
          </cell>
          <cell r="L4" t="str">
            <v>Yield  Change
%</v>
          </cell>
          <cell r="M4" t="str">
            <v>Trading Value</v>
          </cell>
          <cell r="N4" t="str">
            <v>Trading Face Value</v>
          </cell>
          <cell r="O4" t="str">
            <v>No. of Transactions</v>
          </cell>
          <cell r="P4" t="str">
            <v>Risk Premium</v>
          </cell>
        </row>
        <row r="5">
          <cell r="A5" t="str">
            <v>A08107</v>
          </cell>
          <cell r="B5" t="str">
            <v>108央債甲7</v>
          </cell>
          <cell r="C5" t="str">
            <v>TWD</v>
          </cell>
          <cell r="D5">
            <v>0.77</v>
          </cell>
          <cell r="E5">
            <v>0.78</v>
          </cell>
          <cell r="F5">
            <v>99.670199999999994</v>
          </cell>
          <cell r="G5">
            <v>99.670199999999994</v>
          </cell>
          <cell r="H5">
            <v>99.670199999999994</v>
          </cell>
          <cell r="I5">
            <v>0.92500000000000004</v>
          </cell>
          <cell r="J5">
            <v>0.92500000000000004</v>
          </cell>
          <cell r="K5">
            <v>0.92500000000000004</v>
          </cell>
          <cell r="L5">
            <v>5.0000000000000001E-3</v>
          </cell>
          <cell r="M5">
            <v>149515623</v>
          </cell>
          <cell r="N5">
            <v>150000000</v>
          </cell>
          <cell r="O5">
            <v>1</v>
          </cell>
        </row>
        <row r="6">
          <cell r="A6" t="str">
            <v>A12106</v>
          </cell>
          <cell r="B6" t="str">
            <v>112央債甲6</v>
          </cell>
          <cell r="C6" t="str">
            <v>TWD</v>
          </cell>
          <cell r="D6">
            <v>4.49</v>
          </cell>
          <cell r="E6">
            <v>4.6399999999999997</v>
          </cell>
          <cell r="F6">
            <v>99.145499999999998</v>
          </cell>
          <cell r="G6">
            <v>99.145499999999998</v>
          </cell>
          <cell r="H6">
            <v>99.145499999999998</v>
          </cell>
          <cell r="I6">
            <v>1.1900999999999999</v>
          </cell>
          <cell r="J6">
            <v>1.1900999999999999</v>
          </cell>
          <cell r="K6">
            <v>1.1900999999999999</v>
          </cell>
          <cell r="L6" t="str">
            <v>-</v>
          </cell>
          <cell r="M6">
            <v>49574219</v>
          </cell>
          <cell r="N6">
            <v>50000000</v>
          </cell>
          <cell r="O6">
            <v>1</v>
          </cell>
        </row>
        <row r="7">
          <cell r="A7" t="str">
            <v xml:space="preserve">TWD 合計 Total of TWD </v>
          </cell>
          <cell r="C7" t="str">
            <v/>
          </cell>
          <cell r="M7">
            <v>199089842</v>
          </cell>
          <cell r="N7">
            <v>200000000</v>
          </cell>
          <cell r="O7">
            <v>2</v>
          </cell>
        </row>
        <row r="8">
          <cell r="A8" t="str">
            <v>F07404</v>
          </cell>
          <cell r="B8" t="str">
            <v>S23TCB1B</v>
          </cell>
          <cell r="C8" t="str">
            <v>USD</v>
          </cell>
          <cell r="D8">
            <v>0</v>
          </cell>
          <cell r="E8">
            <v>4.42</v>
          </cell>
          <cell r="F8">
            <v>89.97</v>
          </cell>
          <cell r="G8">
            <v>89.97</v>
          </cell>
          <cell r="H8">
            <v>89.97</v>
          </cell>
          <cell r="I8" t="str">
            <v>-</v>
          </cell>
          <cell r="J8" t="str">
            <v>-</v>
          </cell>
          <cell r="K8" t="str">
            <v>-</v>
          </cell>
          <cell r="L8" t="str">
            <v>-</v>
          </cell>
          <cell r="M8">
            <v>44985</v>
          </cell>
          <cell r="N8">
            <v>50000</v>
          </cell>
          <cell r="O8">
            <v>1</v>
          </cell>
        </row>
        <row r="9">
          <cell r="A9" t="str">
            <v xml:space="preserve">USD 合計 Total of USD </v>
          </cell>
          <cell r="C9" t="str">
            <v/>
          </cell>
          <cell r="M9">
            <v>44985</v>
          </cell>
          <cell r="N9">
            <v>50000</v>
          </cell>
          <cell r="O9">
            <v>1</v>
          </cell>
        </row>
        <row r="10">
          <cell r="A10" t="str">
            <v>G102B2</v>
          </cell>
          <cell r="B10" t="str">
            <v>P09玉銀2</v>
          </cell>
          <cell r="C10" t="str">
            <v>TWD</v>
          </cell>
          <cell r="D10">
            <v>1.43</v>
          </cell>
          <cell r="E10">
            <v>1.45</v>
          </cell>
          <cell r="F10">
            <v>98.650599999999997</v>
          </cell>
          <cell r="G10">
            <v>98.664699999999996</v>
          </cell>
          <cell r="H10">
            <v>98.657600000000002</v>
          </cell>
          <cell r="I10">
            <v>1.5249999999999999</v>
          </cell>
          <cell r="J10">
            <v>1.5149999999999999</v>
          </cell>
          <cell r="K10">
            <v>1.52</v>
          </cell>
          <cell r="L10" t="str">
            <v>-</v>
          </cell>
          <cell r="M10">
            <v>394690354</v>
          </cell>
          <cell r="N10">
            <v>400000000</v>
          </cell>
          <cell r="O10">
            <v>2</v>
          </cell>
          <cell r="P10">
            <v>152</v>
          </cell>
        </row>
        <row r="11">
          <cell r="A11" t="str">
            <v>B401DS</v>
          </cell>
          <cell r="B11" t="str">
            <v>P12南亞1A</v>
          </cell>
          <cell r="C11" t="str">
            <v>TWD</v>
          </cell>
          <cell r="D11">
            <v>4.3099999999999996</v>
          </cell>
          <cell r="E11">
            <v>5</v>
          </cell>
          <cell r="F11">
            <v>100</v>
          </cell>
          <cell r="G11">
            <v>100</v>
          </cell>
          <cell r="H11">
            <v>100</v>
          </cell>
          <cell r="I11">
            <v>1.57</v>
          </cell>
          <cell r="J11">
            <v>1.57</v>
          </cell>
          <cell r="K11">
            <v>1.57</v>
          </cell>
          <cell r="L11" t="str">
            <v>-</v>
          </cell>
          <cell r="M11">
            <v>3700000000</v>
          </cell>
          <cell r="N11">
            <v>3700000000</v>
          </cell>
          <cell r="O11">
            <v>26</v>
          </cell>
          <cell r="P11">
            <v>47.85</v>
          </cell>
        </row>
        <row r="12">
          <cell r="A12" t="str">
            <v>B401DT</v>
          </cell>
          <cell r="B12" t="str">
            <v>P12南亞1B</v>
          </cell>
          <cell r="C12" t="str">
            <v>TWD</v>
          </cell>
          <cell r="D12">
            <v>8.67</v>
          </cell>
          <cell r="E12">
            <v>10</v>
          </cell>
          <cell r="F12">
            <v>100</v>
          </cell>
          <cell r="G12">
            <v>100.04340000000001</v>
          </cell>
          <cell r="H12">
            <v>100.0017</v>
          </cell>
          <cell r="I12">
            <v>1.77</v>
          </cell>
          <cell r="J12">
            <v>1.7649999999999999</v>
          </cell>
          <cell r="K12">
            <v>1.7698</v>
          </cell>
          <cell r="L12" t="str">
            <v>-</v>
          </cell>
          <cell r="M12">
            <v>6700086108</v>
          </cell>
          <cell r="N12">
            <v>6700000000</v>
          </cell>
          <cell r="O12">
            <v>11</v>
          </cell>
          <cell r="P12">
            <v>53.05</v>
          </cell>
        </row>
        <row r="13">
          <cell r="A13" t="str">
            <v>B638BH</v>
          </cell>
          <cell r="B13" t="str">
            <v>P12聯電1</v>
          </cell>
          <cell r="C13" t="str">
            <v>TWD</v>
          </cell>
          <cell r="D13">
            <v>4.71</v>
          </cell>
          <cell r="E13">
            <v>4.9400000000000004</v>
          </cell>
          <cell r="F13">
            <v>99.928600000000003</v>
          </cell>
          <cell r="G13">
            <v>99.928600000000003</v>
          </cell>
          <cell r="H13">
            <v>99.928600000000003</v>
          </cell>
          <cell r="I13">
            <v>1.635</v>
          </cell>
          <cell r="J13">
            <v>1.635</v>
          </cell>
          <cell r="K13">
            <v>1.635</v>
          </cell>
          <cell r="L13" t="str">
            <v>-</v>
          </cell>
          <cell r="M13">
            <v>199857306</v>
          </cell>
          <cell r="N13">
            <v>200000000</v>
          </cell>
          <cell r="O13">
            <v>1</v>
          </cell>
          <cell r="P13">
            <v>47.38</v>
          </cell>
        </row>
        <row r="14">
          <cell r="A14" t="str">
            <v xml:space="preserve">TWD 合計 Total of TWD </v>
          </cell>
          <cell r="C14" t="str">
            <v/>
          </cell>
          <cell r="M14">
            <v>10994633768</v>
          </cell>
          <cell r="N14">
            <v>11000000000</v>
          </cell>
          <cell r="O14">
            <v>40</v>
          </cell>
        </row>
        <row r="15">
          <cell r="A15" t="str">
            <v>F19002</v>
          </cell>
          <cell r="B15" t="str">
            <v>P23CATLI2</v>
          </cell>
          <cell r="C15" t="str">
            <v>USD</v>
          </cell>
          <cell r="D15">
            <v>7.34</v>
          </cell>
          <cell r="E15">
            <v>9.99</v>
          </cell>
          <cell r="F15">
            <v>100.99979999999999</v>
          </cell>
          <cell r="G15">
            <v>100.99979999999999</v>
          </cell>
          <cell r="H15">
            <v>100.99979999999999</v>
          </cell>
          <cell r="I15">
            <v>5.9642999999999997</v>
          </cell>
          <cell r="J15">
            <v>5.9642999999999997</v>
          </cell>
          <cell r="K15">
            <v>5.9642999999999997</v>
          </cell>
          <cell r="L15">
            <v>-0.13569999999999999</v>
          </cell>
          <cell r="M15">
            <v>2020000</v>
          </cell>
          <cell r="N15">
            <v>2000000</v>
          </cell>
          <cell r="O15">
            <v>1</v>
          </cell>
        </row>
        <row r="16">
          <cell r="A16" t="str">
            <v>F19101</v>
          </cell>
          <cell r="B16" t="str">
            <v>P23KOBC1</v>
          </cell>
          <cell r="C16" t="str">
            <v>USD</v>
          </cell>
          <cell r="D16">
            <v>0</v>
          </cell>
          <cell r="E16">
            <v>5</v>
          </cell>
          <cell r="F16">
            <v>100</v>
          </cell>
          <cell r="G16">
            <v>100</v>
          </cell>
          <cell r="H16">
            <v>100</v>
          </cell>
          <cell r="I16" t="str">
            <v>-</v>
          </cell>
          <cell r="J16" t="str">
            <v>-</v>
          </cell>
          <cell r="K16" t="str">
            <v>-</v>
          </cell>
          <cell r="L16" t="str">
            <v>-</v>
          </cell>
          <cell r="M16">
            <v>5000000</v>
          </cell>
          <cell r="N16">
            <v>5000000</v>
          </cell>
          <cell r="O16">
            <v>1</v>
          </cell>
        </row>
        <row r="17">
          <cell r="A17" t="str">
            <v xml:space="preserve">USD 合計 Total of USD </v>
          </cell>
          <cell r="C17" t="str">
            <v/>
          </cell>
          <cell r="M17">
            <v>7020000</v>
          </cell>
          <cell r="N17">
            <v>7000000</v>
          </cell>
          <cell r="O17">
            <v>2</v>
          </cell>
        </row>
        <row r="18">
          <cell r="A18" t="str">
            <v>註 Remark  ：</v>
          </cell>
          <cell r="C18" t="str">
            <v>自102/02/01起遇公債為發行前交易債券時，成交金額一欄以該期公債之成交面額揭示。</v>
          </cell>
        </row>
        <row r="19">
          <cell r="C19" t="str">
            <v>From 2013/02/01 if the Government bond is when-issued bond, the amount of trading value is face value.</v>
          </cell>
        </row>
      </sheetData>
      <sheetData sheetId="2"/>
      <sheetData sheetId="3">
        <row r="1">
          <cell r="A1" t="str">
            <v>各期次債券公平價格
Government Bonds Fair Value</v>
          </cell>
        </row>
        <row r="2">
          <cell r="A2" t="str">
            <v>日期 Date：112/10/05</v>
          </cell>
        </row>
        <row r="3">
          <cell r="A3" t="str">
            <v>債券代號
Bond Code</v>
          </cell>
          <cell r="B3" t="str">
            <v>債券簡稱
Bond Name</v>
          </cell>
          <cell r="C3" t="str">
            <v>到期日
Maturity
Date</v>
          </cell>
          <cell r="D3" t="str">
            <v>距到期期間
Time to Maturity</v>
          </cell>
          <cell r="E3" t="str">
            <v>存續期間
Duration</v>
          </cell>
          <cell r="F3" t="str">
            <v>票面利率(%)
Coupon
Rate(%)</v>
          </cell>
          <cell r="G3" t="str">
            <v>每年付/計
息次數
Coupon /
Compound Frequency</v>
          </cell>
          <cell r="H3" t="str">
            <v>報價
Quote</v>
          </cell>
          <cell r="L3" t="str">
            <v>成交價
Trading Price</v>
          </cell>
          <cell r="N3" t="str">
            <v>理論價
Theoretical  Price</v>
          </cell>
          <cell r="P3" t="str">
            <v>與公債殖利率之差異點</v>
          </cell>
        </row>
        <row r="4">
          <cell r="H4" t="str">
            <v>買方殖利率
Last Best Bid Yield %</v>
          </cell>
          <cell r="I4" t="str">
            <v>最後最佳買價(元)
Last Best Bid Price(NT)</v>
          </cell>
          <cell r="J4" t="str">
            <v>賣方殖利率
Last Best Ask Yield %</v>
          </cell>
          <cell r="K4" t="str">
            <v>最後最佳賣價(元)
Last Best Ask Price(NT)</v>
          </cell>
          <cell r="L4" t="str">
            <v>加權平均
殖利率(%)
Volume-
Weighted
Average
Yield %</v>
          </cell>
          <cell r="M4" t="str">
            <v>加權平均
百元價(元)
Volume-
Weighted
Average
Price (NT)</v>
          </cell>
          <cell r="N4" t="str">
            <v>理論
殖利率
Theoretical 
Yield %</v>
          </cell>
          <cell r="O4" t="str">
            <v>理論價(元)
Theoretical
Price (NT)</v>
          </cell>
          <cell r="P4" t="str">
            <v>Risk Premium</v>
          </cell>
        </row>
        <row r="6">
          <cell r="A6" t="str">
            <v>A00102</v>
          </cell>
          <cell r="B6" t="str">
            <v>100央債甲2</v>
          </cell>
          <cell r="C6" t="str">
            <v>120/01/13</v>
          </cell>
          <cell r="D6">
            <v>7.27</v>
          </cell>
          <cell r="E6">
            <v>6.64</v>
          </cell>
          <cell r="F6">
            <v>2.125</v>
          </cell>
          <cell r="G6" t="str">
            <v>1 / 1</v>
          </cell>
          <cell r="H6" t="str">
            <v>-</v>
          </cell>
          <cell r="I6" t="str">
            <v>-</v>
          </cell>
          <cell r="J6" t="str">
            <v>-</v>
          </cell>
          <cell r="K6" t="str">
            <v>-</v>
          </cell>
          <cell r="L6" t="str">
            <v>-</v>
          </cell>
          <cell r="M6" t="str">
            <v>-</v>
          </cell>
          <cell r="N6">
            <v>1.2351000000000001</v>
          </cell>
          <cell r="O6">
            <v>106.139</v>
          </cell>
        </row>
        <row r="7">
          <cell r="A7" t="str">
            <v>A00104</v>
          </cell>
          <cell r="B7" t="str">
            <v>100央債甲4</v>
          </cell>
          <cell r="C7" t="str">
            <v>130/02/22</v>
          </cell>
          <cell r="D7">
            <v>17.38</v>
          </cell>
          <cell r="E7">
            <v>14.61</v>
          </cell>
          <cell r="F7">
            <v>2</v>
          </cell>
          <cell r="G7" t="str">
            <v>1 / 1</v>
          </cell>
          <cell r="H7" t="str">
            <v>-</v>
          </cell>
          <cell r="I7" t="str">
            <v>-</v>
          </cell>
          <cell r="J7" t="str">
            <v>-</v>
          </cell>
          <cell r="K7" t="str">
            <v>-</v>
          </cell>
          <cell r="L7" t="str">
            <v>-</v>
          </cell>
          <cell r="M7" t="str">
            <v>-</v>
          </cell>
          <cell r="N7">
            <v>1.3814</v>
          </cell>
          <cell r="O7">
            <v>109.4907</v>
          </cell>
        </row>
        <row r="8">
          <cell r="A8" t="str">
            <v>A00107</v>
          </cell>
          <cell r="B8" t="str">
            <v>100央債甲7</v>
          </cell>
          <cell r="C8" t="str">
            <v>120/08/02</v>
          </cell>
          <cell r="D8">
            <v>7.82</v>
          </cell>
          <cell r="E8">
            <v>7.24</v>
          </cell>
          <cell r="F8">
            <v>1.875</v>
          </cell>
          <cell r="G8" t="str">
            <v>1 / 1</v>
          </cell>
          <cell r="H8" t="str">
            <v>-</v>
          </cell>
          <cell r="I8" t="str">
            <v>-</v>
          </cell>
          <cell r="J8" t="str">
            <v>-</v>
          </cell>
          <cell r="K8" t="str">
            <v>-</v>
          </cell>
          <cell r="L8" t="str">
            <v>-</v>
          </cell>
          <cell r="M8" t="str">
            <v>-</v>
          </cell>
          <cell r="N8">
            <v>1.2448999999999999</v>
          </cell>
          <cell r="O8">
            <v>104.65949999999999</v>
          </cell>
        </row>
        <row r="9">
          <cell r="A9" t="str">
            <v>A00108</v>
          </cell>
          <cell r="B9" t="str">
            <v>100央債甲8</v>
          </cell>
          <cell r="C9" t="str">
            <v>130/08/22</v>
          </cell>
          <cell r="D9">
            <v>17.88</v>
          </cell>
          <cell r="E9">
            <v>15.21</v>
          </cell>
          <cell r="F9">
            <v>1.875</v>
          </cell>
          <cell r="G9" t="str">
            <v>1 / 1</v>
          </cell>
          <cell r="H9" t="str">
            <v>-</v>
          </cell>
          <cell r="I9" t="str">
            <v>-</v>
          </cell>
          <cell r="J9" t="str">
            <v>-</v>
          </cell>
          <cell r="K9" t="str">
            <v>-</v>
          </cell>
          <cell r="L9" t="str">
            <v>-</v>
          </cell>
          <cell r="M9" t="str">
            <v>-</v>
          </cell>
          <cell r="N9">
            <v>1.3894</v>
          </cell>
          <cell r="O9">
            <v>107.6344</v>
          </cell>
        </row>
        <row r="10">
          <cell r="A10" t="str">
            <v>A00201</v>
          </cell>
          <cell r="B10" t="str">
            <v>100央債乙1</v>
          </cell>
          <cell r="C10" t="str">
            <v>120/05/26</v>
          </cell>
          <cell r="D10">
            <v>7.63</v>
          </cell>
          <cell r="E10">
            <v>7.08</v>
          </cell>
          <cell r="F10">
            <v>1.75</v>
          </cell>
          <cell r="G10" t="str">
            <v>1 / 1</v>
          </cell>
          <cell r="H10" t="str">
            <v>-</v>
          </cell>
          <cell r="I10" t="str">
            <v>-</v>
          </cell>
          <cell r="J10" t="str">
            <v>-</v>
          </cell>
          <cell r="K10" t="str">
            <v>-</v>
          </cell>
          <cell r="L10" t="str">
            <v>-</v>
          </cell>
          <cell r="M10" t="str">
            <v>-</v>
          </cell>
          <cell r="N10">
            <v>1.2419</v>
          </cell>
          <cell r="O10">
            <v>103.67100000000001</v>
          </cell>
        </row>
        <row r="11">
          <cell r="A11" t="str">
            <v>A01102</v>
          </cell>
          <cell r="B11" t="str">
            <v>101央債甲2</v>
          </cell>
          <cell r="C11" t="str">
            <v>121/01/20</v>
          </cell>
          <cell r="D11">
            <v>8.2899999999999991</v>
          </cell>
          <cell r="E11">
            <v>7.64</v>
          </cell>
          <cell r="F11">
            <v>1.625</v>
          </cell>
          <cell r="G11" t="str">
            <v>1 / 1</v>
          </cell>
          <cell r="H11" t="str">
            <v>-</v>
          </cell>
          <cell r="I11" t="str">
            <v>-</v>
          </cell>
          <cell r="J11" t="str">
            <v>-</v>
          </cell>
          <cell r="K11" t="str">
            <v>-</v>
          </cell>
          <cell r="L11" t="str">
            <v>-</v>
          </cell>
          <cell r="M11" t="str">
            <v>-</v>
          </cell>
          <cell r="N11">
            <v>1.2529999999999999</v>
          </cell>
          <cell r="O11">
            <v>102.9058</v>
          </cell>
          <cell r="P11">
            <v>25.96</v>
          </cell>
        </row>
        <row r="12">
          <cell r="A12" t="str">
            <v>A01104</v>
          </cell>
          <cell r="B12" t="str">
            <v>101央債甲4</v>
          </cell>
          <cell r="C12" t="str">
            <v>131/02/13</v>
          </cell>
          <cell r="D12">
            <v>18.36</v>
          </cell>
          <cell r="E12">
            <v>15.54</v>
          </cell>
          <cell r="F12">
            <v>1.75</v>
          </cell>
          <cell r="G12" t="str">
            <v>1 / 1</v>
          </cell>
          <cell r="H12" t="str">
            <v>-</v>
          </cell>
          <cell r="I12" t="str">
            <v>-</v>
          </cell>
          <cell r="J12" t="str">
            <v>-</v>
          </cell>
          <cell r="K12" t="str">
            <v>-</v>
          </cell>
          <cell r="L12" t="str">
            <v>-</v>
          </cell>
          <cell r="M12" t="str">
            <v>-</v>
          </cell>
          <cell r="N12">
            <v>1.397</v>
          </cell>
          <cell r="O12">
            <v>105.675</v>
          </cell>
          <cell r="P12">
            <v>24.72</v>
          </cell>
        </row>
        <row r="13">
          <cell r="A13" t="str">
            <v>A01107</v>
          </cell>
          <cell r="B13" t="str">
            <v>101央債甲7</v>
          </cell>
          <cell r="C13" t="str">
            <v>121/08/10</v>
          </cell>
          <cell r="D13">
            <v>8.84</v>
          </cell>
          <cell r="E13">
            <v>8.2200000000000006</v>
          </cell>
          <cell r="F13">
            <v>1.5</v>
          </cell>
          <cell r="G13" t="str">
            <v>1 / 1</v>
          </cell>
          <cell r="H13" t="str">
            <v>-</v>
          </cell>
          <cell r="I13" t="str">
            <v>-</v>
          </cell>
          <cell r="J13" t="str">
            <v>-</v>
          </cell>
          <cell r="K13" t="str">
            <v>-</v>
          </cell>
          <cell r="L13" t="str">
            <v>-</v>
          </cell>
          <cell r="M13" t="str">
            <v>-</v>
          </cell>
          <cell r="N13">
            <v>1.2609999999999999</v>
          </cell>
          <cell r="O13">
            <v>101.98390000000001</v>
          </cell>
        </row>
        <row r="14">
          <cell r="A14" t="str">
            <v>A01108</v>
          </cell>
          <cell r="B14" t="str">
            <v>101央債甲8</v>
          </cell>
          <cell r="C14" t="str">
            <v>131/08/24</v>
          </cell>
          <cell r="D14">
            <v>18.88</v>
          </cell>
          <cell r="E14">
            <v>16.190000000000001</v>
          </cell>
          <cell r="F14">
            <v>1.625</v>
          </cell>
          <cell r="G14" t="str">
            <v>1 / 1</v>
          </cell>
          <cell r="H14" t="str">
            <v>-</v>
          </cell>
          <cell r="I14" t="str">
            <v>-</v>
          </cell>
          <cell r="J14" t="str">
            <v>-</v>
          </cell>
          <cell r="K14" t="str">
            <v>-</v>
          </cell>
          <cell r="L14" t="str">
            <v>-</v>
          </cell>
          <cell r="M14" t="str">
            <v>-</v>
          </cell>
          <cell r="N14">
            <v>1.4054</v>
          </cell>
          <cell r="O14">
            <v>103.61709999999999</v>
          </cell>
        </row>
        <row r="15">
          <cell r="A15" t="str">
            <v>A01201</v>
          </cell>
          <cell r="B15" t="str">
            <v>101央債乙1</v>
          </cell>
          <cell r="C15" t="str">
            <v>121/03/16</v>
          </cell>
          <cell r="D15">
            <v>8.44</v>
          </cell>
          <cell r="E15">
            <v>7.79</v>
          </cell>
          <cell r="F15">
            <v>1.625</v>
          </cell>
          <cell r="G15" t="str">
            <v>1 / 1</v>
          </cell>
          <cell r="H15" t="str">
            <v>-</v>
          </cell>
          <cell r="I15" t="str">
            <v>-</v>
          </cell>
          <cell r="J15" t="str">
            <v>-</v>
          </cell>
          <cell r="K15" t="str">
            <v>-</v>
          </cell>
          <cell r="L15" t="str">
            <v>-</v>
          </cell>
          <cell r="M15" t="str">
            <v>-</v>
          </cell>
          <cell r="N15">
            <v>1.2553000000000001</v>
          </cell>
          <cell r="O15">
            <v>102.9374</v>
          </cell>
        </row>
        <row r="16">
          <cell r="A16" t="str">
            <v>A02101</v>
          </cell>
          <cell r="B16" t="str">
            <v>102央債甲1</v>
          </cell>
          <cell r="C16" t="str">
            <v>117/01/09</v>
          </cell>
          <cell r="D16">
            <v>4.26</v>
          </cell>
          <cell r="E16">
            <v>4.07</v>
          </cell>
          <cell r="F16">
            <v>1.375</v>
          </cell>
          <cell r="G16" t="str">
            <v>1 / 1</v>
          </cell>
          <cell r="H16" t="str">
            <v>-</v>
          </cell>
          <cell r="I16" t="str">
            <v>-</v>
          </cell>
          <cell r="J16" t="str">
            <v>-</v>
          </cell>
          <cell r="K16" t="str">
            <v>-</v>
          </cell>
          <cell r="L16" t="str">
            <v>-</v>
          </cell>
          <cell r="M16" t="str">
            <v>-</v>
          </cell>
          <cell r="N16">
            <v>1.1746000000000001</v>
          </cell>
          <cell r="O16">
            <v>100.82389999999999</v>
          </cell>
        </row>
        <row r="17">
          <cell r="A17" t="str">
            <v>A02103</v>
          </cell>
          <cell r="B17" t="str">
            <v>102央債甲3</v>
          </cell>
          <cell r="C17" t="str">
            <v>122/01/28</v>
          </cell>
          <cell r="D17">
            <v>9.31</v>
          </cell>
          <cell r="E17">
            <v>8.56</v>
          </cell>
          <cell r="F17">
            <v>1.5</v>
          </cell>
          <cell r="G17" t="str">
            <v>1 / 1</v>
          </cell>
          <cell r="H17" t="str">
            <v>-</v>
          </cell>
          <cell r="I17" t="str">
            <v>-</v>
          </cell>
          <cell r="J17" t="str">
            <v>-</v>
          </cell>
          <cell r="K17" t="str">
            <v>-</v>
          </cell>
          <cell r="L17" t="str">
            <v>-</v>
          </cell>
          <cell r="M17" t="str">
            <v>-</v>
          </cell>
          <cell r="N17">
            <v>1.2669999999999999</v>
          </cell>
          <cell r="O17">
            <v>102.0296</v>
          </cell>
        </row>
        <row r="18">
          <cell r="A18" t="str">
            <v>A02105</v>
          </cell>
          <cell r="B18" t="str">
            <v>102央債甲5</v>
          </cell>
          <cell r="C18" t="str">
            <v>132/02/26</v>
          </cell>
          <cell r="D18">
            <v>19.39</v>
          </cell>
          <cell r="E18">
            <v>16.3</v>
          </cell>
          <cell r="F18">
            <v>1.75</v>
          </cell>
          <cell r="G18" t="str">
            <v>1 / 1</v>
          </cell>
          <cell r="H18" t="str">
            <v>-</v>
          </cell>
          <cell r="I18" t="str">
            <v>-</v>
          </cell>
          <cell r="J18" t="str">
            <v>-</v>
          </cell>
          <cell r="K18" t="str">
            <v>-</v>
          </cell>
          <cell r="L18" t="str">
            <v>-</v>
          </cell>
          <cell r="M18" t="str">
            <v>-</v>
          </cell>
          <cell r="N18">
            <v>1.4113</v>
          </cell>
          <cell r="O18">
            <v>105.7045</v>
          </cell>
        </row>
        <row r="19">
          <cell r="A19" t="str">
            <v>A02108</v>
          </cell>
          <cell r="B19" t="str">
            <v>102央債甲8</v>
          </cell>
          <cell r="C19" t="str">
            <v>122/07/26</v>
          </cell>
          <cell r="D19">
            <v>9.8000000000000007</v>
          </cell>
          <cell r="E19">
            <v>8.8699999999999992</v>
          </cell>
          <cell r="F19">
            <v>2</v>
          </cell>
          <cell r="G19" t="str">
            <v>1 / 1</v>
          </cell>
          <cell r="H19" t="str">
            <v>-</v>
          </cell>
          <cell r="I19" t="str">
            <v>-</v>
          </cell>
          <cell r="J19" t="str">
            <v>-</v>
          </cell>
          <cell r="K19" t="str">
            <v>-</v>
          </cell>
          <cell r="L19" t="str">
            <v>-</v>
          </cell>
          <cell r="M19" t="str">
            <v>-</v>
          </cell>
          <cell r="N19">
            <v>1.2719</v>
          </cell>
          <cell r="O19">
            <v>106.66</v>
          </cell>
        </row>
        <row r="20">
          <cell r="A20" t="str">
            <v>A02109</v>
          </cell>
          <cell r="B20" t="str">
            <v>102央債甲9</v>
          </cell>
          <cell r="C20" t="str">
            <v>132/08/02</v>
          </cell>
          <cell r="D20">
            <v>19.82</v>
          </cell>
          <cell r="E20">
            <v>15.95</v>
          </cell>
          <cell r="F20">
            <v>2.5</v>
          </cell>
          <cell r="G20" t="str">
            <v>1 / 1</v>
          </cell>
          <cell r="H20" t="str">
            <v>-</v>
          </cell>
          <cell r="I20" t="str">
            <v>-</v>
          </cell>
          <cell r="J20" t="str">
            <v>-</v>
          </cell>
          <cell r="K20" t="str">
            <v>-</v>
          </cell>
          <cell r="L20" t="str">
            <v>-</v>
          </cell>
          <cell r="M20" t="str">
            <v>-</v>
          </cell>
          <cell r="N20">
            <v>1.4112</v>
          </cell>
          <cell r="O20">
            <v>118.69970000000001</v>
          </cell>
        </row>
        <row r="21">
          <cell r="A21" t="str">
            <v>A02201</v>
          </cell>
          <cell r="B21" t="str">
            <v>102央債乙1</v>
          </cell>
          <cell r="C21" t="str">
            <v>122/03/21</v>
          </cell>
          <cell r="D21">
            <v>9.4499999999999993</v>
          </cell>
          <cell r="E21">
            <v>8.61</v>
          </cell>
          <cell r="F21">
            <v>1.75</v>
          </cell>
          <cell r="G21" t="str">
            <v>1 / 1</v>
          </cell>
          <cell r="H21" t="str">
            <v>-</v>
          </cell>
          <cell r="I21" t="str">
            <v>-</v>
          </cell>
          <cell r="J21" t="str">
            <v>-</v>
          </cell>
          <cell r="K21" t="str">
            <v>-</v>
          </cell>
          <cell r="L21" t="str">
            <v>-</v>
          </cell>
          <cell r="M21" t="str">
            <v>-</v>
          </cell>
          <cell r="N21">
            <v>1.2681</v>
          </cell>
          <cell r="O21">
            <v>104.2607</v>
          </cell>
        </row>
        <row r="22">
          <cell r="A22" t="str">
            <v>A03103</v>
          </cell>
          <cell r="B22" t="str">
            <v>103央債甲3</v>
          </cell>
          <cell r="C22" t="str">
            <v>123/01/29</v>
          </cell>
          <cell r="D22">
            <v>10.31</v>
          </cell>
          <cell r="E22">
            <v>9.2100000000000009</v>
          </cell>
          <cell r="F22">
            <v>2</v>
          </cell>
          <cell r="G22" t="str">
            <v>1 / 1</v>
          </cell>
          <cell r="H22" t="str">
            <v>-</v>
          </cell>
          <cell r="I22" t="str">
            <v>-</v>
          </cell>
          <cell r="J22" t="str">
            <v>-</v>
          </cell>
          <cell r="K22" t="str">
            <v>-</v>
          </cell>
          <cell r="L22" t="str">
            <v>-</v>
          </cell>
          <cell r="M22" t="str">
            <v>-</v>
          </cell>
          <cell r="N22">
            <v>1.2786</v>
          </cell>
          <cell r="O22">
            <v>106.91849999999999</v>
          </cell>
        </row>
        <row r="23">
          <cell r="A23" t="str">
            <v>A03105</v>
          </cell>
          <cell r="B23" t="str">
            <v>103央債甲5</v>
          </cell>
          <cell r="C23" t="str">
            <v>133/02/26</v>
          </cell>
          <cell r="D23">
            <v>20.39</v>
          </cell>
          <cell r="E23">
            <v>16.559999999999999</v>
          </cell>
          <cell r="F23">
            <v>2.125</v>
          </cell>
          <cell r="G23" t="str">
            <v>1 / 1</v>
          </cell>
          <cell r="H23" t="str">
            <v>-</v>
          </cell>
          <cell r="I23" t="str">
            <v>-</v>
          </cell>
          <cell r="J23" t="str">
            <v>-</v>
          </cell>
          <cell r="K23" t="str">
            <v>-</v>
          </cell>
          <cell r="L23" t="str">
            <v>-</v>
          </cell>
          <cell r="M23" t="str">
            <v>-</v>
          </cell>
          <cell r="N23">
            <v>1.4214</v>
          </cell>
          <cell r="O23">
            <v>112.3683</v>
          </cell>
        </row>
        <row r="24">
          <cell r="A24" t="str">
            <v>A03106</v>
          </cell>
          <cell r="B24" t="str">
            <v>103央債甲6</v>
          </cell>
          <cell r="C24" t="str">
            <v>113/03/03</v>
          </cell>
          <cell r="D24">
            <v>0.41</v>
          </cell>
          <cell r="E24">
            <v>0.39</v>
          </cell>
          <cell r="F24">
            <v>1.5</v>
          </cell>
          <cell r="G24" t="str">
            <v>1 / 1</v>
          </cell>
          <cell r="H24" t="str">
            <v>-</v>
          </cell>
          <cell r="I24" t="str">
            <v>-</v>
          </cell>
          <cell r="J24" t="str">
            <v>-</v>
          </cell>
          <cell r="K24" t="str">
            <v>-</v>
          </cell>
          <cell r="L24" t="str">
            <v>-</v>
          </cell>
          <cell r="M24" t="str">
            <v>-</v>
          </cell>
          <cell r="N24">
            <v>0.95809999999999995</v>
          </cell>
          <cell r="O24">
            <v>100.2101</v>
          </cell>
        </row>
        <row r="25">
          <cell r="A25" t="str">
            <v>A03107</v>
          </cell>
          <cell r="B25" t="str">
            <v>103央債甲7</v>
          </cell>
          <cell r="C25" t="str">
            <v>123/04/25</v>
          </cell>
          <cell r="D25">
            <v>10.55</v>
          </cell>
          <cell r="E25">
            <v>9.49</v>
          </cell>
          <cell r="F25">
            <v>1.875</v>
          </cell>
          <cell r="G25" t="str">
            <v>1 / 1</v>
          </cell>
          <cell r="H25" t="str">
            <v>-</v>
          </cell>
          <cell r="I25" t="str">
            <v>-</v>
          </cell>
          <cell r="J25" t="str">
            <v>-</v>
          </cell>
          <cell r="K25" t="str">
            <v>-</v>
          </cell>
          <cell r="L25" t="str">
            <v>-</v>
          </cell>
          <cell r="M25" t="str">
            <v>-</v>
          </cell>
          <cell r="N25">
            <v>1.2822</v>
          </cell>
          <cell r="O25">
            <v>105.8057</v>
          </cell>
        </row>
        <row r="26">
          <cell r="A26" t="str">
            <v>A03108</v>
          </cell>
          <cell r="B26" t="str">
            <v>103央債甲8</v>
          </cell>
          <cell r="C26" t="str">
            <v>133/05/28</v>
          </cell>
          <cell r="D26">
            <v>20.64</v>
          </cell>
          <cell r="E26">
            <v>16.95</v>
          </cell>
          <cell r="F26">
            <v>2</v>
          </cell>
          <cell r="G26" t="str">
            <v>1 / 1</v>
          </cell>
          <cell r="H26" t="str">
            <v>-</v>
          </cell>
          <cell r="I26" t="str">
            <v>-</v>
          </cell>
          <cell r="J26" t="str">
            <v>-</v>
          </cell>
          <cell r="K26" t="str">
            <v>-</v>
          </cell>
          <cell r="L26" t="str">
            <v>-</v>
          </cell>
          <cell r="M26" t="str">
            <v>-</v>
          </cell>
          <cell r="N26">
            <v>1.4257</v>
          </cell>
          <cell r="O26">
            <v>110.1973</v>
          </cell>
        </row>
        <row r="27">
          <cell r="A27" t="str">
            <v>A03111</v>
          </cell>
          <cell r="B27" t="str">
            <v>103央甲11</v>
          </cell>
          <cell r="C27" t="str">
            <v>123/07/31</v>
          </cell>
          <cell r="D27">
            <v>10.81</v>
          </cell>
          <cell r="E27">
            <v>9.66</v>
          </cell>
          <cell r="F27">
            <v>2.125</v>
          </cell>
          <cell r="G27" t="str">
            <v>1 / 1</v>
          </cell>
          <cell r="H27" t="str">
            <v>-</v>
          </cell>
          <cell r="I27" t="str">
            <v>-</v>
          </cell>
          <cell r="J27" t="str">
            <v>-</v>
          </cell>
          <cell r="K27" t="str">
            <v>-</v>
          </cell>
          <cell r="L27" t="str">
            <v>-</v>
          </cell>
          <cell r="M27" t="str">
            <v>-</v>
          </cell>
          <cell r="N27">
            <v>1.2851999999999999</v>
          </cell>
          <cell r="O27">
            <v>108.41889999999999</v>
          </cell>
        </row>
        <row r="28">
          <cell r="A28" t="str">
            <v>A03112</v>
          </cell>
          <cell r="B28" t="str">
            <v>103央甲12</v>
          </cell>
          <cell r="C28" t="str">
            <v>133/08/04</v>
          </cell>
          <cell r="D28">
            <v>20.83</v>
          </cell>
          <cell r="E28">
            <v>16.86</v>
          </cell>
          <cell r="F28">
            <v>2.25</v>
          </cell>
          <cell r="G28" t="str">
            <v>1 / 1</v>
          </cell>
          <cell r="H28" t="str">
            <v>-</v>
          </cell>
          <cell r="I28" t="str">
            <v>-</v>
          </cell>
          <cell r="J28" t="str">
            <v>-</v>
          </cell>
          <cell r="K28" t="str">
            <v>-</v>
          </cell>
          <cell r="L28" t="str">
            <v>-</v>
          </cell>
          <cell r="M28" t="str">
            <v>-</v>
          </cell>
          <cell r="N28">
            <v>1.4259999999999999</v>
          </cell>
          <cell r="O28">
            <v>114.74769999999999</v>
          </cell>
        </row>
        <row r="29">
          <cell r="A29" t="str">
            <v>A03113</v>
          </cell>
          <cell r="B29" t="str">
            <v>103央甲13</v>
          </cell>
          <cell r="C29" t="str">
            <v>113/09/26</v>
          </cell>
          <cell r="D29">
            <v>0.97</v>
          </cell>
          <cell r="E29">
            <v>0.95</v>
          </cell>
          <cell r="F29">
            <v>1.625</v>
          </cell>
          <cell r="G29" t="str">
            <v>1 / 1</v>
          </cell>
          <cell r="H29" t="str">
            <v>-</v>
          </cell>
          <cell r="I29" t="str">
            <v>-</v>
          </cell>
          <cell r="J29" t="str">
            <v>-</v>
          </cell>
          <cell r="K29" t="str">
            <v>-</v>
          </cell>
          <cell r="L29" t="str">
            <v>-</v>
          </cell>
          <cell r="M29" t="str">
            <v>-</v>
          </cell>
          <cell r="N29">
            <v>0.98770000000000002</v>
          </cell>
          <cell r="O29">
            <v>100.605</v>
          </cell>
        </row>
        <row r="30">
          <cell r="A30" t="str">
            <v>A03114</v>
          </cell>
          <cell r="B30" t="str">
            <v>103央甲14</v>
          </cell>
          <cell r="C30" t="str">
            <v>123/10/02</v>
          </cell>
          <cell r="D30">
            <v>10.99</v>
          </cell>
          <cell r="E30">
            <v>9.7799999999999994</v>
          </cell>
          <cell r="F30">
            <v>2.25</v>
          </cell>
          <cell r="G30" t="str">
            <v>1 / 1</v>
          </cell>
          <cell r="H30" t="str">
            <v>-</v>
          </cell>
          <cell r="I30" t="str">
            <v>-</v>
          </cell>
          <cell r="J30" t="str">
            <v>-</v>
          </cell>
          <cell r="K30" t="str">
            <v>-</v>
          </cell>
          <cell r="L30" t="str">
            <v>-</v>
          </cell>
          <cell r="M30" t="str">
            <v>-</v>
          </cell>
          <cell r="N30">
            <v>1.2871999999999999</v>
          </cell>
          <cell r="O30">
            <v>109.7961</v>
          </cell>
        </row>
        <row r="31">
          <cell r="A31" t="str">
            <v>A03116</v>
          </cell>
          <cell r="B31" t="str">
            <v>103央甲16</v>
          </cell>
          <cell r="C31" t="str">
            <v>133/11/26</v>
          </cell>
          <cell r="D31">
            <v>21.14</v>
          </cell>
          <cell r="E31">
            <v>16.84</v>
          </cell>
          <cell r="F31">
            <v>2.25</v>
          </cell>
          <cell r="G31" t="str">
            <v>1 / 1</v>
          </cell>
          <cell r="H31" t="str">
            <v>-</v>
          </cell>
          <cell r="I31" t="str">
            <v>-</v>
          </cell>
          <cell r="J31" t="str">
            <v>-</v>
          </cell>
          <cell r="K31" t="str">
            <v>-</v>
          </cell>
          <cell r="L31" t="str">
            <v>-</v>
          </cell>
          <cell r="M31" t="str">
            <v>-</v>
          </cell>
          <cell r="N31">
            <v>1.4298999999999999</v>
          </cell>
          <cell r="O31">
            <v>114.86109999999999</v>
          </cell>
        </row>
        <row r="32">
          <cell r="A32" t="str">
            <v>A04102</v>
          </cell>
          <cell r="B32" t="str">
            <v>104央債甲2</v>
          </cell>
          <cell r="C32" t="str">
            <v>124/01/23</v>
          </cell>
          <cell r="D32">
            <v>11.3</v>
          </cell>
          <cell r="E32">
            <v>10</v>
          </cell>
          <cell r="F32">
            <v>2</v>
          </cell>
          <cell r="G32" t="str">
            <v>1 / 1</v>
          </cell>
          <cell r="H32" t="str">
            <v>-</v>
          </cell>
          <cell r="I32" t="str">
            <v>-</v>
          </cell>
          <cell r="J32" t="str">
            <v>-</v>
          </cell>
          <cell r="K32" t="str">
            <v>-</v>
          </cell>
          <cell r="L32" t="str">
            <v>-</v>
          </cell>
          <cell r="M32" t="str">
            <v>-</v>
          </cell>
          <cell r="N32">
            <v>1.2923</v>
          </cell>
          <cell r="O32">
            <v>107.3848</v>
          </cell>
        </row>
        <row r="33">
          <cell r="A33" t="str">
            <v>A04104</v>
          </cell>
          <cell r="B33" t="str">
            <v>104央債甲4</v>
          </cell>
          <cell r="C33" t="str">
            <v>134/02/13</v>
          </cell>
          <cell r="D33">
            <v>21.36</v>
          </cell>
          <cell r="E33">
            <v>16.91</v>
          </cell>
          <cell r="F33">
            <v>2.375</v>
          </cell>
          <cell r="G33" t="str">
            <v>1 / 1</v>
          </cell>
          <cell r="H33" t="str">
            <v>-</v>
          </cell>
          <cell r="I33" t="str">
            <v>-</v>
          </cell>
          <cell r="J33" t="str">
            <v>-</v>
          </cell>
          <cell r="K33" t="str">
            <v>-</v>
          </cell>
          <cell r="L33" t="str">
            <v>-</v>
          </cell>
          <cell r="M33" t="str">
            <v>-</v>
          </cell>
          <cell r="N33">
            <v>1.4315</v>
          </cell>
          <cell r="O33">
            <v>117.2431</v>
          </cell>
        </row>
        <row r="34">
          <cell r="A34" t="str">
            <v>A04105</v>
          </cell>
          <cell r="B34" t="str">
            <v>104央債甲5</v>
          </cell>
          <cell r="C34" t="str">
            <v>114/03/13</v>
          </cell>
          <cell r="D34">
            <v>1.43</v>
          </cell>
          <cell r="E34">
            <v>1.39</v>
          </cell>
          <cell r="F34">
            <v>1.625</v>
          </cell>
          <cell r="G34" t="str">
            <v>1 / 1</v>
          </cell>
          <cell r="H34" t="str">
            <v>-</v>
          </cell>
          <cell r="I34" t="str">
            <v>-</v>
          </cell>
          <cell r="J34" t="str">
            <v>-</v>
          </cell>
          <cell r="K34" t="str">
            <v>-</v>
          </cell>
          <cell r="L34" t="str">
            <v>-</v>
          </cell>
          <cell r="M34" t="str">
            <v>-</v>
          </cell>
          <cell r="N34">
            <v>1.0116000000000001</v>
          </cell>
          <cell r="O34">
            <v>100.85899999999999</v>
          </cell>
        </row>
        <row r="35">
          <cell r="A35" t="str">
            <v>A04107</v>
          </cell>
          <cell r="B35" t="str">
            <v>104央債甲7</v>
          </cell>
          <cell r="C35" t="str">
            <v>124/04/15</v>
          </cell>
          <cell r="D35">
            <v>11.52</v>
          </cell>
          <cell r="E35">
            <v>10.16</v>
          </cell>
          <cell r="F35">
            <v>2.125</v>
          </cell>
          <cell r="G35" t="str">
            <v>1 / 1</v>
          </cell>
          <cell r="H35" t="str">
            <v>-</v>
          </cell>
          <cell r="I35" t="str">
            <v>-</v>
          </cell>
          <cell r="J35" t="str">
            <v>-</v>
          </cell>
          <cell r="K35" t="str">
            <v>-</v>
          </cell>
          <cell r="L35" t="str">
            <v>-</v>
          </cell>
          <cell r="M35" t="str">
            <v>-</v>
          </cell>
          <cell r="N35">
            <v>1.2950999999999999</v>
          </cell>
          <cell r="O35">
            <v>108.8186</v>
          </cell>
        </row>
        <row r="36">
          <cell r="A36" t="str">
            <v>A04108</v>
          </cell>
          <cell r="B36" t="str">
            <v>104央債甲8</v>
          </cell>
          <cell r="C36" t="str">
            <v>134/05/15</v>
          </cell>
          <cell r="D36">
            <v>21.6</v>
          </cell>
          <cell r="E36">
            <v>17.149999999999999</v>
          </cell>
          <cell r="F36">
            <v>2.375</v>
          </cell>
          <cell r="G36" t="str">
            <v>1 / 1</v>
          </cell>
          <cell r="H36" t="str">
            <v>-</v>
          </cell>
          <cell r="I36" t="str">
            <v>-</v>
          </cell>
          <cell r="J36" t="str">
            <v>-</v>
          </cell>
          <cell r="K36" t="str">
            <v>-</v>
          </cell>
          <cell r="L36" t="str">
            <v>-</v>
          </cell>
          <cell r="M36" t="str">
            <v>-</v>
          </cell>
          <cell r="N36">
            <v>1.4345000000000001</v>
          </cell>
          <cell r="O36">
            <v>117.3548</v>
          </cell>
        </row>
        <row r="37">
          <cell r="A37" t="str">
            <v>A04111</v>
          </cell>
          <cell r="B37" t="str">
            <v>104央甲11</v>
          </cell>
          <cell r="C37" t="str">
            <v>134/08/10</v>
          </cell>
          <cell r="D37">
            <v>21.84</v>
          </cell>
          <cell r="E37">
            <v>17.52</v>
          </cell>
          <cell r="F37">
            <v>2.25</v>
          </cell>
          <cell r="G37" t="str">
            <v>1 / 1</v>
          </cell>
          <cell r="H37" t="str">
            <v>-</v>
          </cell>
          <cell r="I37" t="str">
            <v>-</v>
          </cell>
          <cell r="J37" t="str">
            <v>-</v>
          </cell>
          <cell r="K37" t="str">
            <v>-</v>
          </cell>
          <cell r="L37" t="str">
            <v>-</v>
          </cell>
          <cell r="M37" t="str">
            <v>-</v>
          </cell>
          <cell r="N37">
            <v>1.4383999999999999</v>
          </cell>
          <cell r="O37">
            <v>115.11060000000001</v>
          </cell>
        </row>
        <row r="38">
          <cell r="A38" t="str">
            <v>A04112</v>
          </cell>
          <cell r="B38" t="str">
            <v>104央甲12</v>
          </cell>
          <cell r="C38" t="str">
            <v>114/09/11</v>
          </cell>
          <cell r="D38">
            <v>1.93</v>
          </cell>
          <cell r="E38">
            <v>1.89</v>
          </cell>
          <cell r="F38">
            <v>1.125</v>
          </cell>
          <cell r="G38" t="str">
            <v>1 / 1</v>
          </cell>
          <cell r="H38" t="str">
            <v>-</v>
          </cell>
          <cell r="I38" t="str">
            <v>-</v>
          </cell>
          <cell r="J38" t="str">
            <v>-</v>
          </cell>
          <cell r="K38" t="str">
            <v>-</v>
          </cell>
          <cell r="L38" t="str">
            <v>-</v>
          </cell>
          <cell r="M38" t="str">
            <v>-</v>
          </cell>
          <cell r="N38">
            <v>1.0388999999999999</v>
          </cell>
          <cell r="O38">
            <v>100.1622</v>
          </cell>
        </row>
        <row r="39">
          <cell r="A39" t="str">
            <v>A04114</v>
          </cell>
          <cell r="B39" t="str">
            <v>104央甲14</v>
          </cell>
          <cell r="C39" t="str">
            <v>124/10/26</v>
          </cell>
          <cell r="D39">
            <v>12.05</v>
          </cell>
          <cell r="E39">
            <v>10.68</v>
          </cell>
          <cell r="F39">
            <v>1.75</v>
          </cell>
          <cell r="G39" t="str">
            <v>1 / 1</v>
          </cell>
          <cell r="H39" t="str">
            <v>-</v>
          </cell>
          <cell r="I39" t="str">
            <v>-</v>
          </cell>
          <cell r="J39" t="str">
            <v>-</v>
          </cell>
          <cell r="K39" t="str">
            <v>-</v>
          </cell>
          <cell r="L39" t="str">
            <v>-</v>
          </cell>
          <cell r="M39" t="str">
            <v>-</v>
          </cell>
          <cell r="N39">
            <v>1.3041</v>
          </cell>
          <cell r="O39">
            <v>104.93859999999999</v>
          </cell>
        </row>
        <row r="40">
          <cell r="A40" t="str">
            <v>A05102</v>
          </cell>
          <cell r="B40" t="str">
            <v>105央債甲2</v>
          </cell>
          <cell r="C40" t="str">
            <v>125/01/22</v>
          </cell>
          <cell r="D40">
            <v>12.29</v>
          </cell>
          <cell r="E40">
            <v>11.13</v>
          </cell>
          <cell r="F40">
            <v>1.375</v>
          </cell>
          <cell r="G40" t="str">
            <v>1 / 1</v>
          </cell>
          <cell r="H40" t="str">
            <v>-</v>
          </cell>
          <cell r="I40" t="str">
            <v>-</v>
          </cell>
          <cell r="J40" t="str">
            <v>-</v>
          </cell>
          <cell r="K40" t="str">
            <v>-</v>
          </cell>
          <cell r="L40" t="str">
            <v>-</v>
          </cell>
          <cell r="M40" t="str">
            <v>-</v>
          </cell>
          <cell r="N40">
            <v>1.3090999999999999</v>
          </cell>
          <cell r="O40">
            <v>100.7419</v>
          </cell>
        </row>
        <row r="41">
          <cell r="A41" t="str">
            <v>A05104</v>
          </cell>
          <cell r="B41" t="str">
            <v>105央債甲4</v>
          </cell>
          <cell r="C41" t="str">
            <v>115/03/04</v>
          </cell>
          <cell r="D41">
            <v>2.41</v>
          </cell>
          <cell r="E41">
            <v>2.35</v>
          </cell>
          <cell r="F41">
            <v>0.75</v>
          </cell>
          <cell r="G41" t="str">
            <v>1 / 1</v>
          </cell>
          <cell r="H41" t="str">
            <v>-</v>
          </cell>
          <cell r="I41" t="str">
            <v>-</v>
          </cell>
          <cell r="J41" t="str">
            <v>-</v>
          </cell>
          <cell r="K41" t="str">
            <v>-</v>
          </cell>
          <cell r="L41" t="str">
            <v>-</v>
          </cell>
          <cell r="M41" t="str">
            <v>-</v>
          </cell>
          <cell r="N41">
            <v>1.0677000000000001</v>
          </cell>
          <cell r="O41">
            <v>99.251300000000001</v>
          </cell>
        </row>
        <row r="42">
          <cell r="A42" t="str">
            <v>A05106</v>
          </cell>
          <cell r="B42" t="str">
            <v>105央債甲6</v>
          </cell>
          <cell r="C42" t="str">
            <v>125/04/08</v>
          </cell>
          <cell r="D42">
            <v>12.5</v>
          </cell>
          <cell r="E42">
            <v>11.42</v>
          </cell>
          <cell r="F42">
            <v>1.25</v>
          </cell>
          <cell r="G42" t="str">
            <v>1 / 1</v>
          </cell>
          <cell r="H42" t="str">
            <v>-</v>
          </cell>
          <cell r="I42" t="str">
            <v>-</v>
          </cell>
          <cell r="J42" t="str">
            <v>-</v>
          </cell>
          <cell r="K42" t="str">
            <v>-</v>
          </cell>
          <cell r="L42" t="str">
            <v>-</v>
          </cell>
          <cell r="M42" t="str">
            <v>-</v>
          </cell>
          <cell r="N42">
            <v>1.3127</v>
          </cell>
          <cell r="O42">
            <v>99.280100000000004</v>
          </cell>
        </row>
        <row r="43">
          <cell r="A43" t="str">
            <v>A05107</v>
          </cell>
          <cell r="B43" t="str">
            <v>105央債甲7</v>
          </cell>
          <cell r="C43" t="str">
            <v>135/05/20</v>
          </cell>
          <cell r="D43">
            <v>22.62</v>
          </cell>
          <cell r="E43">
            <v>18.78</v>
          </cell>
          <cell r="F43">
            <v>1.625</v>
          </cell>
          <cell r="G43" t="str">
            <v>1 / 1</v>
          </cell>
          <cell r="H43" t="str">
            <v>-</v>
          </cell>
          <cell r="I43" t="str">
            <v>-</v>
          </cell>
          <cell r="J43" t="str">
            <v>-</v>
          </cell>
          <cell r="K43" t="str">
            <v>-</v>
          </cell>
          <cell r="L43" t="str">
            <v>-</v>
          </cell>
          <cell r="M43" t="str">
            <v>-</v>
          </cell>
          <cell r="N43">
            <v>1.4538</v>
          </cell>
          <cell r="O43">
            <v>103.27589999999999</v>
          </cell>
        </row>
        <row r="44">
          <cell r="A44" t="str">
            <v>A05109</v>
          </cell>
          <cell r="B44" t="str">
            <v>105央債甲9</v>
          </cell>
          <cell r="C44" t="str">
            <v>125/07/19</v>
          </cell>
          <cell r="D44">
            <v>12.78</v>
          </cell>
          <cell r="E44">
            <v>11.77</v>
          </cell>
          <cell r="F44">
            <v>1.125</v>
          </cell>
          <cell r="G44" t="str">
            <v>1 / 1</v>
          </cell>
          <cell r="H44" t="str">
            <v>-</v>
          </cell>
          <cell r="I44" t="str">
            <v>-</v>
          </cell>
          <cell r="J44" t="str">
            <v>-</v>
          </cell>
          <cell r="K44" t="str">
            <v>-</v>
          </cell>
          <cell r="L44" t="str">
            <v>-</v>
          </cell>
          <cell r="M44" t="str">
            <v>-</v>
          </cell>
          <cell r="N44">
            <v>1.3173999999999999</v>
          </cell>
          <cell r="O44">
            <v>97.750699999999995</v>
          </cell>
        </row>
        <row r="45">
          <cell r="A45" t="str">
            <v>A05110</v>
          </cell>
          <cell r="B45" t="str">
            <v>105央甲10</v>
          </cell>
          <cell r="C45" t="str">
            <v>135/08/05</v>
          </cell>
          <cell r="D45">
            <v>22.83</v>
          </cell>
          <cell r="E45">
            <v>19.38</v>
          </cell>
          <cell r="F45">
            <v>1.375</v>
          </cell>
          <cell r="G45" t="str">
            <v>1 / 1</v>
          </cell>
          <cell r="H45" t="str">
            <v>-</v>
          </cell>
          <cell r="I45" t="str">
            <v>-</v>
          </cell>
          <cell r="J45" t="str">
            <v>-</v>
          </cell>
          <cell r="K45" t="str">
            <v>-</v>
          </cell>
          <cell r="L45" t="str">
            <v>-</v>
          </cell>
          <cell r="M45" t="str">
            <v>-</v>
          </cell>
          <cell r="N45">
            <v>1.4592000000000001</v>
          </cell>
          <cell r="O45">
            <v>98.375</v>
          </cell>
        </row>
        <row r="46">
          <cell r="A46" t="str">
            <v>A05111</v>
          </cell>
          <cell r="B46" t="str">
            <v>105央甲11</v>
          </cell>
          <cell r="C46" t="str">
            <v>115/09/07</v>
          </cell>
          <cell r="D46">
            <v>2.92</v>
          </cell>
          <cell r="E46">
            <v>2.86</v>
          </cell>
          <cell r="F46">
            <v>0.625</v>
          </cell>
          <cell r="G46" t="str">
            <v>1 / 1</v>
          </cell>
          <cell r="H46" t="str">
            <v>-</v>
          </cell>
          <cell r="I46" t="str">
            <v>-</v>
          </cell>
          <cell r="J46" t="str">
            <v>-</v>
          </cell>
          <cell r="K46" t="str">
            <v>-</v>
          </cell>
          <cell r="L46" t="str">
            <v>-</v>
          </cell>
          <cell r="M46" t="str">
            <v>-</v>
          </cell>
          <cell r="N46">
            <v>1.1007</v>
          </cell>
          <cell r="O46">
            <v>98.646000000000001</v>
          </cell>
        </row>
        <row r="47">
          <cell r="A47" t="str">
            <v>A05114</v>
          </cell>
          <cell r="B47" t="str">
            <v>105央甲14</v>
          </cell>
          <cell r="C47" t="str">
            <v>135/11/25</v>
          </cell>
          <cell r="D47">
            <v>23.14</v>
          </cell>
          <cell r="E47">
            <v>18.43</v>
          </cell>
          <cell r="F47">
            <v>2</v>
          </cell>
          <cell r="G47" t="str">
            <v>1 / 1</v>
          </cell>
          <cell r="H47" t="str">
            <v>-</v>
          </cell>
          <cell r="I47" t="str">
            <v>-</v>
          </cell>
          <cell r="J47" t="str">
            <v>-</v>
          </cell>
          <cell r="K47" t="str">
            <v>-</v>
          </cell>
          <cell r="L47" t="str">
            <v>-</v>
          </cell>
          <cell r="M47" t="str">
            <v>-</v>
          </cell>
          <cell r="N47">
            <v>1.4559</v>
          </cell>
          <cell r="O47">
            <v>110.6153</v>
          </cell>
        </row>
        <row r="48">
          <cell r="A48" t="str">
            <v>A06103</v>
          </cell>
          <cell r="B48" t="str">
            <v>106央債甲3</v>
          </cell>
          <cell r="C48" t="str">
            <v>126/02/20</v>
          </cell>
          <cell r="D48">
            <v>13.37</v>
          </cell>
          <cell r="E48">
            <v>11.79</v>
          </cell>
          <cell r="F48">
            <v>1.75</v>
          </cell>
          <cell r="G48" t="str">
            <v>1 / 1</v>
          </cell>
          <cell r="H48" t="str">
            <v>-</v>
          </cell>
          <cell r="I48" t="str">
            <v>-</v>
          </cell>
          <cell r="J48" t="str">
            <v>-</v>
          </cell>
          <cell r="K48" t="str">
            <v>-</v>
          </cell>
          <cell r="L48" t="str">
            <v>-</v>
          </cell>
          <cell r="M48" t="str">
            <v>-</v>
          </cell>
          <cell r="N48">
            <v>1.3236000000000001</v>
          </cell>
          <cell r="O48">
            <v>105.1879</v>
          </cell>
        </row>
        <row r="49">
          <cell r="A49" t="str">
            <v>A06104</v>
          </cell>
          <cell r="B49" t="str">
            <v>106央債甲4</v>
          </cell>
          <cell r="C49" t="str">
            <v>116/03/01</v>
          </cell>
          <cell r="D49">
            <v>3.4</v>
          </cell>
          <cell r="E49">
            <v>3.28</v>
          </cell>
          <cell r="F49">
            <v>1.125</v>
          </cell>
          <cell r="G49" t="str">
            <v>1 / 1</v>
          </cell>
          <cell r="H49" t="str">
            <v>-</v>
          </cell>
          <cell r="I49" t="str">
            <v>-</v>
          </cell>
          <cell r="J49" t="str">
            <v>-</v>
          </cell>
          <cell r="K49" t="str">
            <v>-</v>
          </cell>
          <cell r="L49" t="str">
            <v>-</v>
          </cell>
          <cell r="M49" t="str">
            <v>-</v>
          </cell>
          <cell r="N49">
            <v>1.1299999999999999</v>
          </cell>
          <cell r="O49">
            <v>99.981899999999996</v>
          </cell>
        </row>
        <row r="50">
          <cell r="A50" t="str">
            <v>A06106</v>
          </cell>
          <cell r="B50" t="str">
            <v>106央債甲6</v>
          </cell>
          <cell r="C50" t="str">
            <v>136/05/26</v>
          </cell>
          <cell r="D50">
            <v>23.63</v>
          </cell>
          <cell r="E50">
            <v>19.100000000000001</v>
          </cell>
          <cell r="F50">
            <v>1.875</v>
          </cell>
          <cell r="G50" t="str">
            <v>1 / 1</v>
          </cell>
          <cell r="H50" t="str">
            <v>-</v>
          </cell>
          <cell r="I50" t="str">
            <v>-</v>
          </cell>
          <cell r="J50" t="str">
            <v>-</v>
          </cell>
          <cell r="K50" t="str">
            <v>-</v>
          </cell>
          <cell r="L50" t="str">
            <v>-</v>
          </cell>
          <cell r="M50" t="str">
            <v>-</v>
          </cell>
          <cell r="N50">
            <v>1.4628000000000001</v>
          </cell>
          <cell r="O50">
            <v>108.1802</v>
          </cell>
        </row>
        <row r="51">
          <cell r="A51" t="str">
            <v>A06108</v>
          </cell>
          <cell r="B51" t="str">
            <v>106央債甲8</v>
          </cell>
          <cell r="C51" t="str">
            <v>126/08/18</v>
          </cell>
          <cell r="D51">
            <v>13.86</v>
          </cell>
          <cell r="E51">
            <v>12.43</v>
          </cell>
          <cell r="F51">
            <v>1.5</v>
          </cell>
          <cell r="G51" t="str">
            <v>1 / 1</v>
          </cell>
          <cell r="H51" t="str">
            <v>-</v>
          </cell>
          <cell r="I51" t="str">
            <v>-</v>
          </cell>
          <cell r="J51" t="str">
            <v>-</v>
          </cell>
          <cell r="K51" t="str">
            <v>-</v>
          </cell>
          <cell r="L51" t="str">
            <v>-</v>
          </cell>
          <cell r="M51" t="str">
            <v>-</v>
          </cell>
          <cell r="N51">
            <v>1.3322000000000001</v>
          </cell>
          <cell r="O51">
            <v>102.1084</v>
          </cell>
        </row>
        <row r="52">
          <cell r="A52" t="str">
            <v>A06109</v>
          </cell>
          <cell r="B52" t="str">
            <v>106央債甲9</v>
          </cell>
          <cell r="C52" t="str">
            <v>116/09/20</v>
          </cell>
          <cell r="D52">
            <v>3.95</v>
          </cell>
          <cell r="E52">
            <v>3.84</v>
          </cell>
          <cell r="F52">
            <v>1</v>
          </cell>
          <cell r="G52" t="str">
            <v>1 / 1</v>
          </cell>
          <cell r="H52" t="str">
            <v>-</v>
          </cell>
          <cell r="I52" t="str">
            <v>-</v>
          </cell>
          <cell r="J52" t="str">
            <v>-</v>
          </cell>
          <cell r="K52" t="str">
            <v>-</v>
          </cell>
          <cell r="L52" t="str">
            <v>-</v>
          </cell>
          <cell r="M52" t="str">
            <v>-</v>
          </cell>
          <cell r="N52">
            <v>1.1608000000000001</v>
          </cell>
          <cell r="O52">
            <v>99.383300000000006</v>
          </cell>
        </row>
        <row r="53">
          <cell r="A53" t="str">
            <v>A06111</v>
          </cell>
          <cell r="B53" t="str">
            <v>106央甲11</v>
          </cell>
          <cell r="C53" t="str">
            <v>136/11/24</v>
          </cell>
          <cell r="D53">
            <v>24.13</v>
          </cell>
          <cell r="E53">
            <v>19.649999999999999</v>
          </cell>
          <cell r="F53">
            <v>1.625</v>
          </cell>
          <cell r="G53" t="str">
            <v>1 / 1</v>
          </cell>
          <cell r="H53" t="str">
            <v>-</v>
          </cell>
          <cell r="I53" t="str">
            <v>-</v>
          </cell>
          <cell r="J53" t="str">
            <v>-</v>
          </cell>
          <cell r="K53" t="str">
            <v>-</v>
          </cell>
          <cell r="L53" t="str">
            <v>-</v>
          </cell>
          <cell r="M53" t="str">
            <v>-</v>
          </cell>
          <cell r="N53">
            <v>1.4711000000000001</v>
          </cell>
          <cell r="O53">
            <v>103.1039</v>
          </cell>
        </row>
        <row r="54">
          <cell r="A54" t="str">
            <v>A07102</v>
          </cell>
          <cell r="B54" t="str">
            <v>107央債甲2</v>
          </cell>
          <cell r="C54" t="str">
            <v>117/02/08</v>
          </cell>
          <cell r="D54">
            <v>4.34</v>
          </cell>
          <cell r="E54">
            <v>4.18</v>
          </cell>
          <cell r="F54">
            <v>1</v>
          </cell>
          <cell r="G54" t="str">
            <v>1 / 1</v>
          </cell>
          <cell r="H54" t="str">
            <v>-</v>
          </cell>
          <cell r="I54" t="str">
            <v>-</v>
          </cell>
          <cell r="J54" t="str">
            <v>-</v>
          </cell>
          <cell r="K54" t="str">
            <v>-</v>
          </cell>
          <cell r="L54" t="str">
            <v>-</v>
          </cell>
          <cell r="M54" t="str">
            <v>-</v>
          </cell>
          <cell r="N54">
            <v>1.1788000000000001</v>
          </cell>
          <cell r="O54">
            <v>99.248599999999996</v>
          </cell>
        </row>
        <row r="55">
          <cell r="A55" t="str">
            <v>A07103</v>
          </cell>
          <cell r="B55" t="str">
            <v>107央債甲3</v>
          </cell>
          <cell r="C55" t="str">
            <v>127/03/13</v>
          </cell>
          <cell r="D55">
            <v>14.43</v>
          </cell>
          <cell r="E55">
            <v>12.91</v>
          </cell>
          <cell r="F55">
            <v>1.375</v>
          </cell>
          <cell r="G55" t="str">
            <v>1 / 1</v>
          </cell>
          <cell r="H55" t="str">
            <v>-</v>
          </cell>
          <cell r="I55" t="str">
            <v>-</v>
          </cell>
          <cell r="J55" t="str">
            <v>-</v>
          </cell>
          <cell r="K55" t="str">
            <v>-</v>
          </cell>
          <cell r="L55" t="str">
            <v>-</v>
          </cell>
          <cell r="M55" t="str">
            <v>-</v>
          </cell>
          <cell r="N55">
            <v>1.3414999999999999</v>
          </cell>
          <cell r="O55">
            <v>100.4345</v>
          </cell>
        </row>
        <row r="56">
          <cell r="A56" t="str">
            <v>A07104</v>
          </cell>
          <cell r="B56" t="str">
            <v>107央債甲4</v>
          </cell>
          <cell r="C56" t="str">
            <v>137/05/18</v>
          </cell>
          <cell r="D56">
            <v>24.61</v>
          </cell>
          <cell r="E56">
            <v>20.34</v>
          </cell>
          <cell r="F56">
            <v>1.5</v>
          </cell>
          <cell r="G56" t="str">
            <v>1 / 1</v>
          </cell>
          <cell r="H56" t="str">
            <v>-</v>
          </cell>
          <cell r="I56" t="str">
            <v>-</v>
          </cell>
          <cell r="J56" t="str">
            <v>-</v>
          </cell>
          <cell r="K56" t="str">
            <v>-</v>
          </cell>
          <cell r="L56" t="str">
            <v>-</v>
          </cell>
          <cell r="M56" t="str">
            <v>-</v>
          </cell>
          <cell r="N56">
            <v>1.4777</v>
          </cell>
          <cell r="O56">
            <v>100.45350000000001</v>
          </cell>
        </row>
        <row r="57">
          <cell r="A57" t="str">
            <v>A07105</v>
          </cell>
          <cell r="B57" t="str">
            <v>107央債甲5</v>
          </cell>
          <cell r="C57" t="str">
            <v>117/06/08</v>
          </cell>
          <cell r="D57">
            <v>4.67</v>
          </cell>
          <cell r="E57">
            <v>4.5199999999999996</v>
          </cell>
          <cell r="F57">
            <v>0.875</v>
          </cell>
          <cell r="G57" t="str">
            <v>1 / 1</v>
          </cell>
          <cell r="H57" t="str">
            <v>-</v>
          </cell>
          <cell r="I57" t="str">
            <v>-</v>
          </cell>
          <cell r="J57" t="str">
            <v>-</v>
          </cell>
          <cell r="K57" t="str">
            <v>-</v>
          </cell>
          <cell r="L57" t="str">
            <v>-</v>
          </cell>
          <cell r="M57" t="str">
            <v>-</v>
          </cell>
          <cell r="N57">
            <v>1.1918</v>
          </cell>
          <cell r="O57">
            <v>98.571399999999997</v>
          </cell>
        </row>
        <row r="58">
          <cell r="A58" t="str">
            <v>A07108</v>
          </cell>
          <cell r="B58" t="str">
            <v>107央債甲8</v>
          </cell>
          <cell r="C58" t="str">
            <v>127/09/21</v>
          </cell>
          <cell r="D58">
            <v>14.96</v>
          </cell>
          <cell r="E58">
            <v>13.63</v>
          </cell>
          <cell r="F58">
            <v>1.125</v>
          </cell>
          <cell r="G58" t="str">
            <v>1 / 1</v>
          </cell>
          <cell r="H58" t="str">
            <v>-</v>
          </cell>
          <cell r="I58" t="str">
            <v>-</v>
          </cell>
          <cell r="J58" t="str">
            <v>-</v>
          </cell>
          <cell r="K58" t="str">
            <v>-</v>
          </cell>
          <cell r="L58" t="str">
            <v>-</v>
          </cell>
          <cell r="M58" t="str">
            <v>-</v>
          </cell>
          <cell r="N58">
            <v>1.3509</v>
          </cell>
          <cell r="O58">
            <v>96.961200000000005</v>
          </cell>
        </row>
        <row r="59">
          <cell r="A59" t="str">
            <v>A07109</v>
          </cell>
          <cell r="B59" t="str">
            <v>107央債甲9</v>
          </cell>
          <cell r="C59" t="str">
            <v>117/10/17</v>
          </cell>
          <cell r="D59">
            <v>5.03</v>
          </cell>
          <cell r="E59">
            <v>4.83</v>
          </cell>
          <cell r="F59">
            <v>0.875</v>
          </cell>
          <cell r="G59" t="str">
            <v>1 / 1</v>
          </cell>
          <cell r="H59" t="str">
            <v>-</v>
          </cell>
          <cell r="I59" t="str">
            <v>-</v>
          </cell>
          <cell r="J59" t="str">
            <v>-</v>
          </cell>
          <cell r="K59" t="str">
            <v>-</v>
          </cell>
          <cell r="L59" t="str">
            <v>-</v>
          </cell>
          <cell r="M59" t="str">
            <v>-</v>
          </cell>
          <cell r="N59">
            <v>1.2030000000000001</v>
          </cell>
          <cell r="O59">
            <v>98.412599999999998</v>
          </cell>
        </row>
        <row r="60">
          <cell r="A60" t="str">
            <v>A07110</v>
          </cell>
          <cell r="B60" t="str">
            <v>107央甲10</v>
          </cell>
          <cell r="C60" t="str">
            <v>137/11/09</v>
          </cell>
          <cell r="D60">
            <v>25.09</v>
          </cell>
          <cell r="E60">
            <v>20.75</v>
          </cell>
          <cell r="F60">
            <v>1.375</v>
          </cell>
          <cell r="G60" t="str">
            <v>1 / 1</v>
          </cell>
          <cell r="H60" t="str">
            <v>-</v>
          </cell>
          <cell r="I60" t="str">
            <v>-</v>
          </cell>
          <cell r="J60" t="str">
            <v>-</v>
          </cell>
          <cell r="K60" t="str">
            <v>-</v>
          </cell>
          <cell r="L60" t="str">
            <v>-</v>
          </cell>
          <cell r="M60" t="str">
            <v>-</v>
          </cell>
          <cell r="N60">
            <v>1.4843999999999999</v>
          </cell>
          <cell r="O60">
            <v>97.723200000000006</v>
          </cell>
        </row>
        <row r="61">
          <cell r="A61" t="str">
            <v>A07111</v>
          </cell>
          <cell r="B61" t="str">
            <v>107央甲11</v>
          </cell>
          <cell r="C61" t="str">
            <v>112/11/23</v>
          </cell>
          <cell r="D61">
            <v>0.13</v>
          </cell>
          <cell r="E61">
            <v>0.12</v>
          </cell>
          <cell r="F61">
            <v>0.75</v>
          </cell>
          <cell r="G61" t="str">
            <v>1 / 1</v>
          </cell>
          <cell r="H61" t="str">
            <v>-</v>
          </cell>
          <cell r="I61" t="str">
            <v>-</v>
          </cell>
          <cell r="J61" t="str">
            <v>-</v>
          </cell>
          <cell r="K61" t="str">
            <v>-</v>
          </cell>
          <cell r="L61" t="str">
            <v>-</v>
          </cell>
          <cell r="M61" t="str">
            <v>-</v>
          </cell>
          <cell r="N61">
            <v>0.95189999999999997</v>
          </cell>
          <cell r="O61">
            <v>99.975999999999999</v>
          </cell>
        </row>
        <row r="62">
          <cell r="A62" t="str">
            <v>A08101</v>
          </cell>
          <cell r="B62" t="str">
            <v>108央債甲1</v>
          </cell>
          <cell r="C62" t="str">
            <v>113/01/14</v>
          </cell>
          <cell r="D62">
            <v>0.27</v>
          </cell>
          <cell r="E62">
            <v>0.26</v>
          </cell>
          <cell r="F62">
            <v>0.625</v>
          </cell>
          <cell r="G62" t="str">
            <v>1 / 1</v>
          </cell>
          <cell r="H62" t="str">
            <v>-</v>
          </cell>
          <cell r="I62" t="str">
            <v>-</v>
          </cell>
          <cell r="J62" t="str">
            <v>-</v>
          </cell>
          <cell r="K62" t="str">
            <v>-</v>
          </cell>
          <cell r="L62" t="str">
            <v>-</v>
          </cell>
          <cell r="M62" t="str">
            <v>-</v>
          </cell>
          <cell r="N62">
            <v>0.95240000000000002</v>
          </cell>
          <cell r="O62">
            <v>99.914699999999996</v>
          </cell>
        </row>
        <row r="63">
          <cell r="A63" t="str">
            <v>A08102</v>
          </cell>
          <cell r="B63" t="str">
            <v>108央債甲2</v>
          </cell>
          <cell r="C63" t="str">
            <v>128/01/28</v>
          </cell>
          <cell r="D63">
            <v>15.31</v>
          </cell>
          <cell r="E63">
            <v>13.82</v>
          </cell>
          <cell r="F63">
            <v>1.125</v>
          </cell>
          <cell r="G63" t="str">
            <v>1 / 1</v>
          </cell>
          <cell r="H63" t="str">
            <v>-</v>
          </cell>
          <cell r="I63" t="str">
            <v>-</v>
          </cell>
          <cell r="J63" t="str">
            <v>-</v>
          </cell>
          <cell r="K63" t="str">
            <v>-</v>
          </cell>
          <cell r="L63" t="str">
            <v>-</v>
          </cell>
          <cell r="M63" t="str">
            <v>-</v>
          </cell>
          <cell r="N63">
            <v>1.3563000000000001</v>
          </cell>
          <cell r="O63">
            <v>96.821899999999999</v>
          </cell>
        </row>
        <row r="64">
          <cell r="A64" t="str">
            <v>A08103</v>
          </cell>
          <cell r="B64" t="str">
            <v>108央債甲3</v>
          </cell>
          <cell r="C64" t="str">
            <v>118/02/13</v>
          </cell>
          <cell r="D64">
            <v>5.36</v>
          </cell>
          <cell r="E64">
            <v>5.17</v>
          </cell>
          <cell r="F64">
            <v>0.75</v>
          </cell>
          <cell r="G64" t="str">
            <v>1 / 1</v>
          </cell>
          <cell r="H64" t="str">
            <v>-</v>
          </cell>
          <cell r="I64" t="str">
            <v>-</v>
          </cell>
          <cell r="J64" t="str">
            <v>-</v>
          </cell>
          <cell r="K64" t="str">
            <v>-</v>
          </cell>
          <cell r="L64" t="str">
            <v>-</v>
          </cell>
          <cell r="M64" t="str">
            <v>-</v>
          </cell>
          <cell r="N64">
            <v>1.2104999999999999</v>
          </cell>
          <cell r="O64">
            <v>97.630499999999998</v>
          </cell>
        </row>
        <row r="65">
          <cell r="A65" t="str">
            <v>A08104</v>
          </cell>
          <cell r="B65" t="str">
            <v>108央債甲4</v>
          </cell>
          <cell r="C65" t="str">
            <v>128/03/04</v>
          </cell>
          <cell r="D65">
            <v>15.41</v>
          </cell>
          <cell r="E65">
            <v>13.91</v>
          </cell>
          <cell r="F65">
            <v>1.125</v>
          </cell>
          <cell r="G65" t="str">
            <v>1 / 1</v>
          </cell>
          <cell r="H65" t="str">
            <v>-</v>
          </cell>
          <cell r="I65" t="str">
            <v>-</v>
          </cell>
          <cell r="J65" t="str">
            <v>-</v>
          </cell>
          <cell r="K65" t="str">
            <v>-</v>
          </cell>
          <cell r="L65" t="str">
            <v>-</v>
          </cell>
          <cell r="M65" t="str">
            <v>-</v>
          </cell>
          <cell r="N65">
            <v>1.3577999999999999</v>
          </cell>
          <cell r="O65">
            <v>96.783100000000005</v>
          </cell>
        </row>
        <row r="66">
          <cell r="A66" t="str">
            <v>A08105</v>
          </cell>
          <cell r="B66" t="str">
            <v>108央債甲5</v>
          </cell>
          <cell r="C66" t="str">
            <v>138/05/17</v>
          </cell>
          <cell r="D66">
            <v>25.61</v>
          </cell>
          <cell r="E66">
            <v>21.79</v>
          </cell>
          <cell r="F66">
            <v>1.125</v>
          </cell>
          <cell r="G66" t="str">
            <v>1 / 1</v>
          </cell>
          <cell r="H66" t="str">
            <v>-</v>
          </cell>
          <cell r="I66" t="str">
            <v>-</v>
          </cell>
          <cell r="J66" t="str">
            <v>-</v>
          </cell>
          <cell r="K66" t="str">
            <v>-</v>
          </cell>
          <cell r="L66" t="str">
            <v>-</v>
          </cell>
          <cell r="M66" t="str">
            <v>-</v>
          </cell>
          <cell r="N66">
            <v>1.4931000000000001</v>
          </cell>
          <cell r="O66">
            <v>92.215500000000006</v>
          </cell>
        </row>
        <row r="67">
          <cell r="A67" t="str">
            <v>A08106</v>
          </cell>
          <cell r="B67" t="str">
            <v>108央債甲6</v>
          </cell>
          <cell r="C67" t="str">
            <v>118/06/26</v>
          </cell>
          <cell r="D67">
            <v>5.72</v>
          </cell>
          <cell r="E67">
            <v>5.55</v>
          </cell>
          <cell r="F67">
            <v>0.625</v>
          </cell>
          <cell r="G67" t="str">
            <v>1 / 1</v>
          </cell>
          <cell r="H67" t="str">
            <v>-</v>
          </cell>
          <cell r="I67" t="str">
            <v>-</v>
          </cell>
          <cell r="J67" t="str">
            <v>-</v>
          </cell>
          <cell r="K67" t="str">
            <v>-</v>
          </cell>
          <cell r="L67" t="str">
            <v>-</v>
          </cell>
          <cell r="M67" t="str">
            <v>-</v>
          </cell>
          <cell r="N67">
            <v>1.2170000000000001</v>
          </cell>
          <cell r="O67">
            <v>96.753799999999998</v>
          </cell>
        </row>
        <row r="68">
          <cell r="A68" t="str">
            <v>A08107</v>
          </cell>
          <cell r="B68" t="str">
            <v>108央債甲7</v>
          </cell>
          <cell r="C68" t="str">
            <v>113/07/17</v>
          </cell>
          <cell r="D68">
            <v>0.78</v>
          </cell>
          <cell r="E68">
            <v>0.76</v>
          </cell>
          <cell r="F68">
            <v>0.5</v>
          </cell>
          <cell r="G68" t="str">
            <v>1 / 1</v>
          </cell>
          <cell r="H68" t="str">
            <v>-</v>
          </cell>
          <cell r="I68" t="str">
            <v>-</v>
          </cell>
          <cell r="J68" t="str">
            <v>-</v>
          </cell>
          <cell r="K68" t="str">
            <v>-</v>
          </cell>
          <cell r="L68" t="str">
            <v>-</v>
          </cell>
          <cell r="M68" t="str">
            <v>-</v>
          </cell>
          <cell r="N68">
            <v>0.97750000000000004</v>
          </cell>
          <cell r="O68">
            <v>99.6374</v>
          </cell>
        </row>
        <row r="69">
          <cell r="A69" t="str">
            <v>A08108</v>
          </cell>
          <cell r="B69" t="str">
            <v>108央債甲8</v>
          </cell>
          <cell r="C69" t="str">
            <v>128/09/06</v>
          </cell>
          <cell r="D69">
            <v>15.92</v>
          </cell>
          <cell r="E69">
            <v>14.79</v>
          </cell>
          <cell r="F69">
            <v>0.75</v>
          </cell>
          <cell r="G69" t="str">
            <v>1 / 1</v>
          </cell>
          <cell r="H69" t="str">
            <v>-</v>
          </cell>
          <cell r="I69" t="str">
            <v>-</v>
          </cell>
          <cell r="J69" t="str">
            <v>-</v>
          </cell>
          <cell r="K69" t="str">
            <v>-</v>
          </cell>
          <cell r="L69" t="str">
            <v>-</v>
          </cell>
          <cell r="M69" t="str">
            <v>-</v>
          </cell>
          <cell r="N69">
            <v>1.3681000000000001</v>
          </cell>
          <cell r="O69">
            <v>91.219200000000001</v>
          </cell>
        </row>
        <row r="70">
          <cell r="A70" t="str">
            <v>A08109</v>
          </cell>
          <cell r="B70" t="str">
            <v>108央債甲9</v>
          </cell>
          <cell r="C70" t="str">
            <v>118/10/14</v>
          </cell>
          <cell r="D70">
            <v>6.02</v>
          </cell>
          <cell r="E70">
            <v>5.81</v>
          </cell>
          <cell r="F70">
            <v>0.625</v>
          </cell>
          <cell r="G70" t="str">
            <v>1 / 1</v>
          </cell>
          <cell r="H70" t="str">
            <v>-</v>
          </cell>
          <cell r="I70" t="str">
            <v>-</v>
          </cell>
          <cell r="J70" t="str">
            <v>-</v>
          </cell>
          <cell r="K70" t="str">
            <v>-</v>
          </cell>
          <cell r="L70" t="str">
            <v>-</v>
          </cell>
          <cell r="M70" t="str">
            <v>-</v>
          </cell>
          <cell r="N70">
            <v>1.2213000000000001</v>
          </cell>
          <cell r="O70">
            <v>96.565899999999999</v>
          </cell>
        </row>
        <row r="71">
          <cell r="A71" t="str">
            <v>A08110</v>
          </cell>
          <cell r="B71" t="str">
            <v>108央甲10</v>
          </cell>
          <cell r="C71" t="str">
            <v>138/11/08</v>
          </cell>
          <cell r="D71">
            <v>26.09</v>
          </cell>
          <cell r="E71">
            <v>22.29</v>
          </cell>
          <cell r="F71">
            <v>1</v>
          </cell>
          <cell r="G71" t="str">
            <v>1 / 1</v>
          </cell>
          <cell r="H71" t="str">
            <v>-</v>
          </cell>
          <cell r="I71" t="str">
            <v>-</v>
          </cell>
          <cell r="J71" t="str">
            <v>-</v>
          </cell>
          <cell r="K71" t="str">
            <v>-</v>
          </cell>
          <cell r="L71" t="str">
            <v>-</v>
          </cell>
          <cell r="M71" t="str">
            <v>-</v>
          </cell>
          <cell r="N71">
            <v>1.4996</v>
          </cell>
          <cell r="O71">
            <v>89.281400000000005</v>
          </cell>
        </row>
        <row r="72">
          <cell r="A72" t="str">
            <v>A09101</v>
          </cell>
          <cell r="B72" t="str">
            <v>109央債甲1</v>
          </cell>
          <cell r="C72" t="str">
            <v>114/01/10</v>
          </cell>
          <cell r="D72">
            <v>1.26</v>
          </cell>
          <cell r="E72">
            <v>1.23</v>
          </cell>
          <cell r="F72">
            <v>0.5</v>
          </cell>
          <cell r="G72" t="str">
            <v>1 / 1</v>
          </cell>
          <cell r="H72" t="str">
            <v>-</v>
          </cell>
          <cell r="I72" t="str">
            <v>-</v>
          </cell>
          <cell r="J72" t="str">
            <v>-</v>
          </cell>
          <cell r="K72" t="str">
            <v>-</v>
          </cell>
          <cell r="L72" t="str">
            <v>-</v>
          </cell>
          <cell r="M72" t="str">
            <v>-</v>
          </cell>
          <cell r="N72">
            <v>1.0027999999999999</v>
          </cell>
          <cell r="O72">
            <v>99.378399999999999</v>
          </cell>
        </row>
        <row r="73">
          <cell r="A73" t="str">
            <v>A09102</v>
          </cell>
          <cell r="B73" t="str">
            <v>109央債甲2</v>
          </cell>
          <cell r="C73" t="str">
            <v>129/01/17</v>
          </cell>
          <cell r="D73">
            <v>16.28</v>
          </cell>
          <cell r="E73">
            <v>15.02</v>
          </cell>
          <cell r="F73">
            <v>0.75</v>
          </cell>
          <cell r="G73" t="str">
            <v>1 / 1</v>
          </cell>
          <cell r="H73" t="str">
            <v>-</v>
          </cell>
          <cell r="I73" t="str">
            <v>-</v>
          </cell>
          <cell r="J73" t="str">
            <v>-</v>
          </cell>
          <cell r="K73" t="str">
            <v>-</v>
          </cell>
          <cell r="L73" t="str">
            <v>-</v>
          </cell>
          <cell r="M73" t="str">
            <v>-</v>
          </cell>
          <cell r="N73">
            <v>1.3736999999999999</v>
          </cell>
          <cell r="O73">
            <v>90.961500000000001</v>
          </cell>
        </row>
        <row r="74">
          <cell r="A74" t="str">
            <v>A09103</v>
          </cell>
          <cell r="B74" t="str">
            <v>109央債甲3</v>
          </cell>
          <cell r="C74" t="str">
            <v>119/02/21</v>
          </cell>
          <cell r="D74">
            <v>6.38</v>
          </cell>
          <cell r="E74">
            <v>6.18</v>
          </cell>
          <cell r="F74">
            <v>0.5</v>
          </cell>
          <cell r="G74" t="str">
            <v>1 / 1</v>
          </cell>
          <cell r="H74" t="str">
            <v>-</v>
          </cell>
          <cell r="I74" t="str">
            <v>-</v>
          </cell>
          <cell r="J74" t="str">
            <v>-</v>
          </cell>
          <cell r="K74" t="str">
            <v>-</v>
          </cell>
          <cell r="L74" t="str">
            <v>-</v>
          </cell>
          <cell r="M74" t="str">
            <v>-</v>
          </cell>
          <cell r="N74">
            <v>1.2259</v>
          </cell>
          <cell r="O74">
            <v>95.581100000000006</v>
          </cell>
        </row>
        <row r="75">
          <cell r="A75" t="str">
            <v>A09104</v>
          </cell>
          <cell r="B75" t="str">
            <v>109央債甲4</v>
          </cell>
          <cell r="C75" t="str">
            <v>129/03/09</v>
          </cell>
          <cell r="D75">
            <v>16.420000000000002</v>
          </cell>
          <cell r="E75">
            <v>15.47</v>
          </cell>
          <cell r="F75">
            <v>0.5</v>
          </cell>
          <cell r="G75" t="str">
            <v>1 / 1</v>
          </cell>
          <cell r="H75" t="str">
            <v>-</v>
          </cell>
          <cell r="I75" t="str">
            <v>-</v>
          </cell>
          <cell r="J75" t="str">
            <v>-</v>
          </cell>
          <cell r="K75" t="str">
            <v>-</v>
          </cell>
          <cell r="L75" t="str">
            <v>-</v>
          </cell>
          <cell r="M75" t="str">
            <v>-</v>
          </cell>
          <cell r="N75">
            <v>1.3777999999999999</v>
          </cell>
          <cell r="O75">
            <v>87.1858</v>
          </cell>
        </row>
        <row r="76">
          <cell r="A76" t="str">
            <v>A09105</v>
          </cell>
          <cell r="B76" t="str">
            <v>109央債甲5</v>
          </cell>
          <cell r="C76" t="str">
            <v>139/05/12</v>
          </cell>
          <cell r="D76">
            <v>26.6</v>
          </cell>
          <cell r="E76">
            <v>23.47</v>
          </cell>
          <cell r="F76">
            <v>0.75</v>
          </cell>
          <cell r="G76" t="str">
            <v>1 / 1</v>
          </cell>
          <cell r="H76" t="str">
            <v>-</v>
          </cell>
          <cell r="I76" t="str">
            <v>-</v>
          </cell>
          <cell r="J76" t="str">
            <v>-</v>
          </cell>
          <cell r="K76" t="str">
            <v>-</v>
          </cell>
          <cell r="L76" t="str">
            <v>-</v>
          </cell>
          <cell r="M76" t="str">
            <v>-</v>
          </cell>
          <cell r="N76">
            <v>1.5085999999999999</v>
          </cell>
          <cell r="O76">
            <v>83.486900000000006</v>
          </cell>
        </row>
        <row r="77">
          <cell r="A77" t="str">
            <v>A09106</v>
          </cell>
          <cell r="B77" t="str">
            <v>109央債甲6</v>
          </cell>
          <cell r="C77" t="str">
            <v>119/06/11</v>
          </cell>
          <cell r="D77">
            <v>6.68</v>
          </cell>
          <cell r="E77">
            <v>6.51</v>
          </cell>
          <cell r="F77">
            <v>0.375</v>
          </cell>
          <cell r="G77" t="str">
            <v>1 / 1</v>
          </cell>
          <cell r="H77" t="str">
            <v>-</v>
          </cell>
          <cell r="I77" t="str">
            <v>-</v>
          </cell>
          <cell r="J77" t="str">
            <v>-</v>
          </cell>
          <cell r="K77" t="str">
            <v>-</v>
          </cell>
          <cell r="L77" t="str">
            <v>-</v>
          </cell>
          <cell r="M77" t="str">
            <v>-</v>
          </cell>
          <cell r="N77">
            <v>1.2301</v>
          </cell>
          <cell r="O77">
            <v>94.558700000000002</v>
          </cell>
        </row>
        <row r="78">
          <cell r="A78" t="str">
            <v>A09107</v>
          </cell>
          <cell r="B78" t="str">
            <v>109央債甲7</v>
          </cell>
          <cell r="C78" t="str">
            <v>114/07/17</v>
          </cell>
          <cell r="D78">
            <v>1.78</v>
          </cell>
          <cell r="E78">
            <v>1.74</v>
          </cell>
          <cell r="F78">
            <v>0.25</v>
          </cell>
          <cell r="G78" t="str">
            <v>1 / 1</v>
          </cell>
          <cell r="H78" t="str">
            <v>-</v>
          </cell>
          <cell r="I78" t="str">
            <v>-</v>
          </cell>
          <cell r="J78" t="str">
            <v>-</v>
          </cell>
          <cell r="K78" t="str">
            <v>-</v>
          </cell>
          <cell r="L78" t="str">
            <v>-</v>
          </cell>
          <cell r="M78" t="str">
            <v>-</v>
          </cell>
          <cell r="N78">
            <v>1.0304</v>
          </cell>
          <cell r="O78">
            <v>98.641599999999997</v>
          </cell>
        </row>
        <row r="79">
          <cell r="A79" t="str">
            <v>A09108</v>
          </cell>
          <cell r="B79" t="str">
            <v>109央債甲8</v>
          </cell>
          <cell r="C79" t="str">
            <v>129/09/18</v>
          </cell>
          <cell r="D79">
            <v>16.95</v>
          </cell>
          <cell r="E79">
            <v>15.99</v>
          </cell>
          <cell r="F79">
            <v>0.5</v>
          </cell>
          <cell r="G79" t="str">
            <v>1 / 1</v>
          </cell>
          <cell r="H79" t="str">
            <v>-</v>
          </cell>
          <cell r="I79" t="str">
            <v>-</v>
          </cell>
          <cell r="J79" t="str">
            <v>-</v>
          </cell>
          <cell r="K79" t="str">
            <v>-</v>
          </cell>
          <cell r="L79" t="str">
            <v>-</v>
          </cell>
          <cell r="M79" t="str">
            <v>-</v>
          </cell>
          <cell r="N79">
            <v>1.3859999999999999</v>
          </cell>
          <cell r="O79">
            <v>86.706000000000003</v>
          </cell>
        </row>
        <row r="80">
          <cell r="A80" t="str">
            <v>A09109</v>
          </cell>
          <cell r="B80" t="str">
            <v>109央債甲9</v>
          </cell>
          <cell r="C80" t="str">
            <v>119/10/14</v>
          </cell>
          <cell r="D80">
            <v>7.02</v>
          </cell>
          <cell r="E80">
            <v>6.85</v>
          </cell>
          <cell r="F80">
            <v>0.25</v>
          </cell>
          <cell r="G80" t="str">
            <v>1 / 1</v>
          </cell>
          <cell r="H80" t="str">
            <v>-</v>
          </cell>
          <cell r="I80" t="str">
            <v>-</v>
          </cell>
          <cell r="J80" t="str">
            <v>-</v>
          </cell>
          <cell r="K80" t="str">
            <v>-</v>
          </cell>
          <cell r="L80" t="str">
            <v>-</v>
          </cell>
          <cell r="M80" t="str">
            <v>-</v>
          </cell>
          <cell r="N80">
            <v>1.2351000000000001</v>
          </cell>
          <cell r="O80">
            <v>93.4251</v>
          </cell>
        </row>
        <row r="81">
          <cell r="A81" t="str">
            <v>A09111</v>
          </cell>
          <cell r="B81" t="str">
            <v>109央甲11</v>
          </cell>
          <cell r="C81" t="str">
            <v>139/11/27</v>
          </cell>
          <cell r="D81">
            <v>27.14</v>
          </cell>
          <cell r="E81">
            <v>25.09</v>
          </cell>
          <cell r="F81">
            <v>0.375</v>
          </cell>
          <cell r="G81" t="str">
            <v>1 / 1</v>
          </cell>
          <cell r="H81" t="str">
            <v>-</v>
          </cell>
          <cell r="I81" t="str">
            <v>-</v>
          </cell>
          <cell r="J81" t="str">
            <v>-</v>
          </cell>
          <cell r="K81" t="str">
            <v>-</v>
          </cell>
          <cell r="L81" t="str">
            <v>-</v>
          </cell>
          <cell r="M81" t="str">
            <v>-</v>
          </cell>
          <cell r="N81">
            <v>1.5203</v>
          </cell>
          <cell r="O81">
            <v>74.693799999999996</v>
          </cell>
        </row>
        <row r="82">
          <cell r="A82" t="str">
            <v>A09112</v>
          </cell>
          <cell r="B82" t="str">
            <v>109央甲12</v>
          </cell>
          <cell r="C82" t="str">
            <v>114/12/08</v>
          </cell>
          <cell r="D82">
            <v>2.17</v>
          </cell>
          <cell r="E82">
            <v>2.13</v>
          </cell>
          <cell r="F82">
            <v>0.125</v>
          </cell>
          <cell r="G82" t="str">
            <v>1 / 1</v>
          </cell>
          <cell r="H82" t="str">
            <v>-</v>
          </cell>
          <cell r="I82" t="str">
            <v>-</v>
          </cell>
          <cell r="J82" t="str">
            <v>-</v>
          </cell>
          <cell r="K82" t="str">
            <v>-</v>
          </cell>
          <cell r="L82" t="str">
            <v>-</v>
          </cell>
          <cell r="M82" t="str">
            <v>-</v>
          </cell>
          <cell r="N82">
            <v>1.0535000000000001</v>
          </cell>
          <cell r="O82">
            <v>98.028300000000002</v>
          </cell>
        </row>
        <row r="83">
          <cell r="A83" t="str">
            <v>A09113</v>
          </cell>
          <cell r="B83" t="str">
            <v>109央甲13</v>
          </cell>
          <cell r="C83" t="str">
            <v>129/12/29</v>
          </cell>
          <cell r="D83">
            <v>17.23</v>
          </cell>
          <cell r="E83">
            <v>16.36</v>
          </cell>
          <cell r="F83">
            <v>0.375</v>
          </cell>
          <cell r="G83" t="str">
            <v>1 / 1</v>
          </cell>
          <cell r="H83" t="str">
            <v>-</v>
          </cell>
          <cell r="I83" t="str">
            <v>-</v>
          </cell>
          <cell r="J83" t="str">
            <v>-</v>
          </cell>
          <cell r="K83" t="str">
            <v>-</v>
          </cell>
          <cell r="L83" t="str">
            <v>-</v>
          </cell>
          <cell r="M83" t="str">
            <v>-</v>
          </cell>
          <cell r="N83">
            <v>1.3914</v>
          </cell>
          <cell r="O83">
            <v>84.5334</v>
          </cell>
        </row>
        <row r="84">
          <cell r="A84" t="str">
            <v>A10101</v>
          </cell>
          <cell r="B84" t="str">
            <v>110央債甲1</v>
          </cell>
          <cell r="C84" t="str">
            <v>115/01/13</v>
          </cell>
          <cell r="D84">
            <v>2.27</v>
          </cell>
          <cell r="E84">
            <v>2.23</v>
          </cell>
          <cell r="F84">
            <v>0.25</v>
          </cell>
          <cell r="G84" t="str">
            <v>1 / 1</v>
          </cell>
          <cell r="H84" t="str">
            <v>-</v>
          </cell>
          <cell r="I84" t="str">
            <v>-</v>
          </cell>
          <cell r="J84" t="str">
            <v>-</v>
          </cell>
          <cell r="K84" t="str">
            <v>-</v>
          </cell>
          <cell r="L84" t="str">
            <v>-</v>
          </cell>
          <cell r="M84" t="str">
            <v>-</v>
          </cell>
          <cell r="N84">
            <v>1.0593999999999999</v>
          </cell>
          <cell r="O84">
            <v>98.203599999999994</v>
          </cell>
        </row>
        <row r="85">
          <cell r="A85" t="str">
            <v>A10102</v>
          </cell>
          <cell r="B85" t="str">
            <v>110央債甲2</v>
          </cell>
          <cell r="C85" t="str">
            <v>130/01/29</v>
          </cell>
          <cell r="D85">
            <v>17.309999999999999</v>
          </cell>
          <cell r="E85">
            <v>16.260000000000002</v>
          </cell>
          <cell r="F85">
            <v>0.5</v>
          </cell>
          <cell r="G85" t="str">
            <v>1 / 1</v>
          </cell>
          <cell r="H85" t="str">
            <v>-</v>
          </cell>
          <cell r="I85" t="str">
            <v>-</v>
          </cell>
          <cell r="J85" t="str">
            <v>-</v>
          </cell>
          <cell r="K85" t="str">
            <v>-</v>
          </cell>
          <cell r="L85" t="str">
            <v>-</v>
          </cell>
          <cell r="M85" t="str">
            <v>-</v>
          </cell>
          <cell r="N85">
            <v>1.3916999999999999</v>
          </cell>
          <cell r="O85">
            <v>86.371899999999997</v>
          </cell>
        </row>
        <row r="86">
          <cell r="A86" t="str">
            <v>A10103</v>
          </cell>
          <cell r="B86" t="str">
            <v>110央債甲3</v>
          </cell>
          <cell r="C86" t="str">
            <v>120/02/22</v>
          </cell>
          <cell r="D86">
            <v>7.38</v>
          </cell>
          <cell r="E86">
            <v>7.2</v>
          </cell>
          <cell r="F86">
            <v>0.25</v>
          </cell>
          <cell r="G86" t="str">
            <v>1 / 1</v>
          </cell>
          <cell r="H86" t="str">
            <v>-</v>
          </cell>
          <cell r="I86" t="str">
            <v>-</v>
          </cell>
          <cell r="J86" t="str">
            <v>-</v>
          </cell>
          <cell r="K86" t="str">
            <v>-</v>
          </cell>
          <cell r="L86" t="str">
            <v>-</v>
          </cell>
          <cell r="M86" t="str">
            <v>-</v>
          </cell>
          <cell r="N86">
            <v>1.2410000000000001</v>
          </cell>
          <cell r="O86">
            <v>93.063699999999997</v>
          </cell>
        </row>
        <row r="87">
          <cell r="A87" t="str">
            <v>A10104</v>
          </cell>
          <cell r="B87" t="str">
            <v>110央債甲4</v>
          </cell>
          <cell r="C87" t="str">
            <v>140/02/25</v>
          </cell>
          <cell r="D87">
            <v>27.39</v>
          </cell>
          <cell r="E87">
            <v>24.43</v>
          </cell>
          <cell r="F87">
            <v>0.625</v>
          </cell>
          <cell r="G87" t="str">
            <v>1 / 1</v>
          </cell>
          <cell r="H87" t="str">
            <v>-</v>
          </cell>
          <cell r="I87" t="str">
            <v>-</v>
          </cell>
          <cell r="J87" t="str">
            <v>-</v>
          </cell>
          <cell r="K87" t="str">
            <v>-</v>
          </cell>
          <cell r="L87" t="str">
            <v>-</v>
          </cell>
          <cell r="M87" t="str">
            <v>-</v>
          </cell>
          <cell r="N87">
            <v>1.5179</v>
          </cell>
          <cell r="O87">
            <v>80.119100000000003</v>
          </cell>
        </row>
        <row r="88">
          <cell r="A88" t="str">
            <v>A10105</v>
          </cell>
          <cell r="B88" t="str">
            <v>110央債甲5</v>
          </cell>
          <cell r="C88" t="str">
            <v>130/05/21</v>
          </cell>
          <cell r="D88">
            <v>17.62</v>
          </cell>
          <cell r="E88">
            <v>16.38</v>
          </cell>
          <cell r="F88">
            <v>0.625</v>
          </cell>
          <cell r="G88" t="str">
            <v>1 / 1</v>
          </cell>
          <cell r="H88" t="str">
            <v>-</v>
          </cell>
          <cell r="I88" t="str">
            <v>-</v>
          </cell>
          <cell r="J88" t="str">
            <v>-</v>
          </cell>
          <cell r="K88" t="str">
            <v>-</v>
          </cell>
          <cell r="L88" t="str">
            <v>-</v>
          </cell>
          <cell r="M88" t="str">
            <v>-</v>
          </cell>
          <cell r="N88">
            <v>1.3954</v>
          </cell>
          <cell r="O88">
            <v>88.044899999999998</v>
          </cell>
        </row>
        <row r="89">
          <cell r="A89" t="str">
            <v>A10107</v>
          </cell>
          <cell r="B89" t="str">
            <v>110央債甲7</v>
          </cell>
          <cell r="C89" t="str">
            <v>120/06/23</v>
          </cell>
          <cell r="D89">
            <v>7.71</v>
          </cell>
          <cell r="E89">
            <v>7.5</v>
          </cell>
          <cell r="F89">
            <v>0.375</v>
          </cell>
          <cell r="G89" t="str">
            <v>1 / 1</v>
          </cell>
          <cell r="H89" t="str">
            <v>-</v>
          </cell>
          <cell r="I89" t="str">
            <v>-</v>
          </cell>
          <cell r="J89" t="str">
            <v>-</v>
          </cell>
          <cell r="K89" t="str">
            <v>-</v>
          </cell>
          <cell r="L89" t="str">
            <v>-</v>
          </cell>
          <cell r="M89" t="str">
            <v>-</v>
          </cell>
          <cell r="N89">
            <v>1.2464</v>
          </cell>
          <cell r="O89">
            <v>93.639399999999995</v>
          </cell>
        </row>
        <row r="90">
          <cell r="A90" t="str">
            <v>A10108</v>
          </cell>
          <cell r="B90" t="str">
            <v>110央債甲8</v>
          </cell>
          <cell r="C90" t="str">
            <v>115/07/29</v>
          </cell>
          <cell r="D90">
            <v>2.81</v>
          </cell>
          <cell r="E90">
            <v>2.76</v>
          </cell>
          <cell r="F90">
            <v>0.25</v>
          </cell>
          <cell r="G90" t="str">
            <v>1 / 1</v>
          </cell>
          <cell r="H90" t="str">
            <v>-</v>
          </cell>
          <cell r="I90" t="str">
            <v>-</v>
          </cell>
          <cell r="J90" t="str">
            <v>-</v>
          </cell>
          <cell r="K90" t="str">
            <v>-</v>
          </cell>
          <cell r="L90" t="str">
            <v>-</v>
          </cell>
          <cell r="M90" t="str">
            <v>-</v>
          </cell>
          <cell r="N90">
            <v>1.0939000000000001</v>
          </cell>
          <cell r="O90">
            <v>97.686899999999994</v>
          </cell>
        </row>
        <row r="91">
          <cell r="A91" t="str">
            <v>A10110</v>
          </cell>
          <cell r="B91" t="str">
            <v>110央甲10</v>
          </cell>
          <cell r="C91" t="str">
            <v>130/09/29</v>
          </cell>
          <cell r="D91">
            <v>17.98</v>
          </cell>
          <cell r="E91">
            <v>16.91</v>
          </cell>
          <cell r="F91">
            <v>0.5</v>
          </cell>
          <cell r="G91" t="str">
            <v>1 / 1</v>
          </cell>
          <cell r="H91" t="str">
            <v>-</v>
          </cell>
          <cell r="I91" t="str">
            <v>-</v>
          </cell>
          <cell r="J91" t="str">
            <v>-</v>
          </cell>
          <cell r="K91" t="str">
            <v>-</v>
          </cell>
          <cell r="L91" t="str">
            <v>-</v>
          </cell>
          <cell r="M91" t="str">
            <v>-</v>
          </cell>
          <cell r="N91">
            <v>1.4018999999999999</v>
          </cell>
          <cell r="O91">
            <v>85.762799999999999</v>
          </cell>
        </row>
        <row r="92">
          <cell r="A92" t="str">
            <v>A10111</v>
          </cell>
          <cell r="B92" t="str">
            <v>110央甲11</v>
          </cell>
          <cell r="C92" t="str">
            <v>120/10/22</v>
          </cell>
          <cell r="D92">
            <v>8.0399999999999991</v>
          </cell>
          <cell r="E92">
            <v>7.75</v>
          </cell>
          <cell r="F92">
            <v>0.5</v>
          </cell>
          <cell r="G92" t="str">
            <v>1 / 1</v>
          </cell>
          <cell r="H92" t="str">
            <v>-</v>
          </cell>
          <cell r="I92" t="str">
            <v>-</v>
          </cell>
          <cell r="J92" t="str">
            <v>-</v>
          </cell>
          <cell r="K92" t="str">
            <v>-</v>
          </cell>
          <cell r="L92" t="str">
            <v>-</v>
          </cell>
          <cell r="M92" t="str">
            <v>-</v>
          </cell>
          <cell r="N92">
            <v>1.2519</v>
          </cell>
          <cell r="O92">
            <v>94.289599999999993</v>
          </cell>
        </row>
        <row r="93">
          <cell r="A93" t="str">
            <v>A10112</v>
          </cell>
          <cell r="B93" t="str">
            <v>110央甲12</v>
          </cell>
          <cell r="C93" t="str">
            <v>130/11/12</v>
          </cell>
          <cell r="D93">
            <v>18.100000000000001</v>
          </cell>
          <cell r="E93">
            <v>16.73</v>
          </cell>
          <cell r="F93">
            <v>0.625</v>
          </cell>
          <cell r="G93" t="str">
            <v>1 / 1</v>
          </cell>
          <cell r="H93" t="str">
            <v>-</v>
          </cell>
          <cell r="I93" t="str">
            <v>-</v>
          </cell>
          <cell r="J93" t="str">
            <v>-</v>
          </cell>
          <cell r="K93" t="str">
            <v>-</v>
          </cell>
          <cell r="L93" t="str">
            <v>-</v>
          </cell>
          <cell r="M93" t="str">
            <v>-</v>
          </cell>
          <cell r="N93">
            <v>1.4026000000000001</v>
          </cell>
          <cell r="O93">
            <v>87.653300000000002</v>
          </cell>
        </row>
        <row r="94">
          <cell r="A94" t="str">
            <v>A10113</v>
          </cell>
          <cell r="B94" t="str">
            <v>110央甲13</v>
          </cell>
          <cell r="C94" t="str">
            <v>140/12/23</v>
          </cell>
          <cell r="D94">
            <v>28.21</v>
          </cell>
          <cell r="E94">
            <v>23.5</v>
          </cell>
          <cell r="F94">
            <v>1.125</v>
          </cell>
          <cell r="G94" t="str">
            <v>1 / 1</v>
          </cell>
          <cell r="H94" t="str">
            <v>-</v>
          </cell>
          <cell r="I94" t="str">
            <v>-</v>
          </cell>
          <cell r="J94" t="str">
            <v>-</v>
          </cell>
          <cell r="K94" t="str">
            <v>-</v>
          </cell>
          <cell r="L94" t="str">
            <v>-</v>
          </cell>
          <cell r="M94" t="str">
            <v>-</v>
          </cell>
          <cell r="N94">
            <v>1.5164</v>
          </cell>
          <cell r="O94">
            <v>91.071299999999994</v>
          </cell>
        </row>
        <row r="95">
          <cell r="A95" t="str">
            <v>A10201</v>
          </cell>
          <cell r="B95" t="str">
            <v>110央債乙1</v>
          </cell>
          <cell r="C95" t="str">
            <v>120/05/07</v>
          </cell>
          <cell r="D95">
            <v>7.58</v>
          </cell>
          <cell r="E95">
            <v>7.37</v>
          </cell>
          <cell r="F95">
            <v>0.375</v>
          </cell>
          <cell r="G95" t="str">
            <v>1 / 1</v>
          </cell>
          <cell r="H95" t="str">
            <v>-</v>
          </cell>
          <cell r="I95" t="str">
            <v>-</v>
          </cell>
          <cell r="J95" t="str">
            <v>-</v>
          </cell>
          <cell r="K95" t="str">
            <v>-</v>
          </cell>
          <cell r="L95" t="str">
            <v>-</v>
          </cell>
          <cell r="M95" t="str">
            <v>-</v>
          </cell>
          <cell r="N95">
            <v>1.2443</v>
          </cell>
          <cell r="O95">
            <v>93.755700000000004</v>
          </cell>
        </row>
        <row r="96">
          <cell r="A96" t="str">
            <v>A10202</v>
          </cell>
          <cell r="B96" t="str">
            <v>110央債乙2</v>
          </cell>
          <cell r="C96" t="str">
            <v>117/08/20</v>
          </cell>
          <cell r="D96">
            <v>4.87</v>
          </cell>
          <cell r="E96">
            <v>4.78</v>
          </cell>
          <cell r="F96">
            <v>0.25</v>
          </cell>
          <cell r="G96" t="str">
            <v>1 / 1</v>
          </cell>
          <cell r="H96" t="str">
            <v>-</v>
          </cell>
          <cell r="I96" t="str">
            <v>-</v>
          </cell>
          <cell r="J96" t="str">
            <v>-</v>
          </cell>
          <cell r="K96" t="str">
            <v>-</v>
          </cell>
          <cell r="L96" t="str">
            <v>-</v>
          </cell>
          <cell r="M96" t="str">
            <v>-</v>
          </cell>
          <cell r="N96">
            <v>1.1996</v>
          </cell>
          <cell r="O96">
            <v>95.544499999999999</v>
          </cell>
        </row>
        <row r="97">
          <cell r="A97" t="str">
            <v>A11101</v>
          </cell>
          <cell r="B97" t="str">
            <v>111央債甲1</v>
          </cell>
          <cell r="C97" t="str">
            <v>131/01/18</v>
          </cell>
          <cell r="D97">
            <v>18.28</v>
          </cell>
          <cell r="E97">
            <v>16.37</v>
          </cell>
          <cell r="F97">
            <v>1</v>
          </cell>
          <cell r="G97" t="str">
            <v>1 / 1</v>
          </cell>
          <cell r="H97" t="str">
            <v>-</v>
          </cell>
          <cell r="I97" t="str">
            <v>-</v>
          </cell>
          <cell r="J97" t="str">
            <v>-</v>
          </cell>
          <cell r="K97" t="str">
            <v>-</v>
          </cell>
          <cell r="L97" t="str">
            <v>-</v>
          </cell>
          <cell r="M97" t="str">
            <v>-</v>
          </cell>
          <cell r="N97">
            <v>1.4019999999999999</v>
          </cell>
          <cell r="O97">
            <v>93.558499999999995</v>
          </cell>
        </row>
        <row r="98">
          <cell r="A98" t="str">
            <v>A11102</v>
          </cell>
          <cell r="B98" t="str">
            <v>111央債甲2</v>
          </cell>
          <cell r="C98" t="str">
            <v>121/02/18</v>
          </cell>
          <cell r="D98">
            <v>8.3699999999999992</v>
          </cell>
          <cell r="E98">
            <v>8.0299999999999994</v>
          </cell>
          <cell r="F98">
            <v>0.625</v>
          </cell>
          <cell r="G98" t="str">
            <v>1 / 1</v>
          </cell>
          <cell r="H98">
            <v>1.28</v>
          </cell>
          <cell r="I98">
            <v>94.839600000000004</v>
          </cell>
          <cell r="J98">
            <v>1.23</v>
          </cell>
          <cell r="K98">
            <v>95.2226</v>
          </cell>
          <cell r="L98" t="str">
            <v>-</v>
          </cell>
          <cell r="M98" t="str">
            <v>-</v>
          </cell>
          <cell r="N98">
            <v>1.2567999999999999</v>
          </cell>
          <cell r="O98">
            <v>95.017300000000006</v>
          </cell>
        </row>
        <row r="99">
          <cell r="A99" t="str">
            <v>A11103</v>
          </cell>
          <cell r="B99" t="str">
            <v>111央債甲3</v>
          </cell>
          <cell r="C99" t="str">
            <v>116/02/24</v>
          </cell>
          <cell r="D99">
            <v>3.38</v>
          </cell>
          <cell r="E99">
            <v>3.31</v>
          </cell>
          <cell r="F99">
            <v>0.5</v>
          </cell>
          <cell r="G99" t="str">
            <v>1 / 1</v>
          </cell>
          <cell r="H99" t="str">
            <v>-</v>
          </cell>
          <cell r="I99" t="str">
            <v>-</v>
          </cell>
          <cell r="J99" t="str">
            <v>-</v>
          </cell>
          <cell r="K99" t="str">
            <v>-</v>
          </cell>
          <cell r="L99" t="str">
            <v>-</v>
          </cell>
          <cell r="M99" t="str">
            <v>-</v>
          </cell>
          <cell r="N99">
            <v>1.1297999999999999</v>
          </cell>
          <cell r="O99">
            <v>97.926599999999993</v>
          </cell>
        </row>
        <row r="100">
          <cell r="A100" t="str">
            <v>A11104</v>
          </cell>
          <cell r="B100" t="str">
            <v>111央債甲4</v>
          </cell>
          <cell r="C100" t="str">
            <v>131/03/04</v>
          </cell>
          <cell r="D100">
            <v>18.41</v>
          </cell>
          <cell r="E100">
            <v>16.66</v>
          </cell>
          <cell r="F100">
            <v>0.875</v>
          </cell>
          <cell r="G100" t="str">
            <v>1 / 1</v>
          </cell>
          <cell r="H100" t="str">
            <v>-</v>
          </cell>
          <cell r="I100" t="str">
            <v>-</v>
          </cell>
          <cell r="J100" t="str">
            <v>-</v>
          </cell>
          <cell r="K100" t="str">
            <v>-</v>
          </cell>
          <cell r="L100" t="str">
            <v>-</v>
          </cell>
          <cell r="M100" t="str">
            <v>-</v>
          </cell>
          <cell r="N100">
            <v>1.405</v>
          </cell>
          <cell r="O100">
            <v>91.459699999999998</v>
          </cell>
        </row>
        <row r="101">
          <cell r="A101" t="str">
            <v>A11105</v>
          </cell>
          <cell r="B101" t="str">
            <v>111央債甲5</v>
          </cell>
          <cell r="C101" t="str">
            <v>141/05/20</v>
          </cell>
          <cell r="D101">
            <v>28.62</v>
          </cell>
          <cell r="E101">
            <v>21.97</v>
          </cell>
          <cell r="F101">
            <v>2</v>
          </cell>
          <cell r="G101" t="str">
            <v>1 / 1</v>
          </cell>
          <cell r="H101" t="str">
            <v>-</v>
          </cell>
          <cell r="I101" t="str">
            <v>-</v>
          </cell>
          <cell r="J101" t="str">
            <v>-</v>
          </cell>
          <cell r="K101" t="str">
            <v>-</v>
          </cell>
          <cell r="L101" t="str">
            <v>-</v>
          </cell>
          <cell r="M101" t="str">
            <v>-</v>
          </cell>
          <cell r="N101">
            <v>1.5069999999999999</v>
          </cell>
          <cell r="O101">
            <v>111.3836</v>
          </cell>
        </row>
        <row r="102">
          <cell r="A102" t="str">
            <v>A11106</v>
          </cell>
          <cell r="B102" t="str">
            <v>111央債甲6</v>
          </cell>
          <cell r="C102" t="str">
            <v>116/06/23</v>
          </cell>
          <cell r="D102">
            <v>3.71</v>
          </cell>
          <cell r="E102">
            <v>3.6</v>
          </cell>
          <cell r="F102">
            <v>1</v>
          </cell>
          <cell r="G102" t="str">
            <v>1 / 1</v>
          </cell>
          <cell r="H102">
            <v>1.17</v>
          </cell>
          <cell r="I102">
            <v>99.386799999999994</v>
          </cell>
          <cell r="J102">
            <v>1.1200000000000001</v>
          </cell>
          <cell r="K102">
            <v>99.566299999999998</v>
          </cell>
          <cell r="L102" t="str">
            <v>-</v>
          </cell>
          <cell r="M102" t="str">
            <v>-</v>
          </cell>
          <cell r="N102">
            <v>1.1479999999999999</v>
          </cell>
          <cell r="O102">
            <v>99.465900000000005</v>
          </cell>
        </row>
        <row r="103">
          <cell r="A103" t="str">
            <v>A11107</v>
          </cell>
          <cell r="B103" t="str">
            <v>111央債甲7</v>
          </cell>
          <cell r="C103" t="str">
            <v>121/06/30</v>
          </cell>
          <cell r="D103">
            <v>8.73</v>
          </cell>
          <cell r="E103">
            <v>8.18</v>
          </cell>
          <cell r="F103">
            <v>1.25</v>
          </cell>
          <cell r="G103" t="str">
            <v>1 / 1</v>
          </cell>
          <cell r="H103">
            <v>1.2849999999999999</v>
          </cell>
          <cell r="I103">
            <v>99.711399999999998</v>
          </cell>
          <cell r="J103">
            <v>1.2350000000000001</v>
          </cell>
          <cell r="K103">
            <v>100.1217</v>
          </cell>
          <cell r="L103" t="str">
            <v>-</v>
          </cell>
          <cell r="M103" t="str">
            <v>-</v>
          </cell>
          <cell r="N103">
            <v>1.2602</v>
          </cell>
          <cell r="O103">
            <v>99.914599999999993</v>
          </cell>
        </row>
        <row r="104">
          <cell r="A104" t="str">
            <v>A11108</v>
          </cell>
          <cell r="B104" t="str">
            <v>111央債甲8</v>
          </cell>
          <cell r="C104" t="str">
            <v>116/09/23</v>
          </cell>
          <cell r="D104">
            <v>3.96</v>
          </cell>
          <cell r="E104">
            <v>3.83</v>
          </cell>
          <cell r="F104">
            <v>1.25</v>
          </cell>
          <cell r="G104" t="str">
            <v>1 / 1</v>
          </cell>
          <cell r="H104">
            <v>1.18</v>
          </cell>
          <cell r="I104">
            <v>100.2683</v>
          </cell>
          <cell r="J104">
            <v>1.1299999999999999</v>
          </cell>
          <cell r="K104">
            <v>100.46080000000001</v>
          </cell>
          <cell r="L104" t="str">
            <v>-</v>
          </cell>
          <cell r="M104" t="str">
            <v>-</v>
          </cell>
          <cell r="N104">
            <v>1.1609</v>
          </cell>
          <cell r="O104">
            <v>100.3419</v>
          </cell>
        </row>
        <row r="105">
          <cell r="A105" t="str">
            <v>A11109</v>
          </cell>
          <cell r="B105" t="str">
            <v>111央債甲9</v>
          </cell>
          <cell r="C105" t="str">
            <v>131/09/30</v>
          </cell>
          <cell r="D105">
            <v>18.98</v>
          </cell>
          <cell r="E105">
            <v>16.03</v>
          </cell>
          <cell r="F105">
            <v>1.875</v>
          </cell>
          <cell r="G105" t="str">
            <v>1 / 1</v>
          </cell>
          <cell r="H105" t="str">
            <v>-</v>
          </cell>
          <cell r="I105" t="str">
            <v>-</v>
          </cell>
          <cell r="J105" t="str">
            <v>-</v>
          </cell>
          <cell r="K105" t="str">
            <v>-</v>
          </cell>
          <cell r="L105" t="str">
            <v>-</v>
          </cell>
          <cell r="M105" t="str">
            <v>-</v>
          </cell>
          <cell r="N105">
            <v>1.4048</v>
          </cell>
          <cell r="O105">
            <v>107.7817</v>
          </cell>
        </row>
        <row r="106">
          <cell r="A106" t="str">
            <v>A11110</v>
          </cell>
          <cell r="B106" t="str">
            <v>111央甲10</v>
          </cell>
          <cell r="C106" t="str">
            <v>121/10/17</v>
          </cell>
          <cell r="D106">
            <v>9.0299999999999994</v>
          </cell>
          <cell r="E106">
            <v>8.19</v>
          </cell>
          <cell r="F106">
            <v>1.75</v>
          </cell>
          <cell r="G106" t="str">
            <v>1 / 1</v>
          </cell>
          <cell r="H106">
            <v>1.2849999999999999</v>
          </cell>
          <cell r="I106">
            <v>103.9349</v>
          </cell>
          <cell r="J106">
            <v>1.2450000000000001</v>
          </cell>
          <cell r="K106">
            <v>104.2817</v>
          </cell>
          <cell r="L106">
            <v>1.2749999999999999</v>
          </cell>
          <cell r="M106">
            <v>104.0215</v>
          </cell>
          <cell r="N106">
            <v>1.2627999999999999</v>
          </cell>
          <cell r="O106">
            <v>104.1268</v>
          </cell>
        </row>
        <row r="107">
          <cell r="A107" t="str">
            <v>A11111</v>
          </cell>
          <cell r="B107" t="str">
            <v>111央甲11</v>
          </cell>
          <cell r="C107" t="str">
            <v>141/11/11</v>
          </cell>
          <cell r="D107">
            <v>29.1</v>
          </cell>
          <cell r="E107">
            <v>21.4</v>
          </cell>
          <cell r="F107">
            <v>2.375</v>
          </cell>
          <cell r="G107" t="str">
            <v>1 / 1</v>
          </cell>
          <cell r="H107" t="str">
            <v>-</v>
          </cell>
          <cell r="I107" t="str">
            <v>-</v>
          </cell>
          <cell r="J107" t="str">
            <v>-</v>
          </cell>
          <cell r="K107" t="str">
            <v>-</v>
          </cell>
          <cell r="L107" t="str">
            <v>-</v>
          </cell>
          <cell r="M107" t="str">
            <v>-</v>
          </cell>
          <cell r="N107">
            <v>1.5058</v>
          </cell>
          <cell r="O107">
            <v>120.3475</v>
          </cell>
        </row>
        <row r="108">
          <cell r="A108" t="str">
            <v>A11201</v>
          </cell>
          <cell r="B108" t="str">
            <v>111央債乙1</v>
          </cell>
          <cell r="C108" t="str">
            <v>121/01/10</v>
          </cell>
          <cell r="D108">
            <v>8.26</v>
          </cell>
          <cell r="E108">
            <v>7.88</v>
          </cell>
          <cell r="F108">
            <v>0.75</v>
          </cell>
          <cell r="G108" t="str">
            <v>1 / 1</v>
          </cell>
          <cell r="H108" t="str">
            <v>-</v>
          </cell>
          <cell r="I108" t="str">
            <v>-</v>
          </cell>
          <cell r="J108" t="str">
            <v>-</v>
          </cell>
          <cell r="K108" t="str">
            <v>-</v>
          </cell>
          <cell r="L108" t="str">
            <v>-</v>
          </cell>
          <cell r="M108" t="str">
            <v>-</v>
          </cell>
          <cell r="N108">
            <v>1.2547999999999999</v>
          </cell>
          <cell r="O108">
            <v>96.066800000000001</v>
          </cell>
        </row>
        <row r="109">
          <cell r="A109" t="str">
            <v>A11202</v>
          </cell>
          <cell r="B109" t="str">
            <v>111央債乙2</v>
          </cell>
          <cell r="C109" t="str">
            <v>113/03/31</v>
          </cell>
          <cell r="D109">
            <v>0.48</v>
          </cell>
          <cell r="E109">
            <v>0.47</v>
          </cell>
          <cell r="F109">
            <v>0.75</v>
          </cell>
          <cell r="G109" t="str">
            <v>1 / 1</v>
          </cell>
          <cell r="H109" t="str">
            <v>-</v>
          </cell>
          <cell r="I109" t="str">
            <v>-</v>
          </cell>
          <cell r="J109" t="str">
            <v>-</v>
          </cell>
          <cell r="K109" t="str">
            <v>-</v>
          </cell>
          <cell r="L109" t="str">
            <v>-</v>
          </cell>
          <cell r="M109" t="str">
            <v>-</v>
          </cell>
          <cell r="N109">
            <v>0.96199999999999997</v>
          </cell>
          <cell r="O109">
            <v>99.900199999999998</v>
          </cell>
        </row>
        <row r="110">
          <cell r="A110" t="str">
            <v>A12101</v>
          </cell>
          <cell r="B110" t="str">
            <v>112央債甲1</v>
          </cell>
          <cell r="C110" t="str">
            <v>117/01/17</v>
          </cell>
          <cell r="D110">
            <v>4.28</v>
          </cell>
          <cell r="E110">
            <v>4.12</v>
          </cell>
          <cell r="F110">
            <v>1</v>
          </cell>
          <cell r="G110" t="str">
            <v>1 / 1</v>
          </cell>
          <cell r="H110" t="str">
            <v>-</v>
          </cell>
          <cell r="I110" t="str">
            <v>-</v>
          </cell>
          <cell r="J110" t="str">
            <v>-</v>
          </cell>
          <cell r="K110" t="str">
            <v>-</v>
          </cell>
          <cell r="L110" t="str">
            <v>-</v>
          </cell>
          <cell r="M110" t="str">
            <v>-</v>
          </cell>
          <cell r="N110">
            <v>1.1760999999999999</v>
          </cell>
          <cell r="O110">
            <v>99.269900000000007</v>
          </cell>
        </row>
        <row r="111">
          <cell r="A111" t="str">
            <v>A12102</v>
          </cell>
          <cell r="B111" t="str">
            <v>112央債甲2</v>
          </cell>
          <cell r="C111" t="str">
            <v>122/02/17</v>
          </cell>
          <cell r="D111">
            <v>9.3699999999999992</v>
          </cell>
          <cell r="E111">
            <v>8.75</v>
          </cell>
          <cell r="F111">
            <v>1.125</v>
          </cell>
          <cell r="G111" t="str">
            <v>1 / 1</v>
          </cell>
          <cell r="H111" t="str">
            <v>-</v>
          </cell>
          <cell r="I111" t="str">
            <v>-</v>
          </cell>
          <cell r="J111">
            <v>1.25</v>
          </cell>
          <cell r="K111">
            <v>98.901399999999995</v>
          </cell>
          <cell r="L111" t="str">
            <v>-</v>
          </cell>
          <cell r="M111" t="str">
            <v>-</v>
          </cell>
          <cell r="N111">
            <v>1.2686999999999999</v>
          </cell>
          <cell r="O111">
            <v>98.738299999999995</v>
          </cell>
        </row>
        <row r="112">
          <cell r="A112" t="str">
            <v>A12103</v>
          </cell>
          <cell r="B112" t="str">
            <v>112央債甲3</v>
          </cell>
          <cell r="C112" t="str">
            <v>114/02/23</v>
          </cell>
          <cell r="D112">
            <v>1.38</v>
          </cell>
          <cell r="E112">
            <v>1.35</v>
          </cell>
          <cell r="F112">
            <v>1</v>
          </cell>
          <cell r="G112" t="str">
            <v>1 / 1</v>
          </cell>
          <cell r="H112" t="str">
            <v>-</v>
          </cell>
          <cell r="I112" t="str">
            <v>-</v>
          </cell>
          <cell r="J112" t="str">
            <v>-</v>
          </cell>
          <cell r="K112" t="str">
            <v>-</v>
          </cell>
          <cell r="L112" t="str">
            <v>-</v>
          </cell>
          <cell r="M112" t="str">
            <v>-</v>
          </cell>
          <cell r="N112">
            <v>1.0089999999999999</v>
          </cell>
          <cell r="O112">
            <v>99.986699999999999</v>
          </cell>
        </row>
        <row r="113">
          <cell r="A113" t="str">
            <v>A12104</v>
          </cell>
          <cell r="B113" t="str">
            <v>112央債甲4</v>
          </cell>
          <cell r="C113" t="str">
            <v>132/03/03</v>
          </cell>
          <cell r="D113">
            <v>19.399999999999999</v>
          </cell>
          <cell r="E113">
            <v>16.77</v>
          </cell>
          <cell r="F113">
            <v>1.375</v>
          </cell>
          <cell r="G113" t="str">
            <v>1 / 1</v>
          </cell>
          <cell r="H113">
            <v>1.4555</v>
          </cell>
          <cell r="I113">
            <v>98.645899999999997</v>
          </cell>
          <cell r="J113" t="str">
            <v>-</v>
          </cell>
          <cell r="K113" t="str">
            <v>-</v>
          </cell>
          <cell r="L113" t="str">
            <v>-</v>
          </cell>
          <cell r="M113" t="str">
            <v>-</v>
          </cell>
          <cell r="N113">
            <v>1.4147000000000001</v>
          </cell>
          <cell r="O113">
            <v>99.328599999999994</v>
          </cell>
        </row>
        <row r="114">
          <cell r="A114" t="str">
            <v>A12105</v>
          </cell>
          <cell r="B114" t="str">
            <v>112央債甲5</v>
          </cell>
          <cell r="C114" t="str">
            <v>142/05/12</v>
          </cell>
          <cell r="D114">
            <v>29.6</v>
          </cell>
          <cell r="E114">
            <v>23.59</v>
          </cell>
          <cell r="F114">
            <v>1.5</v>
          </cell>
          <cell r="G114" t="str">
            <v>1 / 1</v>
          </cell>
          <cell r="H114" t="str">
            <v>-</v>
          </cell>
          <cell r="I114" t="str">
            <v>-</v>
          </cell>
          <cell r="J114" t="str">
            <v>-</v>
          </cell>
          <cell r="K114" t="str">
            <v>-</v>
          </cell>
          <cell r="L114" t="str">
            <v>-</v>
          </cell>
          <cell r="M114" t="str">
            <v>-</v>
          </cell>
          <cell r="N114">
            <v>1.5205</v>
          </cell>
          <cell r="O114">
            <v>99.512500000000003</v>
          </cell>
        </row>
        <row r="115">
          <cell r="A115" t="str">
            <v>A12106</v>
          </cell>
          <cell r="B115" t="str">
            <v>112央債甲6</v>
          </cell>
          <cell r="C115" t="str">
            <v>117/05/26</v>
          </cell>
          <cell r="D115">
            <v>4.6399999999999997</v>
          </cell>
          <cell r="E115">
            <v>4.47</v>
          </cell>
          <cell r="F115">
            <v>1</v>
          </cell>
          <cell r="G115" t="str">
            <v>1 / 1</v>
          </cell>
          <cell r="H115">
            <v>1.1970000000000001</v>
          </cell>
          <cell r="I115">
            <v>99.117699999999999</v>
          </cell>
          <cell r="J115">
            <v>1.18</v>
          </cell>
          <cell r="K115">
            <v>99.193399999999997</v>
          </cell>
          <cell r="L115" t="str">
            <v>-</v>
          </cell>
          <cell r="M115" t="str">
            <v>-</v>
          </cell>
          <cell r="N115">
            <v>1.1902999999999999</v>
          </cell>
          <cell r="O115">
            <v>99.147499999999994</v>
          </cell>
        </row>
        <row r="116">
          <cell r="A116" t="str">
            <v>A12107</v>
          </cell>
          <cell r="B116" t="str">
            <v>112央債甲7</v>
          </cell>
          <cell r="C116" t="str">
            <v>122/06/09</v>
          </cell>
          <cell r="D116">
            <v>9.67</v>
          </cell>
          <cell r="E116">
            <v>9.06</v>
          </cell>
          <cell r="F116">
            <v>1.125</v>
          </cell>
          <cell r="G116" t="str">
            <v>1 / 1</v>
          </cell>
          <cell r="H116" t="str">
            <v>-</v>
          </cell>
          <cell r="I116" t="str">
            <v>-</v>
          </cell>
          <cell r="J116">
            <v>1.25</v>
          </cell>
          <cell r="K116">
            <v>98.867500000000007</v>
          </cell>
          <cell r="L116" t="str">
            <v>-</v>
          </cell>
          <cell r="M116" t="str">
            <v>-</v>
          </cell>
          <cell r="N116">
            <v>1.2726</v>
          </cell>
          <cell r="O116">
            <v>98.664400000000001</v>
          </cell>
        </row>
        <row r="117">
          <cell r="A117" t="str">
            <v>A12108</v>
          </cell>
          <cell r="B117" t="str">
            <v>112央債甲8</v>
          </cell>
          <cell r="C117" t="str">
            <v>117/09/15</v>
          </cell>
          <cell r="D117">
            <v>4.9400000000000004</v>
          </cell>
          <cell r="E117">
            <v>4.76</v>
          </cell>
          <cell r="F117">
            <v>1.125</v>
          </cell>
          <cell r="G117" t="str">
            <v>1 / 1</v>
          </cell>
          <cell r="H117">
            <v>1.22</v>
          </cell>
          <cell r="I117">
            <v>99.547799999999995</v>
          </cell>
          <cell r="J117">
            <v>1.1819999999999999</v>
          </cell>
          <cell r="K117">
            <v>99.728200000000001</v>
          </cell>
          <cell r="L117" t="str">
            <v>-</v>
          </cell>
          <cell r="M117" t="str">
            <v>-</v>
          </cell>
          <cell r="N117">
            <v>1.2000999999999999</v>
          </cell>
          <cell r="O117">
            <v>99.642200000000003</v>
          </cell>
        </row>
        <row r="118">
          <cell r="A118" t="str">
            <v>A12109</v>
          </cell>
          <cell r="B118" t="str">
            <v>112央債甲9</v>
          </cell>
          <cell r="C118" t="str">
            <v>132/09/22</v>
          </cell>
          <cell r="D118">
            <v>19.96</v>
          </cell>
          <cell r="E118">
            <v>17.309999999999999</v>
          </cell>
          <cell r="F118">
            <v>1.375</v>
          </cell>
          <cell r="G118" t="str">
            <v>1 / 1</v>
          </cell>
          <cell r="H118">
            <v>1.44</v>
          </cell>
          <cell r="I118">
            <v>98.879400000000004</v>
          </cell>
          <cell r="J118">
            <v>1.34</v>
          </cell>
          <cell r="K118">
            <v>100.6087</v>
          </cell>
          <cell r="L118" t="str">
            <v>-</v>
          </cell>
          <cell r="M118" t="str">
            <v>-</v>
          </cell>
          <cell r="N118">
            <v>1.4224000000000001</v>
          </cell>
          <cell r="O118">
            <v>99.181600000000003</v>
          </cell>
        </row>
        <row r="119">
          <cell r="A119" t="str">
            <v>A12110</v>
          </cell>
          <cell r="B119" t="str">
            <v>112央甲10</v>
          </cell>
          <cell r="C119" t="str">
            <v>122/10/05</v>
          </cell>
          <cell r="D119">
            <v>10</v>
          </cell>
          <cell r="E119">
            <v>9.33</v>
          </cell>
          <cell r="F119">
            <v>1.25</v>
          </cell>
          <cell r="G119" t="str">
            <v>1 / 1</v>
          </cell>
          <cell r="H119">
            <v>1.2915000000000001</v>
          </cell>
          <cell r="I119">
            <v>99.613500000000002</v>
          </cell>
          <cell r="J119">
            <v>1.27</v>
          </cell>
          <cell r="K119">
            <v>99.813400000000001</v>
          </cell>
          <cell r="L119" t="str">
            <v>-</v>
          </cell>
          <cell r="M119" t="str">
            <v>-</v>
          </cell>
          <cell r="N119">
            <v>1.2766</v>
          </cell>
          <cell r="O119">
            <v>99.752399999999994</v>
          </cell>
        </row>
        <row r="120">
          <cell r="A120" t="str">
            <v>A12110R</v>
          </cell>
          <cell r="B120" t="str">
            <v>112央甲10</v>
          </cell>
          <cell r="C120" t="str">
            <v>122/10/05</v>
          </cell>
          <cell r="D120">
            <v>10</v>
          </cell>
          <cell r="E120">
            <v>9.16</v>
          </cell>
          <cell r="F120">
            <v>1.25</v>
          </cell>
          <cell r="G120" t="str">
            <v>1 / 1</v>
          </cell>
          <cell r="H120">
            <v>1.2989999999999999</v>
          </cell>
          <cell r="I120">
            <v>99.55</v>
          </cell>
          <cell r="J120">
            <v>1.28</v>
          </cell>
          <cell r="K120">
            <v>99.723799999999997</v>
          </cell>
          <cell r="L120">
            <v>1.282</v>
          </cell>
          <cell r="M120">
            <v>99.705500000000001</v>
          </cell>
          <cell r="N120">
            <v>1.2743</v>
          </cell>
          <cell r="O120">
            <v>99.775899999999993</v>
          </cell>
        </row>
        <row r="121">
          <cell r="A121" t="str">
            <v>A12111</v>
          </cell>
          <cell r="B121" t="str">
            <v>112央甲11</v>
          </cell>
          <cell r="C121" t="str">
            <v>142/11/22</v>
          </cell>
          <cell r="D121">
            <v>30</v>
          </cell>
          <cell r="E121">
            <v>23.99</v>
          </cell>
          <cell r="F121">
            <v>1.5</v>
          </cell>
          <cell r="G121" t="str">
            <v>1 / 1</v>
          </cell>
          <cell r="H121" t="str">
            <v>-</v>
          </cell>
          <cell r="I121" t="str">
            <v>-</v>
          </cell>
          <cell r="J121" t="str">
            <v>-</v>
          </cell>
          <cell r="K121" t="str">
            <v>-</v>
          </cell>
          <cell r="L121" t="str">
            <v>-</v>
          </cell>
          <cell r="M121" t="str">
            <v>-</v>
          </cell>
          <cell r="N121">
            <v>1.5230999999999999</v>
          </cell>
          <cell r="O121">
            <v>99.446899999999999</v>
          </cell>
        </row>
        <row r="122">
          <cell r="A122" t="str">
            <v>A12201</v>
          </cell>
          <cell r="B122" t="str">
            <v>112央債乙1</v>
          </cell>
          <cell r="C122" t="str">
            <v>122/01/10</v>
          </cell>
          <cell r="D122">
            <v>9.26</v>
          </cell>
          <cell r="E122">
            <v>8.6</v>
          </cell>
          <cell r="F122">
            <v>1.25</v>
          </cell>
          <cell r="G122" t="str">
            <v>1 / 1</v>
          </cell>
          <cell r="H122" t="str">
            <v>-</v>
          </cell>
          <cell r="I122" t="str">
            <v>-</v>
          </cell>
          <cell r="J122" t="str">
            <v>-</v>
          </cell>
          <cell r="K122" t="str">
            <v>-</v>
          </cell>
          <cell r="L122" t="str">
            <v>-</v>
          </cell>
          <cell r="M122" t="str">
            <v>-</v>
          </cell>
          <cell r="N122">
            <v>1.2669999999999999</v>
          </cell>
          <cell r="O122">
            <v>99.850800000000007</v>
          </cell>
        </row>
        <row r="123">
          <cell r="A123" t="str">
            <v>A90105</v>
          </cell>
          <cell r="B123" t="str">
            <v>90央債甲五</v>
          </cell>
          <cell r="C123" t="str">
            <v>120/07/17</v>
          </cell>
          <cell r="D123">
            <v>7.78</v>
          </cell>
          <cell r="E123">
            <v>6.85</v>
          </cell>
          <cell r="F123">
            <v>3.625</v>
          </cell>
          <cell r="G123" t="str">
            <v>1 / 1</v>
          </cell>
          <cell r="H123" t="str">
            <v>-</v>
          </cell>
          <cell r="I123" t="str">
            <v>-</v>
          </cell>
          <cell r="J123" t="str">
            <v>-</v>
          </cell>
          <cell r="K123" t="str">
            <v>-</v>
          </cell>
          <cell r="L123" t="str">
            <v>-</v>
          </cell>
          <cell r="M123" t="str">
            <v>-</v>
          </cell>
          <cell r="N123">
            <v>1.2404999999999999</v>
          </cell>
          <cell r="O123">
            <v>117.5446</v>
          </cell>
        </row>
        <row r="124">
          <cell r="A124" t="str">
            <v>A93103</v>
          </cell>
          <cell r="B124" t="str">
            <v>93央債甲三</v>
          </cell>
          <cell r="C124" t="str">
            <v>113/02/10</v>
          </cell>
          <cell r="D124">
            <v>0.35</v>
          </cell>
          <cell r="E124">
            <v>0.33</v>
          </cell>
          <cell r="F124">
            <v>3</v>
          </cell>
          <cell r="G124" t="str">
            <v>1 / 1</v>
          </cell>
          <cell r="H124" t="str">
            <v>-</v>
          </cell>
          <cell r="I124" t="str">
            <v>-</v>
          </cell>
          <cell r="J124" t="str">
            <v>-</v>
          </cell>
          <cell r="K124" t="str">
            <v>-</v>
          </cell>
          <cell r="L124" t="str">
            <v>-</v>
          </cell>
          <cell r="M124" t="str">
            <v>-</v>
          </cell>
          <cell r="N124">
            <v>0.95540000000000003</v>
          </cell>
          <cell r="O124">
            <v>100.6759</v>
          </cell>
        </row>
        <row r="125">
          <cell r="A125" t="str">
            <v>A93106</v>
          </cell>
          <cell r="B125" t="str">
            <v>93央債甲六</v>
          </cell>
          <cell r="C125" t="str">
            <v>123/05/27</v>
          </cell>
          <cell r="D125">
            <v>10.64</v>
          </cell>
          <cell r="E125">
            <v>8.91</v>
          </cell>
          <cell r="F125">
            <v>3.875</v>
          </cell>
          <cell r="G125" t="str">
            <v>1 / 1</v>
          </cell>
          <cell r="H125" t="str">
            <v>-</v>
          </cell>
          <cell r="I125" t="str">
            <v>-</v>
          </cell>
          <cell r="J125" t="str">
            <v>-</v>
          </cell>
          <cell r="K125" t="str">
            <v>-</v>
          </cell>
          <cell r="L125" t="str">
            <v>-</v>
          </cell>
          <cell r="M125" t="str">
            <v>-</v>
          </cell>
          <cell r="N125">
            <v>1.278</v>
          </cell>
          <cell r="O125">
            <v>125.64449999999999</v>
          </cell>
        </row>
        <row r="126">
          <cell r="A126" t="str">
            <v>A93109</v>
          </cell>
          <cell r="B126" t="str">
            <v>93央債甲九</v>
          </cell>
          <cell r="C126" t="str">
            <v>113/11/18</v>
          </cell>
          <cell r="D126">
            <v>1.1200000000000001</v>
          </cell>
          <cell r="E126">
            <v>1.06</v>
          </cell>
          <cell r="F126">
            <v>3</v>
          </cell>
          <cell r="G126" t="str">
            <v>1 / 1</v>
          </cell>
          <cell r="H126" t="str">
            <v>-</v>
          </cell>
          <cell r="I126" t="str">
            <v>-</v>
          </cell>
          <cell r="J126" t="str">
            <v>-</v>
          </cell>
          <cell r="K126" t="str">
            <v>-</v>
          </cell>
          <cell r="L126" t="str">
            <v>-</v>
          </cell>
          <cell r="M126" t="str">
            <v>-</v>
          </cell>
          <cell r="N126">
            <v>0.99519999999999997</v>
          </cell>
          <cell r="O126">
            <v>102.1892</v>
          </cell>
        </row>
        <row r="127">
          <cell r="A127" t="str">
            <v>A94103</v>
          </cell>
          <cell r="B127" t="str">
            <v>94央債甲三</v>
          </cell>
          <cell r="C127" t="str">
            <v>114/02/25</v>
          </cell>
          <cell r="D127">
            <v>1.39</v>
          </cell>
          <cell r="E127">
            <v>1.34</v>
          </cell>
          <cell r="F127">
            <v>2.375</v>
          </cell>
          <cell r="G127" t="str">
            <v>1 / 1</v>
          </cell>
          <cell r="H127" t="str">
            <v>-</v>
          </cell>
          <cell r="I127" t="str">
            <v>-</v>
          </cell>
          <cell r="J127" t="str">
            <v>-</v>
          </cell>
          <cell r="K127" t="str">
            <v>-</v>
          </cell>
          <cell r="L127" t="str">
            <v>-</v>
          </cell>
          <cell r="M127" t="str">
            <v>-</v>
          </cell>
          <cell r="N127">
            <v>1.0091000000000001</v>
          </cell>
          <cell r="O127">
            <v>101.8536</v>
          </cell>
        </row>
        <row r="128">
          <cell r="A128" t="str">
            <v>A95102</v>
          </cell>
          <cell r="B128" t="str">
            <v>95央債甲二</v>
          </cell>
          <cell r="C128" t="str">
            <v>115/02/24</v>
          </cell>
          <cell r="D128">
            <v>2.39</v>
          </cell>
          <cell r="E128">
            <v>2.29</v>
          </cell>
          <cell r="F128">
            <v>1.875</v>
          </cell>
          <cell r="G128" t="str">
            <v>1 / 1</v>
          </cell>
          <cell r="H128" t="str">
            <v>-</v>
          </cell>
          <cell r="I128" t="str">
            <v>-</v>
          </cell>
          <cell r="J128" t="str">
            <v>-</v>
          </cell>
          <cell r="K128" t="str">
            <v>-</v>
          </cell>
          <cell r="L128" t="str">
            <v>-</v>
          </cell>
          <cell r="M128" t="str">
            <v>-</v>
          </cell>
          <cell r="N128">
            <v>1.0658000000000001</v>
          </cell>
          <cell r="O128">
            <v>101.8837</v>
          </cell>
        </row>
        <row r="129">
          <cell r="A129" t="str">
            <v>A95107</v>
          </cell>
          <cell r="B129" t="str">
            <v>95央債甲7</v>
          </cell>
          <cell r="C129" t="str">
            <v>115/11/10</v>
          </cell>
          <cell r="D129">
            <v>3.09</v>
          </cell>
          <cell r="E129">
            <v>2.93</v>
          </cell>
          <cell r="F129">
            <v>2.125</v>
          </cell>
          <cell r="G129" t="str">
            <v>1 / 1</v>
          </cell>
          <cell r="H129" t="str">
            <v>-</v>
          </cell>
          <cell r="I129" t="str">
            <v>-</v>
          </cell>
          <cell r="J129" t="str">
            <v>-</v>
          </cell>
          <cell r="K129" t="str">
            <v>-</v>
          </cell>
          <cell r="L129" t="str">
            <v>-</v>
          </cell>
          <cell r="M129" t="str">
            <v>-</v>
          </cell>
          <cell r="N129">
            <v>1.1106</v>
          </cell>
          <cell r="O129">
            <v>103.0562</v>
          </cell>
        </row>
        <row r="130">
          <cell r="A130" t="str">
            <v>A96102</v>
          </cell>
          <cell r="B130" t="str">
            <v>96央債甲2</v>
          </cell>
          <cell r="C130" t="str">
            <v>116/02/14</v>
          </cell>
          <cell r="D130">
            <v>3.36</v>
          </cell>
          <cell r="E130">
            <v>3.2</v>
          </cell>
          <cell r="F130">
            <v>2</v>
          </cell>
          <cell r="G130" t="str">
            <v>1 / 1</v>
          </cell>
          <cell r="H130" t="str">
            <v>-</v>
          </cell>
          <cell r="I130" t="str">
            <v>-</v>
          </cell>
          <cell r="J130" t="str">
            <v>-</v>
          </cell>
          <cell r="K130" t="str">
            <v>-</v>
          </cell>
          <cell r="L130" t="str">
            <v>-</v>
          </cell>
          <cell r="M130" t="str">
            <v>-</v>
          </cell>
          <cell r="N130">
            <v>1.1265000000000001</v>
          </cell>
          <cell r="O130">
            <v>102.8493</v>
          </cell>
        </row>
        <row r="131">
          <cell r="A131" t="str">
            <v>A96107</v>
          </cell>
          <cell r="B131" t="str">
            <v>96央債甲7</v>
          </cell>
          <cell r="C131" t="str">
            <v>116/11/16</v>
          </cell>
          <cell r="D131">
            <v>4.1100000000000003</v>
          </cell>
          <cell r="E131">
            <v>3.79</v>
          </cell>
          <cell r="F131">
            <v>3</v>
          </cell>
          <cell r="G131" t="str">
            <v>1 / 1</v>
          </cell>
          <cell r="H131" t="str">
            <v>-</v>
          </cell>
          <cell r="I131" t="str">
            <v>-</v>
          </cell>
          <cell r="J131" t="str">
            <v>-</v>
          </cell>
          <cell r="K131" t="str">
            <v>-</v>
          </cell>
          <cell r="L131" t="str">
            <v>-</v>
          </cell>
          <cell r="M131" t="str">
            <v>-</v>
          </cell>
          <cell r="N131">
            <v>1.1655</v>
          </cell>
          <cell r="O131">
            <v>107.29900000000001</v>
          </cell>
        </row>
        <row r="132">
          <cell r="A132" t="str">
            <v>A97102</v>
          </cell>
          <cell r="B132" t="str">
            <v>97央債甲2</v>
          </cell>
          <cell r="C132" t="str">
            <v>117/02/14</v>
          </cell>
          <cell r="D132">
            <v>4.3600000000000003</v>
          </cell>
          <cell r="E132">
            <v>4.07</v>
          </cell>
          <cell r="F132">
            <v>2.5</v>
          </cell>
          <cell r="G132" t="str">
            <v>1 / 1</v>
          </cell>
          <cell r="H132" t="str">
            <v>-</v>
          </cell>
          <cell r="I132" t="str">
            <v>-</v>
          </cell>
          <cell r="J132" t="str">
            <v>-</v>
          </cell>
          <cell r="K132" t="str">
            <v>-</v>
          </cell>
          <cell r="L132" t="str">
            <v>-</v>
          </cell>
          <cell r="M132" t="str">
            <v>-</v>
          </cell>
          <cell r="N132">
            <v>1.177</v>
          </cell>
          <cell r="O132">
            <v>105.569</v>
          </cell>
        </row>
        <row r="133">
          <cell r="A133" t="str">
            <v>A97105</v>
          </cell>
          <cell r="B133" t="str">
            <v>97央債甲5</v>
          </cell>
          <cell r="C133" t="str">
            <v>117/08/14</v>
          </cell>
          <cell r="D133">
            <v>4.8499999999999996</v>
          </cell>
          <cell r="E133">
            <v>4.55</v>
          </cell>
          <cell r="F133">
            <v>2.625</v>
          </cell>
          <cell r="G133" t="str">
            <v>1 / 1</v>
          </cell>
          <cell r="H133" t="str">
            <v>-</v>
          </cell>
          <cell r="I133" t="str">
            <v>-</v>
          </cell>
          <cell r="J133" t="str">
            <v>-</v>
          </cell>
          <cell r="K133" t="str">
            <v>-</v>
          </cell>
          <cell r="L133" t="str">
            <v>-</v>
          </cell>
          <cell r="M133" t="str">
            <v>-</v>
          </cell>
          <cell r="N133">
            <v>1.1948000000000001</v>
          </cell>
          <cell r="O133">
            <v>106.6871</v>
          </cell>
        </row>
        <row r="134">
          <cell r="A134" t="str">
            <v>A98102</v>
          </cell>
          <cell r="B134" t="str">
            <v>98央債甲2</v>
          </cell>
          <cell r="C134" t="str">
            <v>118/02/16</v>
          </cell>
          <cell r="D134">
            <v>5.36</v>
          </cell>
          <cell r="E134">
            <v>5</v>
          </cell>
          <cell r="F134">
            <v>2.125</v>
          </cell>
          <cell r="G134" t="str">
            <v>1 / 1</v>
          </cell>
          <cell r="H134" t="str">
            <v>-</v>
          </cell>
          <cell r="I134" t="str">
            <v>-</v>
          </cell>
          <cell r="J134" t="str">
            <v>-</v>
          </cell>
          <cell r="K134" t="str">
            <v>-</v>
          </cell>
          <cell r="L134" t="str">
            <v>-</v>
          </cell>
          <cell r="M134" t="str">
            <v>-</v>
          </cell>
          <cell r="N134">
            <v>1.208</v>
          </cell>
          <cell r="O134">
            <v>104.72110000000001</v>
          </cell>
        </row>
        <row r="135">
          <cell r="A135" t="str">
            <v>A98105</v>
          </cell>
          <cell r="B135" t="str">
            <v>98央債甲5</v>
          </cell>
          <cell r="C135" t="str">
            <v>118/08/13</v>
          </cell>
          <cell r="D135">
            <v>5.85</v>
          </cell>
          <cell r="E135">
            <v>5.48</v>
          </cell>
          <cell r="F135">
            <v>2.125</v>
          </cell>
          <cell r="G135" t="str">
            <v>1 / 1</v>
          </cell>
          <cell r="H135" t="str">
            <v>-</v>
          </cell>
          <cell r="I135" t="str">
            <v>-</v>
          </cell>
          <cell r="J135" t="str">
            <v>-</v>
          </cell>
          <cell r="K135" t="str">
            <v>-</v>
          </cell>
          <cell r="L135" t="str">
            <v>-</v>
          </cell>
          <cell r="M135" t="str">
            <v>-</v>
          </cell>
          <cell r="N135">
            <v>1.2159</v>
          </cell>
          <cell r="O135">
            <v>105.09220000000001</v>
          </cell>
        </row>
        <row r="136">
          <cell r="A136" t="str">
            <v>A99102</v>
          </cell>
          <cell r="B136" t="str">
            <v>99央債甲2</v>
          </cell>
          <cell r="C136" t="str">
            <v>129/01/28</v>
          </cell>
          <cell r="D136">
            <v>16.309999999999999</v>
          </cell>
          <cell r="E136">
            <v>13.62</v>
          </cell>
          <cell r="F136">
            <v>2.25</v>
          </cell>
          <cell r="G136" t="str">
            <v>1 / 1</v>
          </cell>
          <cell r="H136" t="str">
            <v>-</v>
          </cell>
          <cell r="I136" t="str">
            <v>-</v>
          </cell>
          <cell r="J136" t="str">
            <v>-</v>
          </cell>
          <cell r="K136" t="str">
            <v>-</v>
          </cell>
          <cell r="L136" t="str">
            <v>-</v>
          </cell>
          <cell r="M136" t="str">
            <v>-</v>
          </cell>
          <cell r="N136">
            <v>1.3645</v>
          </cell>
          <cell r="O136">
            <v>112.8582</v>
          </cell>
        </row>
        <row r="137">
          <cell r="A137" t="str">
            <v>A99104</v>
          </cell>
          <cell r="B137" t="str">
            <v>99央債甲4</v>
          </cell>
          <cell r="C137" t="str">
            <v>119/02/22</v>
          </cell>
          <cell r="D137">
            <v>6.38</v>
          </cell>
          <cell r="E137">
            <v>5.93</v>
          </cell>
          <cell r="F137">
            <v>1.875</v>
          </cell>
          <cell r="G137" t="str">
            <v>1 / 1</v>
          </cell>
          <cell r="H137" t="str">
            <v>-</v>
          </cell>
          <cell r="I137" t="str">
            <v>-</v>
          </cell>
          <cell r="J137" t="str">
            <v>-</v>
          </cell>
          <cell r="K137" t="str">
            <v>-</v>
          </cell>
          <cell r="L137" t="str">
            <v>-</v>
          </cell>
          <cell r="M137" t="str">
            <v>-</v>
          </cell>
          <cell r="N137">
            <v>1.2231000000000001</v>
          </cell>
          <cell r="O137">
            <v>103.9671</v>
          </cell>
        </row>
        <row r="138">
          <cell r="A138" t="str">
            <v>A99107</v>
          </cell>
          <cell r="B138" t="str">
            <v>99央債甲7</v>
          </cell>
          <cell r="C138" t="str">
            <v>119/08/12</v>
          </cell>
          <cell r="D138">
            <v>6.85</v>
          </cell>
          <cell r="E138">
            <v>6.41</v>
          </cell>
          <cell r="F138">
            <v>1.75</v>
          </cell>
          <cell r="G138" t="str">
            <v>1 / 1</v>
          </cell>
          <cell r="H138" t="str">
            <v>-</v>
          </cell>
          <cell r="I138" t="str">
            <v>-</v>
          </cell>
          <cell r="J138" t="str">
            <v>-</v>
          </cell>
          <cell r="K138" t="str">
            <v>-</v>
          </cell>
          <cell r="L138" t="str">
            <v>-</v>
          </cell>
          <cell r="M138" t="str">
            <v>-</v>
          </cell>
          <cell r="N138">
            <v>1.2294</v>
          </cell>
          <cell r="O138">
            <v>103.3917</v>
          </cell>
        </row>
        <row r="139">
          <cell r="A139" t="str">
            <v>A99109</v>
          </cell>
          <cell r="B139" t="str">
            <v>99央債甲9</v>
          </cell>
          <cell r="C139" t="str">
            <v>129/12/28</v>
          </cell>
          <cell r="D139">
            <v>17.23</v>
          </cell>
          <cell r="E139">
            <v>14.35</v>
          </cell>
          <cell r="F139">
            <v>2.125</v>
          </cell>
          <cell r="G139" t="str">
            <v>1 / 1</v>
          </cell>
          <cell r="H139" t="str">
            <v>-</v>
          </cell>
          <cell r="I139" t="str">
            <v>-</v>
          </cell>
          <cell r="J139" t="str">
            <v>-</v>
          </cell>
          <cell r="K139" t="str">
            <v>-</v>
          </cell>
          <cell r="L139" t="str">
            <v>-</v>
          </cell>
          <cell r="M139" t="str">
            <v>-</v>
          </cell>
          <cell r="N139">
            <v>1.3785000000000001</v>
          </cell>
          <cell r="O139">
            <v>111.36790000000001</v>
          </cell>
        </row>
        <row r="140">
          <cell r="A140" t="str">
            <v>報表說明 Remark：</v>
          </cell>
        </row>
        <row r="141">
          <cell r="A141" t="str">
            <v>1.存續期間以理論價格為計算基礎 The duration is based on the theoretical price.</v>
          </cell>
        </row>
        <row r="142">
          <cell r="A142" t="str">
            <v>2.報價所提供之價格，為等殖成交系統中之收盤最佳公開報價 The price provided by the quotation is the best closing price of the Electronic Bond Trading System.</v>
          </cell>
        </row>
        <row r="143">
          <cell r="A143" t="str">
            <v>3.成交價為等殖成交系統公開報價成交之成交量加權平均 he trading price is the weighted average of the volume of the open quotation of the Electronic Bond Trading System</v>
          </cell>
        </row>
        <row r="144">
          <cell r="A144" t="str">
            <v>4.理論價以本中心計算之零息殖利率曲線(Steeley Cubic B-Spline Model)，推算出之理論價格 Theoretical price is calculated by Steeley Cubic B-Spline Mode</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CNH"/>
      <sheetName val="CNH紀錄"/>
      <sheetName val="J"/>
      <sheetName val="VOL"/>
      <sheetName val="現券R券"/>
      <sheetName val="中債"/>
      <sheetName val="工作表1"/>
      <sheetName val="127"/>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4.1101999999999999</v>
          </cell>
          <cell r="H1172">
            <v>-0.57999999999998053</v>
          </cell>
          <cell r="I1172">
            <v>299.08</v>
          </cell>
          <cell r="K1172">
            <v>1.1000000000000001</v>
          </cell>
          <cell r="L1172">
            <v>0</v>
          </cell>
          <cell r="M1172" t="str">
            <v>無成交</v>
          </cell>
        </row>
        <row r="1173">
          <cell r="A1173">
            <v>45173</v>
          </cell>
          <cell r="B1173">
            <v>1</v>
          </cell>
          <cell r="C1173">
            <v>1.19</v>
          </cell>
          <cell r="D1173" t="str">
            <v>無成交</v>
          </cell>
          <cell r="E1173">
            <v>0.68100000000000005</v>
          </cell>
          <cell r="F1173">
            <v>4.1807999999999996</v>
          </cell>
          <cell r="G1173" t="str">
            <v>休市</v>
          </cell>
          <cell r="H1173">
            <v>7.4599999999999334</v>
          </cell>
          <cell r="I1173">
            <v>301.63</v>
          </cell>
          <cell r="K1173">
            <v>1.1000000000000001</v>
          </cell>
          <cell r="L1173">
            <v>0</v>
          </cell>
          <cell r="M1173" t="str">
            <v>無成交</v>
          </cell>
        </row>
        <row r="1174">
          <cell r="A1174">
            <v>45174</v>
          </cell>
          <cell r="B1174">
            <v>2</v>
          </cell>
          <cell r="C1174">
            <v>1.19</v>
          </cell>
          <cell r="D1174" t="str">
            <v>無成交</v>
          </cell>
          <cell r="E1174">
            <v>0.68</v>
          </cell>
          <cell r="F1174">
            <v>4.2062999999999997</v>
          </cell>
          <cell r="G1174">
            <v>4.2122999999999999</v>
          </cell>
          <cell r="H1174">
            <v>2.5500000000000078</v>
          </cell>
          <cell r="I1174">
            <v>307.57</v>
          </cell>
          <cell r="K1174">
            <v>1.1120000000000001</v>
          </cell>
          <cell r="L1174">
            <v>1.2000000000000011</v>
          </cell>
          <cell r="M1174">
            <v>7.7999999999999847</v>
          </cell>
        </row>
        <row r="1175">
          <cell r="A1175">
            <v>45175</v>
          </cell>
          <cell r="B1175">
            <v>3</v>
          </cell>
          <cell r="C1175">
            <v>1.19</v>
          </cell>
          <cell r="D1175" t="str">
            <v>無成交</v>
          </cell>
          <cell r="E1175">
            <v>0.68</v>
          </cell>
          <cell r="F1175">
            <v>4.2656999999999998</v>
          </cell>
          <cell r="G1175">
            <v>4.2519</v>
          </cell>
          <cell r="H1175">
            <v>5.9400000000000119</v>
          </cell>
          <cell r="I1175">
            <v>310.56000000000006</v>
          </cell>
          <cell r="K1175">
            <v>1.1120000000000001</v>
          </cell>
          <cell r="L1175">
            <v>0</v>
          </cell>
          <cell r="M1175" t="str">
            <v>無成交</v>
          </cell>
        </row>
        <row r="1176">
          <cell r="A1176">
            <v>45176</v>
          </cell>
          <cell r="B1176">
            <v>4</v>
          </cell>
          <cell r="C1176">
            <v>1.19</v>
          </cell>
          <cell r="D1176" t="str">
            <v>無成交</v>
          </cell>
          <cell r="E1176">
            <v>0.68</v>
          </cell>
          <cell r="F1176">
            <v>4.2956000000000003</v>
          </cell>
          <cell r="G1176">
            <v>4.2937000000000003</v>
          </cell>
          <cell r="H1176">
            <v>2.9900000000000482</v>
          </cell>
          <cell r="I1176">
            <v>306</v>
          </cell>
          <cell r="K1176">
            <v>1.1120000000000001</v>
          </cell>
          <cell r="L1176">
            <v>0</v>
          </cell>
          <cell r="M1176" t="str">
            <v>無成交</v>
          </cell>
        </row>
        <row r="1177">
          <cell r="A1177">
            <v>45177</v>
          </cell>
          <cell r="B1177">
            <v>5</v>
          </cell>
          <cell r="C1177">
            <v>1.19</v>
          </cell>
          <cell r="D1177" t="str">
            <v>無成交</v>
          </cell>
          <cell r="E1177">
            <v>0.68</v>
          </cell>
          <cell r="F1177">
            <v>4.25</v>
          </cell>
          <cell r="G1177">
            <v>4.2244999999999999</v>
          </cell>
          <cell r="H1177">
            <v>-4.5600000000000307</v>
          </cell>
          <cell r="I1177">
            <v>307.01000000000005</v>
          </cell>
          <cell r="K1177">
            <v>1.1100000000000001</v>
          </cell>
          <cell r="L1177">
            <v>-0.20000000000000018</v>
          </cell>
          <cell r="M1177">
            <v>7.9999999999999849</v>
          </cell>
        </row>
        <row r="1178">
          <cell r="A1178">
            <v>45180</v>
          </cell>
          <cell r="B1178">
            <v>1</v>
          </cell>
          <cell r="C1178">
            <v>1.19</v>
          </cell>
          <cell r="D1178" t="str">
            <v>無成交</v>
          </cell>
          <cell r="E1178">
            <v>0.68</v>
          </cell>
          <cell r="F1178">
            <v>4.2601000000000004</v>
          </cell>
          <cell r="G1178">
            <v>4.2960000000000003</v>
          </cell>
          <cell r="H1178">
            <v>1.0100000000000442</v>
          </cell>
          <cell r="I1178">
            <v>310.39999999999998</v>
          </cell>
          <cell r="K1178">
            <v>1.1100000000000001</v>
          </cell>
          <cell r="L1178">
            <v>0</v>
          </cell>
          <cell r="M1178" t="str">
            <v>無成交</v>
          </cell>
        </row>
        <row r="1179">
          <cell r="A1179">
            <v>45181</v>
          </cell>
          <cell r="B1179">
            <v>2</v>
          </cell>
          <cell r="C1179">
            <v>1.2199</v>
          </cell>
          <cell r="D1179">
            <v>2.9900000000000038</v>
          </cell>
          <cell r="E1179">
            <v>0.68</v>
          </cell>
          <cell r="F1179">
            <v>4.2939999999999996</v>
          </cell>
          <cell r="G1179">
            <v>4.2900999999999998</v>
          </cell>
          <cell r="H1179">
            <v>3.3899999999999153</v>
          </cell>
          <cell r="I1179">
            <v>306.02</v>
          </cell>
          <cell r="K1179">
            <v>1.1479999999999999</v>
          </cell>
          <cell r="L1179">
            <v>3.7999999999999812</v>
          </cell>
          <cell r="M1179">
            <v>7.1900000000000075</v>
          </cell>
        </row>
        <row r="1180">
          <cell r="A1180">
            <v>45182</v>
          </cell>
          <cell r="B1180">
            <v>3</v>
          </cell>
          <cell r="C1180">
            <v>1.2375</v>
          </cell>
          <cell r="D1180" t="str">
            <v>無成交</v>
          </cell>
          <cell r="E1180">
            <v>0.68</v>
          </cell>
          <cell r="F1180">
            <v>4.2801</v>
          </cell>
          <cell r="G1180">
            <v>4.2901999999999996</v>
          </cell>
          <cell r="H1180">
            <v>-1.3899999999999579</v>
          </cell>
          <cell r="I1180">
            <v>301.69000000000005</v>
          </cell>
          <cell r="K1180">
            <v>1.1508</v>
          </cell>
          <cell r="L1180">
            <v>0.28000000000001357</v>
          </cell>
          <cell r="M1180">
            <v>8.67</v>
          </cell>
        </row>
        <row r="1181">
          <cell r="A1181">
            <v>45183</v>
          </cell>
          <cell r="B1181">
            <v>4</v>
          </cell>
          <cell r="C1181">
            <v>1.23</v>
          </cell>
          <cell r="D1181" t="str">
            <v>無成交</v>
          </cell>
          <cell r="E1181">
            <v>0.68</v>
          </cell>
          <cell r="F1181">
            <v>4.2544000000000004</v>
          </cell>
          <cell r="G1181">
            <v>4.2327000000000004</v>
          </cell>
          <cell r="H1181">
            <v>-2.5699999999999612</v>
          </cell>
          <cell r="I1181">
            <v>305.63</v>
          </cell>
          <cell r="K1181">
            <v>1.1399999999999999</v>
          </cell>
          <cell r="L1181">
            <v>-1.0800000000000143</v>
          </cell>
          <cell r="M1181">
            <v>9.0000000000000071</v>
          </cell>
        </row>
        <row r="1182">
          <cell r="A1182">
            <v>45184</v>
          </cell>
          <cell r="B1182">
            <v>5</v>
          </cell>
          <cell r="C1182">
            <v>1.23</v>
          </cell>
          <cell r="D1182" t="str">
            <v>無成交</v>
          </cell>
          <cell r="E1182">
            <v>0.68</v>
          </cell>
          <cell r="F1182">
            <v>4.2862999999999998</v>
          </cell>
          <cell r="G1182">
            <v>4.2746000000000004</v>
          </cell>
          <cell r="H1182">
            <v>3.1899999999999373</v>
          </cell>
          <cell r="I1182">
            <v>310.64000000000004</v>
          </cell>
          <cell r="K1182">
            <v>1.145</v>
          </cell>
          <cell r="L1182">
            <v>0.50000000000001155</v>
          </cell>
          <cell r="M1182">
            <v>8.4999999999999964</v>
          </cell>
        </row>
        <row r="1183">
          <cell r="A1183">
            <v>45187</v>
          </cell>
          <cell r="B1183">
            <v>1</v>
          </cell>
          <cell r="C1183">
            <v>1.24</v>
          </cell>
          <cell r="D1183" t="str">
            <v>無成交</v>
          </cell>
          <cell r="E1183">
            <v>0.68</v>
          </cell>
          <cell r="F1183">
            <v>4.3364000000000003</v>
          </cell>
          <cell r="G1183">
            <v>4.3460000000000001</v>
          </cell>
          <cell r="H1183">
            <v>5.0100000000000477</v>
          </cell>
          <cell r="I1183">
            <v>306.26</v>
          </cell>
          <cell r="K1183">
            <v>1.1599999999999999</v>
          </cell>
          <cell r="L1183">
            <v>1.4999999999999902</v>
          </cell>
          <cell r="M1183">
            <v>8.0000000000000071</v>
          </cell>
        </row>
        <row r="1184">
          <cell r="A1184">
            <v>45188</v>
          </cell>
          <cell r="B1184">
            <v>2</v>
          </cell>
          <cell r="C1184">
            <v>1.2250000000000001</v>
          </cell>
          <cell r="D1184" t="str">
            <v>無成交</v>
          </cell>
          <cell r="E1184">
            <v>0.68100000000000005</v>
          </cell>
          <cell r="F1184">
            <v>4.3026</v>
          </cell>
          <cell r="G1184">
            <v>4.3086000000000002</v>
          </cell>
          <cell r="H1184">
            <v>-3.3800000000000274</v>
          </cell>
          <cell r="I1184">
            <v>313.96999999999997</v>
          </cell>
          <cell r="K1184">
            <v>1.133</v>
          </cell>
          <cell r="L1184">
            <v>-2.6999999999999913</v>
          </cell>
          <cell r="M1184">
            <v>9.2000000000000082</v>
          </cell>
        </row>
        <row r="1185">
          <cell r="A1185">
            <v>45189</v>
          </cell>
          <cell r="B1185">
            <v>3</v>
          </cell>
          <cell r="C1185">
            <v>1.23</v>
          </cell>
          <cell r="D1185" t="str">
            <v>無成交</v>
          </cell>
          <cell r="E1185">
            <v>0.68100000000000005</v>
          </cell>
          <cell r="F1185">
            <v>4.3647</v>
          </cell>
          <cell r="G1185">
            <v>4.3608000000000002</v>
          </cell>
          <cell r="H1185">
            <v>6.2100000000000044</v>
          </cell>
          <cell r="I1185">
            <v>316.89000000000004</v>
          </cell>
          <cell r="K1185">
            <v>1.1399999999999999</v>
          </cell>
          <cell r="L1185">
            <v>0.69999999999998952</v>
          </cell>
          <cell r="M1185" t="str">
            <v>無成交</v>
          </cell>
        </row>
        <row r="1186">
          <cell r="A1186">
            <v>45190</v>
          </cell>
          <cell r="B1186">
            <v>4</v>
          </cell>
          <cell r="C1186">
            <v>1.24</v>
          </cell>
          <cell r="D1186" t="str">
            <v>無成交</v>
          </cell>
          <cell r="E1186">
            <v>0.68</v>
          </cell>
          <cell r="F1186">
            <v>4.3989000000000003</v>
          </cell>
          <cell r="G1186">
            <v>4.4333999999999998</v>
          </cell>
          <cell r="H1186">
            <v>3.420000000000023</v>
          </cell>
          <cell r="I1186">
            <v>325.41000000000003</v>
          </cell>
          <cell r="K1186">
            <v>1.165</v>
          </cell>
          <cell r="L1186">
            <v>2.5000000000000133</v>
          </cell>
          <cell r="M1186">
            <v>7.4999999999999956</v>
          </cell>
        </row>
        <row r="1187">
          <cell r="A1187">
            <v>45191</v>
          </cell>
          <cell r="B1187">
            <v>5</v>
          </cell>
          <cell r="C1187">
            <v>1.24</v>
          </cell>
          <cell r="D1187" t="str">
            <v>無成交</v>
          </cell>
          <cell r="E1187">
            <v>0.68100000000000005</v>
          </cell>
          <cell r="F1187">
            <v>4.4941000000000004</v>
          </cell>
          <cell r="G1187">
            <v>4.4965999999999999</v>
          </cell>
          <cell r="H1187">
            <v>9.5200000000000173</v>
          </cell>
          <cell r="I1187">
            <v>319.77000000000004</v>
          </cell>
          <cell r="K1187">
            <v>1.165</v>
          </cell>
          <cell r="L1187">
            <v>0</v>
          </cell>
          <cell r="M1187" t="str">
            <v>無成交</v>
          </cell>
        </row>
        <row r="1188">
          <cell r="A1188">
            <v>45194</v>
          </cell>
          <cell r="B1188">
            <v>1</v>
          </cell>
          <cell r="C1188">
            <v>1.2350000000000001</v>
          </cell>
          <cell r="D1188" t="str">
            <v>無成交</v>
          </cell>
          <cell r="E1188">
            <v>0.68200000000000005</v>
          </cell>
          <cell r="F1188">
            <v>4.4377000000000004</v>
          </cell>
          <cell r="G1188">
            <v>4.4641999999999999</v>
          </cell>
          <cell r="H1188">
            <v>-5.6400000000000006</v>
          </cell>
          <cell r="I1188">
            <v>329.63999999999993</v>
          </cell>
          <cell r="K1188">
            <v>1.1599999999999999</v>
          </cell>
          <cell r="L1188">
            <v>-0.50000000000001155</v>
          </cell>
          <cell r="M1188" t="str">
            <v>無成交</v>
          </cell>
        </row>
        <row r="1189">
          <cell r="A1189">
            <v>45195</v>
          </cell>
          <cell r="B1189">
            <v>2</v>
          </cell>
          <cell r="C1189">
            <v>1.24</v>
          </cell>
          <cell r="D1189" t="str">
            <v>無成交</v>
          </cell>
          <cell r="E1189">
            <v>0.68200000000000005</v>
          </cell>
          <cell r="F1189">
            <v>4.5313999999999997</v>
          </cell>
          <cell r="G1189">
            <v>4.5457999999999998</v>
          </cell>
          <cell r="H1189">
            <v>9.3699999999999228</v>
          </cell>
          <cell r="I1189">
            <v>330.99</v>
          </cell>
          <cell r="K1189">
            <v>1.155</v>
          </cell>
          <cell r="L1189">
            <v>-0.49999999999998934</v>
          </cell>
          <cell r="M1189" t="str">
            <v>無成交</v>
          </cell>
        </row>
        <row r="1190">
          <cell r="A1190">
            <v>45196</v>
          </cell>
          <cell r="B1190">
            <v>3</v>
          </cell>
          <cell r="C1190">
            <v>1.24</v>
          </cell>
          <cell r="D1190">
            <v>0</v>
          </cell>
          <cell r="E1190">
            <v>0.68500000000000005</v>
          </cell>
          <cell r="F1190">
            <v>4.5499000000000001</v>
          </cell>
          <cell r="G1190">
            <v>4.5296000000000003</v>
          </cell>
          <cell r="H1190">
            <v>1.8500000000000405</v>
          </cell>
          <cell r="I1190">
            <v>336.75</v>
          </cell>
          <cell r="K1190">
            <v>1.155</v>
          </cell>
          <cell r="L1190">
            <v>0</v>
          </cell>
          <cell r="M1190" t="str">
            <v>無成交</v>
          </cell>
        </row>
        <row r="1191">
          <cell r="A1191">
            <v>45197</v>
          </cell>
          <cell r="B1191">
            <v>4</v>
          </cell>
          <cell r="C1191">
            <v>1.2450000000000001</v>
          </cell>
          <cell r="D1191">
            <v>0.50000000000001155</v>
          </cell>
          <cell r="E1191">
            <v>0.69</v>
          </cell>
          <cell r="F1191">
            <v>4.6074999999999999</v>
          </cell>
          <cell r="G1191">
            <v>4.5952999999999999</v>
          </cell>
          <cell r="H1191">
            <v>5.7599999999999874</v>
          </cell>
          <cell r="I1191">
            <v>333.39</v>
          </cell>
          <cell r="K1191">
            <v>1.1599999999999999</v>
          </cell>
          <cell r="L1191">
            <v>0.49999999999998934</v>
          </cell>
          <cell r="M1191" t="str">
            <v>無成交</v>
          </cell>
        </row>
        <row r="1192">
          <cell r="A1192">
            <v>45198</v>
          </cell>
          <cell r="B1192">
            <v>5</v>
          </cell>
          <cell r="C1192">
            <v>1.2450000000000001</v>
          </cell>
          <cell r="D1192" t="str">
            <v>連假</v>
          </cell>
          <cell r="E1192" t="str">
            <v>X</v>
          </cell>
          <cell r="F1192">
            <v>4.5789</v>
          </cell>
          <cell r="G1192">
            <v>4.5814000000000004</v>
          </cell>
          <cell r="H1192">
            <v>-2.8599999999999959</v>
          </cell>
          <cell r="I1192">
            <v>333.4</v>
          </cell>
          <cell r="K1192">
            <v>1.1599999999999999</v>
          </cell>
          <cell r="L1192">
            <v>0</v>
          </cell>
          <cell r="M1192" t="str">
            <v>連假</v>
          </cell>
        </row>
        <row r="1193">
          <cell r="A1193">
            <v>45201</v>
          </cell>
          <cell r="B1193">
            <v>1</v>
          </cell>
          <cell r="C1193">
            <v>1.2569999999999999</v>
          </cell>
          <cell r="D1193">
            <v>1.1999999999999789</v>
          </cell>
          <cell r="E1193">
            <v>0.68200000000000005</v>
          </cell>
          <cell r="F1193">
            <v>4.5789999999999997</v>
          </cell>
          <cell r="G1193">
            <v>4.6102999999999996</v>
          </cell>
          <cell r="H1193">
            <v>9.9999999999766942E-3</v>
          </cell>
          <cell r="I1193">
            <v>342.77000000000004</v>
          </cell>
          <cell r="K1193">
            <v>1.165</v>
          </cell>
          <cell r="L1193">
            <v>0.50000000000001155</v>
          </cell>
          <cell r="M1193" t="str">
            <v>無成交</v>
          </cell>
        </row>
        <row r="1194">
          <cell r="A1194">
            <v>45202</v>
          </cell>
          <cell r="B1194">
            <v>2</v>
          </cell>
          <cell r="C1194">
            <v>1.2569999999999999</v>
          </cell>
          <cell r="D1194" t="str">
            <v>無成交</v>
          </cell>
          <cell r="E1194">
            <v>0.68100000000000005</v>
          </cell>
          <cell r="F1194">
            <v>4.6847000000000003</v>
          </cell>
          <cell r="G1194">
            <v>4.6870000000000003</v>
          </cell>
          <cell r="H1194">
            <v>10.570000000000057</v>
          </cell>
          <cell r="I1194">
            <v>353.85</v>
          </cell>
          <cell r="K1194">
            <v>1.165</v>
          </cell>
          <cell r="L1194">
            <v>0</v>
          </cell>
          <cell r="M1194" t="str">
            <v>無成交</v>
          </cell>
        </row>
        <row r="1195">
          <cell r="A1195">
            <v>45203</v>
          </cell>
          <cell r="B1195">
            <v>3</v>
          </cell>
          <cell r="C1195">
            <v>1.3</v>
          </cell>
          <cell r="D1195">
            <v>4.3000000000000149</v>
          </cell>
          <cell r="E1195">
            <v>0.68</v>
          </cell>
          <cell r="F1195">
            <v>4.7954999999999997</v>
          </cell>
          <cell r="G1195">
            <v>4.8398000000000003</v>
          </cell>
          <cell r="H1195">
            <v>11.079999999999934</v>
          </cell>
          <cell r="I1195">
            <v>343.50000000000006</v>
          </cell>
          <cell r="K1195">
            <v>1.2</v>
          </cell>
          <cell r="L1195">
            <v>3.499999999999992</v>
          </cell>
          <cell r="M1195" t="str">
            <v>無成交</v>
          </cell>
        </row>
        <row r="1196">
          <cell r="A1196">
            <v>45204</v>
          </cell>
          <cell r="B1196">
            <v>4</v>
          </cell>
          <cell r="C1196">
            <v>1.282</v>
          </cell>
          <cell r="D1196">
            <v>-1.8000000000000016</v>
          </cell>
          <cell r="E1196">
            <v>0.68200000000000005</v>
          </cell>
          <cell r="F1196">
            <v>4.7350000000000003</v>
          </cell>
          <cell r="G1196">
            <v>4.7122999999999999</v>
          </cell>
          <cell r="H1196">
            <v>-6.0499999999999332</v>
          </cell>
          <cell r="I1196">
            <v>343.86</v>
          </cell>
          <cell r="K1196">
            <v>1.19</v>
          </cell>
          <cell r="L1196">
            <v>-1.0000000000000009</v>
          </cell>
          <cell r="M1196" t="str">
            <v>無成交</v>
          </cell>
        </row>
        <row r="1197">
          <cell r="A1197">
            <v>45205</v>
          </cell>
          <cell r="B1197">
            <v>5</v>
          </cell>
          <cell r="C1197">
            <v>1.3</v>
          </cell>
          <cell r="D1197">
            <v>1.8000000000000016</v>
          </cell>
          <cell r="E1197">
            <v>0.68799999999999994</v>
          </cell>
          <cell r="F1197">
            <v>4.7206000000000001</v>
          </cell>
          <cell r="G1197">
            <v>4.7255000000000003</v>
          </cell>
          <cell r="H1197">
            <v>-1.440000000000019</v>
          </cell>
          <cell r="I1197">
            <v>349.46000000000004</v>
          </cell>
          <cell r="K1197">
            <v>1.22</v>
          </cell>
          <cell r="L1197">
            <v>3.0000000000000027</v>
          </cell>
          <cell r="M1197" t="str">
            <v>無成交</v>
          </cell>
        </row>
        <row r="1198">
          <cell r="A1198">
            <v>45208</v>
          </cell>
          <cell r="B1198">
            <v>1</v>
          </cell>
          <cell r="C1198">
            <v>1.3</v>
          </cell>
          <cell r="D1198" t="str">
            <v>連假</v>
          </cell>
          <cell r="E1198" t="str">
            <v>X</v>
          </cell>
          <cell r="F1198">
            <v>4.7946</v>
          </cell>
          <cell r="G1198" t="str">
            <v>休市</v>
          </cell>
          <cell r="H1198">
            <v>7.3999999999999844</v>
          </cell>
          <cell r="I1198">
            <v>333.64000000000004</v>
          </cell>
          <cell r="K1198">
            <v>1.22</v>
          </cell>
          <cell r="L1198">
            <v>0</v>
          </cell>
          <cell r="M1198" t="str">
            <v>連假</v>
          </cell>
        </row>
        <row r="1199">
          <cell r="A1199">
            <v>45209</v>
          </cell>
          <cell r="B1199">
            <v>2</v>
          </cell>
          <cell r="C1199">
            <v>1.3</v>
          </cell>
          <cell r="D1199" t="str">
            <v>連假</v>
          </cell>
          <cell r="E1199" t="str">
            <v>X</v>
          </cell>
          <cell r="F1199">
            <v>4.6364000000000001</v>
          </cell>
          <cell r="G1199">
            <v>4.6467999999999998</v>
          </cell>
          <cell r="H1199">
            <v>-15.81999999999999</v>
          </cell>
          <cell r="I1199">
            <v>335.71</v>
          </cell>
          <cell r="K1199">
            <v>1.22</v>
          </cell>
          <cell r="L1199">
            <v>0</v>
          </cell>
          <cell r="M1199" t="str">
            <v>連假</v>
          </cell>
        </row>
        <row r="1200">
          <cell r="A1200">
            <v>45210</v>
          </cell>
          <cell r="B1200">
            <v>3</v>
          </cell>
          <cell r="C1200">
            <v>1.274</v>
          </cell>
          <cell r="D1200" t="str">
            <v>無成交</v>
          </cell>
          <cell r="E1200">
            <v>0.68300000000000005</v>
          </cell>
          <cell r="F1200">
            <v>4.6570999999999998</v>
          </cell>
          <cell r="G1200">
            <v>4.6406999999999998</v>
          </cell>
          <cell r="H1200">
            <v>2.0699999999999719</v>
          </cell>
          <cell r="I1200">
            <v>328.42</v>
          </cell>
          <cell r="K1200">
            <v>1.2</v>
          </cell>
          <cell r="L1200">
            <v>-2.0000000000000018</v>
          </cell>
          <cell r="M1200" t="str">
            <v>無成交</v>
          </cell>
        </row>
        <row r="1201">
          <cell r="A1201">
            <v>45211</v>
          </cell>
          <cell r="B1201">
            <v>4</v>
          </cell>
          <cell r="C1201">
            <v>1.2749999999999999</v>
          </cell>
          <cell r="D1201">
            <v>9.9999999999988987E-2</v>
          </cell>
          <cell r="E1201">
            <v>0.68100000000000005</v>
          </cell>
          <cell r="F1201">
            <v>4.5582000000000003</v>
          </cell>
          <cell r="G1201">
            <v>4.5686999999999998</v>
          </cell>
          <cell r="H1201">
            <v>-9.8899999999999544</v>
          </cell>
          <cell r="I1201">
            <v>342.19000000000005</v>
          </cell>
          <cell r="K1201">
            <v>1.2</v>
          </cell>
          <cell r="L1201">
            <v>0</v>
          </cell>
          <cell r="M1201" t="str">
            <v>無成交</v>
          </cell>
        </row>
        <row r="1202">
          <cell r="A1202">
            <v>45212</v>
          </cell>
          <cell r="B1202">
            <v>5</v>
          </cell>
          <cell r="C1202">
            <v>1.29</v>
          </cell>
          <cell r="D1202">
            <v>1.5000000000000124</v>
          </cell>
          <cell r="E1202">
            <v>0.68300000000000005</v>
          </cell>
          <cell r="F1202">
            <v>4.6969000000000003</v>
          </cell>
          <cell r="G1202">
            <v>4.6580000000000004</v>
          </cell>
          <cell r="H1202">
            <v>13.870000000000005</v>
          </cell>
          <cell r="I1202" t="str">
            <v/>
          </cell>
          <cell r="K1202">
            <v>1.2050000000000001</v>
          </cell>
          <cell r="L1202">
            <v>0.50000000000001155</v>
          </cell>
          <cell r="M1202" t="str">
            <v>盤面無成交</v>
          </cell>
        </row>
        <row r="1203">
          <cell r="A1203">
            <v>45215</v>
          </cell>
          <cell r="B1203">
            <v>1</v>
          </cell>
          <cell r="D1203" t="str">
            <v/>
          </cell>
          <cell r="F1203" t="str">
            <v/>
          </cell>
          <cell r="G1203" t="str">
            <v/>
          </cell>
          <cell r="H1203" t="str">
            <v/>
          </cell>
          <cell r="I1203" t="str">
            <v/>
          </cell>
          <cell r="L1203" t="str">
            <v/>
          </cell>
          <cell r="M1203" t="str">
            <v/>
          </cell>
        </row>
        <row r="1204">
          <cell r="A1204">
            <v>45216</v>
          </cell>
          <cell r="B1204">
            <v>2</v>
          </cell>
          <cell r="D1204" t="str">
            <v/>
          </cell>
          <cell r="F1204" t="str">
            <v/>
          </cell>
          <cell r="G1204" t="str">
            <v/>
          </cell>
          <cell r="H1204" t="str">
            <v/>
          </cell>
          <cell r="I1204" t="str">
            <v/>
          </cell>
          <cell r="L1204" t="str">
            <v/>
          </cell>
          <cell r="M1204" t="str">
            <v/>
          </cell>
        </row>
        <row r="1205">
          <cell r="A1205">
            <v>45217</v>
          </cell>
          <cell r="B1205">
            <v>3</v>
          </cell>
          <cell r="D1205" t="str">
            <v/>
          </cell>
          <cell r="F1205" t="str">
            <v/>
          </cell>
          <cell r="G1205" t="str">
            <v/>
          </cell>
          <cell r="H1205" t="str">
            <v/>
          </cell>
          <cell r="I1205" t="str">
            <v/>
          </cell>
          <cell r="L1205" t="str">
            <v/>
          </cell>
          <cell r="M1205" t="str">
            <v/>
          </cell>
        </row>
        <row r="1206">
          <cell r="A1206">
            <v>45218</v>
          </cell>
          <cell r="B1206">
            <v>4</v>
          </cell>
          <cell r="D1206" t="str">
            <v/>
          </cell>
          <cell r="F1206" t="str">
            <v/>
          </cell>
          <cell r="G1206" t="str">
            <v/>
          </cell>
          <cell r="H1206" t="str">
            <v/>
          </cell>
          <cell r="I1206" t="str">
            <v/>
          </cell>
          <cell r="L1206" t="str">
            <v/>
          </cell>
          <cell r="M1206" t="str">
            <v/>
          </cell>
        </row>
        <row r="1207">
          <cell r="A1207">
            <v>45219</v>
          </cell>
          <cell r="B1207">
            <v>5</v>
          </cell>
          <cell r="D1207" t="str">
            <v/>
          </cell>
          <cell r="F1207" t="str">
            <v/>
          </cell>
          <cell r="G1207" t="str">
            <v/>
          </cell>
          <cell r="H1207" t="str">
            <v/>
          </cell>
          <cell r="I1207" t="str">
            <v/>
          </cell>
          <cell r="L1207" t="str">
            <v/>
          </cell>
          <cell r="M1207" t="str">
            <v/>
          </cell>
        </row>
        <row r="1208">
          <cell r="A1208">
            <v>45222</v>
          </cell>
          <cell r="B1208">
            <v>1</v>
          </cell>
          <cell r="D1208" t="str">
            <v/>
          </cell>
          <cell r="F1208" t="str">
            <v/>
          </cell>
          <cell r="G1208" t="str">
            <v/>
          </cell>
          <cell r="H1208" t="str">
            <v/>
          </cell>
          <cell r="I1208" t="str">
            <v/>
          </cell>
          <cell r="L1208" t="str">
            <v/>
          </cell>
          <cell r="M1208" t="str">
            <v/>
          </cell>
        </row>
        <row r="1209">
          <cell r="A1209">
            <v>45223</v>
          </cell>
          <cell r="B1209">
            <v>2</v>
          </cell>
          <cell r="D1209" t="str">
            <v/>
          </cell>
          <cell r="F1209" t="str">
            <v/>
          </cell>
          <cell r="G1209" t="str">
            <v/>
          </cell>
          <cell r="H1209" t="str">
            <v/>
          </cell>
          <cell r="I1209" t="str">
            <v/>
          </cell>
          <cell r="L1209" t="str">
            <v/>
          </cell>
          <cell r="M1209" t="str">
            <v/>
          </cell>
        </row>
        <row r="1210">
          <cell r="A1210">
            <v>45224</v>
          </cell>
          <cell r="B1210">
            <v>3</v>
          </cell>
          <cell r="D1210" t="str">
            <v/>
          </cell>
          <cell r="F1210" t="str">
            <v/>
          </cell>
          <cell r="G1210" t="str">
            <v/>
          </cell>
          <cell r="H1210" t="str">
            <v/>
          </cell>
          <cell r="I1210" t="str">
            <v/>
          </cell>
          <cell r="L1210" t="str">
            <v/>
          </cell>
          <cell r="M1210" t="str">
            <v/>
          </cell>
        </row>
        <row r="1211">
          <cell r="A1211">
            <v>45225</v>
          </cell>
          <cell r="B1211">
            <v>4</v>
          </cell>
          <cell r="D1211" t="str">
            <v/>
          </cell>
          <cell r="F1211" t="str">
            <v/>
          </cell>
          <cell r="G1211" t="str">
            <v/>
          </cell>
          <cell r="H1211" t="str">
            <v/>
          </cell>
          <cell r="I1211" t="str">
            <v/>
          </cell>
          <cell r="L1211" t="str">
            <v/>
          </cell>
          <cell r="M1211" t="str">
            <v/>
          </cell>
        </row>
        <row r="1212">
          <cell r="A1212">
            <v>45226</v>
          </cell>
          <cell r="B1212">
            <v>5</v>
          </cell>
          <cell r="D1212" t="str">
            <v/>
          </cell>
          <cell r="F1212" t="str">
            <v/>
          </cell>
          <cell r="G1212" t="str">
            <v/>
          </cell>
          <cell r="H1212" t="str">
            <v/>
          </cell>
          <cell r="I1212" t="str">
            <v/>
          </cell>
          <cell r="L1212" t="str">
            <v/>
          </cell>
          <cell r="M1212" t="str">
            <v/>
          </cell>
        </row>
        <row r="1213">
          <cell r="A1213">
            <v>45229</v>
          </cell>
          <cell r="B1213">
            <v>1</v>
          </cell>
          <cell r="D1213" t="str">
            <v/>
          </cell>
          <cell r="F1213" t="str">
            <v/>
          </cell>
          <cell r="G1213" t="str">
            <v/>
          </cell>
          <cell r="H1213" t="str">
            <v/>
          </cell>
          <cell r="I1213" t="str">
            <v/>
          </cell>
          <cell r="L1213" t="str">
            <v/>
          </cell>
          <cell r="M1213" t="str">
            <v/>
          </cell>
        </row>
        <row r="1214">
          <cell r="A1214">
            <v>45230</v>
          </cell>
          <cell r="B1214">
            <v>2</v>
          </cell>
          <cell r="D1214" t="str">
            <v/>
          </cell>
          <cell r="F1214" t="str">
            <v/>
          </cell>
          <cell r="G1214" t="str">
            <v/>
          </cell>
          <cell r="H1214" t="str">
            <v/>
          </cell>
          <cell r="I1214" t="str">
            <v/>
          </cell>
          <cell r="L1214" t="str">
            <v/>
          </cell>
          <cell r="M1214" t="str">
            <v/>
          </cell>
        </row>
        <row r="1215">
          <cell r="A1215">
            <v>45231</v>
          </cell>
          <cell r="B1215">
            <v>3</v>
          </cell>
          <cell r="D1215" t="str">
            <v/>
          </cell>
          <cell r="F1215" t="str">
            <v/>
          </cell>
          <cell r="G1215" t="str">
            <v/>
          </cell>
          <cell r="H1215" t="str">
            <v/>
          </cell>
          <cell r="I1215" t="str">
            <v/>
          </cell>
          <cell r="L1215" t="str">
            <v/>
          </cell>
          <cell r="M1215" t="str">
            <v/>
          </cell>
        </row>
        <row r="1216">
          <cell r="A1216">
            <v>45232</v>
          </cell>
          <cell r="B1216">
            <v>4</v>
          </cell>
          <cell r="D1216" t="str">
            <v/>
          </cell>
          <cell r="F1216" t="str">
            <v/>
          </cell>
          <cell r="G1216" t="str">
            <v/>
          </cell>
          <cell r="H1216" t="str">
            <v/>
          </cell>
          <cell r="I1216" t="str">
            <v/>
          </cell>
          <cell r="L1216" t="str">
            <v/>
          </cell>
          <cell r="M1216" t="str">
            <v/>
          </cell>
        </row>
        <row r="1217">
          <cell r="A1217">
            <v>45233</v>
          </cell>
          <cell r="B1217">
            <v>5</v>
          </cell>
          <cell r="D1217" t="str">
            <v/>
          </cell>
          <cell r="F1217" t="str">
            <v/>
          </cell>
          <cell r="G1217" t="str">
            <v/>
          </cell>
          <cell r="H1217" t="str">
            <v/>
          </cell>
          <cell r="I1217" t="str">
            <v/>
          </cell>
          <cell r="L1217" t="str">
            <v/>
          </cell>
          <cell r="M1217" t="str">
            <v/>
          </cell>
        </row>
        <row r="1218">
          <cell r="A1218">
            <v>45236</v>
          </cell>
          <cell r="B1218">
            <v>1</v>
          </cell>
          <cell r="D1218" t="str">
            <v/>
          </cell>
          <cell r="F1218" t="str">
            <v/>
          </cell>
          <cell r="G1218" t="str">
            <v/>
          </cell>
          <cell r="H1218" t="str">
            <v/>
          </cell>
          <cell r="I1218" t="str">
            <v/>
          </cell>
          <cell r="L1218" t="str">
            <v/>
          </cell>
          <cell r="M1218" t="str">
            <v/>
          </cell>
        </row>
        <row r="1219">
          <cell r="A1219">
            <v>45237</v>
          </cell>
          <cell r="B1219">
            <v>2</v>
          </cell>
          <cell r="D1219" t="str">
            <v/>
          </cell>
          <cell r="F1219" t="str">
            <v/>
          </cell>
          <cell r="G1219" t="str">
            <v/>
          </cell>
          <cell r="H1219" t="str">
            <v/>
          </cell>
          <cell r="I1219" t="str">
            <v/>
          </cell>
          <cell r="L1219" t="str">
            <v/>
          </cell>
          <cell r="M1219" t="str">
            <v/>
          </cell>
        </row>
        <row r="1220">
          <cell r="A1220">
            <v>45238</v>
          </cell>
          <cell r="B1220">
            <v>3</v>
          </cell>
          <cell r="D1220" t="str">
            <v/>
          </cell>
          <cell r="F1220" t="str">
            <v/>
          </cell>
          <cell r="G1220" t="str">
            <v/>
          </cell>
          <cell r="H1220" t="str">
            <v/>
          </cell>
          <cell r="I1220" t="str">
            <v/>
          </cell>
          <cell r="L1220" t="str">
            <v/>
          </cell>
          <cell r="M1220" t="str">
            <v/>
          </cell>
        </row>
        <row r="1221">
          <cell r="A1221">
            <v>45239</v>
          </cell>
          <cell r="B1221">
            <v>4</v>
          </cell>
          <cell r="D1221" t="str">
            <v/>
          </cell>
          <cell r="F1221" t="str">
            <v/>
          </cell>
          <cell r="G1221" t="str">
            <v/>
          </cell>
          <cell r="H1221" t="str">
            <v/>
          </cell>
          <cell r="I1221" t="str">
            <v/>
          </cell>
          <cell r="L1221" t="str">
            <v/>
          </cell>
          <cell r="M1221" t="str">
            <v/>
          </cell>
        </row>
        <row r="1222">
          <cell r="A1222">
            <v>45240</v>
          </cell>
          <cell r="B1222">
            <v>5</v>
          </cell>
          <cell r="D1222" t="str">
            <v/>
          </cell>
          <cell r="F1222" t="str">
            <v/>
          </cell>
          <cell r="G1222" t="str">
            <v/>
          </cell>
          <cell r="H1222" t="str">
            <v/>
          </cell>
          <cell r="I1222" t="str">
            <v/>
          </cell>
          <cell r="L1222" t="str">
            <v/>
          </cell>
          <cell r="M1222" t="str">
            <v/>
          </cell>
        </row>
        <row r="1223">
          <cell r="A1223">
            <v>45243</v>
          </cell>
          <cell r="B1223">
            <v>1</v>
          </cell>
          <cell r="D1223" t="str">
            <v/>
          </cell>
          <cell r="F1223" t="str">
            <v/>
          </cell>
          <cell r="G1223" t="str">
            <v/>
          </cell>
          <cell r="H1223" t="str">
            <v/>
          </cell>
          <cell r="I1223" t="str">
            <v/>
          </cell>
          <cell r="L1223" t="str">
            <v/>
          </cell>
          <cell r="M1223" t="str">
            <v/>
          </cell>
        </row>
        <row r="1224">
          <cell r="A1224">
            <v>45244</v>
          </cell>
          <cell r="B1224">
            <v>2</v>
          </cell>
          <cell r="D1224" t="str">
            <v/>
          </cell>
          <cell r="F1224" t="str">
            <v/>
          </cell>
          <cell r="G1224" t="str">
            <v/>
          </cell>
          <cell r="H1224" t="str">
            <v/>
          </cell>
          <cell r="I1224" t="str">
            <v/>
          </cell>
          <cell r="L1224" t="str">
            <v/>
          </cell>
          <cell r="M1224" t="str">
            <v/>
          </cell>
        </row>
        <row r="1225">
          <cell r="A1225">
            <v>45245</v>
          </cell>
          <cell r="B1225">
            <v>3</v>
          </cell>
          <cell r="D1225" t="str">
            <v/>
          </cell>
          <cell r="F1225" t="str">
            <v/>
          </cell>
          <cell r="G1225" t="str">
            <v/>
          </cell>
          <cell r="H1225" t="str">
            <v/>
          </cell>
          <cell r="I1225" t="str">
            <v/>
          </cell>
          <cell r="L1225" t="str">
            <v/>
          </cell>
          <cell r="M1225" t="str">
            <v/>
          </cell>
        </row>
        <row r="1226">
          <cell r="A1226">
            <v>45246</v>
          </cell>
          <cell r="B1226">
            <v>4</v>
          </cell>
          <cell r="D1226" t="str">
            <v/>
          </cell>
          <cell r="F1226" t="str">
            <v/>
          </cell>
          <cell r="G1226" t="str">
            <v/>
          </cell>
          <cell r="H1226" t="str">
            <v/>
          </cell>
          <cell r="I1226" t="str">
            <v/>
          </cell>
          <cell r="L1226" t="str">
            <v/>
          </cell>
          <cell r="M1226" t="str">
            <v/>
          </cell>
        </row>
        <row r="1227">
          <cell r="A1227">
            <v>45247</v>
          </cell>
          <cell r="B1227">
            <v>5</v>
          </cell>
          <cell r="D1227" t="str">
            <v/>
          </cell>
          <cell r="F1227" t="str">
            <v/>
          </cell>
          <cell r="G1227" t="str">
            <v/>
          </cell>
          <cell r="H1227" t="str">
            <v/>
          </cell>
          <cell r="I1227" t="str">
            <v/>
          </cell>
          <cell r="L1227" t="str">
            <v/>
          </cell>
          <cell r="M1227" t="str">
            <v/>
          </cell>
        </row>
        <row r="1228">
          <cell r="A1228">
            <v>45250</v>
          </cell>
          <cell r="B1228">
            <v>1</v>
          </cell>
          <cell r="D1228" t="str">
            <v/>
          </cell>
          <cell r="F1228" t="str">
            <v/>
          </cell>
          <cell r="G1228" t="str">
            <v/>
          </cell>
          <cell r="H1228" t="str">
            <v/>
          </cell>
          <cell r="I1228" t="str">
            <v/>
          </cell>
          <cell r="L1228" t="str">
            <v/>
          </cell>
          <cell r="M1228" t="str">
            <v/>
          </cell>
        </row>
        <row r="1229">
          <cell r="A1229">
            <v>45251</v>
          </cell>
          <cell r="B1229">
            <v>2</v>
          </cell>
          <cell r="D1229" t="str">
            <v/>
          </cell>
          <cell r="F1229" t="str">
            <v/>
          </cell>
          <cell r="G1229" t="str">
            <v/>
          </cell>
          <cell r="H1229" t="str">
            <v/>
          </cell>
          <cell r="I1229" t="str">
            <v/>
          </cell>
          <cell r="L1229" t="str">
            <v/>
          </cell>
          <cell r="M1229" t="str">
            <v/>
          </cell>
        </row>
        <row r="1230">
          <cell r="A1230">
            <v>45252</v>
          </cell>
          <cell r="B1230">
            <v>3</v>
          </cell>
          <cell r="D1230" t="str">
            <v/>
          </cell>
          <cell r="F1230" t="str">
            <v/>
          </cell>
          <cell r="G1230" t="str">
            <v/>
          </cell>
          <cell r="H1230" t="str">
            <v/>
          </cell>
          <cell r="I1230" t="str">
            <v/>
          </cell>
          <cell r="L1230" t="str">
            <v/>
          </cell>
          <cell r="M1230" t="str">
            <v/>
          </cell>
        </row>
        <row r="1231">
          <cell r="A1231">
            <v>45253</v>
          </cell>
          <cell r="B1231">
            <v>4</v>
          </cell>
          <cell r="D1231" t="str">
            <v/>
          </cell>
          <cell r="F1231" t="str">
            <v/>
          </cell>
          <cell r="G1231" t="str">
            <v/>
          </cell>
          <cell r="H1231" t="str">
            <v/>
          </cell>
          <cell r="I1231" t="str">
            <v/>
          </cell>
          <cell r="L1231" t="str">
            <v/>
          </cell>
          <cell r="M1231" t="str">
            <v/>
          </cell>
        </row>
        <row r="1232">
          <cell r="A1232">
            <v>45254</v>
          </cell>
          <cell r="B1232">
            <v>5</v>
          </cell>
          <cell r="D1232" t="str">
            <v/>
          </cell>
          <cell r="F1232" t="str">
            <v/>
          </cell>
          <cell r="G1232" t="str">
            <v/>
          </cell>
          <cell r="H1232" t="str">
            <v/>
          </cell>
          <cell r="I1232" t="str">
            <v/>
          </cell>
          <cell r="L1232" t="str">
            <v/>
          </cell>
          <cell r="M1232" t="str">
            <v/>
          </cell>
        </row>
        <row r="1233">
          <cell r="A1233">
            <v>45257</v>
          </cell>
          <cell r="B1233">
            <v>1</v>
          </cell>
          <cell r="D1233" t="str">
            <v/>
          </cell>
          <cell r="F1233" t="str">
            <v/>
          </cell>
          <cell r="G1233" t="str">
            <v/>
          </cell>
          <cell r="H1233" t="str">
            <v/>
          </cell>
          <cell r="I1233" t="str">
            <v/>
          </cell>
          <cell r="L1233" t="str">
            <v/>
          </cell>
          <cell r="M1233" t="str">
            <v/>
          </cell>
        </row>
        <row r="1234">
          <cell r="A1234">
            <v>45258</v>
          </cell>
          <cell r="B1234">
            <v>2</v>
          </cell>
          <cell r="D1234" t="str">
            <v/>
          </cell>
          <cell r="F1234" t="str">
            <v/>
          </cell>
          <cell r="G1234" t="str">
            <v/>
          </cell>
          <cell r="H1234" t="str">
            <v/>
          </cell>
          <cell r="I1234" t="str">
            <v/>
          </cell>
          <cell r="L1234" t="str">
            <v/>
          </cell>
          <cell r="M1234" t="str">
            <v/>
          </cell>
        </row>
        <row r="1235">
          <cell r="A1235">
            <v>45259</v>
          </cell>
          <cell r="B1235">
            <v>3</v>
          </cell>
          <cell r="D1235" t="str">
            <v/>
          </cell>
          <cell r="F1235" t="str">
            <v/>
          </cell>
          <cell r="G1235" t="str">
            <v/>
          </cell>
          <cell r="H1235" t="str">
            <v/>
          </cell>
          <cell r="I1235" t="str">
            <v/>
          </cell>
          <cell r="L1235" t="str">
            <v/>
          </cell>
          <cell r="M1235" t="str">
            <v/>
          </cell>
        </row>
        <row r="1236">
          <cell r="A1236">
            <v>45260</v>
          </cell>
          <cell r="B1236">
            <v>4</v>
          </cell>
          <cell r="D1236" t="str">
            <v/>
          </cell>
          <cell r="F1236" t="str">
            <v/>
          </cell>
          <cell r="G1236" t="str">
            <v/>
          </cell>
          <cell r="H1236" t="str">
            <v/>
          </cell>
          <cell r="I1236" t="str">
            <v/>
          </cell>
          <cell r="L1236" t="str">
            <v/>
          </cell>
          <cell r="M1236" t="str">
            <v/>
          </cell>
        </row>
        <row r="1237">
          <cell r="A1237">
            <v>45261</v>
          </cell>
          <cell r="B1237">
            <v>5</v>
          </cell>
          <cell r="D1237" t="str">
            <v/>
          </cell>
          <cell r="F1237" t="str">
            <v/>
          </cell>
          <cell r="G1237" t="str">
            <v/>
          </cell>
          <cell r="H1237" t="str">
            <v/>
          </cell>
          <cell r="I1237" t="str">
            <v/>
          </cell>
          <cell r="L1237" t="str">
            <v/>
          </cell>
          <cell r="M1237" t="str">
            <v/>
          </cell>
        </row>
        <row r="1238">
          <cell r="A1238">
            <v>45264</v>
          </cell>
          <cell r="B1238">
            <v>1</v>
          </cell>
          <cell r="D1238" t="str">
            <v/>
          </cell>
          <cell r="F1238" t="str">
            <v/>
          </cell>
          <cell r="G1238" t="str">
            <v/>
          </cell>
          <cell r="H1238" t="str">
            <v/>
          </cell>
          <cell r="I1238" t="str">
            <v/>
          </cell>
          <cell r="L1238" t="str">
            <v/>
          </cell>
          <cell r="M1238" t="str">
            <v/>
          </cell>
        </row>
        <row r="1239">
          <cell r="A1239">
            <v>45265</v>
          </cell>
          <cell r="B1239">
            <v>2</v>
          </cell>
          <cell r="D1239" t="str">
            <v/>
          </cell>
          <cell r="F1239" t="str">
            <v/>
          </cell>
          <cell r="G1239" t="str">
            <v/>
          </cell>
          <cell r="H1239" t="str">
            <v/>
          </cell>
          <cell r="I1239" t="str">
            <v/>
          </cell>
          <cell r="L1239" t="str">
            <v/>
          </cell>
          <cell r="M1239" t="str">
            <v/>
          </cell>
        </row>
        <row r="1240">
          <cell r="A1240">
            <v>45266</v>
          </cell>
          <cell r="B1240">
            <v>3</v>
          </cell>
          <cell r="D1240" t="str">
            <v/>
          </cell>
          <cell r="F1240" t="str">
            <v/>
          </cell>
          <cell r="G1240" t="str">
            <v/>
          </cell>
          <cell r="H1240" t="str">
            <v/>
          </cell>
          <cell r="I1240" t="str">
            <v/>
          </cell>
          <cell r="L1240" t="str">
            <v/>
          </cell>
          <cell r="M1240" t="str">
            <v/>
          </cell>
        </row>
        <row r="1241">
          <cell r="A1241">
            <v>45267</v>
          </cell>
          <cell r="B1241">
            <v>4</v>
          </cell>
          <cell r="D1241" t="str">
            <v/>
          </cell>
          <cell r="F1241" t="str">
            <v/>
          </cell>
          <cell r="G1241" t="str">
            <v/>
          </cell>
          <cell r="H1241" t="str">
            <v/>
          </cell>
          <cell r="I1241" t="str">
            <v/>
          </cell>
          <cell r="L1241" t="str">
            <v/>
          </cell>
          <cell r="M1241" t="str">
            <v/>
          </cell>
        </row>
        <row r="1242">
          <cell r="A1242">
            <v>45268</v>
          </cell>
          <cell r="B1242">
            <v>5</v>
          </cell>
          <cell r="D1242" t="str">
            <v/>
          </cell>
          <cell r="F1242" t="str">
            <v/>
          </cell>
          <cell r="G1242" t="str">
            <v/>
          </cell>
          <cell r="H1242" t="str">
            <v/>
          </cell>
          <cell r="I1242" t="str">
            <v/>
          </cell>
          <cell r="L1242" t="str">
            <v/>
          </cell>
          <cell r="M1242" t="str">
            <v/>
          </cell>
        </row>
        <row r="1243">
          <cell r="A1243">
            <v>45271</v>
          </cell>
          <cell r="B1243">
            <v>1</v>
          </cell>
          <cell r="D1243" t="str">
            <v/>
          </cell>
          <cell r="F1243" t="str">
            <v/>
          </cell>
          <cell r="G1243" t="str">
            <v/>
          </cell>
          <cell r="H1243" t="str">
            <v/>
          </cell>
          <cell r="I1243" t="str">
            <v/>
          </cell>
          <cell r="L1243" t="str">
            <v/>
          </cell>
          <cell r="M1243" t="str">
            <v/>
          </cell>
        </row>
        <row r="1244">
          <cell r="A1244">
            <v>45272</v>
          </cell>
          <cell r="B1244">
            <v>2</v>
          </cell>
          <cell r="D1244" t="str">
            <v/>
          </cell>
          <cell r="F1244" t="str">
            <v/>
          </cell>
          <cell r="G1244" t="str">
            <v/>
          </cell>
          <cell r="H1244" t="str">
            <v/>
          </cell>
          <cell r="I1244" t="str">
            <v/>
          </cell>
          <cell r="L1244" t="str">
            <v/>
          </cell>
          <cell r="M1244" t="str">
            <v/>
          </cell>
        </row>
        <row r="1245">
          <cell r="A1245">
            <v>45273</v>
          </cell>
          <cell r="B1245">
            <v>3</v>
          </cell>
          <cell r="D1245" t="str">
            <v/>
          </cell>
          <cell r="F1245" t="str">
            <v/>
          </cell>
          <cell r="G1245" t="str">
            <v/>
          </cell>
          <cell r="H1245" t="str">
            <v/>
          </cell>
          <cell r="I1245" t="str">
            <v/>
          </cell>
          <cell r="L1245" t="str">
            <v/>
          </cell>
          <cell r="M1245" t="str">
            <v/>
          </cell>
        </row>
        <row r="1246">
          <cell r="A1246">
            <v>45274</v>
          </cell>
          <cell r="B1246">
            <v>4</v>
          </cell>
          <cell r="D1246" t="str">
            <v/>
          </cell>
          <cell r="F1246" t="str">
            <v/>
          </cell>
          <cell r="G1246" t="str">
            <v/>
          </cell>
          <cell r="H1246" t="str">
            <v/>
          </cell>
          <cell r="I1246" t="str">
            <v/>
          </cell>
          <cell r="L1246" t="str">
            <v/>
          </cell>
          <cell r="M1246" t="str">
            <v/>
          </cell>
        </row>
        <row r="1247">
          <cell r="A1247">
            <v>45275</v>
          </cell>
          <cell r="B1247">
            <v>5</v>
          </cell>
          <cell r="D1247" t="str">
            <v/>
          </cell>
          <cell r="F1247" t="str">
            <v/>
          </cell>
          <cell r="G1247" t="str">
            <v/>
          </cell>
          <cell r="H1247" t="str">
            <v/>
          </cell>
          <cell r="I1247" t="str">
            <v/>
          </cell>
          <cell r="L1247" t="str">
            <v/>
          </cell>
          <cell r="M1247" t="str">
            <v/>
          </cell>
        </row>
        <row r="1248">
          <cell r="A1248">
            <v>45278</v>
          </cell>
          <cell r="B1248">
            <v>1</v>
          </cell>
          <cell r="D1248" t="str">
            <v/>
          </cell>
          <cell r="F1248" t="str">
            <v/>
          </cell>
          <cell r="G1248" t="str">
            <v/>
          </cell>
          <cell r="H1248" t="str">
            <v/>
          </cell>
          <cell r="I1248" t="str">
            <v/>
          </cell>
          <cell r="L1248" t="str">
            <v/>
          </cell>
          <cell r="M1248" t="str">
            <v/>
          </cell>
        </row>
        <row r="1249">
          <cell r="A1249">
            <v>45279</v>
          </cell>
          <cell r="B1249">
            <v>2</v>
          </cell>
          <cell r="D1249" t="str">
            <v/>
          </cell>
          <cell r="F1249" t="str">
            <v/>
          </cell>
          <cell r="G1249" t="str">
            <v/>
          </cell>
          <cell r="H1249" t="str">
            <v/>
          </cell>
          <cell r="I1249" t="str">
            <v/>
          </cell>
          <cell r="L1249" t="str">
            <v/>
          </cell>
          <cell r="M1249" t="str">
            <v/>
          </cell>
        </row>
        <row r="1250">
          <cell r="A1250">
            <v>45280</v>
          </cell>
          <cell r="B1250">
            <v>3</v>
          </cell>
          <cell r="D1250" t="str">
            <v/>
          </cell>
          <cell r="F1250" t="str">
            <v/>
          </cell>
          <cell r="G1250" t="str">
            <v/>
          </cell>
          <cell r="H1250" t="str">
            <v/>
          </cell>
          <cell r="I1250" t="str">
            <v/>
          </cell>
          <cell r="L1250" t="str">
            <v/>
          </cell>
          <cell r="M1250" t="str">
            <v/>
          </cell>
        </row>
        <row r="1251">
          <cell r="A1251">
            <v>45281</v>
          </cell>
          <cell r="B1251">
            <v>4</v>
          </cell>
          <cell r="D1251" t="str">
            <v/>
          </cell>
          <cell r="F1251" t="str">
            <v/>
          </cell>
          <cell r="G1251" t="str">
            <v/>
          </cell>
          <cell r="H1251" t="str">
            <v/>
          </cell>
          <cell r="I1251" t="str">
            <v/>
          </cell>
          <cell r="L1251" t="str">
            <v/>
          </cell>
          <cell r="M1251" t="str">
            <v/>
          </cell>
        </row>
        <row r="1252">
          <cell r="A1252">
            <v>45282</v>
          </cell>
          <cell r="B1252">
            <v>5</v>
          </cell>
          <cell r="D1252" t="str">
            <v/>
          </cell>
          <cell r="F1252" t="str">
            <v/>
          </cell>
          <cell r="G1252" t="str">
            <v/>
          </cell>
          <cell r="H1252" t="str">
            <v/>
          </cell>
          <cell r="I1252" t="str">
            <v/>
          </cell>
          <cell r="L1252" t="str">
            <v/>
          </cell>
          <cell r="M1252" t="str">
            <v/>
          </cell>
        </row>
        <row r="1253">
          <cell r="A1253">
            <v>45285</v>
          </cell>
          <cell r="B1253">
            <v>1</v>
          </cell>
          <cell r="D1253" t="str">
            <v/>
          </cell>
          <cell r="F1253" t="str">
            <v/>
          </cell>
          <cell r="G1253" t="str">
            <v/>
          </cell>
          <cell r="H1253" t="str">
            <v/>
          </cell>
          <cell r="I1253" t="str">
            <v/>
          </cell>
          <cell r="L1253" t="str">
            <v/>
          </cell>
          <cell r="M1253" t="str">
            <v/>
          </cell>
        </row>
        <row r="1254">
          <cell r="A1254">
            <v>45286</v>
          </cell>
          <cell r="B1254">
            <v>2</v>
          </cell>
          <cell r="D1254" t="str">
            <v/>
          </cell>
          <cell r="F1254" t="str">
            <v/>
          </cell>
          <cell r="G1254" t="str">
            <v/>
          </cell>
          <cell r="H1254" t="str">
            <v/>
          </cell>
          <cell r="I1254" t="str">
            <v/>
          </cell>
          <cell r="L1254" t="str">
            <v/>
          </cell>
          <cell r="M1254" t="str">
            <v/>
          </cell>
        </row>
        <row r="1255">
          <cell r="A1255">
            <v>45287</v>
          </cell>
          <cell r="B1255">
            <v>3</v>
          </cell>
          <cell r="D1255" t="str">
            <v/>
          </cell>
          <cell r="F1255" t="str">
            <v/>
          </cell>
          <cell r="G1255" t="str">
            <v/>
          </cell>
          <cell r="H1255" t="str">
            <v/>
          </cell>
          <cell r="I1255" t="str">
            <v/>
          </cell>
          <cell r="L1255" t="str">
            <v/>
          </cell>
          <cell r="M1255" t="str">
            <v/>
          </cell>
        </row>
        <row r="1256">
          <cell r="A1256">
            <v>45288</v>
          </cell>
          <cell r="B1256">
            <v>4</v>
          </cell>
          <cell r="D1256" t="str">
            <v/>
          </cell>
          <cell r="F1256" t="str">
            <v/>
          </cell>
          <cell r="G1256" t="str">
            <v/>
          </cell>
          <cell r="H1256" t="str">
            <v/>
          </cell>
          <cell r="I1256" t="str">
            <v/>
          </cell>
          <cell r="L1256" t="str">
            <v/>
          </cell>
          <cell r="M1256" t="str">
            <v/>
          </cell>
        </row>
        <row r="1257">
          <cell r="A1257">
            <v>45289</v>
          </cell>
          <cell r="B1257">
            <v>5</v>
          </cell>
          <cell r="D1257" t="str">
            <v/>
          </cell>
          <cell r="F1257" t="str">
            <v/>
          </cell>
          <cell r="G1257" t="str">
            <v/>
          </cell>
          <cell r="H1257" t="str">
            <v/>
          </cell>
          <cell r="I1257" t="str">
            <v/>
          </cell>
          <cell r="L1257" t="str">
            <v/>
          </cell>
          <cell r="M1257" t="str">
            <v/>
          </cell>
        </row>
        <row r="1258">
          <cell r="A1258">
            <v>45292</v>
          </cell>
          <cell r="B1258">
            <v>1</v>
          </cell>
          <cell r="D1258" t="str">
            <v/>
          </cell>
          <cell r="F1258" t="str">
            <v/>
          </cell>
          <cell r="G1258" t="str">
            <v/>
          </cell>
          <cell r="H1258" t="str">
            <v/>
          </cell>
          <cell r="I1258" t="str">
            <v/>
          </cell>
          <cell r="L1258" t="str">
            <v/>
          </cell>
          <cell r="M1258" t="str">
            <v/>
          </cell>
        </row>
        <row r="1259">
          <cell r="A1259">
            <v>45293</v>
          </cell>
          <cell r="B1259">
            <v>2</v>
          </cell>
          <cell r="D1259" t="str">
            <v/>
          </cell>
          <cell r="F1259" t="str">
            <v/>
          </cell>
          <cell r="G1259" t="str">
            <v/>
          </cell>
          <cell r="H1259" t="str">
            <v/>
          </cell>
          <cell r="I1259" t="str">
            <v/>
          </cell>
          <cell r="L1259" t="str">
            <v/>
          </cell>
          <cell r="M1259" t="str">
            <v/>
          </cell>
        </row>
        <row r="1260">
          <cell r="A1260">
            <v>45294</v>
          </cell>
          <cell r="B1260">
            <v>3</v>
          </cell>
          <cell r="D1260" t="str">
            <v/>
          </cell>
          <cell r="F1260" t="str">
            <v/>
          </cell>
          <cell r="G1260" t="str">
            <v/>
          </cell>
          <cell r="H1260" t="str">
            <v/>
          </cell>
          <cell r="I1260" t="str">
            <v/>
          </cell>
          <cell r="L1260" t="str">
            <v/>
          </cell>
          <cell r="M1260" t="str">
            <v/>
          </cell>
        </row>
        <row r="1261">
          <cell r="A1261">
            <v>45295</v>
          </cell>
          <cell r="B1261">
            <v>4</v>
          </cell>
          <cell r="D1261" t="str">
            <v/>
          </cell>
          <cell r="F1261" t="str">
            <v/>
          </cell>
          <cell r="G1261" t="str">
            <v/>
          </cell>
          <cell r="H1261" t="str">
            <v/>
          </cell>
          <cell r="I1261" t="str">
            <v/>
          </cell>
          <cell r="L1261" t="str">
            <v/>
          </cell>
          <cell r="M1261" t="str">
            <v/>
          </cell>
        </row>
        <row r="1262">
          <cell r="A1262">
            <v>45296</v>
          </cell>
          <cell r="B1262">
            <v>5</v>
          </cell>
          <cell r="D1262" t="str">
            <v/>
          </cell>
          <cell r="F1262" t="str">
            <v/>
          </cell>
          <cell r="G1262" t="str">
            <v/>
          </cell>
          <cell r="H1262" t="str">
            <v/>
          </cell>
          <cell r="I1262" t="str">
            <v/>
          </cell>
          <cell r="L1262" t="str">
            <v/>
          </cell>
          <cell r="M1262" t="str">
            <v/>
          </cell>
        </row>
        <row r="1263">
          <cell r="A1263">
            <v>45299</v>
          </cell>
          <cell r="B1263">
            <v>1</v>
          </cell>
          <cell r="D1263" t="str">
            <v/>
          </cell>
          <cell r="F1263" t="str">
            <v/>
          </cell>
          <cell r="G1263" t="str">
            <v/>
          </cell>
          <cell r="H1263" t="str">
            <v/>
          </cell>
          <cell r="I1263" t="str">
            <v/>
          </cell>
          <cell r="L1263" t="str">
            <v/>
          </cell>
          <cell r="M1263" t="str">
            <v/>
          </cell>
        </row>
        <row r="1264">
          <cell r="A1264">
            <v>45300</v>
          </cell>
          <cell r="B1264">
            <v>2</v>
          </cell>
          <cell r="D1264" t="str">
            <v/>
          </cell>
          <cell r="F1264" t="str">
            <v/>
          </cell>
          <cell r="G1264" t="str">
            <v/>
          </cell>
          <cell r="H1264" t="str">
            <v/>
          </cell>
          <cell r="I1264" t="str">
            <v/>
          </cell>
          <cell r="L1264" t="str">
            <v/>
          </cell>
          <cell r="M1264" t="str">
            <v/>
          </cell>
        </row>
        <row r="1265">
          <cell r="A1265">
            <v>45301</v>
          </cell>
          <cell r="B1265">
            <v>3</v>
          </cell>
          <cell r="D1265" t="str">
            <v/>
          </cell>
          <cell r="F1265" t="str">
            <v/>
          </cell>
          <cell r="G1265" t="str">
            <v/>
          </cell>
          <cell r="H1265" t="str">
            <v/>
          </cell>
          <cell r="I1265" t="str">
            <v/>
          </cell>
          <cell r="L1265" t="str">
            <v/>
          </cell>
          <cell r="M1265" t="str">
            <v/>
          </cell>
        </row>
        <row r="1266">
          <cell r="A1266">
            <v>45302</v>
          </cell>
          <cell r="B1266">
            <v>4</v>
          </cell>
          <cell r="D1266" t="str">
            <v/>
          </cell>
          <cell r="F1266" t="str">
            <v/>
          </cell>
          <cell r="G1266" t="str">
            <v/>
          </cell>
          <cell r="H1266" t="str">
            <v/>
          </cell>
          <cell r="I1266" t="str">
            <v/>
          </cell>
          <cell r="L1266" t="str">
            <v/>
          </cell>
          <cell r="M1266" t="str">
            <v/>
          </cell>
        </row>
        <row r="1267">
          <cell r="A1267">
            <v>45303</v>
          </cell>
          <cell r="B1267">
            <v>5</v>
          </cell>
          <cell r="D1267" t="str">
            <v/>
          </cell>
          <cell r="F1267" t="str">
            <v/>
          </cell>
          <cell r="G1267" t="str">
            <v/>
          </cell>
          <cell r="H1267" t="str">
            <v/>
          </cell>
          <cell r="I1267" t="str">
            <v/>
          </cell>
          <cell r="L1267" t="str">
            <v/>
          </cell>
          <cell r="M1267" t="str">
            <v/>
          </cell>
        </row>
        <row r="1268">
          <cell r="A1268">
            <v>45306</v>
          </cell>
          <cell r="B1268">
            <v>1</v>
          </cell>
          <cell r="D1268" t="str">
            <v/>
          </cell>
          <cell r="F1268" t="str">
            <v/>
          </cell>
          <cell r="G1268" t="str">
            <v/>
          </cell>
          <cell r="H1268" t="str">
            <v/>
          </cell>
          <cell r="I1268" t="str">
            <v/>
          </cell>
          <cell r="L1268" t="str">
            <v/>
          </cell>
          <cell r="M1268" t="str">
            <v/>
          </cell>
        </row>
        <row r="1269">
          <cell r="A1269">
            <v>45307</v>
          </cell>
          <cell r="B1269">
            <v>2</v>
          </cell>
          <cell r="D1269" t="str">
            <v/>
          </cell>
          <cell r="F1269" t="str">
            <v/>
          </cell>
          <cell r="G1269" t="str">
            <v/>
          </cell>
          <cell r="H1269" t="str">
            <v/>
          </cell>
          <cell r="I1269" t="str">
            <v/>
          </cell>
          <cell r="L1269" t="str">
            <v/>
          </cell>
          <cell r="M1269" t="str">
            <v/>
          </cell>
        </row>
        <row r="1270">
          <cell r="A1270">
            <v>45308</v>
          </cell>
          <cell r="B1270">
            <v>3</v>
          </cell>
          <cell r="D1270" t="str">
            <v/>
          </cell>
          <cell r="F1270" t="str">
            <v/>
          </cell>
          <cell r="G1270" t="str">
            <v/>
          </cell>
          <cell r="H1270" t="str">
            <v/>
          </cell>
          <cell r="I1270" t="str">
            <v/>
          </cell>
          <cell r="L1270" t="str">
            <v/>
          </cell>
          <cell r="M1270" t="str">
            <v/>
          </cell>
        </row>
        <row r="1271">
          <cell r="A1271">
            <v>45309</v>
          </cell>
          <cell r="B1271">
            <v>4</v>
          </cell>
          <cell r="D1271" t="str">
            <v/>
          </cell>
          <cell r="F1271" t="str">
            <v/>
          </cell>
          <cell r="G1271" t="str">
            <v/>
          </cell>
          <cell r="H1271" t="str">
            <v/>
          </cell>
          <cell r="I1271" t="str">
            <v/>
          </cell>
          <cell r="L1271" t="str">
            <v/>
          </cell>
          <cell r="M1271" t="str">
            <v/>
          </cell>
        </row>
        <row r="1272">
          <cell r="A1272">
            <v>45310</v>
          </cell>
          <cell r="B1272">
            <v>5</v>
          </cell>
          <cell r="D1272" t="str">
            <v/>
          </cell>
          <cell r="F1272" t="str">
            <v/>
          </cell>
          <cell r="G1272" t="str">
            <v/>
          </cell>
          <cell r="H1272" t="str">
            <v/>
          </cell>
          <cell r="I1272" t="str">
            <v/>
          </cell>
          <cell r="L1272" t="str">
            <v/>
          </cell>
          <cell r="M1272" t="str">
            <v/>
          </cell>
        </row>
        <row r="1273">
          <cell r="A1273">
            <v>45313</v>
          </cell>
          <cell r="B1273">
            <v>1</v>
          </cell>
          <cell r="D1273" t="str">
            <v/>
          </cell>
          <cell r="F1273" t="str">
            <v/>
          </cell>
          <cell r="G1273" t="str">
            <v/>
          </cell>
          <cell r="H1273" t="str">
            <v/>
          </cell>
          <cell r="I1273" t="str">
            <v/>
          </cell>
          <cell r="L1273" t="str">
            <v/>
          </cell>
          <cell r="M1273" t="str">
            <v/>
          </cell>
        </row>
        <row r="1274">
          <cell r="A1274">
            <v>45314</v>
          </cell>
          <cell r="B1274">
            <v>2</v>
          </cell>
          <cell r="D1274" t="str">
            <v/>
          </cell>
          <cell r="F1274" t="str">
            <v/>
          </cell>
          <cell r="G1274" t="str">
            <v/>
          </cell>
          <cell r="H1274" t="str">
            <v/>
          </cell>
          <cell r="I1274" t="str">
            <v/>
          </cell>
          <cell r="L1274" t="str">
            <v/>
          </cell>
          <cell r="M1274" t="str">
            <v/>
          </cell>
        </row>
        <row r="1275">
          <cell r="A1275">
            <v>45315</v>
          </cell>
          <cell r="B1275">
            <v>3</v>
          </cell>
          <cell r="D1275" t="str">
            <v/>
          </cell>
          <cell r="F1275" t="str">
            <v/>
          </cell>
          <cell r="G1275" t="str">
            <v/>
          </cell>
          <cell r="H1275" t="str">
            <v/>
          </cell>
          <cell r="I1275" t="str">
            <v/>
          </cell>
          <cell r="L1275" t="str">
            <v/>
          </cell>
          <cell r="M1275" t="str">
            <v/>
          </cell>
        </row>
        <row r="1276">
          <cell r="A1276">
            <v>45316</v>
          </cell>
          <cell r="B1276">
            <v>4</v>
          </cell>
          <cell r="D1276" t="str">
            <v/>
          </cell>
          <cell r="F1276" t="str">
            <v/>
          </cell>
          <cell r="G1276" t="str">
            <v/>
          </cell>
          <cell r="H1276" t="str">
            <v/>
          </cell>
          <cell r="I1276" t="str">
            <v/>
          </cell>
          <cell r="L1276" t="str">
            <v/>
          </cell>
          <cell r="M1276" t="str">
            <v/>
          </cell>
        </row>
        <row r="1277">
          <cell r="A1277">
            <v>45317</v>
          </cell>
          <cell r="B1277">
            <v>5</v>
          </cell>
          <cell r="D1277" t="str">
            <v/>
          </cell>
          <cell r="F1277" t="str">
            <v/>
          </cell>
          <cell r="G1277" t="str">
            <v/>
          </cell>
          <cell r="H1277" t="str">
            <v/>
          </cell>
          <cell r="I1277" t="str">
            <v/>
          </cell>
          <cell r="L1277" t="str">
            <v/>
          </cell>
          <cell r="M1277" t="str">
            <v/>
          </cell>
        </row>
        <row r="1278">
          <cell r="A1278">
            <v>45320</v>
          </cell>
          <cell r="B1278">
            <v>1</v>
          </cell>
          <cell r="D1278" t="str">
            <v/>
          </cell>
          <cell r="F1278" t="str">
            <v/>
          </cell>
          <cell r="G1278" t="str">
            <v/>
          </cell>
          <cell r="H1278" t="str">
            <v/>
          </cell>
          <cell r="I1278" t="str">
            <v/>
          </cell>
          <cell r="L1278" t="str">
            <v/>
          </cell>
          <cell r="M1278" t="str">
            <v/>
          </cell>
        </row>
        <row r="1279">
          <cell r="A1279">
            <v>45321</v>
          </cell>
          <cell r="B1279">
            <v>2</v>
          </cell>
          <cell r="D1279" t="str">
            <v/>
          </cell>
          <cell r="F1279" t="str">
            <v/>
          </cell>
          <cell r="G1279" t="str">
            <v/>
          </cell>
          <cell r="H1279" t="str">
            <v/>
          </cell>
          <cell r="I1279" t="str">
            <v/>
          </cell>
          <cell r="L1279" t="str">
            <v/>
          </cell>
          <cell r="M1279" t="str">
            <v/>
          </cell>
        </row>
        <row r="1280">
          <cell r="A1280">
            <v>45322</v>
          </cell>
          <cell r="B1280">
            <v>3</v>
          </cell>
          <cell r="D1280" t="str">
            <v/>
          </cell>
          <cell r="F1280" t="str">
            <v/>
          </cell>
          <cell r="G1280" t="str">
            <v/>
          </cell>
          <cell r="H1280" t="str">
            <v/>
          </cell>
          <cell r="I1280" t="str">
            <v/>
          </cell>
          <cell r="L1280" t="str">
            <v/>
          </cell>
          <cell r="M1280" t="str">
            <v/>
          </cell>
        </row>
        <row r="1281">
          <cell r="A1281">
            <v>45323</v>
          </cell>
          <cell r="B1281">
            <v>4</v>
          </cell>
          <cell r="D1281" t="str">
            <v/>
          </cell>
          <cell r="F1281" t="str">
            <v/>
          </cell>
          <cell r="G1281" t="str">
            <v/>
          </cell>
          <cell r="H1281" t="str">
            <v/>
          </cell>
          <cell r="I1281" t="str">
            <v/>
          </cell>
          <cell r="L1281" t="str">
            <v/>
          </cell>
          <cell r="M1281" t="str">
            <v/>
          </cell>
        </row>
        <row r="1282">
          <cell r="A1282">
            <v>45324</v>
          </cell>
          <cell r="B1282">
            <v>5</v>
          </cell>
          <cell r="D1282" t="str">
            <v/>
          </cell>
          <cell r="F1282" t="str">
            <v/>
          </cell>
          <cell r="G1282" t="str">
            <v/>
          </cell>
          <cell r="H1282" t="str">
            <v/>
          </cell>
          <cell r="I1282" t="str">
            <v/>
          </cell>
          <cell r="L1282" t="str">
            <v/>
          </cell>
          <cell r="M1282" t="str">
            <v/>
          </cell>
        </row>
        <row r="1283">
          <cell r="A1283">
            <v>45327</v>
          </cell>
          <cell r="B1283">
            <v>1</v>
          </cell>
          <cell r="D1283" t="str">
            <v/>
          </cell>
          <cell r="F1283" t="str">
            <v/>
          </cell>
          <cell r="G1283" t="str">
            <v/>
          </cell>
          <cell r="H1283" t="str">
            <v/>
          </cell>
          <cell r="I1283" t="str">
            <v/>
          </cell>
          <cell r="L1283" t="str">
            <v/>
          </cell>
          <cell r="M1283" t="str">
            <v/>
          </cell>
        </row>
        <row r="1284">
          <cell r="A1284">
            <v>45328</v>
          </cell>
          <cell r="B1284">
            <v>2</v>
          </cell>
          <cell r="D1284" t="str">
            <v/>
          </cell>
          <cell r="F1284" t="str">
            <v/>
          </cell>
          <cell r="G1284" t="str">
            <v/>
          </cell>
          <cell r="H1284" t="str">
            <v/>
          </cell>
          <cell r="I1284" t="str">
            <v/>
          </cell>
          <cell r="L1284" t="str">
            <v/>
          </cell>
          <cell r="M1284" t="str">
            <v/>
          </cell>
        </row>
        <row r="1285">
          <cell r="A1285">
            <v>45329</v>
          </cell>
          <cell r="B1285">
            <v>3</v>
          </cell>
          <cell r="D1285" t="str">
            <v/>
          </cell>
          <cell r="F1285" t="str">
            <v/>
          </cell>
          <cell r="G1285" t="str">
            <v/>
          </cell>
          <cell r="H1285" t="str">
            <v/>
          </cell>
          <cell r="I1285" t="str">
            <v/>
          </cell>
          <cell r="L1285" t="str">
            <v/>
          </cell>
          <cell r="M1285" t="str">
            <v/>
          </cell>
        </row>
        <row r="1286">
          <cell r="A1286">
            <v>45330</v>
          </cell>
          <cell r="B1286">
            <v>4</v>
          </cell>
          <cell r="D1286" t="str">
            <v/>
          </cell>
          <cell r="F1286" t="str">
            <v/>
          </cell>
          <cell r="G1286" t="str">
            <v/>
          </cell>
          <cell r="H1286" t="str">
            <v/>
          </cell>
          <cell r="I1286" t="str">
            <v/>
          </cell>
          <cell r="L1286" t="str">
            <v/>
          </cell>
          <cell r="M1286" t="str">
            <v/>
          </cell>
        </row>
        <row r="1287">
          <cell r="A1287">
            <v>45331</v>
          </cell>
          <cell r="B1287">
            <v>5</v>
          </cell>
          <cell r="D1287" t="str">
            <v/>
          </cell>
          <cell r="F1287" t="str">
            <v/>
          </cell>
          <cell r="G1287" t="str">
            <v/>
          </cell>
          <cell r="H1287" t="str">
            <v/>
          </cell>
          <cell r="I1287" t="str">
            <v/>
          </cell>
          <cell r="L1287" t="str">
            <v/>
          </cell>
          <cell r="M1287" t="str">
            <v/>
          </cell>
        </row>
        <row r="1288">
          <cell r="A1288">
            <v>45334</v>
          </cell>
          <cell r="B1288">
            <v>1</v>
          </cell>
          <cell r="D1288" t="str">
            <v/>
          </cell>
          <cell r="F1288" t="str">
            <v/>
          </cell>
          <cell r="G1288" t="str">
            <v/>
          </cell>
          <cell r="H1288" t="str">
            <v/>
          </cell>
          <cell r="I1288" t="str">
            <v/>
          </cell>
          <cell r="L1288" t="str">
            <v/>
          </cell>
          <cell r="M1288" t="str">
            <v/>
          </cell>
        </row>
        <row r="1289">
          <cell r="A1289">
            <v>45335</v>
          </cell>
          <cell r="B1289">
            <v>2</v>
          </cell>
          <cell r="D1289" t="str">
            <v/>
          </cell>
          <cell r="F1289" t="str">
            <v/>
          </cell>
          <cell r="G1289" t="str">
            <v/>
          </cell>
          <cell r="H1289" t="str">
            <v/>
          </cell>
          <cell r="I1289" t="str">
            <v/>
          </cell>
          <cell r="L1289" t="str">
            <v/>
          </cell>
          <cell r="M1289" t="str">
            <v/>
          </cell>
        </row>
        <row r="1290">
          <cell r="A1290">
            <v>45336</v>
          </cell>
          <cell r="B1290">
            <v>3</v>
          </cell>
          <cell r="D1290" t="str">
            <v/>
          </cell>
          <cell r="F1290" t="str">
            <v/>
          </cell>
          <cell r="G1290" t="str">
            <v/>
          </cell>
          <cell r="H1290" t="str">
            <v/>
          </cell>
          <cell r="I1290" t="str">
            <v/>
          </cell>
          <cell r="L1290" t="str">
            <v/>
          </cell>
          <cell r="M1290" t="str">
            <v/>
          </cell>
        </row>
        <row r="1291">
          <cell r="A1291">
            <v>45337</v>
          </cell>
          <cell r="B1291">
            <v>4</v>
          </cell>
          <cell r="D1291" t="str">
            <v/>
          </cell>
          <cell r="F1291" t="str">
            <v/>
          </cell>
          <cell r="G1291" t="str">
            <v/>
          </cell>
          <cell r="H1291" t="str">
            <v/>
          </cell>
          <cell r="I1291" t="str">
            <v/>
          </cell>
          <cell r="L1291" t="str">
            <v/>
          </cell>
          <cell r="M1291" t="str">
            <v/>
          </cell>
        </row>
        <row r="1292">
          <cell r="A1292">
            <v>45338</v>
          </cell>
          <cell r="B1292">
            <v>5</v>
          </cell>
          <cell r="D1292" t="str">
            <v/>
          </cell>
          <cell r="F1292" t="str">
            <v/>
          </cell>
          <cell r="G1292" t="str">
            <v/>
          </cell>
          <cell r="H1292" t="str">
            <v/>
          </cell>
          <cell r="I1292" t="str">
            <v/>
          </cell>
          <cell r="L1292" t="str">
            <v/>
          </cell>
          <cell r="M1292" t="str">
            <v/>
          </cell>
        </row>
        <row r="1293">
          <cell r="A1293">
            <v>45341</v>
          </cell>
          <cell r="B1293">
            <v>1</v>
          </cell>
          <cell r="D1293" t="str">
            <v/>
          </cell>
          <cell r="F1293" t="str">
            <v/>
          </cell>
          <cell r="G1293" t="str">
            <v/>
          </cell>
          <cell r="H1293" t="str">
            <v/>
          </cell>
          <cell r="I1293" t="str">
            <v/>
          </cell>
          <cell r="L1293" t="str">
            <v/>
          </cell>
          <cell r="M1293" t="str">
            <v/>
          </cell>
        </row>
        <row r="1294">
          <cell r="A1294">
            <v>45342</v>
          </cell>
          <cell r="B1294">
            <v>2</v>
          </cell>
          <cell r="D1294" t="str">
            <v/>
          </cell>
          <cell r="F1294" t="str">
            <v/>
          </cell>
          <cell r="G1294" t="str">
            <v/>
          </cell>
          <cell r="H1294" t="str">
            <v/>
          </cell>
          <cell r="I1294" t="str">
            <v/>
          </cell>
          <cell r="L1294" t="str">
            <v/>
          </cell>
          <cell r="M1294" t="str">
            <v/>
          </cell>
        </row>
        <row r="1295">
          <cell r="A1295">
            <v>45343</v>
          </cell>
          <cell r="B1295">
            <v>3</v>
          </cell>
          <cell r="D1295" t="str">
            <v/>
          </cell>
          <cell r="F1295" t="str">
            <v/>
          </cell>
          <cell r="G1295" t="str">
            <v/>
          </cell>
          <cell r="H1295" t="str">
            <v/>
          </cell>
          <cell r="I1295" t="str">
            <v/>
          </cell>
          <cell r="L1295" t="str">
            <v/>
          </cell>
          <cell r="M1295" t="str">
            <v/>
          </cell>
        </row>
        <row r="1296">
          <cell r="A1296">
            <v>45344</v>
          </cell>
          <cell r="B1296">
            <v>4</v>
          </cell>
          <cell r="D1296" t="str">
            <v/>
          </cell>
          <cell r="F1296" t="str">
            <v/>
          </cell>
          <cell r="G1296" t="str">
            <v/>
          </cell>
          <cell r="H1296" t="str">
            <v/>
          </cell>
          <cell r="I1296" t="str">
            <v/>
          </cell>
          <cell r="L1296" t="str">
            <v/>
          </cell>
          <cell r="M1296" t="str">
            <v/>
          </cell>
        </row>
        <row r="1297">
          <cell r="A1297">
            <v>45345</v>
          </cell>
          <cell r="B1297">
            <v>5</v>
          </cell>
          <cell r="D1297" t="str">
            <v/>
          </cell>
          <cell r="F1297" t="str">
            <v/>
          </cell>
          <cell r="G1297" t="str">
            <v/>
          </cell>
          <cell r="H1297" t="str">
            <v/>
          </cell>
          <cell r="I1297" t="str">
            <v/>
          </cell>
          <cell r="L1297" t="str">
            <v/>
          </cell>
          <cell r="M1297" t="str">
            <v/>
          </cell>
        </row>
        <row r="1298">
          <cell r="A1298">
            <v>45348</v>
          </cell>
          <cell r="B1298">
            <v>1</v>
          </cell>
          <cell r="D1298" t="str">
            <v/>
          </cell>
          <cell r="F1298" t="str">
            <v/>
          </cell>
          <cell r="G1298" t="str">
            <v/>
          </cell>
          <cell r="H1298" t="str">
            <v/>
          </cell>
          <cell r="I1298" t="str">
            <v/>
          </cell>
          <cell r="L1298" t="str">
            <v/>
          </cell>
          <cell r="M1298" t="str">
            <v/>
          </cell>
        </row>
        <row r="1299">
          <cell r="A1299">
            <v>45349</v>
          </cell>
          <cell r="B1299">
            <v>2</v>
          </cell>
          <cell r="D1299" t="str">
            <v/>
          </cell>
          <cell r="F1299" t="str">
            <v/>
          </cell>
          <cell r="G1299" t="str">
            <v/>
          </cell>
          <cell r="H1299" t="str">
            <v/>
          </cell>
          <cell r="I1299" t="str">
            <v/>
          </cell>
          <cell r="L1299" t="str">
            <v/>
          </cell>
          <cell r="M1299" t="str">
            <v/>
          </cell>
        </row>
        <row r="1300">
          <cell r="A1300">
            <v>45350</v>
          </cell>
          <cell r="B1300">
            <v>3</v>
          </cell>
          <cell r="D1300" t="str">
            <v/>
          </cell>
          <cell r="F1300" t="str">
            <v/>
          </cell>
          <cell r="G1300" t="str">
            <v/>
          </cell>
          <cell r="H1300" t="str">
            <v/>
          </cell>
          <cell r="I1300" t="str">
            <v/>
          </cell>
          <cell r="L1300" t="str">
            <v/>
          </cell>
          <cell r="M1300" t="str">
            <v/>
          </cell>
        </row>
        <row r="1301">
          <cell r="A1301">
            <v>45351</v>
          </cell>
          <cell r="B1301">
            <v>4</v>
          </cell>
          <cell r="D1301" t="str">
            <v/>
          </cell>
          <cell r="F1301" t="str">
            <v/>
          </cell>
          <cell r="G1301" t="str">
            <v/>
          </cell>
          <cell r="H1301" t="str">
            <v/>
          </cell>
          <cell r="I1301" t="str">
            <v/>
          </cell>
          <cell r="L1301" t="str">
            <v/>
          </cell>
          <cell r="M1301" t="str">
            <v/>
          </cell>
        </row>
        <row r="1302">
          <cell r="A1302">
            <v>45352</v>
          </cell>
          <cell r="B1302">
            <v>5</v>
          </cell>
          <cell r="D1302" t="str">
            <v/>
          </cell>
          <cell r="F1302" t="str">
            <v/>
          </cell>
          <cell r="G1302" t="str">
            <v/>
          </cell>
          <cell r="H1302" t="str">
            <v/>
          </cell>
          <cell r="I1302" t="str">
            <v/>
          </cell>
          <cell r="L1302" t="str">
            <v/>
          </cell>
          <cell r="M1302" t="str">
            <v/>
          </cell>
        </row>
        <row r="1303">
          <cell r="A1303">
            <v>45355</v>
          </cell>
          <cell r="B1303">
            <v>1</v>
          </cell>
          <cell r="D1303" t="str">
            <v/>
          </cell>
          <cell r="F1303" t="str">
            <v/>
          </cell>
          <cell r="G1303" t="str">
            <v/>
          </cell>
          <cell r="H1303" t="str">
            <v/>
          </cell>
          <cell r="I1303" t="str">
            <v/>
          </cell>
          <cell r="L1303" t="str">
            <v/>
          </cell>
          <cell r="M1303" t="str">
            <v/>
          </cell>
        </row>
        <row r="1304">
          <cell r="A1304">
            <v>45356</v>
          </cell>
          <cell r="B1304">
            <v>2</v>
          </cell>
          <cell r="D1304" t="str">
            <v/>
          </cell>
          <cell r="F1304" t="str">
            <v/>
          </cell>
          <cell r="G1304" t="str">
            <v/>
          </cell>
          <cell r="H1304" t="str">
            <v/>
          </cell>
          <cell r="I1304" t="str">
            <v/>
          </cell>
          <cell r="L1304" t="str">
            <v/>
          </cell>
          <cell r="M1304" t="str">
            <v/>
          </cell>
        </row>
        <row r="1305">
          <cell r="A1305">
            <v>45357</v>
          </cell>
          <cell r="B1305">
            <v>3</v>
          </cell>
          <cell r="D1305" t="str">
            <v/>
          </cell>
          <cell r="F1305" t="str">
            <v/>
          </cell>
          <cell r="G1305" t="str">
            <v/>
          </cell>
          <cell r="H1305" t="str">
            <v/>
          </cell>
          <cell r="I1305" t="str">
            <v/>
          </cell>
          <cell r="L1305" t="str">
            <v/>
          </cell>
          <cell r="M1305" t="str">
            <v/>
          </cell>
        </row>
        <row r="1306">
          <cell r="A1306">
            <v>45358</v>
          </cell>
          <cell r="B1306">
            <v>4</v>
          </cell>
          <cell r="D1306" t="str">
            <v/>
          </cell>
          <cell r="F1306" t="str">
            <v/>
          </cell>
          <cell r="G1306" t="str">
            <v/>
          </cell>
          <cell r="H1306" t="str">
            <v/>
          </cell>
          <cell r="I1306" t="str">
            <v/>
          </cell>
          <cell r="L1306" t="str">
            <v/>
          </cell>
          <cell r="M1306" t="str">
            <v/>
          </cell>
        </row>
        <row r="1307">
          <cell r="A1307">
            <v>45359</v>
          </cell>
          <cell r="B1307">
            <v>5</v>
          </cell>
          <cell r="D1307" t="str">
            <v/>
          </cell>
          <cell r="F1307" t="str">
            <v/>
          </cell>
          <cell r="G1307" t="str">
            <v/>
          </cell>
          <cell r="H1307" t="str">
            <v/>
          </cell>
          <cell r="I1307" t="str">
            <v/>
          </cell>
          <cell r="L1307" t="str">
            <v/>
          </cell>
          <cell r="M1307" t="str">
            <v/>
          </cell>
        </row>
        <row r="1308">
          <cell r="A1308">
            <v>45362</v>
          </cell>
          <cell r="B1308">
            <v>1</v>
          </cell>
          <cell r="D1308" t="str">
            <v/>
          </cell>
          <cell r="F1308" t="str">
            <v/>
          </cell>
          <cell r="G1308" t="str">
            <v/>
          </cell>
          <cell r="H1308" t="str">
            <v/>
          </cell>
          <cell r="I1308" t="str">
            <v/>
          </cell>
          <cell r="L1308" t="str">
            <v/>
          </cell>
          <cell r="M1308" t="str">
            <v/>
          </cell>
        </row>
        <row r="1309">
          <cell r="A1309">
            <v>45363</v>
          </cell>
          <cell r="B1309">
            <v>2</v>
          </cell>
          <cell r="D1309" t="str">
            <v/>
          </cell>
          <cell r="F1309" t="str">
            <v/>
          </cell>
          <cell r="G1309" t="str">
            <v/>
          </cell>
          <cell r="H1309" t="str">
            <v/>
          </cell>
          <cell r="I1309" t="str">
            <v/>
          </cell>
          <cell r="L1309" t="str">
            <v/>
          </cell>
          <cell r="M1309" t="str">
            <v/>
          </cell>
        </row>
        <row r="1310">
          <cell r="A1310">
            <v>45364</v>
          </cell>
          <cell r="B1310">
            <v>3</v>
          </cell>
          <cell r="D1310" t="str">
            <v/>
          </cell>
          <cell r="F1310" t="str">
            <v/>
          </cell>
          <cell r="G1310" t="str">
            <v/>
          </cell>
          <cell r="H1310" t="str">
            <v/>
          </cell>
          <cell r="I1310" t="str">
            <v/>
          </cell>
          <cell r="L1310" t="str">
            <v/>
          </cell>
          <cell r="M1310" t="str">
            <v/>
          </cell>
        </row>
        <row r="1311">
          <cell r="A1311">
            <v>45365</v>
          </cell>
          <cell r="B1311">
            <v>4</v>
          </cell>
          <cell r="D1311" t="str">
            <v/>
          </cell>
          <cell r="F1311" t="str">
            <v/>
          </cell>
          <cell r="G1311" t="str">
            <v/>
          </cell>
          <cell r="H1311" t="str">
            <v/>
          </cell>
          <cell r="I1311" t="str">
            <v/>
          </cell>
          <cell r="L1311" t="str">
            <v/>
          </cell>
          <cell r="M1311" t="str">
            <v/>
          </cell>
        </row>
        <row r="1312">
          <cell r="A1312">
            <v>45366</v>
          </cell>
          <cell r="B1312">
            <v>5</v>
          </cell>
          <cell r="D1312" t="str">
            <v/>
          </cell>
          <cell r="F1312" t="str">
            <v/>
          </cell>
          <cell r="G1312" t="str">
            <v/>
          </cell>
          <cell r="H1312" t="str">
            <v/>
          </cell>
          <cell r="I1312" t="str">
            <v/>
          </cell>
          <cell r="L1312" t="str">
            <v/>
          </cell>
          <cell r="M1312" t="str">
            <v/>
          </cell>
        </row>
        <row r="1313">
          <cell r="A1313">
            <v>45369</v>
          </cell>
          <cell r="B1313">
            <v>1</v>
          </cell>
          <cell r="D1313" t="str">
            <v/>
          </cell>
          <cell r="F1313" t="str">
            <v/>
          </cell>
          <cell r="G1313" t="str">
            <v/>
          </cell>
          <cell r="H1313" t="str">
            <v/>
          </cell>
          <cell r="I1313" t="str">
            <v/>
          </cell>
          <cell r="L1313" t="str">
            <v/>
          </cell>
          <cell r="M1313" t="str">
            <v/>
          </cell>
        </row>
        <row r="1314">
          <cell r="A1314">
            <v>45370</v>
          </cell>
          <cell r="B1314">
            <v>2</v>
          </cell>
          <cell r="D1314" t="str">
            <v/>
          </cell>
          <cell r="F1314" t="str">
            <v/>
          </cell>
          <cell r="G1314" t="str">
            <v/>
          </cell>
          <cell r="H1314" t="str">
            <v/>
          </cell>
          <cell r="I1314" t="str">
            <v/>
          </cell>
          <cell r="L1314" t="str">
            <v/>
          </cell>
          <cell r="M1314" t="str">
            <v/>
          </cell>
        </row>
        <row r="1315">
          <cell r="A1315">
            <v>45371</v>
          </cell>
          <cell r="B1315">
            <v>3</v>
          </cell>
          <cell r="D1315" t="str">
            <v/>
          </cell>
          <cell r="F1315" t="str">
            <v/>
          </cell>
          <cell r="G1315" t="str">
            <v/>
          </cell>
          <cell r="H1315" t="str">
            <v/>
          </cell>
          <cell r="I1315" t="str">
            <v/>
          </cell>
          <cell r="L1315" t="str">
            <v/>
          </cell>
          <cell r="M1315" t="str">
            <v/>
          </cell>
        </row>
        <row r="1316">
          <cell r="A1316">
            <v>45372</v>
          </cell>
          <cell r="B1316">
            <v>4</v>
          </cell>
          <cell r="D1316" t="str">
            <v/>
          </cell>
          <cell r="F1316" t="str">
            <v/>
          </cell>
          <cell r="G1316" t="str">
            <v/>
          </cell>
          <cell r="H1316" t="str">
            <v/>
          </cell>
          <cell r="I1316" t="str">
            <v/>
          </cell>
          <cell r="L1316" t="str">
            <v/>
          </cell>
          <cell r="M1316" t="str">
            <v/>
          </cell>
        </row>
        <row r="1317">
          <cell r="A1317">
            <v>45373</v>
          </cell>
          <cell r="B1317">
            <v>5</v>
          </cell>
          <cell r="D1317" t="str">
            <v/>
          </cell>
          <cell r="F1317" t="str">
            <v/>
          </cell>
          <cell r="G1317" t="str">
            <v/>
          </cell>
          <cell r="H1317" t="str">
            <v/>
          </cell>
          <cell r="I1317" t="str">
            <v/>
          </cell>
          <cell r="L1317" t="str">
            <v/>
          </cell>
          <cell r="M1317" t="str">
            <v/>
          </cell>
        </row>
        <row r="1318">
          <cell r="A1318">
            <v>45376</v>
          </cell>
          <cell r="B1318">
            <v>1</v>
          </cell>
          <cell r="D1318" t="str">
            <v/>
          </cell>
          <cell r="F1318" t="str">
            <v/>
          </cell>
          <cell r="G1318" t="str">
            <v/>
          </cell>
          <cell r="H1318" t="str">
            <v/>
          </cell>
          <cell r="I1318" t="str">
            <v/>
          </cell>
          <cell r="L1318" t="str">
            <v/>
          </cell>
          <cell r="M1318" t="str">
            <v/>
          </cell>
        </row>
        <row r="1319">
          <cell r="A1319">
            <v>45377</v>
          </cell>
          <cell r="B1319">
            <v>2</v>
          </cell>
          <cell r="D1319" t="str">
            <v/>
          </cell>
          <cell r="F1319" t="str">
            <v/>
          </cell>
          <cell r="G1319" t="str">
            <v/>
          </cell>
          <cell r="H1319" t="str">
            <v/>
          </cell>
          <cell r="I1319" t="str">
            <v/>
          </cell>
          <cell r="L1319" t="str">
            <v/>
          </cell>
          <cell r="M1319" t="str">
            <v/>
          </cell>
        </row>
        <row r="1320">
          <cell r="A1320">
            <v>45378</v>
          </cell>
          <cell r="B1320">
            <v>3</v>
          </cell>
          <cell r="D1320" t="str">
            <v/>
          </cell>
          <cell r="F1320" t="str">
            <v/>
          </cell>
          <cell r="G1320" t="str">
            <v/>
          </cell>
          <cell r="H1320" t="str">
            <v/>
          </cell>
          <cell r="I1320" t="str">
            <v/>
          </cell>
          <cell r="L1320" t="str">
            <v/>
          </cell>
          <cell r="M1320" t="str">
            <v/>
          </cell>
        </row>
        <row r="1321">
          <cell r="A1321">
            <v>45379</v>
          </cell>
          <cell r="B1321">
            <v>4</v>
          </cell>
          <cell r="D1321" t="str">
            <v/>
          </cell>
          <cell r="F1321" t="str">
            <v/>
          </cell>
          <cell r="G1321" t="str">
            <v/>
          </cell>
          <cell r="H1321" t="str">
            <v/>
          </cell>
          <cell r="I1321" t="str">
            <v/>
          </cell>
          <cell r="L1321" t="str">
            <v/>
          </cell>
          <cell r="M1321" t="str">
            <v/>
          </cell>
        </row>
        <row r="1322">
          <cell r="A1322">
            <v>45380</v>
          </cell>
          <cell r="B1322">
            <v>5</v>
          </cell>
          <cell r="D1322" t="str">
            <v/>
          </cell>
          <cell r="F1322" t="str">
            <v/>
          </cell>
          <cell r="G1322" t="str">
            <v/>
          </cell>
          <cell r="H1322" t="str">
            <v/>
          </cell>
          <cell r="I1322" t="str">
            <v/>
          </cell>
          <cell r="L1322" t="str">
            <v/>
          </cell>
          <cell r="M1322" t="str">
            <v/>
          </cell>
        </row>
        <row r="1323">
          <cell r="A1323">
            <v>45383</v>
          </cell>
          <cell r="B1323">
            <v>1</v>
          </cell>
          <cell r="D1323" t="str">
            <v/>
          </cell>
          <cell r="F1323" t="str">
            <v/>
          </cell>
          <cell r="G1323" t="str">
            <v/>
          </cell>
          <cell r="H1323" t="str">
            <v/>
          </cell>
          <cell r="I1323" t="str">
            <v/>
          </cell>
          <cell r="L1323" t="str">
            <v/>
          </cell>
          <cell r="M1323" t="str">
            <v/>
          </cell>
        </row>
        <row r="1324">
          <cell r="A1324">
            <v>45384</v>
          </cell>
          <cell r="B1324">
            <v>2</v>
          </cell>
          <cell r="D1324" t="str">
            <v/>
          </cell>
          <cell r="F1324" t="str">
            <v/>
          </cell>
          <cell r="G1324" t="str">
            <v/>
          </cell>
          <cell r="H1324" t="str">
            <v/>
          </cell>
          <cell r="I1324" t="str">
            <v/>
          </cell>
          <cell r="L1324" t="str">
            <v/>
          </cell>
          <cell r="M1324" t="str">
            <v/>
          </cell>
        </row>
        <row r="1325">
          <cell r="A1325">
            <v>45385</v>
          </cell>
          <cell r="B1325">
            <v>3</v>
          </cell>
          <cell r="D1325" t="str">
            <v/>
          </cell>
          <cell r="F1325" t="str">
            <v/>
          </cell>
          <cell r="G1325" t="str">
            <v/>
          </cell>
          <cell r="H1325" t="str">
            <v/>
          </cell>
          <cell r="I1325" t="str">
            <v/>
          </cell>
          <cell r="L1325" t="str">
            <v/>
          </cell>
          <cell r="M1325" t="str">
            <v/>
          </cell>
        </row>
        <row r="1326">
          <cell r="A1326">
            <v>45386</v>
          </cell>
          <cell r="B1326">
            <v>4</v>
          </cell>
          <cell r="D1326" t="str">
            <v/>
          </cell>
          <cell r="F1326" t="str">
            <v/>
          </cell>
          <cell r="G1326" t="str">
            <v/>
          </cell>
          <cell r="H1326" t="str">
            <v/>
          </cell>
          <cell r="I1326" t="str">
            <v/>
          </cell>
          <cell r="L1326" t="str">
            <v/>
          </cell>
          <cell r="M1326" t="str">
            <v/>
          </cell>
        </row>
        <row r="1327">
          <cell r="A1327">
            <v>45387</v>
          </cell>
          <cell r="B1327">
            <v>5</v>
          </cell>
          <cell r="D1327" t="str">
            <v/>
          </cell>
          <cell r="F1327" t="str">
            <v/>
          </cell>
          <cell r="G1327" t="str">
            <v/>
          </cell>
          <cell r="H1327" t="str">
            <v/>
          </cell>
          <cell r="I1327" t="str">
            <v/>
          </cell>
          <cell r="L1327" t="str">
            <v/>
          </cell>
          <cell r="M1327" t="str">
            <v/>
          </cell>
        </row>
        <row r="1328">
          <cell r="A1328">
            <v>45390</v>
          </cell>
          <cell r="B1328">
            <v>1</v>
          </cell>
          <cell r="D1328" t="str">
            <v/>
          </cell>
          <cell r="F1328" t="str">
            <v/>
          </cell>
          <cell r="G1328" t="str">
            <v/>
          </cell>
          <cell r="H1328" t="str">
            <v/>
          </cell>
          <cell r="I1328" t="str">
            <v/>
          </cell>
          <cell r="L1328" t="str">
            <v/>
          </cell>
          <cell r="M1328" t="str">
            <v/>
          </cell>
        </row>
        <row r="1329">
          <cell r="A1329">
            <v>45391</v>
          </cell>
          <cell r="B1329">
            <v>2</v>
          </cell>
          <cell r="D1329" t="str">
            <v/>
          </cell>
          <cell r="F1329" t="str">
            <v/>
          </cell>
          <cell r="G1329" t="str">
            <v/>
          </cell>
          <cell r="H1329" t="str">
            <v/>
          </cell>
          <cell r="I1329" t="str">
            <v/>
          </cell>
          <cell r="L1329" t="str">
            <v/>
          </cell>
          <cell r="M1329" t="str">
            <v/>
          </cell>
        </row>
        <row r="1330">
          <cell r="A1330">
            <v>45392</v>
          </cell>
          <cell r="B1330">
            <v>3</v>
          </cell>
          <cell r="D1330" t="str">
            <v/>
          </cell>
          <cell r="F1330" t="str">
            <v/>
          </cell>
          <cell r="G1330" t="str">
            <v/>
          </cell>
          <cell r="H1330" t="str">
            <v/>
          </cell>
          <cell r="I1330" t="str">
            <v/>
          </cell>
          <cell r="L1330" t="str">
            <v/>
          </cell>
          <cell r="M1330" t="str">
            <v/>
          </cell>
        </row>
        <row r="1331">
          <cell r="A1331">
            <v>45393</v>
          </cell>
          <cell r="B1331">
            <v>4</v>
          </cell>
          <cell r="D1331" t="str">
            <v/>
          </cell>
          <cell r="F1331" t="str">
            <v/>
          </cell>
          <cell r="G1331" t="str">
            <v/>
          </cell>
          <cell r="H1331" t="str">
            <v/>
          </cell>
          <cell r="I1331" t="str">
            <v/>
          </cell>
          <cell r="L1331" t="str">
            <v/>
          </cell>
          <cell r="M1331" t="str">
            <v/>
          </cell>
        </row>
        <row r="1332">
          <cell r="A1332">
            <v>45394</v>
          </cell>
          <cell r="B1332">
            <v>5</v>
          </cell>
          <cell r="D1332" t="str">
            <v/>
          </cell>
          <cell r="F1332" t="str">
            <v/>
          </cell>
          <cell r="G1332" t="str">
            <v/>
          </cell>
          <cell r="H1332" t="str">
            <v/>
          </cell>
          <cell r="I1332" t="str">
            <v/>
          </cell>
          <cell r="L1332" t="str">
            <v/>
          </cell>
          <cell r="M1332" t="str">
            <v/>
          </cell>
        </row>
        <row r="1333">
          <cell r="A1333">
            <v>45397</v>
          </cell>
          <cell r="B1333">
            <v>1</v>
          </cell>
          <cell r="D1333" t="str">
            <v/>
          </cell>
          <cell r="F1333" t="str">
            <v/>
          </cell>
          <cell r="G1333" t="str">
            <v/>
          </cell>
          <cell r="H1333" t="str">
            <v/>
          </cell>
          <cell r="I1333" t="str">
            <v/>
          </cell>
          <cell r="L1333" t="str">
            <v/>
          </cell>
          <cell r="M1333" t="str">
            <v/>
          </cell>
        </row>
        <row r="1334">
          <cell r="A1334">
            <v>45398</v>
          </cell>
          <cell r="B1334">
            <v>2</v>
          </cell>
          <cell r="D1334" t="str">
            <v/>
          </cell>
          <cell r="F1334" t="str">
            <v/>
          </cell>
          <cell r="G1334" t="str">
            <v/>
          </cell>
          <cell r="H1334" t="str">
            <v/>
          </cell>
          <cell r="I1334" t="str">
            <v/>
          </cell>
          <cell r="L1334" t="str">
            <v/>
          </cell>
          <cell r="M1334" t="str">
            <v/>
          </cell>
        </row>
        <row r="1335">
          <cell r="A1335">
            <v>45399</v>
          </cell>
          <cell r="B1335">
            <v>3</v>
          </cell>
          <cell r="D1335" t="str">
            <v/>
          </cell>
          <cell r="F1335" t="str">
            <v/>
          </cell>
          <cell r="G1335" t="str">
            <v/>
          </cell>
          <cell r="H1335" t="str">
            <v/>
          </cell>
          <cell r="I1335" t="str">
            <v/>
          </cell>
          <cell r="L1335" t="str">
            <v/>
          </cell>
          <cell r="M1335" t="str">
            <v/>
          </cell>
        </row>
        <row r="1336">
          <cell r="A1336">
            <v>45400</v>
          </cell>
          <cell r="B1336">
            <v>4</v>
          </cell>
          <cell r="D1336" t="str">
            <v/>
          </cell>
          <cell r="F1336" t="str">
            <v/>
          </cell>
          <cell r="G1336" t="str">
            <v/>
          </cell>
          <cell r="H1336" t="str">
            <v/>
          </cell>
          <cell r="I1336" t="str">
            <v/>
          </cell>
          <cell r="L1336" t="str">
            <v/>
          </cell>
          <cell r="M1336" t="str">
            <v/>
          </cell>
        </row>
        <row r="1337">
          <cell r="A1337">
            <v>45401</v>
          </cell>
          <cell r="B1337">
            <v>5</v>
          </cell>
          <cell r="D1337" t="str">
            <v/>
          </cell>
          <cell r="F1337" t="str">
            <v/>
          </cell>
          <cell r="G1337" t="str">
            <v/>
          </cell>
          <cell r="H1337" t="str">
            <v/>
          </cell>
          <cell r="I1337" t="str">
            <v/>
          </cell>
          <cell r="L1337" t="str">
            <v/>
          </cell>
          <cell r="M1337" t="str">
            <v/>
          </cell>
        </row>
        <row r="1338">
          <cell r="A1338">
            <v>45404</v>
          </cell>
          <cell r="B1338">
            <v>1</v>
          </cell>
          <cell r="D1338" t="str">
            <v/>
          </cell>
          <cell r="F1338" t="str">
            <v/>
          </cell>
          <cell r="G1338" t="str">
            <v/>
          </cell>
          <cell r="H1338" t="str">
            <v/>
          </cell>
          <cell r="I1338" t="str">
            <v/>
          </cell>
          <cell r="L1338" t="str">
            <v/>
          </cell>
          <cell r="M1338" t="str">
            <v/>
          </cell>
        </row>
        <row r="1339">
          <cell r="A1339">
            <v>45405</v>
          </cell>
          <cell r="B1339">
            <v>2</v>
          </cell>
          <cell r="D1339" t="str">
            <v/>
          </cell>
          <cell r="F1339" t="str">
            <v/>
          </cell>
          <cell r="G1339" t="str">
            <v/>
          </cell>
          <cell r="H1339" t="str">
            <v/>
          </cell>
          <cell r="I1339" t="str">
            <v/>
          </cell>
          <cell r="L1339" t="str">
            <v/>
          </cell>
          <cell r="M1339" t="str">
            <v/>
          </cell>
        </row>
        <row r="1340">
          <cell r="A1340">
            <v>45406</v>
          </cell>
          <cell r="B1340">
            <v>3</v>
          </cell>
          <cell r="D1340" t="str">
            <v/>
          </cell>
          <cell r="F1340" t="str">
            <v/>
          </cell>
          <cell r="G1340" t="str">
            <v/>
          </cell>
          <cell r="H1340" t="str">
            <v/>
          </cell>
          <cell r="I1340" t="str">
            <v/>
          </cell>
          <cell r="L1340" t="str">
            <v/>
          </cell>
          <cell r="M1340" t="str">
            <v/>
          </cell>
        </row>
        <row r="1341">
          <cell r="A1341">
            <v>45407</v>
          </cell>
          <cell r="B1341">
            <v>4</v>
          </cell>
          <cell r="D1341" t="str">
            <v/>
          </cell>
          <cell r="F1341" t="str">
            <v/>
          </cell>
          <cell r="G1341" t="str">
            <v/>
          </cell>
          <cell r="H1341" t="str">
            <v/>
          </cell>
          <cell r="I1341" t="str">
            <v/>
          </cell>
          <cell r="L1341" t="str">
            <v/>
          </cell>
          <cell r="M1341" t="str">
            <v/>
          </cell>
        </row>
        <row r="1342">
          <cell r="A1342">
            <v>45408</v>
          </cell>
          <cell r="B1342">
            <v>5</v>
          </cell>
          <cell r="D1342" t="str">
            <v/>
          </cell>
          <cell r="F1342" t="str">
            <v/>
          </cell>
          <cell r="G1342" t="str">
            <v/>
          </cell>
          <cell r="H1342" t="str">
            <v/>
          </cell>
          <cell r="I1342" t="str">
            <v/>
          </cell>
          <cell r="L1342" t="str">
            <v/>
          </cell>
          <cell r="M1342" t="str">
            <v/>
          </cell>
        </row>
        <row r="1343">
          <cell r="A1343">
            <v>45411</v>
          </cell>
          <cell r="B1343">
            <v>1</v>
          </cell>
          <cell r="D1343" t="str">
            <v/>
          </cell>
          <cell r="F1343" t="str">
            <v/>
          </cell>
          <cell r="G1343" t="str">
            <v/>
          </cell>
          <cell r="H1343" t="str">
            <v/>
          </cell>
          <cell r="I1343" t="str">
            <v/>
          </cell>
          <cell r="L1343" t="str">
            <v/>
          </cell>
          <cell r="M1343" t="str">
            <v/>
          </cell>
        </row>
        <row r="1344">
          <cell r="A1344">
            <v>45412</v>
          </cell>
          <cell r="B1344">
            <v>2</v>
          </cell>
          <cell r="D1344" t="str">
            <v/>
          </cell>
          <cell r="F1344" t="str">
            <v/>
          </cell>
          <cell r="G1344" t="str">
            <v/>
          </cell>
          <cell r="H1344" t="str">
            <v/>
          </cell>
          <cell r="I1344" t="str">
            <v/>
          </cell>
          <cell r="L1344" t="str">
            <v/>
          </cell>
          <cell r="M1344" t="str">
            <v/>
          </cell>
        </row>
        <row r="1345">
          <cell r="A1345">
            <v>45413</v>
          </cell>
          <cell r="B1345">
            <v>3</v>
          </cell>
          <cell r="D1345" t="str">
            <v/>
          </cell>
          <cell r="F1345" t="str">
            <v/>
          </cell>
          <cell r="G1345" t="str">
            <v/>
          </cell>
          <cell r="H1345" t="str">
            <v/>
          </cell>
          <cell r="I1345" t="str">
            <v/>
          </cell>
          <cell r="L1345" t="str">
            <v/>
          </cell>
          <cell r="M1345" t="str">
            <v/>
          </cell>
        </row>
        <row r="1346">
          <cell r="A1346">
            <v>45414</v>
          </cell>
          <cell r="B1346">
            <v>4</v>
          </cell>
          <cell r="D1346" t="str">
            <v/>
          </cell>
          <cell r="F1346" t="str">
            <v/>
          </cell>
          <cell r="G1346" t="str">
            <v/>
          </cell>
          <cell r="H1346" t="str">
            <v/>
          </cell>
          <cell r="I1346" t="str">
            <v/>
          </cell>
          <cell r="L1346" t="str">
            <v/>
          </cell>
          <cell r="M1346" t="str">
            <v/>
          </cell>
        </row>
        <row r="1347">
          <cell r="A1347">
            <v>45415</v>
          </cell>
          <cell r="B1347">
            <v>5</v>
          </cell>
          <cell r="D1347" t="str">
            <v/>
          </cell>
          <cell r="F1347" t="str">
            <v/>
          </cell>
          <cell r="G1347" t="str">
            <v/>
          </cell>
          <cell r="H1347" t="str">
            <v/>
          </cell>
          <cell r="I1347" t="str">
            <v/>
          </cell>
          <cell r="L1347" t="str">
            <v/>
          </cell>
          <cell r="M1347" t="str">
            <v/>
          </cell>
        </row>
        <row r="1348">
          <cell r="A1348">
            <v>45418</v>
          </cell>
          <cell r="B1348">
            <v>1</v>
          </cell>
          <cell r="D1348" t="str">
            <v/>
          </cell>
          <cell r="F1348" t="str">
            <v/>
          </cell>
          <cell r="G1348" t="str">
            <v/>
          </cell>
          <cell r="H1348" t="str">
            <v/>
          </cell>
          <cell r="I1348" t="str">
            <v/>
          </cell>
          <cell r="L1348" t="str">
            <v/>
          </cell>
          <cell r="M1348" t="str">
            <v/>
          </cell>
        </row>
        <row r="1349">
          <cell r="A1349">
            <v>45419</v>
          </cell>
          <cell r="B1349">
            <v>2</v>
          </cell>
          <cell r="D1349" t="str">
            <v/>
          </cell>
          <cell r="F1349" t="str">
            <v/>
          </cell>
          <cell r="G1349" t="str">
            <v/>
          </cell>
          <cell r="H1349" t="str">
            <v/>
          </cell>
          <cell r="I1349" t="str">
            <v/>
          </cell>
          <cell r="L1349" t="str">
            <v/>
          </cell>
          <cell r="M1349" t="str">
            <v/>
          </cell>
        </row>
        <row r="1350">
          <cell r="A1350">
            <v>45420</v>
          </cell>
          <cell r="B1350">
            <v>3</v>
          </cell>
          <cell r="D1350" t="str">
            <v/>
          </cell>
          <cell r="F1350" t="str">
            <v/>
          </cell>
          <cell r="G1350" t="str">
            <v/>
          </cell>
          <cell r="H1350" t="str">
            <v/>
          </cell>
          <cell r="I1350" t="str">
            <v/>
          </cell>
          <cell r="L1350" t="str">
            <v/>
          </cell>
          <cell r="M1350" t="str">
            <v/>
          </cell>
        </row>
        <row r="1351">
          <cell r="A1351">
            <v>45421</v>
          </cell>
          <cell r="B1351">
            <v>4</v>
          </cell>
          <cell r="D1351" t="str">
            <v/>
          </cell>
          <cell r="F1351" t="str">
            <v/>
          </cell>
          <cell r="G1351" t="str">
            <v/>
          </cell>
          <cell r="H1351" t="str">
            <v/>
          </cell>
          <cell r="I1351" t="str">
            <v/>
          </cell>
          <cell r="L1351" t="str">
            <v/>
          </cell>
          <cell r="M1351" t="str">
            <v/>
          </cell>
        </row>
        <row r="1352">
          <cell r="A1352">
            <v>45422</v>
          </cell>
          <cell r="B1352">
            <v>5</v>
          </cell>
          <cell r="D1352" t="str">
            <v/>
          </cell>
          <cell r="F1352" t="str">
            <v/>
          </cell>
          <cell r="G1352" t="str">
            <v/>
          </cell>
          <cell r="H1352" t="str">
            <v/>
          </cell>
          <cell r="I1352" t="str">
            <v/>
          </cell>
          <cell r="L1352" t="str">
            <v/>
          </cell>
          <cell r="M1352" t="str">
            <v/>
          </cell>
        </row>
        <row r="1353">
          <cell r="A1353">
            <v>45425</v>
          </cell>
          <cell r="B1353">
            <v>1</v>
          </cell>
          <cell r="D1353" t="str">
            <v/>
          </cell>
          <cell r="F1353" t="str">
            <v/>
          </cell>
          <cell r="G1353" t="str">
            <v/>
          </cell>
          <cell r="H1353" t="str">
            <v/>
          </cell>
          <cell r="I1353" t="str">
            <v/>
          </cell>
          <cell r="L1353" t="str">
            <v/>
          </cell>
          <cell r="M1353" t="str">
            <v/>
          </cell>
        </row>
        <row r="1354">
          <cell r="A1354">
            <v>45426</v>
          </cell>
          <cell r="B1354">
            <v>2</v>
          </cell>
          <cell r="D1354" t="str">
            <v/>
          </cell>
          <cell r="F1354" t="str">
            <v/>
          </cell>
          <cell r="G1354" t="str">
            <v/>
          </cell>
          <cell r="H1354" t="str">
            <v/>
          </cell>
          <cell r="I1354" t="str">
            <v/>
          </cell>
          <cell r="L1354" t="str">
            <v/>
          </cell>
          <cell r="M1354" t="str">
            <v/>
          </cell>
        </row>
        <row r="1355">
          <cell r="A1355">
            <v>45427</v>
          </cell>
          <cell r="B1355">
            <v>3</v>
          </cell>
          <cell r="D1355" t="str">
            <v/>
          </cell>
          <cell r="F1355" t="str">
            <v/>
          </cell>
          <cell r="G1355" t="str">
            <v/>
          </cell>
          <cell r="H1355" t="str">
            <v/>
          </cell>
          <cell r="I1355" t="str">
            <v/>
          </cell>
          <cell r="L1355" t="str">
            <v/>
          </cell>
          <cell r="M1355" t="str">
            <v/>
          </cell>
        </row>
        <row r="1356">
          <cell r="A1356">
            <v>45428</v>
          </cell>
          <cell r="B1356">
            <v>4</v>
          </cell>
          <cell r="D1356" t="str">
            <v/>
          </cell>
          <cell r="F1356" t="str">
            <v/>
          </cell>
          <cell r="G1356" t="str">
            <v/>
          </cell>
          <cell r="H1356" t="str">
            <v/>
          </cell>
          <cell r="I1356" t="str">
            <v/>
          </cell>
          <cell r="L1356" t="str">
            <v/>
          </cell>
          <cell r="M1356" t="str">
            <v/>
          </cell>
        </row>
        <row r="1357">
          <cell r="A1357">
            <v>45429</v>
          </cell>
          <cell r="B1357">
            <v>5</v>
          </cell>
          <cell r="D1357" t="str">
            <v/>
          </cell>
          <cell r="F1357" t="str">
            <v/>
          </cell>
          <cell r="G1357" t="str">
            <v/>
          </cell>
          <cell r="H1357" t="str">
            <v/>
          </cell>
          <cell r="I1357" t="str">
            <v/>
          </cell>
          <cell r="L1357" t="str">
            <v/>
          </cell>
          <cell r="M1357" t="str">
            <v/>
          </cell>
        </row>
        <row r="1358">
          <cell r="A1358">
            <v>45432</v>
          </cell>
          <cell r="B1358">
            <v>1</v>
          </cell>
          <cell r="D1358" t="str">
            <v/>
          </cell>
          <cell r="F1358" t="str">
            <v/>
          </cell>
          <cell r="G1358" t="str">
            <v/>
          </cell>
          <cell r="H1358" t="str">
            <v/>
          </cell>
          <cell r="I1358" t="str">
            <v/>
          </cell>
          <cell r="L1358" t="str">
            <v/>
          </cell>
          <cell r="M1358" t="str">
            <v/>
          </cell>
        </row>
        <row r="1359">
          <cell r="A1359">
            <v>45433</v>
          </cell>
          <cell r="B1359">
            <v>2</v>
          </cell>
          <cell r="D1359" t="str">
            <v/>
          </cell>
          <cell r="F1359" t="str">
            <v/>
          </cell>
          <cell r="G1359" t="str">
            <v/>
          </cell>
          <cell r="H1359" t="str">
            <v/>
          </cell>
          <cell r="I1359" t="str">
            <v/>
          </cell>
          <cell r="L1359" t="str">
            <v/>
          </cell>
          <cell r="M1359" t="str">
            <v/>
          </cell>
        </row>
        <row r="1360">
          <cell r="A1360">
            <v>45434</v>
          </cell>
          <cell r="B1360">
            <v>3</v>
          </cell>
          <cell r="D1360" t="str">
            <v/>
          </cell>
          <cell r="F1360" t="str">
            <v/>
          </cell>
          <cell r="G1360" t="str">
            <v/>
          </cell>
          <cell r="H1360" t="str">
            <v/>
          </cell>
          <cell r="I1360" t="str">
            <v/>
          </cell>
          <cell r="L1360" t="str">
            <v/>
          </cell>
          <cell r="M1360" t="str">
            <v/>
          </cell>
        </row>
        <row r="1361">
          <cell r="A1361">
            <v>45435</v>
          </cell>
          <cell r="B1361">
            <v>4</v>
          </cell>
          <cell r="D1361" t="str">
            <v/>
          </cell>
          <cell r="F1361" t="str">
            <v/>
          </cell>
          <cell r="G1361" t="str">
            <v/>
          </cell>
          <cell r="H1361" t="str">
            <v/>
          </cell>
          <cell r="I1361" t="str">
            <v/>
          </cell>
          <cell r="L1361" t="str">
            <v/>
          </cell>
          <cell r="M1361" t="str">
            <v/>
          </cell>
        </row>
        <row r="1362">
          <cell r="A1362">
            <v>45436</v>
          </cell>
          <cell r="B1362">
            <v>5</v>
          </cell>
          <cell r="D1362" t="str">
            <v/>
          </cell>
          <cell r="F1362" t="str">
            <v/>
          </cell>
          <cell r="G1362" t="str">
            <v/>
          </cell>
          <cell r="H1362" t="str">
            <v/>
          </cell>
          <cell r="I1362" t="str">
            <v/>
          </cell>
          <cell r="L1362" t="str">
            <v/>
          </cell>
          <cell r="M1362" t="str">
            <v/>
          </cell>
        </row>
        <row r="1363">
          <cell r="A1363">
            <v>45439</v>
          </cell>
          <cell r="B1363">
            <v>1</v>
          </cell>
          <cell r="D1363" t="str">
            <v/>
          </cell>
          <cell r="F1363" t="str">
            <v/>
          </cell>
          <cell r="G1363" t="str">
            <v/>
          </cell>
          <cell r="H1363" t="str">
            <v/>
          </cell>
          <cell r="I1363" t="str">
            <v/>
          </cell>
          <cell r="L1363" t="str">
            <v/>
          </cell>
          <cell r="M1363" t="str">
            <v/>
          </cell>
        </row>
        <row r="1364">
          <cell r="A1364">
            <v>45440</v>
          </cell>
          <cell r="B1364">
            <v>2</v>
          </cell>
          <cell r="D1364" t="str">
            <v/>
          </cell>
          <cell r="F1364" t="str">
            <v/>
          </cell>
          <cell r="G1364" t="str">
            <v/>
          </cell>
          <cell r="H1364" t="str">
            <v/>
          </cell>
          <cell r="I1364" t="str">
            <v/>
          </cell>
          <cell r="L1364" t="str">
            <v/>
          </cell>
          <cell r="M1364" t="str">
            <v/>
          </cell>
        </row>
        <row r="1365">
          <cell r="A1365">
            <v>45441</v>
          </cell>
          <cell r="B1365">
            <v>3</v>
          </cell>
          <cell r="D1365" t="str">
            <v/>
          </cell>
          <cell r="F1365" t="str">
            <v/>
          </cell>
          <cell r="G1365" t="str">
            <v/>
          </cell>
          <cell r="H1365" t="str">
            <v/>
          </cell>
          <cell r="I1365" t="str">
            <v/>
          </cell>
          <cell r="L1365" t="str">
            <v/>
          </cell>
          <cell r="M1365" t="str">
            <v/>
          </cell>
        </row>
        <row r="1366">
          <cell r="A1366">
            <v>45442</v>
          </cell>
          <cell r="B1366">
            <v>4</v>
          </cell>
          <cell r="D1366" t="str">
            <v/>
          </cell>
          <cell r="F1366" t="str">
            <v/>
          </cell>
          <cell r="G1366" t="str">
            <v/>
          </cell>
          <cell r="H1366" t="str">
            <v/>
          </cell>
          <cell r="I1366" t="str">
            <v/>
          </cell>
          <cell r="L1366" t="str">
            <v/>
          </cell>
          <cell r="M1366" t="str">
            <v/>
          </cell>
        </row>
        <row r="1367">
          <cell r="A1367">
            <v>45443</v>
          </cell>
          <cell r="B1367">
            <v>5</v>
          </cell>
          <cell r="D1367" t="str">
            <v/>
          </cell>
          <cell r="F1367" t="str">
            <v/>
          </cell>
          <cell r="G1367" t="str">
            <v/>
          </cell>
          <cell r="H1367" t="str">
            <v/>
          </cell>
          <cell r="I1367" t="str">
            <v/>
          </cell>
          <cell r="L1367" t="str">
            <v/>
          </cell>
          <cell r="M1367" t="str">
            <v/>
          </cell>
        </row>
        <row r="1368">
          <cell r="A1368">
            <v>45446</v>
          </cell>
          <cell r="B1368">
            <v>1</v>
          </cell>
          <cell r="D1368" t="str">
            <v/>
          </cell>
          <cell r="F1368" t="str">
            <v/>
          </cell>
          <cell r="G1368" t="str">
            <v/>
          </cell>
          <cell r="H1368" t="str">
            <v/>
          </cell>
          <cell r="I1368" t="str">
            <v/>
          </cell>
          <cell r="L1368" t="str">
            <v/>
          </cell>
          <cell r="M1368" t="str">
            <v/>
          </cell>
        </row>
        <row r="1369">
          <cell r="A1369">
            <v>45447</v>
          </cell>
          <cell r="B1369">
            <v>2</v>
          </cell>
          <cell r="D1369" t="str">
            <v/>
          </cell>
          <cell r="F1369" t="str">
            <v/>
          </cell>
          <cell r="G1369" t="str">
            <v/>
          </cell>
          <cell r="H1369" t="str">
            <v/>
          </cell>
          <cell r="I1369" t="str">
            <v/>
          </cell>
          <cell r="L1369" t="str">
            <v/>
          </cell>
          <cell r="M1369" t="str">
            <v/>
          </cell>
        </row>
        <row r="1370">
          <cell r="A1370">
            <v>45448</v>
          </cell>
          <cell r="B1370">
            <v>3</v>
          </cell>
          <cell r="D1370" t="str">
            <v/>
          </cell>
          <cell r="F1370" t="str">
            <v/>
          </cell>
          <cell r="G1370" t="str">
            <v/>
          </cell>
          <cell r="H1370" t="str">
            <v/>
          </cell>
          <cell r="I1370" t="str">
            <v/>
          </cell>
          <cell r="L1370" t="str">
            <v/>
          </cell>
          <cell r="M1370" t="str">
            <v/>
          </cell>
        </row>
        <row r="1371">
          <cell r="A1371">
            <v>45449</v>
          </cell>
          <cell r="B1371">
            <v>4</v>
          </cell>
          <cell r="D1371" t="str">
            <v/>
          </cell>
          <cell r="F1371" t="str">
            <v/>
          </cell>
          <cell r="G1371" t="str">
            <v/>
          </cell>
          <cell r="H1371" t="str">
            <v/>
          </cell>
          <cell r="I1371" t="str">
            <v/>
          </cell>
          <cell r="L1371" t="str">
            <v/>
          </cell>
          <cell r="M1371" t="str">
            <v/>
          </cell>
        </row>
        <row r="1372">
          <cell r="A1372">
            <v>45450</v>
          </cell>
          <cell r="B1372">
            <v>5</v>
          </cell>
          <cell r="D1372" t="str">
            <v/>
          </cell>
          <cell r="F1372" t="str">
            <v/>
          </cell>
          <cell r="G1372" t="str">
            <v/>
          </cell>
          <cell r="H1372" t="str">
            <v/>
          </cell>
          <cell r="I1372" t="str">
            <v/>
          </cell>
          <cell r="L1372" t="str">
            <v/>
          </cell>
          <cell r="M1372" t="str">
            <v/>
          </cell>
        </row>
        <row r="1373">
          <cell r="A1373">
            <v>45453</v>
          </cell>
          <cell r="B1373">
            <v>1</v>
          </cell>
          <cell r="D1373" t="str">
            <v/>
          </cell>
          <cell r="F1373" t="str">
            <v/>
          </cell>
          <cell r="G1373" t="str">
            <v/>
          </cell>
          <cell r="H1373" t="str">
            <v/>
          </cell>
          <cell r="I1373" t="str">
            <v/>
          </cell>
          <cell r="L1373" t="str">
            <v/>
          </cell>
          <cell r="M1373" t="str">
            <v/>
          </cell>
        </row>
        <row r="1374">
          <cell r="A1374">
            <v>45454</v>
          </cell>
          <cell r="B1374">
            <v>2</v>
          </cell>
          <cell r="D1374" t="str">
            <v/>
          </cell>
          <cell r="F1374" t="str">
            <v/>
          </cell>
          <cell r="G1374" t="str">
            <v/>
          </cell>
          <cell r="H1374" t="str">
            <v/>
          </cell>
          <cell r="I1374" t="str">
            <v/>
          </cell>
          <cell r="L1374" t="str">
            <v/>
          </cell>
          <cell r="M1374" t="str">
            <v/>
          </cell>
        </row>
        <row r="1375">
          <cell r="A1375">
            <v>45455</v>
          </cell>
          <cell r="B1375">
            <v>3</v>
          </cell>
          <cell r="D1375" t="str">
            <v/>
          </cell>
          <cell r="F1375" t="str">
            <v/>
          </cell>
          <cell r="G1375" t="str">
            <v/>
          </cell>
          <cell r="H1375" t="str">
            <v/>
          </cell>
          <cell r="I1375" t="str">
            <v/>
          </cell>
          <cell r="L1375" t="str">
            <v/>
          </cell>
          <cell r="M1375" t="str">
            <v/>
          </cell>
        </row>
        <row r="1376">
          <cell r="A1376">
            <v>45456</v>
          </cell>
          <cell r="B1376">
            <v>4</v>
          </cell>
          <cell r="D1376" t="str">
            <v/>
          </cell>
          <cell r="F1376" t="str">
            <v/>
          </cell>
          <cell r="G1376" t="str">
            <v/>
          </cell>
          <cell r="H1376" t="str">
            <v/>
          </cell>
          <cell r="I1376" t="str">
            <v/>
          </cell>
          <cell r="L1376" t="str">
            <v/>
          </cell>
          <cell r="M1376" t="str">
            <v/>
          </cell>
        </row>
        <row r="1377">
          <cell r="A1377">
            <v>45457</v>
          </cell>
          <cell r="B1377">
            <v>5</v>
          </cell>
          <cell r="D1377" t="str">
            <v/>
          </cell>
          <cell r="F1377" t="str">
            <v/>
          </cell>
          <cell r="G1377" t="str">
            <v/>
          </cell>
          <cell r="H1377" t="str">
            <v/>
          </cell>
          <cell r="I1377" t="str">
            <v/>
          </cell>
          <cell r="L1377" t="str">
            <v/>
          </cell>
          <cell r="M1377" t="str">
            <v/>
          </cell>
        </row>
        <row r="1378">
          <cell r="A1378">
            <v>45460</v>
          </cell>
          <cell r="B1378">
            <v>1</v>
          </cell>
          <cell r="D1378" t="str">
            <v/>
          </cell>
          <cell r="F1378" t="str">
            <v/>
          </cell>
          <cell r="G1378" t="str">
            <v/>
          </cell>
          <cell r="H1378" t="str">
            <v/>
          </cell>
          <cell r="I1378" t="str">
            <v/>
          </cell>
          <cell r="L1378" t="str">
            <v/>
          </cell>
          <cell r="M1378" t="str">
            <v/>
          </cell>
        </row>
        <row r="1379">
          <cell r="A1379">
            <v>45461</v>
          </cell>
          <cell r="B1379">
            <v>2</v>
          </cell>
          <cell r="D1379" t="str">
            <v/>
          </cell>
          <cell r="F1379" t="str">
            <v/>
          </cell>
          <cell r="G1379" t="str">
            <v/>
          </cell>
          <cell r="H1379" t="str">
            <v/>
          </cell>
          <cell r="I1379" t="str">
            <v/>
          </cell>
          <cell r="L1379" t="str">
            <v/>
          </cell>
          <cell r="M1379" t="str">
            <v/>
          </cell>
        </row>
        <row r="1380">
          <cell r="A1380">
            <v>45462</v>
          </cell>
          <cell r="B1380">
            <v>3</v>
          </cell>
          <cell r="D1380" t="str">
            <v/>
          </cell>
          <cell r="F1380" t="str">
            <v/>
          </cell>
          <cell r="G1380" t="str">
            <v/>
          </cell>
          <cell r="H1380" t="str">
            <v/>
          </cell>
          <cell r="I1380" t="str">
            <v/>
          </cell>
          <cell r="L1380" t="str">
            <v/>
          </cell>
          <cell r="M1380" t="str">
            <v/>
          </cell>
        </row>
        <row r="1381">
          <cell r="A1381">
            <v>45463</v>
          </cell>
          <cell r="B1381">
            <v>4</v>
          </cell>
          <cell r="D1381" t="str">
            <v/>
          </cell>
          <cell r="F1381" t="str">
            <v/>
          </cell>
          <cell r="G1381" t="str">
            <v/>
          </cell>
          <cell r="H1381" t="str">
            <v/>
          </cell>
          <cell r="I1381" t="str">
            <v/>
          </cell>
          <cell r="L1381" t="str">
            <v/>
          </cell>
          <cell r="M1381" t="str">
            <v/>
          </cell>
        </row>
        <row r="1382">
          <cell r="A1382">
            <v>45464</v>
          </cell>
          <cell r="B1382">
            <v>5</v>
          </cell>
          <cell r="D1382" t="str">
            <v/>
          </cell>
          <cell r="F1382" t="str">
            <v/>
          </cell>
          <cell r="G1382" t="str">
            <v/>
          </cell>
          <cell r="H1382" t="str">
            <v/>
          </cell>
          <cell r="I1382" t="str">
            <v/>
          </cell>
          <cell r="L1382" t="str">
            <v/>
          </cell>
          <cell r="M1382" t="str">
            <v/>
          </cell>
        </row>
        <row r="1383">
          <cell r="A1383">
            <v>45467</v>
          </cell>
          <cell r="B1383">
            <v>1</v>
          </cell>
          <cell r="D1383" t="str">
            <v/>
          </cell>
          <cell r="F1383" t="str">
            <v/>
          </cell>
          <cell r="G1383" t="str">
            <v/>
          </cell>
          <cell r="H1383" t="str">
            <v/>
          </cell>
          <cell r="I1383" t="str">
            <v/>
          </cell>
          <cell r="L1383" t="str">
            <v/>
          </cell>
          <cell r="M1383" t="str">
            <v/>
          </cell>
        </row>
        <row r="1384">
          <cell r="A1384">
            <v>45468</v>
          </cell>
          <cell r="B1384">
            <v>2</v>
          </cell>
          <cell r="D1384" t="str">
            <v/>
          </cell>
          <cell r="F1384" t="str">
            <v/>
          </cell>
          <cell r="G1384" t="str">
            <v/>
          </cell>
          <cell r="H1384" t="str">
            <v/>
          </cell>
          <cell r="I1384" t="str">
            <v/>
          </cell>
          <cell r="L1384" t="str">
            <v/>
          </cell>
          <cell r="M1384" t="str">
            <v/>
          </cell>
        </row>
        <row r="1385">
          <cell r="A1385">
            <v>45469</v>
          </cell>
          <cell r="B1385">
            <v>3</v>
          </cell>
          <cell r="D1385" t="str">
            <v/>
          </cell>
          <cell r="F1385" t="str">
            <v/>
          </cell>
          <cell r="G1385" t="str">
            <v/>
          </cell>
          <cell r="H1385" t="str">
            <v/>
          </cell>
          <cell r="I1385" t="str">
            <v/>
          </cell>
          <cell r="L1385" t="str">
            <v/>
          </cell>
          <cell r="M1385" t="str">
            <v/>
          </cell>
        </row>
        <row r="1386">
          <cell r="A1386">
            <v>45470</v>
          </cell>
          <cell r="B1386">
            <v>4</v>
          </cell>
          <cell r="D1386" t="str">
            <v/>
          </cell>
          <cell r="F1386" t="str">
            <v/>
          </cell>
          <cell r="G1386" t="str">
            <v/>
          </cell>
          <cell r="H1386" t="str">
            <v/>
          </cell>
          <cell r="I1386" t="str">
            <v/>
          </cell>
          <cell r="L1386" t="str">
            <v/>
          </cell>
          <cell r="M1386" t="str">
            <v/>
          </cell>
        </row>
        <row r="1387">
          <cell r="A1387">
            <v>45471</v>
          </cell>
          <cell r="B1387">
            <v>5</v>
          </cell>
          <cell r="D1387" t="str">
            <v/>
          </cell>
          <cell r="F1387" t="str">
            <v/>
          </cell>
          <cell r="G1387" t="str">
            <v/>
          </cell>
          <cell r="H1387" t="str">
            <v/>
          </cell>
          <cell r="I1387" t="str">
            <v/>
          </cell>
          <cell r="L1387" t="str">
            <v/>
          </cell>
          <cell r="M1387" t="str">
            <v/>
          </cell>
        </row>
        <row r="1388">
          <cell r="A1388">
            <v>45474</v>
          </cell>
          <cell r="B1388">
            <v>1</v>
          </cell>
          <cell r="D1388" t="str">
            <v/>
          </cell>
          <cell r="F1388" t="str">
            <v/>
          </cell>
          <cell r="G1388" t="str">
            <v/>
          </cell>
          <cell r="H1388" t="str">
            <v/>
          </cell>
          <cell r="I1388" t="str">
            <v/>
          </cell>
          <cell r="L1388" t="str">
            <v/>
          </cell>
          <cell r="M1388" t="str">
            <v/>
          </cell>
        </row>
        <row r="1389">
          <cell r="A1389">
            <v>45475</v>
          </cell>
          <cell r="B1389">
            <v>2</v>
          </cell>
          <cell r="D1389" t="str">
            <v/>
          </cell>
          <cell r="F1389" t="str">
            <v/>
          </cell>
          <cell r="G1389" t="str">
            <v/>
          </cell>
          <cell r="H1389" t="str">
            <v/>
          </cell>
          <cell r="I1389" t="str">
            <v/>
          </cell>
          <cell r="L1389" t="str">
            <v/>
          </cell>
          <cell r="M1389" t="str">
            <v/>
          </cell>
        </row>
        <row r="1390">
          <cell r="A1390">
            <v>45476</v>
          </cell>
          <cell r="B1390">
            <v>3</v>
          </cell>
          <cell r="D1390" t="str">
            <v/>
          </cell>
          <cell r="F1390" t="str">
            <v/>
          </cell>
          <cell r="G1390" t="str">
            <v/>
          </cell>
          <cell r="H1390" t="str">
            <v/>
          </cell>
          <cell r="I1390" t="str">
            <v/>
          </cell>
          <cell r="L1390" t="str">
            <v/>
          </cell>
          <cell r="M1390" t="str">
            <v/>
          </cell>
        </row>
        <row r="1391">
          <cell r="A1391">
            <v>45477</v>
          </cell>
          <cell r="B1391">
            <v>4</v>
          </cell>
          <cell r="D1391" t="str">
            <v/>
          </cell>
          <cell r="F1391" t="str">
            <v/>
          </cell>
          <cell r="G1391" t="str">
            <v/>
          </cell>
          <cell r="H1391" t="str">
            <v/>
          </cell>
          <cell r="I1391" t="str">
            <v/>
          </cell>
          <cell r="L1391" t="str">
            <v/>
          </cell>
          <cell r="M1391" t="str">
            <v/>
          </cell>
        </row>
        <row r="1392">
          <cell r="A1392">
            <v>45478</v>
          </cell>
          <cell r="B1392">
            <v>5</v>
          </cell>
          <cell r="D1392" t="str">
            <v/>
          </cell>
          <cell r="F1392" t="str">
            <v/>
          </cell>
          <cell r="G1392" t="str">
            <v/>
          </cell>
          <cell r="H1392" t="str">
            <v/>
          </cell>
          <cell r="I1392" t="str">
            <v/>
          </cell>
          <cell r="L1392" t="str">
            <v/>
          </cell>
          <cell r="M1392" t="str">
            <v/>
          </cell>
        </row>
        <row r="1393">
          <cell r="A1393">
            <v>45481</v>
          </cell>
          <cell r="B1393">
            <v>1</v>
          </cell>
          <cell r="D1393" t="str">
            <v/>
          </cell>
          <cell r="F1393" t="str">
            <v/>
          </cell>
          <cell r="G1393" t="str">
            <v/>
          </cell>
          <cell r="H1393" t="str">
            <v/>
          </cell>
          <cell r="I1393" t="str">
            <v/>
          </cell>
          <cell r="L1393" t="str">
            <v/>
          </cell>
          <cell r="M1393" t="str">
            <v/>
          </cell>
        </row>
        <row r="1394">
          <cell r="A1394">
            <v>45482</v>
          </cell>
          <cell r="B1394">
            <v>2</v>
          </cell>
          <cell r="D1394" t="str">
            <v/>
          </cell>
          <cell r="F1394" t="str">
            <v/>
          </cell>
          <cell r="G1394" t="str">
            <v/>
          </cell>
          <cell r="H1394" t="str">
            <v/>
          </cell>
          <cell r="I1394" t="str">
            <v/>
          </cell>
          <cell r="L1394" t="str">
            <v/>
          </cell>
          <cell r="M1394" t="str">
            <v/>
          </cell>
        </row>
        <row r="1395">
          <cell r="A1395">
            <v>45483</v>
          </cell>
          <cell r="B1395">
            <v>3</v>
          </cell>
          <cell r="D1395" t="str">
            <v/>
          </cell>
          <cell r="F1395" t="str">
            <v/>
          </cell>
          <cell r="G1395" t="str">
            <v/>
          </cell>
          <cell r="H1395" t="str">
            <v/>
          </cell>
          <cell r="I1395" t="str">
            <v/>
          </cell>
          <cell r="L1395" t="str">
            <v/>
          </cell>
          <cell r="M1395" t="str">
            <v/>
          </cell>
        </row>
        <row r="1396">
          <cell r="A1396">
            <v>45484</v>
          </cell>
          <cell r="B1396">
            <v>4</v>
          </cell>
          <cell r="D1396" t="str">
            <v/>
          </cell>
          <cell r="F1396" t="str">
            <v/>
          </cell>
          <cell r="G1396" t="str">
            <v/>
          </cell>
          <cell r="H1396" t="str">
            <v/>
          </cell>
          <cell r="I1396" t="str">
            <v/>
          </cell>
          <cell r="L1396" t="str">
            <v/>
          </cell>
          <cell r="M1396" t="str">
            <v/>
          </cell>
        </row>
        <row r="1397">
          <cell r="A1397">
            <v>45485</v>
          </cell>
          <cell r="B1397">
            <v>5</v>
          </cell>
          <cell r="D1397" t="str">
            <v/>
          </cell>
          <cell r="F1397" t="str">
            <v/>
          </cell>
          <cell r="G1397" t="str">
            <v/>
          </cell>
          <cell r="H1397" t="str">
            <v/>
          </cell>
          <cell r="I1397" t="str">
            <v/>
          </cell>
          <cell r="L1397" t="str">
            <v/>
          </cell>
          <cell r="M1397" t="str">
            <v/>
          </cell>
        </row>
        <row r="1398">
          <cell r="A1398">
            <v>45488</v>
          </cell>
          <cell r="B1398">
            <v>1</v>
          </cell>
          <cell r="D1398" t="str">
            <v/>
          </cell>
          <cell r="F1398" t="str">
            <v/>
          </cell>
          <cell r="G1398" t="str">
            <v/>
          </cell>
          <cell r="H1398" t="str">
            <v/>
          </cell>
          <cell r="I1398" t="str">
            <v/>
          </cell>
          <cell r="L1398" t="str">
            <v/>
          </cell>
          <cell r="M1398" t="str">
            <v/>
          </cell>
        </row>
        <row r="1399">
          <cell r="A1399">
            <v>45489</v>
          </cell>
          <cell r="B1399">
            <v>2</v>
          </cell>
          <cell r="D1399" t="str">
            <v/>
          </cell>
          <cell r="F1399" t="str">
            <v/>
          </cell>
          <cell r="G1399" t="str">
            <v/>
          </cell>
          <cell r="H1399" t="str">
            <v/>
          </cell>
          <cell r="I1399" t="str">
            <v/>
          </cell>
          <cell r="L1399" t="str">
            <v/>
          </cell>
          <cell r="M1399" t="str">
            <v/>
          </cell>
        </row>
        <row r="1400">
          <cell r="A1400">
            <v>45490</v>
          </cell>
          <cell r="B1400">
            <v>3</v>
          </cell>
          <cell r="D1400" t="str">
            <v/>
          </cell>
          <cell r="F1400" t="str">
            <v/>
          </cell>
          <cell r="G1400" t="str">
            <v/>
          </cell>
          <cell r="H1400" t="str">
            <v/>
          </cell>
          <cell r="I1400" t="str">
            <v/>
          </cell>
          <cell r="L1400" t="str">
            <v/>
          </cell>
          <cell r="M1400" t="str">
            <v/>
          </cell>
        </row>
        <row r="1401">
          <cell r="A1401">
            <v>45491</v>
          </cell>
          <cell r="B1401">
            <v>4</v>
          </cell>
          <cell r="D1401" t="str">
            <v/>
          </cell>
          <cell r="F1401" t="str">
            <v/>
          </cell>
          <cell r="G1401" t="str">
            <v/>
          </cell>
          <cell r="H1401" t="str">
            <v/>
          </cell>
          <cell r="I1401" t="str">
            <v/>
          </cell>
          <cell r="L1401" t="str">
            <v/>
          </cell>
          <cell r="M1401" t="str">
            <v/>
          </cell>
        </row>
        <row r="1402">
          <cell r="A1402">
            <v>45492</v>
          </cell>
          <cell r="B1402">
            <v>5</v>
          </cell>
          <cell r="D1402" t="str">
            <v/>
          </cell>
          <cell r="F1402" t="str">
            <v/>
          </cell>
          <cell r="G1402" t="str">
            <v/>
          </cell>
          <cell r="H1402" t="str">
            <v/>
          </cell>
          <cell r="I1402" t="str">
            <v/>
          </cell>
          <cell r="L1402" t="str">
            <v/>
          </cell>
          <cell r="M1402" t="str">
            <v/>
          </cell>
        </row>
        <row r="1403">
          <cell r="A1403">
            <v>45495</v>
          </cell>
          <cell r="B1403">
            <v>1</v>
          </cell>
          <cell r="D1403" t="str">
            <v/>
          </cell>
          <cell r="F1403" t="str">
            <v/>
          </cell>
          <cell r="G1403" t="str">
            <v/>
          </cell>
          <cell r="H1403" t="str">
            <v/>
          </cell>
          <cell r="I1403" t="str">
            <v/>
          </cell>
          <cell r="L1403" t="str">
            <v/>
          </cell>
          <cell r="M1403" t="str">
            <v/>
          </cell>
        </row>
        <row r="1404">
          <cell r="A1404">
            <v>45496</v>
          </cell>
          <cell r="B1404">
            <v>2</v>
          </cell>
          <cell r="D1404" t="str">
            <v/>
          </cell>
          <cell r="F1404" t="str">
            <v/>
          </cell>
          <cell r="G1404" t="str">
            <v/>
          </cell>
          <cell r="H1404" t="str">
            <v/>
          </cell>
          <cell r="I1404" t="str">
            <v/>
          </cell>
          <cell r="L1404" t="str">
            <v/>
          </cell>
          <cell r="M1404" t="str">
            <v/>
          </cell>
        </row>
        <row r="1405">
          <cell r="A1405">
            <v>45497</v>
          </cell>
          <cell r="B1405">
            <v>3</v>
          </cell>
          <cell r="D1405" t="str">
            <v/>
          </cell>
          <cell r="F1405" t="str">
            <v/>
          </cell>
          <cell r="G1405" t="str">
            <v/>
          </cell>
          <cell r="H1405" t="str">
            <v/>
          </cell>
          <cell r="I1405" t="str">
            <v/>
          </cell>
          <cell r="L1405" t="str">
            <v/>
          </cell>
          <cell r="M1405" t="str">
            <v/>
          </cell>
        </row>
        <row r="1406">
          <cell r="A1406">
            <v>45498</v>
          </cell>
          <cell r="B1406">
            <v>4</v>
          </cell>
          <cell r="D1406" t="str">
            <v/>
          </cell>
          <cell r="F1406" t="str">
            <v/>
          </cell>
          <cell r="G1406" t="str">
            <v/>
          </cell>
          <cell r="H1406" t="str">
            <v/>
          </cell>
          <cell r="I1406" t="str">
            <v/>
          </cell>
          <cell r="L1406" t="str">
            <v/>
          </cell>
          <cell r="M1406" t="str">
            <v/>
          </cell>
        </row>
        <row r="1407">
          <cell r="A1407">
            <v>45499</v>
          </cell>
          <cell r="B1407">
            <v>5</v>
          </cell>
          <cell r="D1407" t="str">
            <v/>
          </cell>
          <cell r="F1407" t="str">
            <v/>
          </cell>
          <cell r="G1407" t="str">
            <v/>
          </cell>
          <cell r="H1407" t="str">
            <v/>
          </cell>
          <cell r="I1407" t="str">
            <v/>
          </cell>
          <cell r="L1407" t="str">
            <v/>
          </cell>
          <cell r="M1407" t="str">
            <v/>
          </cell>
        </row>
        <row r="1408">
          <cell r="A1408">
            <v>45502</v>
          </cell>
          <cell r="B1408">
            <v>1</v>
          </cell>
          <cell r="D1408" t="str">
            <v/>
          </cell>
          <cell r="F1408" t="str">
            <v/>
          </cell>
          <cell r="G1408" t="str">
            <v/>
          </cell>
          <cell r="H1408" t="str">
            <v/>
          </cell>
          <cell r="I1408" t="str">
            <v/>
          </cell>
          <cell r="L1408" t="str">
            <v/>
          </cell>
          <cell r="M1408" t="str">
            <v/>
          </cell>
        </row>
        <row r="1409">
          <cell r="A1409">
            <v>45503</v>
          </cell>
          <cell r="B1409">
            <v>2</v>
          </cell>
          <cell r="D1409" t="str">
            <v/>
          </cell>
          <cell r="F1409" t="str">
            <v/>
          </cell>
          <cell r="G1409" t="str">
            <v/>
          </cell>
          <cell r="H1409" t="str">
            <v/>
          </cell>
          <cell r="I1409" t="str">
            <v/>
          </cell>
          <cell r="L1409" t="str">
            <v/>
          </cell>
          <cell r="M1409" t="str">
            <v/>
          </cell>
        </row>
        <row r="1410">
          <cell r="A1410">
            <v>45504</v>
          </cell>
          <cell r="B1410">
            <v>3</v>
          </cell>
          <cell r="D1410" t="str">
            <v/>
          </cell>
          <cell r="F1410" t="str">
            <v/>
          </cell>
          <cell r="G1410" t="str">
            <v/>
          </cell>
          <cell r="H1410" t="str">
            <v/>
          </cell>
          <cell r="I1410" t="str">
            <v/>
          </cell>
          <cell r="L1410" t="str">
            <v/>
          </cell>
          <cell r="M1410" t="str">
            <v/>
          </cell>
        </row>
        <row r="1411">
          <cell r="A1411">
            <v>45505</v>
          </cell>
          <cell r="B1411">
            <v>4</v>
          </cell>
          <cell r="D1411" t="str">
            <v/>
          </cell>
          <cell r="F1411" t="str">
            <v/>
          </cell>
          <cell r="G1411" t="str">
            <v/>
          </cell>
          <cell r="H1411" t="str">
            <v/>
          </cell>
          <cell r="I1411" t="str">
            <v/>
          </cell>
          <cell r="L1411" t="str">
            <v/>
          </cell>
          <cell r="M1411" t="str">
            <v/>
          </cell>
        </row>
        <row r="1412">
          <cell r="A1412">
            <v>45506</v>
          </cell>
          <cell r="B1412">
            <v>5</v>
          </cell>
          <cell r="D1412" t="str">
            <v/>
          </cell>
          <cell r="F1412" t="str">
            <v/>
          </cell>
          <cell r="G1412" t="str">
            <v/>
          </cell>
          <cell r="H1412" t="str">
            <v/>
          </cell>
          <cell r="I1412" t="str">
            <v/>
          </cell>
          <cell r="L1412" t="str">
            <v/>
          </cell>
          <cell r="M1412" t="str">
            <v/>
          </cell>
        </row>
        <row r="1413">
          <cell r="A1413">
            <v>45509</v>
          </cell>
          <cell r="B1413">
            <v>1</v>
          </cell>
          <cell r="D1413" t="str">
            <v/>
          </cell>
          <cell r="F1413" t="str">
            <v/>
          </cell>
          <cell r="G1413" t="str">
            <v/>
          </cell>
          <cell r="H1413" t="str">
            <v/>
          </cell>
          <cell r="I1413" t="str">
            <v/>
          </cell>
          <cell r="L1413" t="str">
            <v/>
          </cell>
          <cell r="M1413" t="str">
            <v/>
          </cell>
        </row>
        <row r="1414">
          <cell r="A1414">
            <v>45510</v>
          </cell>
          <cell r="B1414">
            <v>2</v>
          </cell>
          <cell r="D1414" t="str">
            <v/>
          </cell>
          <cell r="F1414" t="str">
            <v/>
          </cell>
          <cell r="G1414" t="str">
            <v/>
          </cell>
          <cell r="H1414" t="str">
            <v/>
          </cell>
          <cell r="I1414" t="str">
            <v/>
          </cell>
          <cell r="L1414" t="str">
            <v/>
          </cell>
          <cell r="M1414" t="str">
            <v/>
          </cell>
        </row>
        <row r="1415">
          <cell r="A1415">
            <v>45511</v>
          </cell>
          <cell r="B1415">
            <v>3</v>
          </cell>
          <cell r="D1415" t="str">
            <v/>
          </cell>
          <cell r="F1415" t="str">
            <v/>
          </cell>
          <cell r="G1415" t="str">
            <v/>
          </cell>
          <cell r="H1415" t="str">
            <v/>
          </cell>
          <cell r="I1415" t="str">
            <v/>
          </cell>
          <cell r="L1415" t="str">
            <v/>
          </cell>
          <cell r="M1415" t="str">
            <v/>
          </cell>
        </row>
        <row r="1416">
          <cell r="A1416">
            <v>45512</v>
          </cell>
          <cell r="B1416">
            <v>4</v>
          </cell>
          <cell r="D1416" t="str">
            <v/>
          </cell>
          <cell r="F1416" t="str">
            <v/>
          </cell>
          <cell r="G1416" t="str">
            <v/>
          </cell>
          <cell r="H1416" t="str">
            <v/>
          </cell>
          <cell r="I1416" t="str">
            <v/>
          </cell>
          <cell r="L1416" t="str">
            <v/>
          </cell>
          <cell r="M1416" t="str">
            <v/>
          </cell>
        </row>
        <row r="1417">
          <cell r="A1417">
            <v>45513</v>
          </cell>
          <cell r="B1417">
            <v>5</v>
          </cell>
          <cell r="D1417" t="str">
            <v/>
          </cell>
          <cell r="F1417" t="str">
            <v/>
          </cell>
          <cell r="G1417" t="str">
            <v/>
          </cell>
          <cell r="H1417" t="str">
            <v/>
          </cell>
          <cell r="I1417" t="str">
            <v/>
          </cell>
          <cell r="L1417" t="str">
            <v/>
          </cell>
          <cell r="M1417" t="str">
            <v/>
          </cell>
        </row>
        <row r="1418">
          <cell r="A1418">
            <v>45516</v>
          </cell>
          <cell r="B1418">
            <v>1</v>
          </cell>
          <cell r="D1418" t="str">
            <v/>
          </cell>
          <cell r="F1418" t="str">
            <v/>
          </cell>
          <cell r="G1418" t="str">
            <v/>
          </cell>
          <cell r="H1418" t="str">
            <v/>
          </cell>
          <cell r="I1418" t="str">
            <v/>
          </cell>
          <cell r="L1418" t="str">
            <v/>
          </cell>
          <cell r="M1418" t="str">
            <v/>
          </cell>
        </row>
        <row r="1419">
          <cell r="A1419">
            <v>45517</v>
          </cell>
          <cell r="B1419">
            <v>2</v>
          </cell>
          <cell r="D1419" t="str">
            <v/>
          </cell>
          <cell r="F1419" t="str">
            <v/>
          </cell>
          <cell r="G1419" t="str">
            <v/>
          </cell>
          <cell r="H1419" t="str">
            <v/>
          </cell>
          <cell r="I1419" t="str">
            <v/>
          </cell>
          <cell r="L1419" t="str">
            <v/>
          </cell>
          <cell r="M1419" t="str">
            <v/>
          </cell>
        </row>
        <row r="1420">
          <cell r="A1420">
            <v>45518</v>
          </cell>
          <cell r="B1420">
            <v>3</v>
          </cell>
          <cell r="D1420" t="str">
            <v/>
          </cell>
          <cell r="F1420" t="str">
            <v/>
          </cell>
          <cell r="G1420" t="str">
            <v/>
          </cell>
          <cell r="H1420" t="str">
            <v/>
          </cell>
          <cell r="I1420" t="str">
            <v/>
          </cell>
          <cell r="L1420" t="str">
            <v/>
          </cell>
          <cell r="M1420" t="str">
            <v/>
          </cell>
        </row>
        <row r="1421">
          <cell r="A1421">
            <v>45519</v>
          </cell>
          <cell r="B1421">
            <v>4</v>
          </cell>
          <cell r="D1421" t="str">
            <v/>
          </cell>
          <cell r="F1421" t="str">
            <v/>
          </cell>
          <cell r="G1421" t="str">
            <v/>
          </cell>
          <cell r="H1421" t="str">
            <v/>
          </cell>
          <cell r="I1421" t="str">
            <v/>
          </cell>
          <cell r="L1421" t="str">
            <v/>
          </cell>
          <cell r="M1421" t="str">
            <v/>
          </cell>
        </row>
        <row r="1422">
          <cell r="A1422">
            <v>45520</v>
          </cell>
          <cell r="B1422">
            <v>5</v>
          </cell>
          <cell r="D1422" t="str">
            <v/>
          </cell>
          <cell r="F1422" t="str">
            <v/>
          </cell>
          <cell r="G1422" t="str">
            <v/>
          </cell>
          <cell r="H1422" t="str">
            <v/>
          </cell>
          <cell r="I1422" t="str">
            <v/>
          </cell>
          <cell r="L1422" t="str">
            <v/>
          </cell>
          <cell r="M1422" t="str">
            <v/>
          </cell>
        </row>
        <row r="1423">
          <cell r="A1423">
            <v>45523</v>
          </cell>
          <cell r="B1423">
            <v>1</v>
          </cell>
          <cell r="D1423" t="str">
            <v/>
          </cell>
          <cell r="F1423" t="str">
            <v/>
          </cell>
          <cell r="G1423" t="str">
            <v/>
          </cell>
          <cell r="H1423" t="str">
            <v/>
          </cell>
          <cell r="I1423" t="str">
            <v/>
          </cell>
          <cell r="L1423" t="str">
            <v/>
          </cell>
          <cell r="M1423" t="str">
            <v/>
          </cell>
        </row>
        <row r="1424">
          <cell r="A1424">
            <v>45524</v>
          </cell>
          <cell r="B1424">
            <v>2</v>
          </cell>
          <cell r="D1424" t="str">
            <v/>
          </cell>
          <cell r="F1424" t="str">
            <v/>
          </cell>
          <cell r="G1424" t="str">
            <v/>
          </cell>
          <cell r="H1424" t="str">
            <v/>
          </cell>
          <cell r="I1424" t="str">
            <v/>
          </cell>
          <cell r="L1424" t="str">
            <v/>
          </cell>
          <cell r="M1424" t="str">
            <v/>
          </cell>
        </row>
        <row r="1425">
          <cell r="A1425">
            <v>45525</v>
          </cell>
          <cell r="B1425">
            <v>3</v>
          </cell>
          <cell r="D1425" t="str">
            <v/>
          </cell>
          <cell r="F1425" t="str">
            <v/>
          </cell>
          <cell r="G1425" t="str">
            <v/>
          </cell>
          <cell r="H1425" t="str">
            <v/>
          </cell>
          <cell r="I1425" t="str">
            <v/>
          </cell>
          <cell r="L1425" t="str">
            <v/>
          </cell>
          <cell r="M1425" t="str">
            <v/>
          </cell>
        </row>
        <row r="1426">
          <cell r="A1426">
            <v>45526</v>
          </cell>
          <cell r="B1426">
            <v>4</v>
          </cell>
          <cell r="D1426" t="str">
            <v/>
          </cell>
          <cell r="F1426" t="str">
            <v/>
          </cell>
          <cell r="G1426" t="str">
            <v/>
          </cell>
          <cell r="H1426" t="str">
            <v/>
          </cell>
          <cell r="I1426" t="str">
            <v/>
          </cell>
          <cell r="L1426" t="str">
            <v/>
          </cell>
          <cell r="M1426" t="str">
            <v/>
          </cell>
        </row>
        <row r="1427">
          <cell r="A1427">
            <v>45527</v>
          </cell>
          <cell r="B1427">
            <v>5</v>
          </cell>
          <cell r="D1427" t="str">
            <v/>
          </cell>
          <cell r="F1427" t="str">
            <v/>
          </cell>
          <cell r="G1427" t="str">
            <v/>
          </cell>
          <cell r="H1427" t="str">
            <v/>
          </cell>
          <cell r="I1427" t="str">
            <v/>
          </cell>
          <cell r="L1427" t="str">
            <v/>
          </cell>
          <cell r="M1427" t="str">
            <v/>
          </cell>
        </row>
        <row r="1428">
          <cell r="A1428">
            <v>45530</v>
          </cell>
          <cell r="B1428">
            <v>1</v>
          </cell>
          <cell r="D1428" t="str">
            <v/>
          </cell>
          <cell r="F1428" t="str">
            <v/>
          </cell>
          <cell r="G1428" t="str">
            <v/>
          </cell>
          <cell r="H1428" t="str">
            <v/>
          </cell>
          <cell r="I1428" t="str">
            <v/>
          </cell>
          <cell r="L1428" t="str">
            <v/>
          </cell>
          <cell r="M1428" t="str">
            <v/>
          </cell>
        </row>
        <row r="1429">
          <cell r="A1429">
            <v>45531</v>
          </cell>
          <cell r="B1429">
            <v>2</v>
          </cell>
          <cell r="D1429" t="str">
            <v/>
          </cell>
          <cell r="F1429" t="str">
            <v/>
          </cell>
          <cell r="G1429" t="str">
            <v/>
          </cell>
          <cell r="H1429" t="str">
            <v/>
          </cell>
          <cell r="I1429" t="str">
            <v/>
          </cell>
          <cell r="L1429" t="str">
            <v/>
          </cell>
          <cell r="M1429" t="str">
            <v/>
          </cell>
        </row>
        <row r="1430">
          <cell r="A1430">
            <v>45532</v>
          </cell>
          <cell r="B1430">
            <v>3</v>
          </cell>
          <cell r="D1430" t="str">
            <v/>
          </cell>
          <cell r="F1430" t="str">
            <v/>
          </cell>
          <cell r="G1430" t="str">
            <v/>
          </cell>
          <cell r="H1430" t="str">
            <v/>
          </cell>
          <cell r="I1430" t="str">
            <v/>
          </cell>
          <cell r="L1430" t="str">
            <v/>
          </cell>
          <cell r="M1430" t="str">
            <v/>
          </cell>
        </row>
        <row r="1431">
          <cell r="A1431">
            <v>45533</v>
          </cell>
          <cell r="B1431">
            <v>4</v>
          </cell>
          <cell r="D1431" t="str">
            <v/>
          </cell>
          <cell r="F1431" t="str">
            <v/>
          </cell>
          <cell r="G1431" t="str">
            <v/>
          </cell>
          <cell r="H1431" t="str">
            <v/>
          </cell>
          <cell r="I1431" t="str">
            <v/>
          </cell>
          <cell r="L1431" t="str">
            <v/>
          </cell>
          <cell r="M1431" t="str">
            <v/>
          </cell>
        </row>
        <row r="1432">
          <cell r="A1432">
            <v>45534</v>
          </cell>
          <cell r="B1432">
            <v>5</v>
          </cell>
          <cell r="D1432" t="str">
            <v/>
          </cell>
          <cell r="F1432" t="str">
            <v/>
          </cell>
          <cell r="G1432" t="str">
            <v/>
          </cell>
          <cell r="H1432" t="str">
            <v/>
          </cell>
          <cell r="I1432" t="str">
            <v/>
          </cell>
          <cell r="L1432" t="str">
            <v/>
          </cell>
          <cell r="M1432" t="str">
            <v/>
          </cell>
        </row>
        <row r="1433">
          <cell r="A1433">
            <v>45537</v>
          </cell>
          <cell r="B1433">
            <v>1</v>
          </cell>
          <cell r="D1433" t="str">
            <v/>
          </cell>
          <cell r="F1433" t="str">
            <v/>
          </cell>
          <cell r="G1433" t="str">
            <v/>
          </cell>
          <cell r="H1433" t="str">
            <v/>
          </cell>
          <cell r="I1433" t="str">
            <v/>
          </cell>
          <cell r="L1433" t="str">
            <v/>
          </cell>
          <cell r="M1433" t="str">
            <v/>
          </cell>
        </row>
        <row r="1434">
          <cell r="A1434">
            <v>45538</v>
          </cell>
          <cell r="B1434">
            <v>2</v>
          </cell>
          <cell r="D1434" t="str">
            <v/>
          </cell>
          <cell r="F1434" t="str">
            <v/>
          </cell>
          <cell r="G1434" t="str">
            <v/>
          </cell>
          <cell r="H1434" t="str">
            <v/>
          </cell>
          <cell r="I1434" t="str">
            <v/>
          </cell>
          <cell r="L1434" t="str">
            <v/>
          </cell>
          <cell r="M1434" t="str">
            <v/>
          </cell>
        </row>
        <row r="1435">
          <cell r="A1435">
            <v>45539</v>
          </cell>
          <cell r="B1435">
            <v>3</v>
          </cell>
          <cell r="D1435" t="str">
            <v/>
          </cell>
          <cell r="F1435" t="str">
            <v/>
          </cell>
          <cell r="G1435" t="str">
            <v/>
          </cell>
          <cell r="H1435" t="str">
            <v/>
          </cell>
          <cell r="I1435" t="str">
            <v/>
          </cell>
          <cell r="L1435" t="str">
            <v/>
          </cell>
          <cell r="M1435" t="str">
            <v/>
          </cell>
        </row>
        <row r="1436">
          <cell r="A1436">
            <v>45540</v>
          </cell>
          <cell r="B1436">
            <v>4</v>
          </cell>
          <cell r="D1436" t="str">
            <v/>
          </cell>
          <cell r="F1436" t="str">
            <v/>
          </cell>
          <cell r="G1436" t="str">
            <v/>
          </cell>
          <cell r="H1436" t="str">
            <v/>
          </cell>
          <cell r="I1436" t="str">
            <v/>
          </cell>
          <cell r="L1436" t="str">
            <v/>
          </cell>
          <cell r="M1436" t="str">
            <v/>
          </cell>
        </row>
        <row r="1437">
          <cell r="A1437">
            <v>45541</v>
          </cell>
          <cell r="B1437">
            <v>5</v>
          </cell>
          <cell r="D1437" t="str">
            <v/>
          </cell>
          <cell r="F1437" t="str">
            <v/>
          </cell>
          <cell r="G1437" t="str">
            <v/>
          </cell>
          <cell r="H1437" t="str">
            <v/>
          </cell>
          <cell r="I1437" t="str">
            <v/>
          </cell>
          <cell r="L1437" t="str">
            <v/>
          </cell>
          <cell r="M1437" t="str">
            <v/>
          </cell>
        </row>
        <row r="1438">
          <cell r="A1438">
            <v>45544</v>
          </cell>
          <cell r="B1438">
            <v>1</v>
          </cell>
          <cell r="D1438" t="str">
            <v/>
          </cell>
          <cell r="F1438" t="str">
            <v/>
          </cell>
          <cell r="G1438" t="str">
            <v/>
          </cell>
          <cell r="H1438" t="str">
            <v/>
          </cell>
          <cell r="I1438" t="str">
            <v/>
          </cell>
          <cell r="L1438" t="str">
            <v/>
          </cell>
          <cell r="M1438" t="str">
            <v/>
          </cell>
        </row>
        <row r="1439">
          <cell r="A1439">
            <v>45545</v>
          </cell>
          <cell r="B1439">
            <v>2</v>
          </cell>
          <cell r="D1439" t="str">
            <v/>
          </cell>
          <cell r="F1439" t="str">
            <v/>
          </cell>
          <cell r="G1439" t="str">
            <v/>
          </cell>
          <cell r="H1439" t="str">
            <v/>
          </cell>
          <cell r="I1439" t="str">
            <v/>
          </cell>
          <cell r="L1439" t="str">
            <v/>
          </cell>
          <cell r="M1439" t="str">
            <v/>
          </cell>
        </row>
        <row r="1440">
          <cell r="A1440">
            <v>45546</v>
          </cell>
          <cell r="B1440">
            <v>3</v>
          </cell>
          <cell r="D1440" t="str">
            <v/>
          </cell>
          <cell r="F1440" t="str">
            <v/>
          </cell>
          <cell r="G1440" t="str">
            <v/>
          </cell>
          <cell r="H1440" t="str">
            <v/>
          </cell>
          <cell r="I1440" t="str">
            <v/>
          </cell>
          <cell r="L1440" t="str">
            <v/>
          </cell>
          <cell r="M1440" t="str">
            <v/>
          </cell>
        </row>
        <row r="1441">
          <cell r="A1441">
            <v>45547</v>
          </cell>
          <cell r="B1441">
            <v>4</v>
          </cell>
          <cell r="D1441" t="str">
            <v/>
          </cell>
          <cell r="F1441" t="str">
            <v/>
          </cell>
          <cell r="G1441" t="str">
            <v/>
          </cell>
          <cell r="H1441" t="str">
            <v/>
          </cell>
          <cell r="I1441" t="str">
            <v/>
          </cell>
          <cell r="L1441" t="str">
            <v/>
          </cell>
          <cell r="M1441" t="str">
            <v/>
          </cell>
        </row>
        <row r="1442">
          <cell r="A1442">
            <v>45548</v>
          </cell>
          <cell r="B1442">
            <v>5</v>
          </cell>
          <cell r="D1442" t="str">
            <v/>
          </cell>
          <cell r="F1442" t="str">
            <v/>
          </cell>
          <cell r="G1442" t="str">
            <v/>
          </cell>
          <cell r="H1442" t="str">
            <v/>
          </cell>
          <cell r="I1442" t="str">
            <v/>
          </cell>
          <cell r="L1442" t="str">
            <v/>
          </cell>
          <cell r="M1442" t="str">
            <v/>
          </cell>
        </row>
        <row r="1443">
          <cell r="A1443">
            <v>45551</v>
          </cell>
          <cell r="B1443">
            <v>1</v>
          </cell>
          <cell r="D1443" t="str">
            <v/>
          </cell>
          <cell r="F1443" t="str">
            <v/>
          </cell>
          <cell r="G1443" t="str">
            <v/>
          </cell>
          <cell r="H1443" t="str">
            <v/>
          </cell>
          <cell r="I1443" t="str">
            <v/>
          </cell>
          <cell r="L1443" t="str">
            <v/>
          </cell>
          <cell r="M1443" t="str">
            <v/>
          </cell>
        </row>
        <row r="1444">
          <cell r="A1444">
            <v>45552</v>
          </cell>
          <cell r="B1444">
            <v>2</v>
          </cell>
          <cell r="D1444" t="str">
            <v/>
          </cell>
          <cell r="F1444" t="str">
            <v/>
          </cell>
          <cell r="G1444" t="str">
            <v/>
          </cell>
          <cell r="H1444" t="str">
            <v/>
          </cell>
          <cell r="I1444" t="str">
            <v/>
          </cell>
          <cell r="L1444" t="str">
            <v/>
          </cell>
          <cell r="M1444" t="str">
            <v/>
          </cell>
        </row>
        <row r="1445">
          <cell r="A1445">
            <v>45553</v>
          </cell>
          <cell r="B1445">
            <v>3</v>
          </cell>
          <cell r="D1445" t="str">
            <v/>
          </cell>
          <cell r="F1445" t="str">
            <v/>
          </cell>
          <cell r="G1445" t="str">
            <v/>
          </cell>
          <cell r="H1445" t="str">
            <v/>
          </cell>
          <cell r="I1445" t="str">
            <v/>
          </cell>
          <cell r="L1445" t="str">
            <v/>
          </cell>
          <cell r="M1445" t="str">
            <v/>
          </cell>
        </row>
        <row r="1446">
          <cell r="A1446">
            <v>45554</v>
          </cell>
          <cell r="B1446">
            <v>4</v>
          </cell>
          <cell r="D1446" t="str">
            <v/>
          </cell>
          <cell r="F1446" t="str">
            <v/>
          </cell>
          <cell r="G1446" t="str">
            <v/>
          </cell>
          <cell r="H1446" t="str">
            <v/>
          </cell>
          <cell r="I1446" t="str">
            <v/>
          </cell>
          <cell r="L1446" t="str">
            <v/>
          </cell>
          <cell r="M1446" t="str">
            <v/>
          </cell>
        </row>
        <row r="1447">
          <cell r="A1447">
            <v>45555</v>
          </cell>
          <cell r="B1447">
            <v>5</v>
          </cell>
          <cell r="D1447" t="str">
            <v/>
          </cell>
          <cell r="F1447" t="str">
            <v/>
          </cell>
          <cell r="G1447" t="str">
            <v/>
          </cell>
          <cell r="H1447" t="str">
            <v/>
          </cell>
          <cell r="I1447" t="str">
            <v/>
          </cell>
          <cell r="L1447" t="str">
            <v/>
          </cell>
          <cell r="M1447" t="str">
            <v/>
          </cell>
        </row>
        <row r="1448">
          <cell r="A1448">
            <v>45558</v>
          </cell>
          <cell r="B1448">
            <v>1</v>
          </cell>
          <cell r="D1448" t="str">
            <v/>
          </cell>
          <cell r="F1448" t="str">
            <v/>
          </cell>
          <cell r="G1448" t="str">
            <v/>
          </cell>
          <cell r="H1448" t="str">
            <v/>
          </cell>
          <cell r="I1448" t="str">
            <v/>
          </cell>
          <cell r="L1448" t="str">
            <v/>
          </cell>
          <cell r="M1448" t="str">
            <v/>
          </cell>
        </row>
        <row r="1449">
          <cell r="A1449">
            <v>45559</v>
          </cell>
          <cell r="B1449">
            <v>2</v>
          </cell>
          <cell r="D1449" t="str">
            <v/>
          </cell>
          <cell r="F1449" t="str">
            <v/>
          </cell>
          <cell r="G1449" t="str">
            <v/>
          </cell>
          <cell r="H1449" t="str">
            <v/>
          </cell>
          <cell r="I1449" t="str">
            <v/>
          </cell>
          <cell r="L1449" t="str">
            <v/>
          </cell>
          <cell r="M1449" t="str">
            <v/>
          </cell>
        </row>
        <row r="1450">
          <cell r="A1450">
            <v>45560</v>
          </cell>
          <cell r="B1450">
            <v>3</v>
          </cell>
          <cell r="D1450" t="str">
            <v/>
          </cell>
          <cell r="F1450" t="str">
            <v/>
          </cell>
          <cell r="G1450" t="str">
            <v/>
          </cell>
          <cell r="H1450" t="str">
            <v/>
          </cell>
          <cell r="I1450" t="str">
            <v/>
          </cell>
          <cell r="L1450" t="str">
            <v/>
          </cell>
          <cell r="M1450" t="str">
            <v/>
          </cell>
        </row>
        <row r="1451">
          <cell r="A1451">
            <v>45561</v>
          </cell>
          <cell r="B1451">
            <v>4</v>
          </cell>
          <cell r="D1451" t="str">
            <v/>
          </cell>
          <cell r="F1451" t="str">
            <v/>
          </cell>
          <cell r="G1451" t="str">
            <v/>
          </cell>
          <cell r="H1451" t="str">
            <v/>
          </cell>
          <cell r="I1451" t="str">
            <v/>
          </cell>
          <cell r="L1451" t="str">
            <v/>
          </cell>
          <cell r="M1451" t="str">
            <v/>
          </cell>
        </row>
        <row r="1452">
          <cell r="A1452">
            <v>45562</v>
          </cell>
          <cell r="B1452">
            <v>5</v>
          </cell>
          <cell r="D1452" t="str">
            <v/>
          </cell>
          <cell r="F1452" t="str">
            <v/>
          </cell>
          <cell r="G1452" t="str">
            <v/>
          </cell>
          <cell r="H1452" t="str">
            <v/>
          </cell>
          <cell r="I1452" t="str">
            <v/>
          </cell>
          <cell r="L1452" t="str">
            <v/>
          </cell>
          <cell r="M1452" t="str">
            <v/>
          </cell>
        </row>
        <row r="1453">
          <cell r="A1453">
            <v>45565</v>
          </cell>
          <cell r="B1453">
            <v>1</v>
          </cell>
          <cell r="D1453" t="str">
            <v/>
          </cell>
          <cell r="F1453" t="str">
            <v/>
          </cell>
          <cell r="G1453" t="str">
            <v/>
          </cell>
          <cell r="H1453" t="str">
            <v/>
          </cell>
          <cell r="I1453" t="str">
            <v/>
          </cell>
          <cell r="L1453" t="str">
            <v/>
          </cell>
          <cell r="M1453" t="str">
            <v/>
          </cell>
        </row>
        <row r="1454">
          <cell r="A1454">
            <v>45566</v>
          </cell>
          <cell r="B1454">
            <v>2</v>
          </cell>
          <cell r="D1454" t="str">
            <v/>
          </cell>
          <cell r="F1454" t="str">
            <v/>
          </cell>
          <cell r="G1454" t="str">
            <v/>
          </cell>
          <cell r="H1454" t="str">
            <v/>
          </cell>
          <cell r="I1454" t="str">
            <v/>
          </cell>
          <cell r="L1454" t="str">
            <v/>
          </cell>
          <cell r="M1454" t="str">
            <v/>
          </cell>
        </row>
        <row r="1455">
          <cell r="A1455">
            <v>45567</v>
          </cell>
          <cell r="B1455">
            <v>3</v>
          </cell>
          <cell r="D1455" t="str">
            <v/>
          </cell>
          <cell r="F1455" t="str">
            <v/>
          </cell>
          <cell r="G1455" t="str">
            <v/>
          </cell>
          <cell r="H1455" t="str">
            <v/>
          </cell>
          <cell r="I1455" t="str">
            <v/>
          </cell>
          <cell r="L1455" t="str">
            <v/>
          </cell>
          <cell r="M1455" t="str">
            <v/>
          </cell>
        </row>
        <row r="1456">
          <cell r="A1456">
            <v>45568</v>
          </cell>
          <cell r="B1456">
            <v>4</v>
          </cell>
          <cell r="D1456" t="str">
            <v/>
          </cell>
          <cell r="F1456" t="str">
            <v/>
          </cell>
          <cell r="G1456" t="str">
            <v/>
          </cell>
          <cell r="H1456" t="str">
            <v/>
          </cell>
          <cell r="I1456" t="str">
            <v/>
          </cell>
          <cell r="L1456" t="str">
            <v/>
          </cell>
          <cell r="M1456" t="str">
            <v/>
          </cell>
        </row>
        <row r="1457">
          <cell r="A1457">
            <v>45569</v>
          </cell>
          <cell r="B1457">
            <v>5</v>
          </cell>
          <cell r="D1457" t="str">
            <v/>
          </cell>
          <cell r="F1457" t="str">
            <v/>
          </cell>
          <cell r="G1457" t="str">
            <v/>
          </cell>
          <cell r="H1457" t="str">
            <v/>
          </cell>
          <cell r="I1457" t="str">
            <v/>
          </cell>
          <cell r="L1457" t="str">
            <v/>
          </cell>
          <cell r="M1457" t="str">
            <v/>
          </cell>
        </row>
        <row r="1458">
          <cell r="A1458">
            <v>45572</v>
          </cell>
          <cell r="B1458">
            <v>1</v>
          </cell>
          <cell r="D1458" t="str">
            <v/>
          </cell>
          <cell r="F1458" t="str">
            <v/>
          </cell>
          <cell r="G1458" t="str">
            <v/>
          </cell>
          <cell r="H1458" t="str">
            <v/>
          </cell>
          <cell r="I1458" t="str">
            <v/>
          </cell>
          <cell r="L1458" t="str">
            <v/>
          </cell>
          <cell r="M1458" t="str">
            <v/>
          </cell>
        </row>
        <row r="1459">
          <cell r="A1459">
            <v>45573</v>
          </cell>
          <cell r="B1459">
            <v>2</v>
          </cell>
          <cell r="D1459" t="str">
            <v/>
          </cell>
          <cell r="F1459" t="str">
            <v/>
          </cell>
          <cell r="G1459" t="str">
            <v/>
          </cell>
          <cell r="H1459" t="str">
            <v/>
          </cell>
          <cell r="I1459" t="str">
            <v/>
          </cell>
          <cell r="L1459" t="str">
            <v/>
          </cell>
          <cell r="M1459" t="str">
            <v/>
          </cell>
        </row>
        <row r="1460">
          <cell r="A1460">
            <v>45574</v>
          </cell>
          <cell r="B1460">
            <v>3</v>
          </cell>
          <cell r="D1460" t="str">
            <v/>
          </cell>
          <cell r="F1460" t="str">
            <v/>
          </cell>
          <cell r="G1460" t="str">
            <v/>
          </cell>
          <cell r="H1460" t="str">
            <v/>
          </cell>
          <cell r="I1460" t="str">
            <v/>
          </cell>
          <cell r="L1460" t="str">
            <v/>
          </cell>
          <cell r="M1460" t="str">
            <v/>
          </cell>
        </row>
        <row r="1461">
          <cell r="A1461">
            <v>45575</v>
          </cell>
          <cell r="B1461">
            <v>4</v>
          </cell>
          <cell r="D1461" t="str">
            <v/>
          </cell>
          <cell r="F1461" t="str">
            <v/>
          </cell>
          <cell r="G1461" t="str">
            <v/>
          </cell>
          <cell r="H1461" t="str">
            <v/>
          </cell>
          <cell r="I1461" t="str">
            <v/>
          </cell>
          <cell r="L1461" t="str">
            <v/>
          </cell>
          <cell r="M1461" t="str">
            <v/>
          </cell>
        </row>
        <row r="1462">
          <cell r="A1462">
            <v>45576</v>
          </cell>
          <cell r="B1462">
            <v>5</v>
          </cell>
          <cell r="D1462" t="str">
            <v/>
          </cell>
          <cell r="F1462" t="str">
            <v/>
          </cell>
          <cell r="G1462" t="str">
            <v/>
          </cell>
          <cell r="H1462" t="str">
            <v/>
          </cell>
          <cell r="I1462" t="str">
            <v/>
          </cell>
          <cell r="L1462" t="str">
            <v/>
          </cell>
          <cell r="M1462" t="str">
            <v/>
          </cell>
        </row>
        <row r="1463">
          <cell r="A1463">
            <v>45579</v>
          </cell>
          <cell r="B1463">
            <v>1</v>
          </cell>
          <cell r="D1463" t="str">
            <v/>
          </cell>
          <cell r="F1463" t="str">
            <v/>
          </cell>
          <cell r="G1463" t="str">
            <v/>
          </cell>
          <cell r="H1463" t="str">
            <v/>
          </cell>
          <cell r="I1463" t="str">
            <v/>
          </cell>
          <cell r="L1463" t="str">
            <v/>
          </cell>
          <cell r="M1463" t="str">
            <v/>
          </cell>
        </row>
        <row r="1464">
          <cell r="A1464">
            <v>45580</v>
          </cell>
          <cell r="B1464">
            <v>2</v>
          </cell>
          <cell r="D1464" t="str">
            <v/>
          </cell>
          <cell r="F1464" t="str">
            <v/>
          </cell>
          <cell r="G1464" t="str">
            <v/>
          </cell>
          <cell r="H1464" t="str">
            <v/>
          </cell>
          <cell r="I1464" t="str">
            <v/>
          </cell>
          <cell r="L1464" t="str">
            <v/>
          </cell>
          <cell r="M1464" t="str">
            <v/>
          </cell>
        </row>
        <row r="1465">
          <cell r="A1465">
            <v>45581</v>
          </cell>
          <cell r="B1465">
            <v>3</v>
          </cell>
          <cell r="D1465" t="str">
            <v/>
          </cell>
          <cell r="F1465" t="str">
            <v/>
          </cell>
          <cell r="G1465" t="str">
            <v/>
          </cell>
          <cell r="H1465" t="str">
            <v/>
          </cell>
          <cell r="I1465" t="str">
            <v/>
          </cell>
          <cell r="L1465" t="str">
            <v/>
          </cell>
          <cell r="M1465" t="str">
            <v/>
          </cell>
        </row>
        <row r="1466">
          <cell r="A1466">
            <v>45582</v>
          </cell>
          <cell r="B1466">
            <v>4</v>
          </cell>
          <cell r="D1466" t="str">
            <v/>
          </cell>
          <cell r="F1466" t="str">
            <v/>
          </cell>
          <cell r="G1466" t="str">
            <v/>
          </cell>
          <cell r="H1466" t="str">
            <v/>
          </cell>
          <cell r="I1466" t="str">
            <v/>
          </cell>
          <cell r="L1466" t="str">
            <v/>
          </cell>
          <cell r="M1466" t="str">
            <v/>
          </cell>
        </row>
        <row r="1467">
          <cell r="A1467">
            <v>45583</v>
          </cell>
          <cell r="B1467">
            <v>5</v>
          </cell>
          <cell r="D1467" t="str">
            <v/>
          </cell>
          <cell r="F1467" t="str">
            <v/>
          </cell>
          <cell r="G1467" t="str">
            <v/>
          </cell>
          <cell r="H1467" t="str">
            <v/>
          </cell>
          <cell r="I1467" t="str">
            <v/>
          </cell>
          <cell r="L1467" t="str">
            <v/>
          </cell>
          <cell r="M1467" t="str">
            <v/>
          </cell>
        </row>
        <row r="1468">
          <cell r="A1468">
            <v>45586</v>
          </cell>
          <cell r="B1468">
            <v>1</v>
          </cell>
          <cell r="D1468" t="str">
            <v/>
          </cell>
          <cell r="F1468" t="str">
            <v/>
          </cell>
          <cell r="G1468" t="str">
            <v/>
          </cell>
          <cell r="H1468" t="str">
            <v/>
          </cell>
          <cell r="I1468" t="str">
            <v/>
          </cell>
          <cell r="L1468" t="str">
            <v/>
          </cell>
          <cell r="M1468" t="str">
            <v/>
          </cell>
        </row>
        <row r="1469">
          <cell r="A1469">
            <v>45587</v>
          </cell>
          <cell r="B1469">
            <v>2</v>
          </cell>
          <cell r="D1469" t="str">
            <v/>
          </cell>
          <cell r="F1469" t="str">
            <v/>
          </cell>
          <cell r="G1469" t="str">
            <v/>
          </cell>
          <cell r="H1469" t="str">
            <v/>
          </cell>
          <cell r="I1469" t="str">
            <v/>
          </cell>
          <cell r="L1469" t="str">
            <v/>
          </cell>
          <cell r="M1469" t="str">
            <v/>
          </cell>
        </row>
        <row r="1470">
          <cell r="A1470">
            <v>45588</v>
          </cell>
          <cell r="B1470">
            <v>3</v>
          </cell>
          <cell r="D1470" t="str">
            <v/>
          </cell>
          <cell r="F1470" t="str">
            <v/>
          </cell>
          <cell r="G1470" t="str">
            <v/>
          </cell>
          <cell r="H1470" t="str">
            <v/>
          </cell>
          <cell r="I1470" t="str">
            <v/>
          </cell>
          <cell r="L1470" t="str">
            <v/>
          </cell>
          <cell r="M1470" t="str">
            <v/>
          </cell>
        </row>
        <row r="1471">
          <cell r="A1471">
            <v>45589</v>
          </cell>
          <cell r="B1471">
            <v>4</v>
          </cell>
          <cell r="D1471" t="str">
            <v/>
          </cell>
          <cell r="F1471" t="str">
            <v/>
          </cell>
          <cell r="G1471" t="str">
            <v/>
          </cell>
          <cell r="H1471" t="str">
            <v/>
          </cell>
          <cell r="I1471" t="str">
            <v/>
          </cell>
          <cell r="L1471" t="str">
            <v/>
          </cell>
          <cell r="M1471" t="str">
            <v/>
          </cell>
        </row>
        <row r="1472">
          <cell r="A1472">
            <v>45590</v>
          </cell>
          <cell r="B1472">
            <v>5</v>
          </cell>
          <cell r="D1472" t="str">
            <v/>
          </cell>
          <cell r="F1472" t="str">
            <v/>
          </cell>
          <cell r="G1472" t="str">
            <v/>
          </cell>
          <cell r="H1472" t="str">
            <v/>
          </cell>
          <cell r="I1472" t="str">
            <v/>
          </cell>
          <cell r="L1472" t="str">
            <v/>
          </cell>
          <cell r="M1472" t="str">
            <v/>
          </cell>
        </row>
        <row r="1473">
          <cell r="A1473">
            <v>45593</v>
          </cell>
          <cell r="B1473">
            <v>1</v>
          </cell>
          <cell r="D1473" t="str">
            <v/>
          </cell>
          <cell r="F1473" t="str">
            <v/>
          </cell>
          <cell r="G1473" t="str">
            <v/>
          </cell>
          <cell r="H1473" t="str">
            <v/>
          </cell>
          <cell r="I1473" t="str">
            <v/>
          </cell>
          <cell r="L1473" t="str">
            <v/>
          </cell>
          <cell r="M1473" t="str">
            <v/>
          </cell>
        </row>
        <row r="1474">
          <cell r="A1474">
            <v>45594</v>
          </cell>
          <cell r="B1474">
            <v>2</v>
          </cell>
          <cell r="D1474" t="str">
            <v/>
          </cell>
          <cell r="F1474" t="str">
            <v/>
          </cell>
          <cell r="G1474" t="str">
            <v/>
          </cell>
          <cell r="H1474" t="str">
            <v/>
          </cell>
          <cell r="I1474" t="str">
            <v/>
          </cell>
          <cell r="L1474" t="str">
            <v/>
          </cell>
          <cell r="M1474" t="str">
            <v/>
          </cell>
        </row>
        <row r="1475">
          <cell r="A1475">
            <v>45595</v>
          </cell>
          <cell r="B1475">
            <v>3</v>
          </cell>
          <cell r="D1475" t="str">
            <v/>
          </cell>
          <cell r="F1475" t="str">
            <v/>
          </cell>
          <cell r="G1475" t="str">
            <v/>
          </cell>
          <cell r="H1475" t="str">
            <v/>
          </cell>
          <cell r="I1475" t="str">
            <v/>
          </cell>
          <cell r="L1475" t="str">
            <v/>
          </cell>
          <cell r="M1475" t="str">
            <v/>
          </cell>
        </row>
        <row r="1476">
          <cell r="A1476">
            <v>45596</v>
          </cell>
          <cell r="B1476">
            <v>4</v>
          </cell>
          <cell r="D1476" t="str">
            <v/>
          </cell>
          <cell r="F1476" t="str">
            <v/>
          </cell>
          <cell r="G1476" t="str">
            <v/>
          </cell>
          <cell r="H1476" t="str">
            <v/>
          </cell>
          <cell r="I1476" t="str">
            <v/>
          </cell>
          <cell r="L1476" t="str">
            <v/>
          </cell>
          <cell r="M1476" t="str">
            <v/>
          </cell>
        </row>
        <row r="1477">
          <cell r="A1477">
            <v>45597</v>
          </cell>
          <cell r="B1477">
            <v>5</v>
          </cell>
          <cell r="D1477" t="str">
            <v/>
          </cell>
          <cell r="F1477" t="str">
            <v/>
          </cell>
          <cell r="G1477" t="str">
            <v/>
          </cell>
          <cell r="H1477" t="str">
            <v/>
          </cell>
          <cell r="I1477" t="str">
            <v/>
          </cell>
          <cell r="L1477" t="str">
            <v/>
          </cell>
          <cell r="M1477" t="str">
            <v/>
          </cell>
        </row>
        <row r="1478">
          <cell r="A1478">
            <v>45600</v>
          </cell>
          <cell r="B1478">
            <v>1</v>
          </cell>
          <cell r="D1478" t="str">
            <v/>
          </cell>
          <cell r="F1478" t="str">
            <v/>
          </cell>
          <cell r="G1478" t="str">
            <v/>
          </cell>
          <cell r="H1478" t="str">
            <v/>
          </cell>
          <cell r="I1478" t="str">
            <v/>
          </cell>
          <cell r="L1478" t="str">
            <v/>
          </cell>
          <cell r="M1478" t="str">
            <v/>
          </cell>
        </row>
        <row r="1479">
          <cell r="A1479">
            <v>45601</v>
          </cell>
          <cell r="B1479">
            <v>2</v>
          </cell>
          <cell r="D1479" t="str">
            <v/>
          </cell>
          <cell r="F1479" t="str">
            <v/>
          </cell>
          <cell r="G1479" t="str">
            <v/>
          </cell>
          <cell r="H1479" t="str">
            <v/>
          </cell>
          <cell r="I1479" t="str">
            <v/>
          </cell>
          <cell r="L1479" t="str">
            <v/>
          </cell>
          <cell r="M1479" t="str">
            <v/>
          </cell>
        </row>
        <row r="1480">
          <cell r="A1480">
            <v>45602</v>
          </cell>
          <cell r="B1480">
            <v>3</v>
          </cell>
          <cell r="D1480" t="str">
            <v/>
          </cell>
          <cell r="F1480" t="str">
            <v/>
          </cell>
          <cell r="G1480" t="str">
            <v/>
          </cell>
          <cell r="H1480" t="str">
            <v/>
          </cell>
          <cell r="I1480" t="str">
            <v/>
          </cell>
          <cell r="L1480" t="str">
            <v/>
          </cell>
          <cell r="M1480" t="str">
            <v/>
          </cell>
        </row>
        <row r="1481">
          <cell r="A1481">
            <v>45603</v>
          </cell>
          <cell r="B1481">
            <v>4</v>
          </cell>
          <cell r="D1481" t="str">
            <v/>
          </cell>
          <cell r="F1481" t="str">
            <v/>
          </cell>
          <cell r="G1481" t="str">
            <v/>
          </cell>
          <cell r="H1481" t="str">
            <v/>
          </cell>
          <cell r="I1481" t="str">
            <v/>
          </cell>
          <cell r="L1481" t="str">
            <v/>
          </cell>
          <cell r="M1481" t="str">
            <v/>
          </cell>
        </row>
        <row r="1482">
          <cell r="A1482">
            <v>45604</v>
          </cell>
          <cell r="B1482">
            <v>5</v>
          </cell>
          <cell r="D1482" t="str">
            <v/>
          </cell>
          <cell r="F1482" t="str">
            <v/>
          </cell>
          <cell r="G1482" t="str">
            <v/>
          </cell>
          <cell r="H1482" t="str">
            <v/>
          </cell>
          <cell r="I1482" t="str">
            <v/>
          </cell>
          <cell r="L1482" t="str">
            <v/>
          </cell>
          <cell r="M1482" t="str">
            <v/>
          </cell>
        </row>
        <row r="1483">
          <cell r="A1483">
            <v>45607</v>
          </cell>
          <cell r="B1483">
            <v>1</v>
          </cell>
          <cell r="D1483" t="str">
            <v/>
          </cell>
          <cell r="F1483" t="str">
            <v/>
          </cell>
          <cell r="G1483" t="str">
            <v/>
          </cell>
          <cell r="H1483" t="str">
            <v/>
          </cell>
          <cell r="I1483" t="str">
            <v/>
          </cell>
          <cell r="L1483" t="str">
            <v/>
          </cell>
          <cell r="M1483" t="str">
            <v/>
          </cell>
        </row>
        <row r="1484">
          <cell r="A1484">
            <v>45608</v>
          </cell>
          <cell r="B1484">
            <v>2</v>
          </cell>
          <cell r="D1484" t="str">
            <v/>
          </cell>
          <cell r="F1484" t="str">
            <v/>
          </cell>
          <cell r="G1484" t="str">
            <v/>
          </cell>
          <cell r="H1484" t="str">
            <v/>
          </cell>
          <cell r="I1484" t="str">
            <v/>
          </cell>
          <cell r="L1484" t="str">
            <v/>
          </cell>
          <cell r="M1484" t="str">
            <v/>
          </cell>
        </row>
        <row r="1485">
          <cell r="A1485">
            <v>45609</v>
          </cell>
          <cell r="B1485">
            <v>3</v>
          </cell>
          <cell r="D1485" t="str">
            <v/>
          </cell>
          <cell r="F1485" t="str">
            <v/>
          </cell>
          <cell r="G1485" t="str">
            <v/>
          </cell>
          <cell r="H1485" t="str">
            <v/>
          </cell>
          <cell r="I1485" t="str">
            <v/>
          </cell>
          <cell r="L1485" t="str">
            <v/>
          </cell>
          <cell r="M1485" t="str">
            <v/>
          </cell>
        </row>
        <row r="1486">
          <cell r="A1486">
            <v>45610</v>
          </cell>
          <cell r="B1486">
            <v>4</v>
          </cell>
          <cell r="D1486" t="str">
            <v/>
          </cell>
          <cell r="F1486" t="str">
            <v/>
          </cell>
          <cell r="G1486" t="str">
            <v/>
          </cell>
          <cell r="H1486" t="str">
            <v/>
          </cell>
          <cell r="I1486" t="str">
            <v/>
          </cell>
          <cell r="L1486" t="str">
            <v/>
          </cell>
          <cell r="M1486" t="str">
            <v/>
          </cell>
        </row>
        <row r="1487">
          <cell r="A1487">
            <v>45611</v>
          </cell>
          <cell r="B1487">
            <v>5</v>
          </cell>
          <cell r="D1487" t="str">
            <v/>
          </cell>
          <cell r="F1487" t="str">
            <v/>
          </cell>
          <cell r="G1487" t="str">
            <v/>
          </cell>
          <cell r="H1487" t="str">
            <v/>
          </cell>
          <cell r="I1487" t="str">
            <v/>
          </cell>
          <cell r="L1487" t="str">
            <v/>
          </cell>
          <cell r="M1487" t="str">
            <v/>
          </cell>
        </row>
        <row r="1488">
          <cell r="A1488">
            <v>45614</v>
          </cell>
          <cell r="B1488">
            <v>1</v>
          </cell>
          <cell r="D1488" t="str">
            <v/>
          </cell>
          <cell r="F1488" t="str">
            <v/>
          </cell>
          <cell r="G1488" t="str">
            <v/>
          </cell>
          <cell r="H1488" t="str">
            <v/>
          </cell>
          <cell r="I1488" t="str">
            <v/>
          </cell>
          <cell r="L1488" t="str">
            <v/>
          </cell>
          <cell r="M1488" t="str">
            <v/>
          </cell>
        </row>
        <row r="1489">
          <cell r="A1489">
            <v>45615</v>
          </cell>
          <cell r="B1489">
            <v>2</v>
          </cell>
          <cell r="D1489" t="str">
            <v/>
          </cell>
          <cell r="F1489" t="str">
            <v/>
          </cell>
          <cell r="G1489" t="str">
            <v/>
          </cell>
          <cell r="H1489" t="str">
            <v/>
          </cell>
          <cell r="I1489" t="str">
            <v/>
          </cell>
          <cell r="L1489" t="str">
            <v/>
          </cell>
          <cell r="M1489" t="str">
            <v/>
          </cell>
        </row>
        <row r="1490">
          <cell r="A1490">
            <v>45616</v>
          </cell>
          <cell r="B1490">
            <v>3</v>
          </cell>
          <cell r="D1490" t="str">
            <v/>
          </cell>
          <cell r="F1490" t="str">
            <v/>
          </cell>
          <cell r="G1490" t="str">
            <v/>
          </cell>
          <cell r="H1490" t="str">
            <v/>
          </cell>
          <cell r="I1490" t="str">
            <v/>
          </cell>
          <cell r="L1490" t="str">
            <v/>
          </cell>
          <cell r="M1490" t="str">
            <v/>
          </cell>
        </row>
        <row r="1491">
          <cell r="A1491">
            <v>45617</v>
          </cell>
          <cell r="B1491">
            <v>4</v>
          </cell>
          <cell r="D1491" t="str">
            <v/>
          </cell>
          <cell r="F1491" t="str">
            <v/>
          </cell>
          <cell r="G1491" t="str">
            <v/>
          </cell>
          <cell r="H1491" t="str">
            <v/>
          </cell>
          <cell r="I1491" t="str">
            <v/>
          </cell>
          <cell r="L1491" t="str">
            <v/>
          </cell>
          <cell r="M1491" t="str">
            <v/>
          </cell>
        </row>
        <row r="1492">
          <cell r="A1492">
            <v>45618</v>
          </cell>
          <cell r="B1492">
            <v>5</v>
          </cell>
          <cell r="D1492" t="str">
            <v/>
          </cell>
          <cell r="F1492" t="str">
            <v/>
          </cell>
          <cell r="G1492" t="str">
            <v/>
          </cell>
          <cell r="H1492" t="str">
            <v/>
          </cell>
          <cell r="I1492" t="str">
            <v/>
          </cell>
          <cell r="L1492" t="str">
            <v/>
          </cell>
          <cell r="M1492" t="str">
            <v/>
          </cell>
        </row>
        <row r="1493">
          <cell r="A1493">
            <v>45621</v>
          </cell>
          <cell r="B1493">
            <v>1</v>
          </cell>
          <cell r="D1493" t="str">
            <v/>
          </cell>
          <cell r="F1493" t="str">
            <v/>
          </cell>
          <cell r="G1493" t="str">
            <v/>
          </cell>
          <cell r="H1493" t="str">
            <v/>
          </cell>
          <cell r="I1493" t="str">
            <v/>
          </cell>
          <cell r="L1493" t="str">
            <v/>
          </cell>
          <cell r="M1493" t="str">
            <v/>
          </cell>
        </row>
        <row r="1494">
          <cell r="A1494">
            <v>45622</v>
          </cell>
          <cell r="B1494">
            <v>2</v>
          </cell>
          <cell r="D1494" t="str">
            <v/>
          </cell>
          <cell r="F1494" t="str">
            <v/>
          </cell>
          <cell r="G1494" t="str">
            <v/>
          </cell>
          <cell r="H1494" t="str">
            <v/>
          </cell>
          <cell r="I1494" t="str">
            <v/>
          </cell>
          <cell r="L1494" t="str">
            <v/>
          </cell>
          <cell r="M1494" t="str">
            <v/>
          </cell>
        </row>
        <row r="1495">
          <cell r="A1495">
            <v>45623</v>
          </cell>
          <cell r="B1495">
            <v>3</v>
          </cell>
          <cell r="D1495" t="str">
            <v/>
          </cell>
          <cell r="F1495" t="str">
            <v/>
          </cell>
          <cell r="G1495" t="str">
            <v/>
          </cell>
          <cell r="H1495" t="str">
            <v/>
          </cell>
          <cell r="I1495" t="str">
            <v/>
          </cell>
          <cell r="L1495" t="str">
            <v/>
          </cell>
          <cell r="M1495" t="str">
            <v/>
          </cell>
        </row>
        <row r="1496">
          <cell r="A1496">
            <v>45624</v>
          </cell>
          <cell r="B1496">
            <v>4</v>
          </cell>
          <cell r="D1496" t="str">
            <v/>
          </cell>
          <cell r="F1496" t="str">
            <v/>
          </cell>
          <cell r="G1496" t="str">
            <v/>
          </cell>
          <cell r="H1496" t="str">
            <v/>
          </cell>
          <cell r="I1496" t="str">
            <v/>
          </cell>
          <cell r="L1496" t="str">
            <v/>
          </cell>
          <cell r="M1496" t="str">
            <v/>
          </cell>
        </row>
        <row r="1497">
          <cell r="A1497">
            <v>45625</v>
          </cell>
          <cell r="B1497">
            <v>5</v>
          </cell>
          <cell r="D1497" t="str">
            <v/>
          </cell>
          <cell r="F1497" t="str">
            <v/>
          </cell>
          <cell r="G1497" t="str">
            <v/>
          </cell>
          <cell r="H1497" t="str">
            <v/>
          </cell>
          <cell r="I1497" t="str">
            <v/>
          </cell>
          <cell r="L1497" t="str">
            <v/>
          </cell>
          <cell r="M1497" t="str">
            <v/>
          </cell>
        </row>
        <row r="1498">
          <cell r="A1498">
            <v>45628</v>
          </cell>
          <cell r="B1498">
            <v>1</v>
          </cell>
          <cell r="D1498" t="str">
            <v/>
          </cell>
          <cell r="F1498" t="str">
            <v/>
          </cell>
          <cell r="G1498" t="str">
            <v/>
          </cell>
          <cell r="H1498" t="str">
            <v/>
          </cell>
          <cell r="I1498" t="str">
            <v/>
          </cell>
          <cell r="L1498" t="str">
            <v/>
          </cell>
          <cell r="M1498" t="str">
            <v/>
          </cell>
        </row>
        <row r="1499">
          <cell r="A1499">
            <v>45629</v>
          </cell>
          <cell r="B1499">
            <v>2</v>
          </cell>
          <cell r="D1499" t="str">
            <v/>
          </cell>
          <cell r="F1499" t="str">
            <v/>
          </cell>
          <cell r="G1499" t="str">
            <v/>
          </cell>
          <cell r="H1499" t="str">
            <v/>
          </cell>
          <cell r="I1499" t="str">
            <v/>
          </cell>
          <cell r="L1499" t="str">
            <v/>
          </cell>
          <cell r="M1499" t="str">
            <v/>
          </cell>
        </row>
        <row r="1500">
          <cell r="A1500">
            <v>45630</v>
          </cell>
          <cell r="B1500">
            <v>3</v>
          </cell>
          <cell r="D1500" t="str">
            <v/>
          </cell>
          <cell r="F1500" t="str">
            <v/>
          </cell>
          <cell r="G1500" t="str">
            <v/>
          </cell>
          <cell r="H1500" t="str">
            <v/>
          </cell>
          <cell r="I1500" t="str">
            <v/>
          </cell>
          <cell r="L1500" t="str">
            <v/>
          </cell>
          <cell r="M1500" t="str">
            <v/>
          </cell>
        </row>
        <row r="1501">
          <cell r="A1501">
            <v>45631</v>
          </cell>
          <cell r="B1501">
            <v>4</v>
          </cell>
          <cell r="D1501" t="str">
            <v/>
          </cell>
          <cell r="F1501" t="str">
            <v/>
          </cell>
          <cell r="G1501" t="str">
            <v/>
          </cell>
          <cell r="H1501" t="str">
            <v/>
          </cell>
          <cell r="I1501" t="str">
            <v/>
          </cell>
          <cell r="L1501" t="str">
            <v/>
          </cell>
          <cell r="M1501" t="str">
            <v/>
          </cell>
        </row>
        <row r="1502">
          <cell r="A1502">
            <v>45632</v>
          </cell>
          <cell r="B1502">
            <v>5</v>
          </cell>
          <cell r="D1502" t="str">
            <v/>
          </cell>
          <cell r="F1502" t="str">
            <v/>
          </cell>
          <cell r="G1502" t="str">
            <v/>
          </cell>
          <cell r="H1502" t="str">
            <v/>
          </cell>
          <cell r="I1502" t="str">
            <v/>
          </cell>
          <cell r="L1502" t="str">
            <v/>
          </cell>
          <cell r="M1502" t="str">
            <v/>
          </cell>
        </row>
        <row r="1503">
          <cell r="A1503">
            <v>45635</v>
          </cell>
          <cell r="B1503">
            <v>1</v>
          </cell>
          <cell r="D1503" t="str">
            <v/>
          </cell>
          <cell r="F1503" t="str">
            <v/>
          </cell>
          <cell r="G1503" t="str">
            <v/>
          </cell>
          <cell r="H1503" t="str">
            <v/>
          </cell>
          <cell r="I1503" t="str">
            <v/>
          </cell>
          <cell r="L1503" t="str">
            <v/>
          </cell>
          <cell r="M1503" t="str">
            <v/>
          </cell>
        </row>
        <row r="1504">
          <cell r="A1504">
            <v>45636</v>
          </cell>
          <cell r="B1504">
            <v>2</v>
          </cell>
          <cell r="D1504" t="str">
            <v/>
          </cell>
          <cell r="F1504" t="str">
            <v/>
          </cell>
          <cell r="G1504" t="str">
            <v/>
          </cell>
          <cell r="H1504" t="str">
            <v/>
          </cell>
          <cell r="I1504" t="str">
            <v/>
          </cell>
          <cell r="L1504" t="str">
            <v/>
          </cell>
          <cell r="M1504" t="str">
            <v/>
          </cell>
        </row>
        <row r="1505">
          <cell r="A1505">
            <v>45637</v>
          </cell>
          <cell r="B1505">
            <v>3</v>
          </cell>
          <cell r="D1505" t="str">
            <v/>
          </cell>
          <cell r="F1505" t="str">
            <v/>
          </cell>
          <cell r="G1505" t="str">
            <v/>
          </cell>
          <cell r="H1505" t="str">
            <v/>
          </cell>
          <cell r="I1505" t="str">
            <v/>
          </cell>
          <cell r="L1505" t="str">
            <v/>
          </cell>
          <cell r="M1505" t="str">
            <v/>
          </cell>
        </row>
        <row r="1506">
          <cell r="A1506">
            <v>45638</v>
          </cell>
          <cell r="B1506">
            <v>4</v>
          </cell>
          <cell r="D1506" t="str">
            <v/>
          </cell>
          <cell r="F1506" t="str">
            <v/>
          </cell>
          <cell r="G1506" t="str">
            <v/>
          </cell>
          <cell r="H1506" t="str">
            <v/>
          </cell>
          <cell r="I1506" t="str">
            <v/>
          </cell>
          <cell r="L1506" t="str">
            <v/>
          </cell>
          <cell r="M1506" t="str">
            <v/>
          </cell>
        </row>
        <row r="1507">
          <cell r="A1507">
            <v>45639</v>
          </cell>
          <cell r="B1507">
            <v>5</v>
          </cell>
          <cell r="D1507" t="str">
            <v/>
          </cell>
          <cell r="F1507" t="str">
            <v/>
          </cell>
          <cell r="G1507" t="str">
            <v/>
          </cell>
          <cell r="H1507" t="str">
            <v/>
          </cell>
          <cell r="I1507" t="str">
            <v/>
          </cell>
          <cell r="L1507" t="str">
            <v/>
          </cell>
          <cell r="M1507" t="str">
            <v/>
          </cell>
        </row>
        <row r="1508">
          <cell r="A1508">
            <v>45642</v>
          </cell>
          <cell r="B1508">
            <v>1</v>
          </cell>
          <cell r="D1508" t="str">
            <v/>
          </cell>
          <cell r="F1508" t="str">
            <v/>
          </cell>
          <cell r="G1508" t="str">
            <v/>
          </cell>
          <cell r="H1508" t="str">
            <v/>
          </cell>
          <cell r="I1508" t="str">
            <v/>
          </cell>
          <cell r="L1508" t="str">
            <v/>
          </cell>
          <cell r="M1508" t="str">
            <v/>
          </cell>
        </row>
        <row r="1509">
          <cell r="A1509">
            <v>45643</v>
          </cell>
          <cell r="B1509">
            <v>2</v>
          </cell>
          <cell r="D1509" t="str">
            <v/>
          </cell>
          <cell r="F1509" t="str">
            <v/>
          </cell>
          <cell r="G1509" t="str">
            <v/>
          </cell>
          <cell r="H1509" t="str">
            <v/>
          </cell>
          <cell r="I1509" t="str">
            <v/>
          </cell>
          <cell r="L1509" t="str">
            <v/>
          </cell>
          <cell r="M1509" t="str">
            <v/>
          </cell>
        </row>
        <row r="1510">
          <cell r="A1510">
            <v>45644</v>
          </cell>
          <cell r="B1510">
            <v>3</v>
          </cell>
          <cell r="D1510" t="str">
            <v/>
          </cell>
          <cell r="F1510" t="str">
            <v/>
          </cell>
          <cell r="G1510" t="str">
            <v/>
          </cell>
          <cell r="H1510" t="str">
            <v/>
          </cell>
          <cell r="I1510" t="str">
            <v/>
          </cell>
          <cell r="L1510" t="str">
            <v/>
          </cell>
          <cell r="M1510" t="str">
            <v/>
          </cell>
        </row>
        <row r="1511">
          <cell r="A1511">
            <v>45645</v>
          </cell>
          <cell r="B1511">
            <v>4</v>
          </cell>
          <cell r="D1511" t="str">
            <v/>
          </cell>
          <cell r="F1511" t="str">
            <v/>
          </cell>
          <cell r="G1511" t="str">
            <v/>
          </cell>
          <cell r="H1511" t="str">
            <v/>
          </cell>
          <cell r="I1511" t="str">
            <v/>
          </cell>
          <cell r="L1511" t="str">
            <v/>
          </cell>
          <cell r="M1511" t="str">
            <v/>
          </cell>
        </row>
        <row r="1512">
          <cell r="A1512">
            <v>45646</v>
          </cell>
          <cell r="B1512">
            <v>5</v>
          </cell>
          <cell r="D1512" t="str">
            <v/>
          </cell>
          <cell r="F1512" t="str">
            <v/>
          </cell>
          <cell r="G1512" t="str">
            <v/>
          </cell>
          <cell r="H1512" t="str">
            <v/>
          </cell>
          <cell r="I1512" t="str">
            <v/>
          </cell>
          <cell r="L1512" t="str">
            <v/>
          </cell>
          <cell r="M1512" t="str">
            <v/>
          </cell>
        </row>
        <row r="1513">
          <cell r="A1513">
            <v>45649</v>
          </cell>
          <cell r="B1513">
            <v>1</v>
          </cell>
          <cell r="D1513" t="str">
            <v/>
          </cell>
          <cell r="F1513" t="str">
            <v/>
          </cell>
          <cell r="G1513" t="str">
            <v/>
          </cell>
          <cell r="H1513" t="str">
            <v/>
          </cell>
          <cell r="I1513" t="str">
            <v/>
          </cell>
          <cell r="L1513" t="str">
            <v/>
          </cell>
          <cell r="M1513" t="str">
            <v/>
          </cell>
        </row>
        <row r="1514">
          <cell r="A1514">
            <v>45650</v>
          </cell>
          <cell r="B1514">
            <v>2</v>
          </cell>
          <cell r="D1514" t="str">
            <v/>
          </cell>
          <cell r="F1514" t="str">
            <v/>
          </cell>
          <cell r="G1514" t="str">
            <v/>
          </cell>
          <cell r="H1514" t="str">
            <v/>
          </cell>
          <cell r="I1514" t="str">
            <v/>
          </cell>
          <cell r="L1514" t="str">
            <v/>
          </cell>
          <cell r="M1514" t="str">
            <v/>
          </cell>
        </row>
        <row r="1515">
          <cell r="A1515">
            <v>45651</v>
          </cell>
          <cell r="B1515">
            <v>3</v>
          </cell>
          <cell r="D1515" t="str">
            <v/>
          </cell>
          <cell r="F1515" t="str">
            <v/>
          </cell>
          <cell r="G1515" t="str">
            <v/>
          </cell>
          <cell r="H1515" t="str">
            <v/>
          </cell>
          <cell r="I1515" t="str">
            <v/>
          </cell>
          <cell r="L1515" t="str">
            <v/>
          </cell>
          <cell r="M1515" t="str">
            <v/>
          </cell>
        </row>
        <row r="1516">
          <cell r="A1516">
            <v>45652</v>
          </cell>
          <cell r="B1516">
            <v>4</v>
          </cell>
          <cell r="D1516" t="str">
            <v/>
          </cell>
          <cell r="F1516" t="str">
            <v/>
          </cell>
          <cell r="G1516" t="str">
            <v/>
          </cell>
          <cell r="H1516" t="str">
            <v/>
          </cell>
          <cell r="I1516" t="str">
            <v/>
          </cell>
          <cell r="L1516" t="str">
            <v/>
          </cell>
          <cell r="M1516" t="str">
            <v/>
          </cell>
        </row>
        <row r="1517">
          <cell r="A1517">
            <v>45653</v>
          </cell>
          <cell r="B1517">
            <v>5</v>
          </cell>
          <cell r="D1517" t="str">
            <v/>
          </cell>
          <cell r="F1517" t="str">
            <v/>
          </cell>
          <cell r="G1517" t="str">
            <v/>
          </cell>
          <cell r="H1517" t="str">
            <v/>
          </cell>
          <cell r="I1517" t="str">
            <v/>
          </cell>
          <cell r="L1517" t="str">
            <v/>
          </cell>
          <cell r="M1517" t="str">
            <v/>
          </cell>
        </row>
        <row r="1518">
          <cell r="A1518">
            <v>45656</v>
          </cell>
          <cell r="B1518">
            <v>1</v>
          </cell>
          <cell r="D1518" t="str">
            <v/>
          </cell>
          <cell r="F1518" t="str">
            <v/>
          </cell>
          <cell r="G1518" t="str">
            <v/>
          </cell>
          <cell r="H1518" t="str">
            <v/>
          </cell>
          <cell r="I1518" t="str">
            <v/>
          </cell>
          <cell r="L1518" t="str">
            <v/>
          </cell>
          <cell r="M1518" t="str">
            <v/>
          </cell>
        </row>
        <row r="1519">
          <cell r="A1519">
            <v>45657</v>
          </cell>
          <cell r="B1519">
            <v>2</v>
          </cell>
          <cell r="D1519" t="str">
            <v/>
          </cell>
          <cell r="F1519" t="str">
            <v/>
          </cell>
          <cell r="G1519" t="str">
            <v/>
          </cell>
          <cell r="H1519" t="str">
            <v/>
          </cell>
          <cell r="I1519" t="str">
            <v/>
          </cell>
          <cell r="L1519" t="str">
            <v/>
          </cell>
          <cell r="M1519" t="str">
            <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2"/>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0.95150000000000001</v>
          </cell>
        </row>
        <row r="5">
          <cell r="A5" t="str">
            <v>A08101</v>
          </cell>
          <cell r="B5" t="str">
            <v>113/01/14</v>
          </cell>
          <cell r="C5">
            <v>0.625</v>
          </cell>
          <cell r="D5">
            <v>0.24</v>
          </cell>
          <cell r="E5">
            <v>0.25</v>
          </cell>
          <cell r="F5" t="str">
            <v/>
          </cell>
          <cell r="G5" t="str">
            <v/>
          </cell>
          <cell r="H5" t="str">
            <v/>
          </cell>
          <cell r="I5" t="str">
            <v/>
          </cell>
          <cell r="J5" t="str">
            <v/>
          </cell>
          <cell r="K5" t="str">
            <v/>
          </cell>
          <cell r="L5" t="str">
            <v/>
          </cell>
          <cell r="M5" t="str">
            <v/>
          </cell>
          <cell r="N5" t="str">
            <v/>
          </cell>
          <cell r="O5">
            <v>0.94940000000000002</v>
          </cell>
        </row>
        <row r="6">
          <cell r="A6" t="str">
            <v>A93103</v>
          </cell>
          <cell r="B6" t="str">
            <v>113/02/10</v>
          </cell>
          <cell r="C6">
            <v>3</v>
          </cell>
          <cell r="D6">
            <v>0.32</v>
          </cell>
          <cell r="E6">
            <v>0.33</v>
          </cell>
          <cell r="F6">
            <v>0.90500000000000003</v>
          </cell>
          <cell r="G6">
            <v>0.9</v>
          </cell>
          <cell r="H6">
            <v>0.90259999999999996</v>
          </cell>
          <cell r="I6">
            <v>3</v>
          </cell>
          <cell r="J6" t="str">
            <v/>
          </cell>
          <cell r="K6" t="str">
            <v/>
          </cell>
          <cell r="L6" t="str">
            <v/>
          </cell>
          <cell r="M6" t="str">
            <v/>
          </cell>
          <cell r="N6" t="str">
            <v/>
          </cell>
          <cell r="O6">
            <v>0.95199999999999996</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0.95440000000000003</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0.95789999999999997</v>
          </cell>
        </row>
        <row r="9">
          <cell r="A9" t="str">
            <v>A08107</v>
          </cell>
          <cell r="B9" t="str">
            <v>113/07/17</v>
          </cell>
          <cell r="C9">
            <v>0.5</v>
          </cell>
          <cell r="D9">
            <v>0.74</v>
          </cell>
          <cell r="E9">
            <v>0.76</v>
          </cell>
          <cell r="F9">
            <v>0.93</v>
          </cell>
          <cell r="G9">
            <v>0.93</v>
          </cell>
          <cell r="H9">
            <v>0.93</v>
          </cell>
          <cell r="I9">
            <v>3</v>
          </cell>
          <cell r="J9">
            <v>0.92</v>
          </cell>
          <cell r="K9">
            <v>0.92</v>
          </cell>
          <cell r="L9">
            <v>0.92</v>
          </cell>
          <cell r="M9">
            <v>1</v>
          </cell>
          <cell r="N9">
            <v>3</v>
          </cell>
          <cell r="O9">
            <v>0.97260000000000002</v>
          </cell>
        </row>
        <row r="10">
          <cell r="A10" t="str">
            <v>A03113</v>
          </cell>
          <cell r="B10" t="str">
            <v>113/09/26</v>
          </cell>
          <cell r="C10">
            <v>1.625</v>
          </cell>
          <cell r="D10">
            <v>0.94</v>
          </cell>
          <cell r="E10">
            <v>0.95</v>
          </cell>
          <cell r="F10" t="str">
            <v/>
          </cell>
          <cell r="G10" t="str">
            <v/>
          </cell>
          <cell r="H10" t="str">
            <v/>
          </cell>
          <cell r="I10" t="str">
            <v/>
          </cell>
          <cell r="J10" t="str">
            <v/>
          </cell>
          <cell r="K10" t="str">
            <v/>
          </cell>
          <cell r="L10" t="str">
            <v/>
          </cell>
          <cell r="M10" t="str">
            <v/>
          </cell>
          <cell r="N10" t="str">
            <v/>
          </cell>
          <cell r="O10">
            <v>0.98229999999999995</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0.98939999999999995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0.99670000000000003</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1.0027999999999999</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1.0026999999999999</v>
          </cell>
        </row>
        <row r="15">
          <cell r="A15" t="str">
            <v>A04105</v>
          </cell>
          <cell r="B15" t="str">
            <v>114/03/13</v>
          </cell>
          <cell r="C15">
            <v>1.625</v>
          </cell>
          <cell r="D15">
            <v>1.38</v>
          </cell>
          <cell r="E15">
            <v>1.41</v>
          </cell>
          <cell r="F15" t="str">
            <v/>
          </cell>
          <cell r="G15" t="str">
            <v/>
          </cell>
          <cell r="H15" t="str">
            <v/>
          </cell>
          <cell r="I15" t="str">
            <v/>
          </cell>
          <cell r="J15" t="str">
            <v/>
          </cell>
          <cell r="K15" t="str">
            <v/>
          </cell>
          <cell r="L15" t="str">
            <v/>
          </cell>
          <cell r="M15" t="str">
            <v/>
          </cell>
          <cell r="N15" t="str">
            <v/>
          </cell>
          <cell r="O15">
            <v>1.0053000000000001</v>
          </cell>
        </row>
        <row r="16">
          <cell r="A16" t="str">
            <v>A09107</v>
          </cell>
          <cell r="B16" t="str">
            <v>114/07/17</v>
          </cell>
          <cell r="C16">
            <v>0.25</v>
          </cell>
          <cell r="D16">
            <v>1.73</v>
          </cell>
          <cell r="E16">
            <v>1.76</v>
          </cell>
          <cell r="F16">
            <v>1.038</v>
          </cell>
          <cell r="G16">
            <v>1.038</v>
          </cell>
          <cell r="H16">
            <v>1.038</v>
          </cell>
          <cell r="I16">
            <v>6.5</v>
          </cell>
          <cell r="J16">
            <v>1.042</v>
          </cell>
          <cell r="K16">
            <v>1.042</v>
          </cell>
          <cell r="L16">
            <v>1.042</v>
          </cell>
          <cell r="M16">
            <v>1</v>
          </cell>
          <cell r="N16">
            <v>6.5</v>
          </cell>
          <cell r="O16">
            <v>1.0246</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1.0338000000000001</v>
          </cell>
        </row>
        <row r="18">
          <cell r="A18" t="str">
            <v>A09112</v>
          </cell>
          <cell r="B18" t="str">
            <v>114/12/08</v>
          </cell>
          <cell r="C18">
            <v>0.125</v>
          </cell>
          <cell r="D18">
            <v>2.12</v>
          </cell>
          <cell r="E18">
            <v>2.15</v>
          </cell>
          <cell r="F18">
            <v>1.0620000000000001</v>
          </cell>
          <cell r="G18">
            <v>1.06</v>
          </cell>
          <cell r="H18">
            <v>1.0609999999999999</v>
          </cell>
          <cell r="I18">
            <v>4</v>
          </cell>
          <cell r="J18" t="str">
            <v/>
          </cell>
          <cell r="K18" t="str">
            <v/>
          </cell>
          <cell r="L18" t="str">
            <v/>
          </cell>
          <cell r="M18" t="str">
            <v/>
          </cell>
          <cell r="N18" t="str">
            <v/>
          </cell>
          <cell r="O18">
            <v>1.05</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1.0569</v>
          </cell>
        </row>
        <row r="20">
          <cell r="A20" t="str">
            <v>A95102</v>
          </cell>
          <cell r="B20" t="str">
            <v>115/02/24</v>
          </cell>
          <cell r="C20">
            <v>1.875</v>
          </cell>
          <cell r="D20">
            <v>2.2799999999999998</v>
          </cell>
          <cell r="E20">
            <v>2.37</v>
          </cell>
          <cell r="F20" t="str">
            <v/>
          </cell>
          <cell r="G20" t="str">
            <v/>
          </cell>
          <cell r="H20" t="str">
            <v/>
          </cell>
          <cell r="I20" t="str">
            <v/>
          </cell>
          <cell r="J20" t="str">
            <v/>
          </cell>
          <cell r="K20" t="str">
            <v/>
          </cell>
          <cell r="L20" t="str">
            <v/>
          </cell>
          <cell r="M20" t="str">
            <v/>
          </cell>
          <cell r="N20" t="str">
            <v/>
          </cell>
          <cell r="O20">
            <v>1.0644</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1.0668</v>
          </cell>
        </row>
        <row r="22">
          <cell r="A22" t="str">
            <v>A10108</v>
          </cell>
          <cell r="B22" t="str">
            <v>115/07/29</v>
          </cell>
          <cell r="C22">
            <v>0.25</v>
          </cell>
          <cell r="D22">
            <v>2.75</v>
          </cell>
          <cell r="E22">
            <v>2.79</v>
          </cell>
          <cell r="F22">
            <v>1.125</v>
          </cell>
          <cell r="G22">
            <v>1.1200000000000001</v>
          </cell>
          <cell r="H22">
            <v>1.1225000000000001</v>
          </cell>
          <cell r="I22">
            <v>4</v>
          </cell>
          <cell r="J22" t="str">
            <v/>
          </cell>
          <cell r="K22" t="str">
            <v/>
          </cell>
          <cell r="L22" t="str">
            <v/>
          </cell>
          <cell r="M22" t="str">
            <v/>
          </cell>
          <cell r="N22" t="str">
            <v/>
          </cell>
          <cell r="O22">
            <v>1.0984</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1.1065</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1.1182000000000001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1.1365000000000001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1.1403000000000001</v>
          </cell>
        </row>
        <row r="27">
          <cell r="A27" t="str">
            <v>A11103</v>
          </cell>
          <cell r="B27" t="str">
            <v>116/02/24</v>
          </cell>
          <cell r="C27">
            <v>0.5</v>
          </cell>
          <cell r="D27">
            <v>3.29</v>
          </cell>
          <cell r="E27">
            <v>3.37</v>
          </cell>
          <cell r="F27" t="str">
            <v/>
          </cell>
          <cell r="G27" t="str">
            <v/>
          </cell>
          <cell r="H27" t="str">
            <v/>
          </cell>
          <cell r="I27" t="str">
            <v/>
          </cell>
          <cell r="J27" t="str">
            <v/>
          </cell>
          <cell r="K27" t="str">
            <v/>
          </cell>
          <cell r="L27" t="str">
            <v/>
          </cell>
          <cell r="M27" t="str">
            <v/>
          </cell>
          <cell r="N27" t="str">
            <v/>
          </cell>
          <cell r="O27">
            <v>1.1400999999999999</v>
          </cell>
        </row>
        <row r="28">
          <cell r="A28" t="str">
            <v>A11106</v>
          </cell>
          <cell r="B28" t="str">
            <v>116/06/23</v>
          </cell>
          <cell r="C28">
            <v>1</v>
          </cell>
          <cell r="D28">
            <v>3.59</v>
          </cell>
          <cell r="E28">
            <v>3.69</v>
          </cell>
          <cell r="F28">
            <v>1.1910000000000001</v>
          </cell>
          <cell r="G28">
            <v>1.19</v>
          </cell>
          <cell r="H28">
            <v>1.1904999999999999</v>
          </cell>
          <cell r="I28">
            <v>5</v>
          </cell>
          <cell r="J28" t="str">
            <v/>
          </cell>
          <cell r="K28" t="str">
            <v/>
          </cell>
          <cell r="L28" t="str">
            <v/>
          </cell>
          <cell r="M28" t="str">
            <v/>
          </cell>
          <cell r="N28" t="str">
            <v/>
          </cell>
          <cell r="O28">
            <v>1.159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1.1738</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1.1706000000000001</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1.1707000000000001</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1.181</v>
          </cell>
        </row>
        <row r="33">
          <cell r="A33" t="str">
            <v>A97102</v>
          </cell>
          <cell r="B33" t="str">
            <v>117/02/14</v>
          </cell>
          <cell r="C33">
            <v>2.5</v>
          </cell>
          <cell r="D33">
            <v>4.05</v>
          </cell>
          <cell r="E33">
            <v>4.34</v>
          </cell>
          <cell r="F33" t="str">
            <v/>
          </cell>
          <cell r="G33" t="str">
            <v/>
          </cell>
          <cell r="H33" t="str">
            <v/>
          </cell>
          <cell r="I33" t="str">
            <v/>
          </cell>
          <cell r="J33" t="str">
            <v/>
          </cell>
          <cell r="K33" t="str">
            <v/>
          </cell>
          <cell r="L33" t="str">
            <v/>
          </cell>
          <cell r="M33" t="str">
            <v/>
          </cell>
          <cell r="N33" t="str">
            <v/>
          </cell>
          <cell r="O33">
            <v>1.1819999999999999</v>
          </cell>
        </row>
        <row r="34">
          <cell r="A34" t="str">
            <v>A12101</v>
          </cell>
          <cell r="B34" t="str">
            <v>117/01/17</v>
          </cell>
          <cell r="C34">
            <v>1</v>
          </cell>
          <cell r="D34">
            <v>4.1100000000000003</v>
          </cell>
          <cell r="E34">
            <v>4.26</v>
          </cell>
          <cell r="F34" t="str">
            <v/>
          </cell>
          <cell r="G34" t="str">
            <v/>
          </cell>
          <cell r="H34" t="str">
            <v/>
          </cell>
          <cell r="I34" t="str">
            <v/>
          </cell>
          <cell r="J34" t="str">
            <v/>
          </cell>
          <cell r="K34" t="str">
            <v/>
          </cell>
          <cell r="L34" t="str">
            <v/>
          </cell>
          <cell r="M34" t="str">
            <v/>
          </cell>
          <cell r="N34" t="str">
            <v/>
          </cell>
          <cell r="O34">
            <v>1.1823999999999999</v>
          </cell>
        </row>
        <row r="35">
          <cell r="A35" t="str">
            <v>A07102</v>
          </cell>
          <cell r="B35" t="str">
            <v>117/02/08</v>
          </cell>
          <cell r="C35">
            <v>1</v>
          </cell>
          <cell r="D35">
            <v>4.17</v>
          </cell>
          <cell r="E35">
            <v>4.32</v>
          </cell>
          <cell r="F35" t="str">
            <v/>
          </cell>
          <cell r="G35" t="str">
            <v/>
          </cell>
          <cell r="H35" t="str">
            <v/>
          </cell>
          <cell r="I35" t="str">
            <v/>
          </cell>
          <cell r="J35" t="str">
            <v/>
          </cell>
          <cell r="K35" t="str">
            <v/>
          </cell>
          <cell r="L35" t="str">
            <v/>
          </cell>
          <cell r="M35" t="str">
            <v/>
          </cell>
          <cell r="N35" t="str">
            <v/>
          </cell>
          <cell r="O35">
            <v>1.1839999999999999</v>
          </cell>
        </row>
        <row r="36">
          <cell r="A36" t="str">
            <v>A12106</v>
          </cell>
          <cell r="B36" t="str">
            <v>117/05/26</v>
          </cell>
          <cell r="C36">
            <v>1</v>
          </cell>
          <cell r="D36">
            <v>4.46</v>
          </cell>
          <cell r="E36">
            <v>4.62</v>
          </cell>
          <cell r="F36">
            <v>1.2010000000000001</v>
          </cell>
          <cell r="G36">
            <v>1.2</v>
          </cell>
          <cell r="H36">
            <v>1.2004999999999999</v>
          </cell>
          <cell r="I36">
            <v>2</v>
          </cell>
          <cell r="J36" t="str">
            <v/>
          </cell>
          <cell r="K36" t="str">
            <v/>
          </cell>
          <cell r="L36" t="str">
            <v/>
          </cell>
          <cell r="M36" t="str">
            <v/>
          </cell>
          <cell r="N36" t="str">
            <v/>
          </cell>
          <cell r="O36">
            <v>1.1914</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1.1922999999999999</v>
          </cell>
        </row>
        <row r="38">
          <cell r="A38" t="str">
            <v>A97105</v>
          </cell>
          <cell r="B38" t="str">
            <v>117/08/14</v>
          </cell>
          <cell r="C38">
            <v>2.625</v>
          </cell>
          <cell r="D38">
            <v>4.53</v>
          </cell>
          <cell r="E38">
            <v>4.84</v>
          </cell>
          <cell r="F38" t="str">
            <v/>
          </cell>
          <cell r="G38" t="str">
            <v/>
          </cell>
          <cell r="H38" t="str">
            <v/>
          </cell>
          <cell r="I38" t="str">
            <v/>
          </cell>
          <cell r="J38" t="str">
            <v/>
          </cell>
          <cell r="K38" t="str">
            <v/>
          </cell>
          <cell r="L38" t="str">
            <v/>
          </cell>
          <cell r="M38" t="str">
            <v/>
          </cell>
          <cell r="N38" t="str">
            <v/>
          </cell>
          <cell r="O38">
            <v>1.1932</v>
          </cell>
        </row>
        <row r="39">
          <cell r="A39" t="str">
            <v>A12108</v>
          </cell>
          <cell r="B39" t="str">
            <v>117/09/15</v>
          </cell>
          <cell r="C39">
            <v>1.125</v>
          </cell>
          <cell r="D39">
            <v>4.75</v>
          </cell>
          <cell r="E39">
            <v>4.92</v>
          </cell>
          <cell r="F39">
            <v>1.206</v>
          </cell>
          <cell r="G39">
            <v>1.2050000000000001</v>
          </cell>
          <cell r="H39">
            <v>1.2055</v>
          </cell>
          <cell r="I39">
            <v>3</v>
          </cell>
          <cell r="J39" t="str">
            <v/>
          </cell>
          <cell r="K39" t="str">
            <v/>
          </cell>
          <cell r="L39" t="str">
            <v/>
          </cell>
          <cell r="M39" t="str">
            <v/>
          </cell>
          <cell r="N39" t="str">
            <v/>
          </cell>
          <cell r="O39">
            <v>1.1975</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1.1976</v>
          </cell>
        </row>
        <row r="41">
          <cell r="A41" t="str">
            <v>A07109</v>
          </cell>
          <cell r="B41" t="str">
            <v>117/10/17</v>
          </cell>
          <cell r="C41">
            <v>0.875</v>
          </cell>
          <cell r="D41">
            <v>4.8099999999999996</v>
          </cell>
          <cell r="E41">
            <v>5.01</v>
          </cell>
          <cell r="F41" t="str">
            <v/>
          </cell>
          <cell r="G41" t="str">
            <v/>
          </cell>
          <cell r="H41" t="str">
            <v/>
          </cell>
          <cell r="I41" t="str">
            <v/>
          </cell>
          <cell r="J41" t="str">
            <v/>
          </cell>
          <cell r="K41" t="str">
            <v/>
          </cell>
          <cell r="L41" t="str">
            <v/>
          </cell>
          <cell r="M41" t="str">
            <v/>
          </cell>
          <cell r="N41" t="str">
            <v/>
          </cell>
          <cell r="O41">
            <v>1.1997</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1.204</v>
          </cell>
        </row>
        <row r="43">
          <cell r="A43" t="str">
            <v>A08103</v>
          </cell>
          <cell r="B43" t="str">
            <v>118/02/13</v>
          </cell>
          <cell r="C43">
            <v>0.75</v>
          </cell>
          <cell r="D43">
            <v>5.15</v>
          </cell>
          <cell r="E43">
            <v>5.34</v>
          </cell>
          <cell r="F43" t="str">
            <v/>
          </cell>
          <cell r="G43" t="str">
            <v/>
          </cell>
          <cell r="H43" t="str">
            <v/>
          </cell>
          <cell r="I43" t="str">
            <v/>
          </cell>
          <cell r="J43" t="str">
            <v/>
          </cell>
          <cell r="K43" t="str">
            <v/>
          </cell>
          <cell r="L43" t="str">
            <v/>
          </cell>
          <cell r="M43" t="str">
            <v/>
          </cell>
          <cell r="N43" t="str">
            <v/>
          </cell>
          <cell r="O43">
            <v>1.2062999999999999</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1.2133</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1.2136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1.2192000000000001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1.2225999999999999</v>
          </cell>
        </row>
        <row r="48">
          <cell r="A48" t="str">
            <v>A09103</v>
          </cell>
          <cell r="B48" t="str">
            <v>119/02/21</v>
          </cell>
          <cell r="C48">
            <v>0.5</v>
          </cell>
          <cell r="D48">
            <v>6.17</v>
          </cell>
          <cell r="E48">
            <v>6.36</v>
          </cell>
          <cell r="F48" t="str">
            <v/>
          </cell>
          <cell r="G48" t="str">
            <v/>
          </cell>
          <cell r="H48" t="str">
            <v/>
          </cell>
          <cell r="I48" t="str">
            <v/>
          </cell>
          <cell r="J48" t="str">
            <v/>
          </cell>
          <cell r="K48" t="str">
            <v/>
          </cell>
          <cell r="L48" t="str">
            <v/>
          </cell>
          <cell r="M48" t="str">
            <v/>
          </cell>
          <cell r="N48" t="str">
            <v/>
          </cell>
          <cell r="O48">
            <v>1.2253000000000001</v>
          </cell>
        </row>
        <row r="49">
          <cell r="A49" t="str">
            <v>A99107</v>
          </cell>
          <cell r="B49" t="str">
            <v>119/08/12</v>
          </cell>
          <cell r="C49">
            <v>1.75</v>
          </cell>
          <cell r="D49">
            <v>6.4</v>
          </cell>
          <cell r="E49">
            <v>6.83</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1.2333000000000001</v>
          </cell>
        </row>
        <row r="52">
          <cell r="A52" t="str">
            <v>A09109</v>
          </cell>
          <cell r="B52" t="str">
            <v>119/10/14</v>
          </cell>
          <cell r="C52">
            <v>0.25</v>
          </cell>
          <cell r="D52">
            <v>6.86</v>
          </cell>
          <cell r="E52">
            <v>7</v>
          </cell>
          <cell r="F52" t="str">
            <v/>
          </cell>
          <cell r="G52" t="str">
            <v/>
          </cell>
          <cell r="H52" t="str">
            <v/>
          </cell>
          <cell r="I52" t="str">
            <v/>
          </cell>
          <cell r="J52" t="str">
            <v/>
          </cell>
          <cell r="K52" t="str">
            <v/>
          </cell>
          <cell r="L52" t="str">
            <v/>
          </cell>
          <cell r="M52" t="str">
            <v/>
          </cell>
          <cell r="N52" t="str">
            <v/>
          </cell>
          <cell r="O52">
            <v>1.2345999999999999</v>
          </cell>
        </row>
        <row r="53">
          <cell r="A53" t="str">
            <v>A90105</v>
          </cell>
          <cell r="B53" t="str">
            <v>120/07/17</v>
          </cell>
          <cell r="C53">
            <v>3.625</v>
          </cell>
          <cell r="D53">
            <v>6.84</v>
          </cell>
          <cell r="E53">
            <v>7.76</v>
          </cell>
          <cell r="F53" t="str">
            <v/>
          </cell>
          <cell r="G53" t="str">
            <v/>
          </cell>
          <cell r="H53" t="str">
            <v/>
          </cell>
          <cell r="I53" t="str">
            <v/>
          </cell>
          <cell r="J53" t="str">
            <v/>
          </cell>
          <cell r="K53" t="str">
            <v/>
          </cell>
          <cell r="L53" t="str">
            <v/>
          </cell>
          <cell r="M53" t="str">
            <v/>
          </cell>
          <cell r="N53" t="str">
            <v/>
          </cell>
          <cell r="O53">
            <v>1.2353000000000001</v>
          </cell>
        </row>
        <row r="54">
          <cell r="A54" t="str">
            <v>A00201</v>
          </cell>
          <cell r="B54" t="str">
            <v>120/05/26</v>
          </cell>
          <cell r="C54">
            <v>1.75</v>
          </cell>
          <cell r="D54">
            <v>7.07</v>
          </cell>
          <cell r="E54">
            <v>7.61</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1.2383</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1.2390000000000001</v>
          </cell>
        </row>
        <row r="57">
          <cell r="A57" t="str">
            <v>A10201</v>
          </cell>
          <cell r="B57" t="str">
            <v>120/05/07</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1.2411000000000001</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1.2448999999999999</v>
          </cell>
        </row>
        <row r="60">
          <cell r="A60" t="str">
            <v>A10111</v>
          </cell>
          <cell r="B60" t="str">
            <v>120/10/22</v>
          </cell>
          <cell r="C60">
            <v>0.5</v>
          </cell>
          <cell r="D60">
            <v>7.74</v>
          </cell>
          <cell r="E60">
            <v>8.02</v>
          </cell>
          <cell r="F60" t="str">
            <v/>
          </cell>
          <cell r="G60" t="str">
            <v/>
          </cell>
          <cell r="H60" t="str">
            <v/>
          </cell>
          <cell r="I60" t="str">
            <v/>
          </cell>
          <cell r="J60" t="str">
            <v/>
          </cell>
          <cell r="K60" t="str">
            <v/>
          </cell>
          <cell r="L60" t="str">
            <v/>
          </cell>
          <cell r="M60" t="str">
            <v/>
          </cell>
          <cell r="N60" t="str">
            <v/>
          </cell>
          <cell r="O60">
            <v>1.2443</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1.2470000000000001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1.2464</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1.2482</v>
          </cell>
        </row>
        <row r="64">
          <cell r="A64" t="str">
            <v>A11107</v>
          </cell>
          <cell r="B64" t="str">
            <v>121/06/30</v>
          </cell>
          <cell r="C64">
            <v>1.25</v>
          </cell>
          <cell r="D64">
            <v>8.17</v>
          </cell>
          <cell r="E64">
            <v>8.7100000000000009</v>
          </cell>
          <cell r="F64" t="str">
            <v/>
          </cell>
          <cell r="G64" t="str">
            <v/>
          </cell>
          <cell r="H64" t="str">
            <v/>
          </cell>
          <cell r="I64" t="str">
            <v/>
          </cell>
          <cell r="J64" t="str">
            <v/>
          </cell>
          <cell r="K64" t="str">
            <v/>
          </cell>
          <cell r="L64" t="str">
            <v/>
          </cell>
          <cell r="M64" t="str">
            <v/>
          </cell>
          <cell r="N64" t="str">
            <v/>
          </cell>
          <cell r="O64">
            <v>1.2524</v>
          </cell>
        </row>
        <row r="65">
          <cell r="A65" t="str">
            <v>A11110</v>
          </cell>
          <cell r="B65" t="str">
            <v>121/10/17</v>
          </cell>
          <cell r="C65">
            <v>1.75</v>
          </cell>
          <cell r="D65">
            <v>8.18</v>
          </cell>
          <cell r="E65">
            <v>9.01</v>
          </cell>
          <cell r="F65">
            <v>1.2709999999999999</v>
          </cell>
          <cell r="G65">
            <v>1.27</v>
          </cell>
          <cell r="H65">
            <v>1.2705</v>
          </cell>
          <cell r="I65">
            <v>7</v>
          </cell>
          <cell r="J65" t="str">
            <v/>
          </cell>
          <cell r="K65" t="str">
            <v/>
          </cell>
          <cell r="L65" t="str">
            <v/>
          </cell>
          <cell r="M65" t="str">
            <v/>
          </cell>
          <cell r="N65" t="str">
            <v/>
          </cell>
          <cell r="O65">
            <v>1.2563</v>
          </cell>
        </row>
        <row r="66">
          <cell r="A66" t="str">
            <v>A01107</v>
          </cell>
          <cell r="B66" t="str">
            <v>121/08/10</v>
          </cell>
          <cell r="C66">
            <v>1.5</v>
          </cell>
          <cell r="D66">
            <v>8.2100000000000009</v>
          </cell>
          <cell r="E66">
            <v>8.82</v>
          </cell>
          <cell r="F66" t="str">
            <v/>
          </cell>
          <cell r="G66" t="str">
            <v/>
          </cell>
          <cell r="H66" t="str">
            <v/>
          </cell>
          <cell r="I66" t="str">
            <v/>
          </cell>
          <cell r="J66" t="str">
            <v/>
          </cell>
          <cell r="K66" t="str">
            <v/>
          </cell>
          <cell r="L66" t="str">
            <v/>
          </cell>
          <cell r="M66" t="str">
            <v/>
          </cell>
          <cell r="N66" t="str">
            <v/>
          </cell>
          <cell r="O66">
            <v>1.2536</v>
          </cell>
        </row>
        <row r="67">
          <cell r="A67" t="str">
            <v>A02103</v>
          </cell>
          <cell r="B67" t="str">
            <v>122/01/28</v>
          </cell>
          <cell r="C67">
            <v>1.5</v>
          </cell>
          <cell r="D67">
            <v>8.5500000000000007</v>
          </cell>
          <cell r="E67">
            <v>9.2899999999999991</v>
          </cell>
          <cell r="F67" t="str">
            <v/>
          </cell>
          <cell r="G67" t="str">
            <v/>
          </cell>
          <cell r="H67" t="str">
            <v/>
          </cell>
          <cell r="I67" t="str">
            <v/>
          </cell>
          <cell r="J67" t="str">
            <v/>
          </cell>
          <cell r="K67" t="str">
            <v/>
          </cell>
          <cell r="L67" t="str">
            <v/>
          </cell>
          <cell r="M67" t="str">
            <v/>
          </cell>
          <cell r="N67" t="str">
            <v/>
          </cell>
          <cell r="O67">
            <v>1.2621</v>
          </cell>
        </row>
        <row r="68">
          <cell r="A68" t="str">
            <v>A12201</v>
          </cell>
          <cell r="B68" t="str">
            <v>122/01/10</v>
          </cell>
          <cell r="C68">
            <v>1.25</v>
          </cell>
          <cell r="D68">
            <v>8.59</v>
          </cell>
          <cell r="E68">
            <v>9.24</v>
          </cell>
          <cell r="F68" t="str">
            <v/>
          </cell>
          <cell r="G68" t="str">
            <v/>
          </cell>
          <cell r="H68" t="str">
            <v/>
          </cell>
          <cell r="I68" t="str">
            <v/>
          </cell>
          <cell r="J68" t="str">
            <v/>
          </cell>
          <cell r="K68" t="str">
            <v/>
          </cell>
          <cell r="L68" t="str">
            <v/>
          </cell>
          <cell r="M68" t="str">
            <v/>
          </cell>
          <cell r="N68" t="str">
            <v/>
          </cell>
          <cell r="O68">
            <v>1.2618</v>
          </cell>
        </row>
        <row r="69">
          <cell r="A69" t="str">
            <v>A02201</v>
          </cell>
          <cell r="B69" t="str">
            <v>122/03/21</v>
          </cell>
          <cell r="C69">
            <v>1.75</v>
          </cell>
          <cell r="D69">
            <v>8.6</v>
          </cell>
          <cell r="E69">
            <v>9.44</v>
          </cell>
          <cell r="F69" t="str">
            <v/>
          </cell>
          <cell r="G69" t="str">
            <v/>
          </cell>
          <cell r="H69" t="str">
            <v/>
          </cell>
          <cell r="I69" t="str">
            <v/>
          </cell>
          <cell r="J69" t="str">
            <v/>
          </cell>
          <cell r="K69" t="str">
            <v/>
          </cell>
          <cell r="L69" t="str">
            <v/>
          </cell>
          <cell r="M69" t="str">
            <v/>
          </cell>
          <cell r="N69" t="str">
            <v/>
          </cell>
          <cell r="O69">
            <v>1.2642</v>
          </cell>
        </row>
        <row r="70">
          <cell r="A70" t="str">
            <v>A12102</v>
          </cell>
          <cell r="B70" t="str">
            <v>122/02/17</v>
          </cell>
          <cell r="C70">
            <v>1.125</v>
          </cell>
          <cell r="D70">
            <v>8.74</v>
          </cell>
          <cell r="E70">
            <v>9.35</v>
          </cell>
          <cell r="F70">
            <v>1.2729999999999999</v>
          </cell>
          <cell r="G70">
            <v>1.27</v>
          </cell>
          <cell r="H70">
            <v>1.2715000000000001</v>
          </cell>
          <cell r="I70">
            <v>1</v>
          </cell>
          <cell r="J70" t="str">
            <v/>
          </cell>
          <cell r="K70" t="str">
            <v/>
          </cell>
          <cell r="L70" t="str">
            <v/>
          </cell>
          <cell r="M70" t="str">
            <v/>
          </cell>
          <cell r="N70" t="str">
            <v/>
          </cell>
          <cell r="O70">
            <v>1.2642</v>
          </cell>
        </row>
        <row r="71">
          <cell r="A71" t="str">
            <v>A02108</v>
          </cell>
          <cell r="B71" t="str">
            <v>122/07/26</v>
          </cell>
          <cell r="C71">
            <v>2</v>
          </cell>
          <cell r="D71">
            <v>8.86</v>
          </cell>
          <cell r="E71">
            <v>9.7799999999999994</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1.2806999999999999</v>
          </cell>
        </row>
        <row r="73">
          <cell r="A73" t="str">
            <v>A12107</v>
          </cell>
          <cell r="B73" t="str">
            <v>122/06/09</v>
          </cell>
          <cell r="C73">
            <v>1.125</v>
          </cell>
          <cell r="D73">
            <v>9.0399999999999991</v>
          </cell>
          <cell r="E73">
            <v>9.65</v>
          </cell>
          <cell r="F73">
            <v>1.2709999999999999</v>
          </cell>
          <cell r="G73">
            <v>1.2709999999999999</v>
          </cell>
          <cell r="H73">
            <v>1.2709999999999999</v>
          </cell>
          <cell r="I73">
            <v>0.5</v>
          </cell>
          <cell r="J73" t="str">
            <v/>
          </cell>
          <cell r="K73" t="str">
            <v/>
          </cell>
          <cell r="L73" t="str">
            <v/>
          </cell>
          <cell r="M73" t="str">
            <v/>
          </cell>
          <cell r="N73" t="str">
            <v/>
          </cell>
          <cell r="O73">
            <v>1.2701</v>
          </cell>
        </row>
        <row r="74">
          <cell r="A74" t="str">
            <v>A12110R</v>
          </cell>
          <cell r="B74" t="str">
            <v>122/10/05</v>
          </cell>
          <cell r="C74">
            <v>1.25</v>
          </cell>
          <cell r="D74">
            <v>9.16</v>
          </cell>
          <cell r="E74">
            <v>9.98</v>
          </cell>
          <cell r="F74">
            <v>1.2749999999999999</v>
          </cell>
          <cell r="G74">
            <v>1.27</v>
          </cell>
          <cell r="H74">
            <v>1.2733000000000001</v>
          </cell>
          <cell r="I74">
            <v>1.5</v>
          </cell>
          <cell r="J74">
            <v>1.2723</v>
          </cell>
          <cell r="K74">
            <v>1.2723</v>
          </cell>
          <cell r="L74">
            <v>1.2723</v>
          </cell>
          <cell r="M74">
            <v>1</v>
          </cell>
          <cell r="N74">
            <v>1</v>
          </cell>
          <cell r="O74">
            <v>1.2729999999999999</v>
          </cell>
        </row>
        <row r="75">
          <cell r="A75" t="str">
            <v>A03103</v>
          </cell>
          <cell r="B75" t="str">
            <v>123/01/29</v>
          </cell>
          <cell r="C75">
            <v>2</v>
          </cell>
          <cell r="D75">
            <v>9.1999999999999993</v>
          </cell>
          <cell r="E75">
            <v>10.29</v>
          </cell>
          <cell r="F75" t="str">
            <v/>
          </cell>
          <cell r="G75" t="str">
            <v/>
          </cell>
          <cell r="H75" t="str">
            <v/>
          </cell>
          <cell r="I75" t="str">
            <v/>
          </cell>
          <cell r="J75" t="str">
            <v/>
          </cell>
          <cell r="K75" t="str">
            <v/>
          </cell>
          <cell r="L75" t="str">
            <v/>
          </cell>
          <cell r="M75" t="str">
            <v/>
          </cell>
          <cell r="N75" t="str">
            <v/>
          </cell>
          <cell r="O75">
            <v>1.2799</v>
          </cell>
        </row>
        <row r="76">
          <cell r="A76" t="str">
            <v>A12110</v>
          </cell>
          <cell r="B76" t="str">
            <v>122/10/05</v>
          </cell>
          <cell r="C76">
            <v>1.25</v>
          </cell>
          <cell r="D76">
            <v>9.31</v>
          </cell>
          <cell r="E76">
            <v>9.98</v>
          </cell>
          <cell r="F76">
            <v>1.28</v>
          </cell>
          <cell r="G76">
            <v>1.27</v>
          </cell>
          <cell r="H76">
            <v>1.2733000000000001</v>
          </cell>
          <cell r="I76">
            <v>1.5</v>
          </cell>
          <cell r="J76" t="str">
            <v/>
          </cell>
          <cell r="K76" t="str">
            <v/>
          </cell>
          <cell r="L76" t="str">
            <v/>
          </cell>
          <cell r="M76" t="str">
            <v/>
          </cell>
          <cell r="N76" t="str">
            <v/>
          </cell>
          <cell r="O76">
            <v>1.2761</v>
          </cell>
        </row>
        <row r="77">
          <cell r="A77" t="str">
            <v>A03107</v>
          </cell>
          <cell r="B77" t="str">
            <v>123/04/25</v>
          </cell>
          <cell r="C77">
            <v>1.875</v>
          </cell>
          <cell r="D77">
            <v>9.48</v>
          </cell>
          <cell r="E77">
            <v>10.53</v>
          </cell>
          <cell r="F77" t="str">
            <v/>
          </cell>
          <cell r="G77" t="str">
            <v/>
          </cell>
          <cell r="H77" t="str">
            <v/>
          </cell>
          <cell r="I77" t="str">
            <v/>
          </cell>
          <cell r="J77" t="str">
            <v/>
          </cell>
          <cell r="K77" t="str">
            <v/>
          </cell>
          <cell r="L77" t="str">
            <v/>
          </cell>
          <cell r="M77" t="str">
            <v/>
          </cell>
          <cell r="N77" t="str">
            <v/>
          </cell>
          <cell r="O77">
            <v>1.2848999999999999</v>
          </cell>
        </row>
        <row r="78">
          <cell r="A78" t="str">
            <v>A03111</v>
          </cell>
          <cell r="B78" t="str">
            <v>123/07/31</v>
          </cell>
          <cell r="C78">
            <v>2.125</v>
          </cell>
          <cell r="D78">
            <v>9.64</v>
          </cell>
          <cell r="E78">
            <v>10.8</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1.2921</v>
          </cell>
        </row>
        <row r="80">
          <cell r="A80" t="str">
            <v>A04102</v>
          </cell>
          <cell r="B80" t="str">
            <v>124/01/23</v>
          </cell>
          <cell r="C80">
            <v>2</v>
          </cell>
          <cell r="D80">
            <v>9.98</v>
          </cell>
          <cell r="E80">
            <v>11.28</v>
          </cell>
          <cell r="F80" t="str">
            <v/>
          </cell>
          <cell r="G80" t="str">
            <v/>
          </cell>
          <cell r="H80" t="str">
            <v/>
          </cell>
          <cell r="I80" t="str">
            <v/>
          </cell>
          <cell r="J80" t="str">
            <v/>
          </cell>
          <cell r="K80" t="str">
            <v/>
          </cell>
          <cell r="L80" t="str">
            <v/>
          </cell>
          <cell r="M80" t="str">
            <v/>
          </cell>
          <cell r="N80" t="str">
            <v/>
          </cell>
          <cell r="O80">
            <v>1.2988999999999999</v>
          </cell>
        </row>
        <row r="81">
          <cell r="A81" t="str">
            <v>A04107</v>
          </cell>
          <cell r="B81" t="str">
            <v>124/04/15</v>
          </cell>
          <cell r="C81">
            <v>2.125</v>
          </cell>
          <cell r="D81">
            <v>10.15</v>
          </cell>
          <cell r="E81">
            <v>11.5</v>
          </cell>
          <cell r="F81" t="str">
            <v/>
          </cell>
          <cell r="G81" t="str">
            <v/>
          </cell>
          <cell r="H81" t="str">
            <v/>
          </cell>
          <cell r="I81" t="str">
            <v/>
          </cell>
          <cell r="J81" t="str">
            <v/>
          </cell>
          <cell r="K81" t="str">
            <v/>
          </cell>
          <cell r="L81" t="str">
            <v/>
          </cell>
          <cell r="M81" t="str">
            <v/>
          </cell>
          <cell r="N81" t="str">
            <v/>
          </cell>
          <cell r="O81">
            <v>1.3028</v>
          </cell>
        </row>
        <row r="82">
          <cell r="A82" t="str">
            <v>A04114</v>
          </cell>
          <cell r="B82" t="str">
            <v>124/10/26</v>
          </cell>
          <cell r="C82">
            <v>1.75</v>
          </cell>
          <cell r="D82">
            <v>10.67</v>
          </cell>
          <cell r="E82">
            <v>12.03</v>
          </cell>
          <cell r="F82" t="str">
            <v/>
          </cell>
          <cell r="G82" t="str">
            <v/>
          </cell>
          <cell r="H82" t="str">
            <v/>
          </cell>
          <cell r="I82" t="str">
            <v/>
          </cell>
          <cell r="J82" t="str">
            <v/>
          </cell>
          <cell r="K82" t="str">
            <v/>
          </cell>
          <cell r="L82" t="str">
            <v/>
          </cell>
          <cell r="M82" t="str">
            <v/>
          </cell>
          <cell r="N82" t="str">
            <v/>
          </cell>
          <cell r="O82">
            <v>1.3146</v>
          </cell>
        </row>
        <row r="83">
          <cell r="A83" t="str">
            <v>A05102</v>
          </cell>
          <cell r="B83" t="str">
            <v>125/01/22</v>
          </cell>
          <cell r="C83">
            <v>1.375</v>
          </cell>
          <cell r="D83">
            <v>11.12</v>
          </cell>
          <cell r="E83">
            <v>12.27</v>
          </cell>
          <cell r="F83" t="str">
            <v/>
          </cell>
          <cell r="G83" t="str">
            <v/>
          </cell>
          <cell r="H83" t="str">
            <v/>
          </cell>
          <cell r="I83" t="str">
            <v/>
          </cell>
          <cell r="J83" t="str">
            <v/>
          </cell>
          <cell r="K83" t="str">
            <v/>
          </cell>
          <cell r="L83" t="str">
            <v/>
          </cell>
          <cell r="M83" t="str">
            <v/>
          </cell>
          <cell r="N83" t="str">
            <v/>
          </cell>
          <cell r="O83">
            <v>1.321</v>
          </cell>
        </row>
        <row r="84">
          <cell r="A84" t="str">
            <v>A05106</v>
          </cell>
          <cell r="B84" t="str">
            <v>125/04/08</v>
          </cell>
          <cell r="C84">
            <v>1.25</v>
          </cell>
          <cell r="D84">
            <v>11.4</v>
          </cell>
          <cell r="E84">
            <v>12.49</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1.3320000000000001</v>
          </cell>
        </row>
        <row r="86">
          <cell r="A86" t="str">
            <v>A06103</v>
          </cell>
          <cell r="B86" t="str">
            <v>126/02/20</v>
          </cell>
          <cell r="C86">
            <v>1.75</v>
          </cell>
          <cell r="D86">
            <v>11.77</v>
          </cell>
          <cell r="E86">
            <v>13.36</v>
          </cell>
          <cell r="F86" t="str">
            <v/>
          </cell>
          <cell r="G86" t="str">
            <v/>
          </cell>
          <cell r="H86" t="str">
            <v/>
          </cell>
          <cell r="I86" t="str">
            <v/>
          </cell>
          <cell r="J86" t="str">
            <v/>
          </cell>
          <cell r="K86" t="str">
            <v/>
          </cell>
          <cell r="L86" t="str">
            <v/>
          </cell>
          <cell r="M86" t="str">
            <v/>
          </cell>
          <cell r="N86" t="str">
            <v/>
          </cell>
          <cell r="O86">
            <v>1.3407</v>
          </cell>
        </row>
        <row r="87">
          <cell r="A87" t="str">
            <v>A06108</v>
          </cell>
          <cell r="B87" t="str">
            <v>126/08/18</v>
          </cell>
          <cell r="C87">
            <v>1.5</v>
          </cell>
          <cell r="D87">
            <v>12.42</v>
          </cell>
          <cell r="E87">
            <v>13.85</v>
          </cell>
          <cell r="F87" t="str">
            <v/>
          </cell>
          <cell r="G87" t="str">
            <v/>
          </cell>
          <cell r="H87" t="str">
            <v/>
          </cell>
          <cell r="I87" t="str">
            <v/>
          </cell>
          <cell r="J87" t="str">
            <v/>
          </cell>
          <cell r="K87" t="str">
            <v/>
          </cell>
          <cell r="L87" t="str">
            <v/>
          </cell>
          <cell r="M87" t="str">
            <v/>
          </cell>
          <cell r="N87" t="str">
            <v/>
          </cell>
          <cell r="O87">
            <v>1.3517999999999999</v>
          </cell>
        </row>
        <row r="88">
          <cell r="A88" t="str">
            <v>A07103</v>
          </cell>
          <cell r="B88" t="str">
            <v>127/03/13</v>
          </cell>
          <cell r="C88">
            <v>1.375</v>
          </cell>
          <cell r="D88">
            <v>12.89</v>
          </cell>
          <cell r="E88">
            <v>14.41</v>
          </cell>
          <cell r="F88" t="str">
            <v/>
          </cell>
          <cell r="G88" t="str">
            <v/>
          </cell>
          <cell r="H88" t="str">
            <v/>
          </cell>
          <cell r="I88" t="str">
            <v/>
          </cell>
          <cell r="J88" t="str">
            <v/>
          </cell>
          <cell r="K88" t="str">
            <v/>
          </cell>
          <cell r="L88" t="str">
            <v/>
          </cell>
          <cell r="M88" t="str">
            <v/>
          </cell>
          <cell r="N88" t="str">
            <v/>
          </cell>
          <cell r="O88">
            <v>1.3638999999999999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1.3949</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1.3762000000000001</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1.3834</v>
          </cell>
        </row>
        <row r="92">
          <cell r="A92" t="str">
            <v>A08104</v>
          </cell>
          <cell r="B92" t="str">
            <v>128/03/04</v>
          </cell>
          <cell r="C92">
            <v>1.125</v>
          </cell>
          <cell r="D92">
            <v>13.89</v>
          </cell>
          <cell r="E92">
            <v>15.39</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1.4134</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1.4174</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1.3989</v>
          </cell>
        </row>
        <row r="96">
          <cell r="A96" t="str">
            <v>A09102</v>
          </cell>
          <cell r="B96" t="str">
            <v>129/01/17</v>
          </cell>
          <cell r="C96">
            <v>0.75</v>
          </cell>
          <cell r="D96">
            <v>15</v>
          </cell>
          <cell r="E96">
            <v>16.260000000000002</v>
          </cell>
          <cell r="F96">
            <v>1.33</v>
          </cell>
          <cell r="G96">
            <v>1.33</v>
          </cell>
          <cell r="H96">
            <v>1.33</v>
          </cell>
          <cell r="I96">
            <v>10</v>
          </cell>
          <cell r="J96">
            <v>1.331</v>
          </cell>
          <cell r="K96">
            <v>1.331</v>
          </cell>
          <cell r="L96">
            <v>1.331</v>
          </cell>
          <cell r="M96">
            <v>1</v>
          </cell>
          <cell r="N96">
            <v>10</v>
          </cell>
          <cell r="O96">
            <v>1.4064000000000001</v>
          </cell>
        </row>
        <row r="97">
          <cell r="A97" t="str">
            <v>A00108</v>
          </cell>
          <cell r="B97" t="str">
            <v>130/08/22</v>
          </cell>
          <cell r="C97">
            <v>1.875</v>
          </cell>
          <cell r="D97">
            <v>15.18</v>
          </cell>
          <cell r="E97">
            <v>17.86</v>
          </cell>
          <cell r="F97" t="str">
            <v/>
          </cell>
          <cell r="G97" t="str">
            <v/>
          </cell>
          <cell r="H97" t="str">
            <v/>
          </cell>
          <cell r="I97" t="str">
            <v/>
          </cell>
          <cell r="J97" t="str">
            <v/>
          </cell>
          <cell r="K97" t="str">
            <v/>
          </cell>
          <cell r="L97" t="str">
            <v/>
          </cell>
          <cell r="M97" t="str">
            <v/>
          </cell>
          <cell r="N97" t="str">
            <v/>
          </cell>
          <cell r="O97">
            <v>1.4280999999999999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1.4116</v>
          </cell>
        </row>
        <row r="99">
          <cell r="A99" t="str">
            <v>A01104</v>
          </cell>
          <cell r="B99" t="str">
            <v>131/02/13</v>
          </cell>
          <cell r="C99">
            <v>1.75</v>
          </cell>
          <cell r="D99">
            <v>15.51</v>
          </cell>
          <cell r="E99">
            <v>18.34</v>
          </cell>
          <cell r="F99" t="str">
            <v/>
          </cell>
          <cell r="G99" t="str">
            <v/>
          </cell>
          <cell r="H99" t="str">
            <v/>
          </cell>
          <cell r="I99" t="str">
            <v/>
          </cell>
          <cell r="J99" t="str">
            <v/>
          </cell>
          <cell r="K99" t="str">
            <v/>
          </cell>
          <cell r="L99" t="str">
            <v/>
          </cell>
          <cell r="M99" t="str">
            <v/>
          </cell>
          <cell r="N99" t="str">
            <v/>
          </cell>
          <cell r="O99">
            <v>1.4384999999999999</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1.4589000000000001</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1.4227000000000001</v>
          </cell>
        </row>
        <row r="102">
          <cell r="A102" t="str">
            <v>A11109</v>
          </cell>
          <cell r="B102" t="str">
            <v>131/09/30</v>
          </cell>
          <cell r="C102">
            <v>1.875</v>
          </cell>
          <cell r="D102">
            <v>16</v>
          </cell>
          <cell r="E102">
            <v>18.96</v>
          </cell>
          <cell r="F102" t="str">
            <v/>
          </cell>
          <cell r="G102" t="str">
            <v/>
          </cell>
          <cell r="H102" t="str">
            <v/>
          </cell>
          <cell r="I102" t="str">
            <v/>
          </cell>
          <cell r="J102" t="str">
            <v/>
          </cell>
          <cell r="K102" t="str">
            <v/>
          </cell>
          <cell r="L102" t="str">
            <v/>
          </cell>
          <cell r="M102" t="str">
            <v/>
          </cell>
          <cell r="N102" t="str">
            <v/>
          </cell>
          <cell r="O102">
            <v>1.4494</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1.45</v>
          </cell>
        </row>
        <row r="104">
          <cell r="A104" t="str">
            <v>A10102</v>
          </cell>
          <cell r="B104" t="str">
            <v>130/01/29</v>
          </cell>
          <cell r="C104">
            <v>0.5</v>
          </cell>
          <cell r="D104">
            <v>16.23</v>
          </cell>
          <cell r="E104">
            <v>17.3</v>
          </cell>
          <cell r="F104" t="str">
            <v/>
          </cell>
          <cell r="G104" t="str">
            <v/>
          </cell>
          <cell r="H104" t="str">
            <v/>
          </cell>
          <cell r="I104" t="str">
            <v/>
          </cell>
          <cell r="J104" t="str">
            <v/>
          </cell>
          <cell r="K104" t="str">
            <v/>
          </cell>
          <cell r="L104" t="str">
            <v/>
          </cell>
          <cell r="M104" t="str">
            <v/>
          </cell>
          <cell r="N104" t="str">
            <v/>
          </cell>
          <cell r="O104">
            <v>1.4303999999999999</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1.4584999999999999</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1.4298999999999999</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1.4449000000000001</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1.4355</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1.4454</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1.4630000000000001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1.4859</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1.4801</v>
          </cell>
        </row>
        <row r="115">
          <cell r="A115" t="str">
            <v>A04104</v>
          </cell>
          <cell r="B115" t="str">
            <v>134/02/13</v>
          </cell>
          <cell r="C115">
            <v>2.375</v>
          </cell>
          <cell r="D115">
            <v>16.86</v>
          </cell>
          <cell r="E115">
            <v>21.34</v>
          </cell>
          <cell r="F115" t="str">
            <v/>
          </cell>
          <cell r="G115" t="str">
            <v/>
          </cell>
          <cell r="H115" t="str">
            <v/>
          </cell>
          <cell r="I115" t="str">
            <v/>
          </cell>
          <cell r="J115" t="str">
            <v/>
          </cell>
          <cell r="K115" t="str">
            <v/>
          </cell>
          <cell r="L115" t="str">
            <v/>
          </cell>
          <cell r="M115" t="str">
            <v/>
          </cell>
          <cell r="N115" t="str">
            <v/>
          </cell>
          <cell r="O115">
            <v>1.4883</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1.4442999999999999</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1.4795</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1.4928999999999999</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1.4739</v>
          </cell>
        </row>
        <row r="120">
          <cell r="A120" t="str">
            <v>A04111</v>
          </cell>
          <cell r="B120" t="str">
            <v>134/08/10</v>
          </cell>
          <cell r="C120">
            <v>2.25</v>
          </cell>
          <cell r="D120">
            <v>17.48</v>
          </cell>
          <cell r="E120">
            <v>21.82</v>
          </cell>
          <cell r="F120">
            <v>1.423</v>
          </cell>
          <cell r="G120">
            <v>1.423</v>
          </cell>
          <cell r="H120">
            <v>1.423</v>
          </cell>
          <cell r="I120">
            <v>10</v>
          </cell>
          <cell r="J120">
            <v>1.4219999999999999</v>
          </cell>
          <cell r="K120">
            <v>1.4219999999999999</v>
          </cell>
          <cell r="L120">
            <v>1.4219999999999999</v>
          </cell>
          <cell r="M120">
            <v>1</v>
          </cell>
          <cell r="N120">
            <v>10</v>
          </cell>
          <cell r="O120">
            <v>1.4986999999999999</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1.5256000000000001</v>
          </cell>
        </row>
        <row r="122">
          <cell r="A122" t="str">
            <v>A05107</v>
          </cell>
          <cell r="B122" t="str">
            <v>135/05/20</v>
          </cell>
          <cell r="C122">
            <v>1.625</v>
          </cell>
          <cell r="D122">
            <v>18.72</v>
          </cell>
          <cell r="E122">
            <v>22.6</v>
          </cell>
          <cell r="F122" t="str">
            <v/>
          </cell>
          <cell r="G122" t="str">
            <v/>
          </cell>
          <cell r="H122" t="str">
            <v/>
          </cell>
          <cell r="I122" t="str">
            <v/>
          </cell>
          <cell r="J122" t="str">
            <v/>
          </cell>
          <cell r="K122" t="str">
            <v/>
          </cell>
          <cell r="L122" t="str">
            <v/>
          </cell>
          <cell r="M122" t="str">
            <v/>
          </cell>
          <cell r="N122" t="str">
            <v/>
          </cell>
          <cell r="O122">
            <v>1.5214000000000001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1.5365</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1.5293000000000001</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1.5495000000000001</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1.5605</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21.25</v>
          </cell>
          <cell r="E128">
            <v>29.08</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1.5863</v>
          </cell>
        </row>
        <row r="130">
          <cell r="A130" t="str">
            <v>A11105</v>
          </cell>
          <cell r="B130" t="str">
            <v>141/05/20</v>
          </cell>
          <cell r="C130">
            <v>2</v>
          </cell>
          <cell r="D130">
            <v>21.84</v>
          </cell>
          <cell r="E130">
            <v>28.6</v>
          </cell>
          <cell r="F130" t="str">
            <v/>
          </cell>
          <cell r="G130" t="str">
            <v/>
          </cell>
          <cell r="H130" t="str">
            <v/>
          </cell>
          <cell r="I130" t="str">
            <v/>
          </cell>
          <cell r="J130" t="str">
            <v/>
          </cell>
          <cell r="K130" t="str">
            <v/>
          </cell>
          <cell r="L130" t="str">
            <v/>
          </cell>
          <cell r="M130" t="str">
            <v/>
          </cell>
          <cell r="N130" t="str">
            <v/>
          </cell>
          <cell r="O130">
            <v>1.621</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1.5980000000000001</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1.6134999999999999</v>
          </cell>
        </row>
        <row r="133">
          <cell r="A133" t="str">
            <v>A10113</v>
          </cell>
          <cell r="B133" t="str">
            <v>140/12/23</v>
          </cell>
          <cell r="C133">
            <v>1.125</v>
          </cell>
          <cell r="D133">
            <v>23.38</v>
          </cell>
          <cell r="E133">
            <v>28.19</v>
          </cell>
          <cell r="F133" t="str">
            <v/>
          </cell>
          <cell r="G133" t="str">
            <v/>
          </cell>
          <cell r="H133" t="str">
            <v/>
          </cell>
          <cell r="I133" t="str">
            <v/>
          </cell>
          <cell r="J133" t="str">
            <v/>
          </cell>
          <cell r="K133" t="str">
            <v/>
          </cell>
          <cell r="L133" t="str">
            <v/>
          </cell>
          <cell r="M133" t="str">
            <v/>
          </cell>
          <cell r="N133" t="str">
            <v/>
          </cell>
          <cell r="O133">
            <v>1.6338999999999999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1.6485000000000001</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1.6557999999999999</v>
          </cell>
        </row>
        <row r="136">
          <cell r="A136" t="str">
            <v>A10104</v>
          </cell>
          <cell r="B136" t="str">
            <v>140/02/25</v>
          </cell>
          <cell r="C136">
            <v>0.625</v>
          </cell>
          <cell r="D136">
            <v>24.34</v>
          </cell>
          <cell r="E136">
            <v>27.37</v>
          </cell>
          <cell r="F136" t="str">
            <v/>
          </cell>
          <cell r="G136" t="str">
            <v/>
          </cell>
          <cell r="H136" t="str">
            <v/>
          </cell>
          <cell r="I136" t="str">
            <v/>
          </cell>
          <cell r="J136" t="str">
            <v/>
          </cell>
          <cell r="K136" t="str">
            <v/>
          </cell>
          <cell r="L136" t="str">
            <v/>
          </cell>
          <cell r="M136" t="str">
            <v/>
          </cell>
          <cell r="N136" t="str">
            <v/>
          </cell>
          <cell r="O136">
            <v>1.6318999999999999</v>
          </cell>
        </row>
        <row r="137">
          <cell r="A137" t="str">
            <v>A09111</v>
          </cell>
          <cell r="B137" t="str">
            <v>139/11/27</v>
          </cell>
          <cell r="C137">
            <v>0.375</v>
          </cell>
          <cell r="D137">
            <v>25.01</v>
          </cell>
          <cell r="E137">
            <v>27.12</v>
          </cell>
          <cell r="F137" t="str">
            <v/>
          </cell>
          <cell r="G137" t="str">
            <v/>
          </cell>
          <cell r="H137" t="str">
            <v/>
          </cell>
          <cell r="I137" t="str">
            <v/>
          </cell>
          <cell r="J137" t="str">
            <v/>
          </cell>
          <cell r="K137" t="str">
            <v/>
          </cell>
          <cell r="L137" t="str">
            <v/>
          </cell>
          <cell r="M137" t="str">
            <v/>
          </cell>
          <cell r="N137" t="str">
            <v/>
          </cell>
          <cell r="O137">
            <v>1.6342000000000001</v>
          </cell>
        </row>
        <row r="138">
          <cell r="A138" t="str">
            <v>G13430</v>
          </cell>
          <cell r="B138" t="str">
            <v>P11輸銀1A</v>
          </cell>
          <cell r="C138" t="str">
            <v>TWD</v>
          </cell>
          <cell r="D138">
            <v>1.42</v>
          </cell>
          <cell r="E138">
            <v>1.44</v>
          </cell>
          <cell r="F138" t="str">
            <v/>
          </cell>
          <cell r="G138" t="str">
            <v/>
          </cell>
          <cell r="H138" t="str">
            <v/>
          </cell>
          <cell r="I138" t="str">
            <v/>
          </cell>
          <cell r="J138">
            <v>1.5349999999999999</v>
          </cell>
          <cell r="K138">
            <v>1.5249999999999999</v>
          </cell>
          <cell r="L138">
            <v>1.5316000000000001</v>
          </cell>
          <cell r="M138">
            <v>3</v>
          </cell>
          <cell r="N138">
            <v>6</v>
          </cell>
          <cell r="O138" t="e">
            <v>#N/A</v>
          </cell>
        </row>
        <row r="139">
          <cell r="A139" t="str">
            <v>G14929</v>
          </cell>
          <cell r="B139" t="str">
            <v>03彰銀1B</v>
          </cell>
          <cell r="C139" t="str">
            <v>TWD</v>
          </cell>
          <cell r="D139">
            <v>0.5</v>
          </cell>
          <cell r="E139">
            <v>0.51</v>
          </cell>
          <cell r="F139" t="str">
            <v/>
          </cell>
          <cell r="G139" t="str">
            <v/>
          </cell>
          <cell r="H139" t="str">
            <v/>
          </cell>
          <cell r="I139" t="str">
            <v/>
          </cell>
          <cell r="J139">
            <v>1.56</v>
          </cell>
          <cell r="K139">
            <v>1.55</v>
          </cell>
          <cell r="L139">
            <v>1.5566</v>
          </cell>
          <cell r="M139">
            <v>3</v>
          </cell>
          <cell r="N139">
            <v>3</v>
          </cell>
          <cell r="O139" t="e">
            <v>#N/A</v>
          </cell>
        </row>
        <row r="140">
          <cell r="A140" t="str">
            <v>B83425</v>
          </cell>
          <cell r="B140" t="str">
            <v>P12冠德1</v>
          </cell>
          <cell r="C140" t="str">
            <v>TWD</v>
          </cell>
          <cell r="D140">
            <v>4.75</v>
          </cell>
          <cell r="E140">
            <v>5</v>
          </cell>
          <cell r="F140" t="str">
            <v/>
          </cell>
          <cell r="G140" t="str">
            <v/>
          </cell>
          <cell r="H140" t="str">
            <v/>
          </cell>
          <cell r="I140" t="str">
            <v/>
          </cell>
          <cell r="J140">
            <v>1.75</v>
          </cell>
          <cell r="K140">
            <v>1.75</v>
          </cell>
          <cell r="L140">
            <v>1.75</v>
          </cell>
          <cell r="M140">
            <v>4</v>
          </cell>
          <cell r="N140">
            <v>6</v>
          </cell>
          <cell r="O140" t="e">
            <v>#N/A</v>
          </cell>
        </row>
        <row r="141">
          <cell r="A141" t="str">
            <v>B99605</v>
          </cell>
          <cell r="B141" t="str">
            <v>P12國壽2A</v>
          </cell>
          <cell r="C141" t="str">
            <v>TWD</v>
          </cell>
          <cell r="D141">
            <v>8.23</v>
          </cell>
          <cell r="E141">
            <v>10</v>
          </cell>
          <cell r="F141" t="str">
            <v/>
          </cell>
          <cell r="G141" t="str">
            <v/>
          </cell>
          <cell r="H141" t="str">
            <v/>
          </cell>
          <cell r="I141" t="str">
            <v/>
          </cell>
          <cell r="J141">
            <v>3.7</v>
          </cell>
          <cell r="K141">
            <v>3.7</v>
          </cell>
          <cell r="L141">
            <v>3.7</v>
          </cell>
          <cell r="M141">
            <v>23</v>
          </cell>
          <cell r="N141">
            <v>26</v>
          </cell>
          <cell r="O141" t="e">
            <v>#N/A</v>
          </cell>
        </row>
        <row r="142">
          <cell r="A142" t="str">
            <v>B99606</v>
          </cell>
          <cell r="B142" t="str">
            <v>P12國壽2B</v>
          </cell>
          <cell r="C142" t="str">
            <v>TWD</v>
          </cell>
          <cell r="D142">
            <v>11.24</v>
          </cell>
          <cell r="E142">
            <v>15</v>
          </cell>
          <cell r="F142" t="str">
            <v/>
          </cell>
          <cell r="G142" t="str">
            <v/>
          </cell>
          <cell r="H142" t="str">
            <v/>
          </cell>
          <cell r="I142" t="str">
            <v/>
          </cell>
          <cell r="J142">
            <v>3.85</v>
          </cell>
          <cell r="K142">
            <v>3.85</v>
          </cell>
          <cell r="L142">
            <v>3.85</v>
          </cell>
          <cell r="M142">
            <v>12</v>
          </cell>
          <cell r="N142">
            <v>29.59</v>
          </cell>
          <cell r="O142" t="e">
            <v>#N/A</v>
          </cell>
        </row>
        <row r="143">
          <cell r="A143" t="str">
            <v>F02222</v>
          </cell>
          <cell r="B143" t="str">
            <v>16SG6</v>
          </cell>
          <cell r="C143" t="str">
            <v>NZD</v>
          </cell>
          <cell r="D143">
            <v>0</v>
          </cell>
          <cell r="E143">
            <v>0.69</v>
          </cell>
          <cell r="F143" t="str">
            <v/>
          </cell>
          <cell r="G143" t="str">
            <v/>
          </cell>
          <cell r="H143" t="str">
            <v/>
          </cell>
          <cell r="I143" t="str">
            <v/>
          </cell>
          <cell r="J143" t="str">
            <v>-</v>
          </cell>
          <cell r="K143" t="str">
            <v>-</v>
          </cell>
          <cell r="L143" t="str">
            <v>-</v>
          </cell>
          <cell r="M143">
            <v>2</v>
          </cell>
          <cell r="N143">
            <v>2.0000000000000001E-4</v>
          </cell>
          <cell r="O143" t="e">
            <v>#N/A</v>
          </cell>
        </row>
        <row r="144">
          <cell r="A144" t="str">
            <v>F10720</v>
          </cell>
          <cell r="B144" t="str">
            <v>P23BMO1</v>
          </cell>
          <cell r="C144" t="str">
            <v>USD</v>
          </cell>
          <cell r="D144">
            <v>0</v>
          </cell>
          <cell r="E144">
            <v>5</v>
          </cell>
          <cell r="F144" t="str">
            <v/>
          </cell>
          <cell r="G144" t="str">
            <v/>
          </cell>
          <cell r="H144" t="str">
            <v/>
          </cell>
          <cell r="I144" t="str">
            <v/>
          </cell>
          <cell r="J144" t="str">
            <v>-</v>
          </cell>
          <cell r="K144" t="str">
            <v>-</v>
          </cell>
          <cell r="L144" t="str">
            <v>-</v>
          </cell>
          <cell r="M144">
            <v>2</v>
          </cell>
          <cell r="N144">
            <v>0.6</v>
          </cell>
          <cell r="O144" t="e">
            <v>#N/A</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1"/>
    </sheetNames>
    <sheetDataSet>
      <sheetData sheetId="0">
        <row r="4">
          <cell r="A4" t="str">
            <v>A07111</v>
          </cell>
          <cell r="B4" t="str">
            <v>112/11/23</v>
          </cell>
          <cell r="C4">
            <v>0.75</v>
          </cell>
          <cell r="D4">
            <v>0.11</v>
          </cell>
          <cell r="E4">
            <v>0.11</v>
          </cell>
          <cell r="F4" t="str">
            <v/>
          </cell>
          <cell r="G4" t="str">
            <v/>
          </cell>
          <cell r="H4" t="str">
            <v/>
          </cell>
          <cell r="I4" t="str">
            <v/>
          </cell>
          <cell r="J4" t="str">
            <v/>
          </cell>
          <cell r="K4" t="str">
            <v/>
          </cell>
          <cell r="L4" t="str">
            <v/>
          </cell>
          <cell r="M4" t="str">
            <v/>
          </cell>
          <cell r="N4" t="str">
            <v/>
          </cell>
          <cell r="O4">
            <v>0.93700000000000006</v>
          </cell>
        </row>
        <row r="5">
          <cell r="A5" t="str">
            <v>A08101</v>
          </cell>
          <cell r="B5" t="str">
            <v>113/01/14</v>
          </cell>
          <cell r="C5">
            <v>0.625</v>
          </cell>
          <cell r="D5">
            <v>0.25</v>
          </cell>
          <cell r="E5">
            <v>0.26</v>
          </cell>
          <cell r="F5" t="str">
            <v/>
          </cell>
          <cell r="G5" t="str">
            <v/>
          </cell>
          <cell r="H5" t="str">
            <v/>
          </cell>
          <cell r="I5" t="str">
            <v/>
          </cell>
          <cell r="J5" t="str">
            <v/>
          </cell>
          <cell r="K5" t="str">
            <v/>
          </cell>
          <cell r="L5" t="str">
            <v/>
          </cell>
          <cell r="M5" t="str">
            <v/>
          </cell>
          <cell r="N5" t="str">
            <v/>
          </cell>
          <cell r="O5">
            <v>0.93799999999999994</v>
          </cell>
        </row>
        <row r="6">
          <cell r="A6" t="str">
            <v>A93103</v>
          </cell>
          <cell r="B6" t="str">
            <v>113/02/10</v>
          </cell>
          <cell r="C6">
            <v>3</v>
          </cell>
          <cell r="D6">
            <v>0.33</v>
          </cell>
          <cell r="E6">
            <v>0.33</v>
          </cell>
          <cell r="F6">
            <v>0.90500000000000003</v>
          </cell>
          <cell r="G6">
            <v>0.9</v>
          </cell>
          <cell r="H6">
            <v>0.90249999999999997</v>
          </cell>
          <cell r="I6">
            <v>4</v>
          </cell>
          <cell r="J6" t="str">
            <v/>
          </cell>
          <cell r="K6" t="str">
            <v/>
          </cell>
          <cell r="L6" t="str">
            <v/>
          </cell>
          <cell r="M6" t="str">
            <v/>
          </cell>
          <cell r="N6" t="str">
            <v/>
          </cell>
          <cell r="O6">
            <v>0.94140000000000001</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0.46</v>
          </cell>
          <cell r="E8">
            <v>0.47</v>
          </cell>
          <cell r="F8" t="str">
            <v/>
          </cell>
          <cell r="G8" t="str">
            <v/>
          </cell>
          <cell r="H8" t="str">
            <v/>
          </cell>
          <cell r="I8" t="str">
            <v/>
          </cell>
          <cell r="J8" t="str">
            <v/>
          </cell>
          <cell r="K8" t="str">
            <v/>
          </cell>
          <cell r="L8" t="str">
            <v/>
          </cell>
          <cell r="M8" t="str">
            <v/>
          </cell>
          <cell r="N8" t="str">
            <v/>
          </cell>
          <cell r="O8">
            <v>0.94879999999999998</v>
          </cell>
        </row>
        <row r="9">
          <cell r="A9" t="str">
            <v>A08107</v>
          </cell>
          <cell r="B9" t="str">
            <v>113/07/17</v>
          </cell>
          <cell r="C9">
            <v>0.5</v>
          </cell>
          <cell r="D9">
            <v>0.75</v>
          </cell>
          <cell r="E9">
            <v>0.76</v>
          </cell>
          <cell r="F9">
            <v>0.93500000000000005</v>
          </cell>
          <cell r="G9">
            <v>0.92500000000000004</v>
          </cell>
          <cell r="H9">
            <v>0.93</v>
          </cell>
          <cell r="I9">
            <v>2</v>
          </cell>
          <cell r="J9" t="str">
            <v/>
          </cell>
          <cell r="K9" t="str">
            <v/>
          </cell>
          <cell r="L9" t="str">
            <v/>
          </cell>
          <cell r="M9" t="str">
            <v/>
          </cell>
          <cell r="N9" t="str">
            <v/>
          </cell>
          <cell r="O9">
            <v>0.96640000000000004</v>
          </cell>
        </row>
        <row r="10">
          <cell r="A10" t="str">
            <v>A03113</v>
          </cell>
          <cell r="B10" t="str">
            <v>113/09/26</v>
          </cell>
          <cell r="C10">
            <v>1.625</v>
          </cell>
          <cell r="D10">
            <v>0.94</v>
          </cell>
          <cell r="E10">
            <v>0.96</v>
          </cell>
          <cell r="F10" t="str">
            <v/>
          </cell>
          <cell r="G10" t="str">
            <v/>
          </cell>
          <cell r="H10" t="str">
            <v/>
          </cell>
          <cell r="I10" t="str">
            <v/>
          </cell>
          <cell r="J10" t="str">
            <v/>
          </cell>
          <cell r="K10" t="str">
            <v/>
          </cell>
          <cell r="L10" t="str">
            <v/>
          </cell>
          <cell r="M10" t="str">
            <v/>
          </cell>
          <cell r="N10" t="str">
            <v/>
          </cell>
          <cell r="O10">
            <v>0.97799999999999998</v>
          </cell>
        </row>
        <row r="11">
          <cell r="A11" t="str">
            <v>A93109</v>
          </cell>
          <cell r="B11" t="str">
            <v>113/11/18</v>
          </cell>
          <cell r="C11">
            <v>3</v>
          </cell>
          <cell r="D11">
            <v>1.06</v>
          </cell>
          <cell r="E11">
            <v>1.1000000000000001</v>
          </cell>
          <cell r="F11" t="str">
            <v/>
          </cell>
          <cell r="G11" t="str">
            <v/>
          </cell>
          <cell r="H11" t="str">
            <v/>
          </cell>
          <cell r="I11" t="str">
            <v/>
          </cell>
          <cell r="J11" t="str">
            <v/>
          </cell>
          <cell r="K11" t="str">
            <v/>
          </cell>
          <cell r="L11" t="str">
            <v/>
          </cell>
          <cell r="M11" t="str">
            <v/>
          </cell>
          <cell r="N11" t="str">
            <v/>
          </cell>
          <cell r="O11">
            <v>0.98660000000000003</v>
          </cell>
        </row>
        <row r="12">
          <cell r="A12" t="str">
            <v>A09101</v>
          </cell>
          <cell r="B12" t="str">
            <v>114/01/10</v>
          </cell>
          <cell r="C12">
            <v>0.5</v>
          </cell>
          <cell r="D12">
            <v>1.23</v>
          </cell>
          <cell r="E12">
            <v>1.25</v>
          </cell>
          <cell r="F12" t="str">
            <v/>
          </cell>
          <cell r="G12" t="str">
            <v/>
          </cell>
          <cell r="H12" t="str">
            <v/>
          </cell>
          <cell r="I12" t="str">
            <v/>
          </cell>
          <cell r="J12" t="str">
            <v/>
          </cell>
          <cell r="K12" t="str">
            <v/>
          </cell>
          <cell r="L12" t="str">
            <v/>
          </cell>
          <cell r="M12" t="str">
            <v/>
          </cell>
          <cell r="N12" t="str">
            <v/>
          </cell>
          <cell r="O12">
            <v>0.99519999999999997</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1.0024999999999999</v>
          </cell>
        </row>
        <row r="14">
          <cell r="A14" t="str">
            <v>A12103</v>
          </cell>
          <cell r="B14" t="str">
            <v>114/02/23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1.0024</v>
          </cell>
        </row>
        <row r="15">
          <cell r="A15" t="str">
            <v>A04105</v>
          </cell>
          <cell r="B15" t="str">
            <v>114/03/13</v>
          </cell>
          <cell r="C15">
            <v>1.625</v>
          </cell>
          <cell r="D15">
            <v>1.39</v>
          </cell>
          <cell r="E15">
            <v>1.42</v>
          </cell>
          <cell r="F15" t="str">
            <v/>
          </cell>
          <cell r="G15" t="str">
            <v/>
          </cell>
          <cell r="H15" t="str">
            <v/>
          </cell>
          <cell r="I15" t="str">
            <v/>
          </cell>
          <cell r="J15" t="str">
            <v/>
          </cell>
          <cell r="K15" t="str">
            <v/>
          </cell>
          <cell r="L15" t="str">
            <v/>
          </cell>
          <cell r="M15" t="str">
            <v/>
          </cell>
          <cell r="N15" t="str">
            <v/>
          </cell>
          <cell r="O15">
            <v>1.0054000000000001</v>
          </cell>
        </row>
        <row r="16">
          <cell r="A16" t="str">
            <v>A09107</v>
          </cell>
          <cell r="B16" t="str">
            <v>114/07/17</v>
          </cell>
          <cell r="C16">
            <v>0.25</v>
          </cell>
          <cell r="D16">
            <v>1.74</v>
          </cell>
          <cell r="E16">
            <v>1.76</v>
          </cell>
          <cell r="F16" t="str">
            <v/>
          </cell>
          <cell r="G16" t="str">
            <v/>
          </cell>
          <cell r="H16" t="str">
            <v/>
          </cell>
          <cell r="I16" t="str">
            <v/>
          </cell>
          <cell r="J16" t="str">
            <v/>
          </cell>
          <cell r="K16" t="str">
            <v/>
          </cell>
          <cell r="L16" t="str">
            <v/>
          </cell>
          <cell r="M16" t="str">
            <v/>
          </cell>
          <cell r="N16" t="str">
            <v/>
          </cell>
          <cell r="O16">
            <v>1.0274000000000001</v>
          </cell>
        </row>
        <row r="17">
          <cell r="A17" t="str">
            <v>A04112</v>
          </cell>
          <cell r="B17" t="str">
            <v>114/09/11</v>
          </cell>
          <cell r="C17">
            <v>1.125</v>
          </cell>
          <cell r="D17">
            <v>1.88</v>
          </cell>
          <cell r="E17">
            <v>1.91</v>
          </cell>
          <cell r="F17" t="str">
            <v/>
          </cell>
          <cell r="G17" t="str">
            <v/>
          </cell>
          <cell r="H17" t="str">
            <v/>
          </cell>
          <cell r="I17" t="str">
            <v/>
          </cell>
          <cell r="J17" t="str">
            <v/>
          </cell>
          <cell r="K17" t="str">
            <v/>
          </cell>
          <cell r="L17" t="str">
            <v/>
          </cell>
          <cell r="M17" t="str">
            <v/>
          </cell>
          <cell r="N17" t="str">
            <v/>
          </cell>
          <cell r="O17">
            <v>1.0374000000000001</v>
          </cell>
        </row>
        <row r="18">
          <cell r="A18" t="str">
            <v>A09112</v>
          </cell>
          <cell r="B18" t="str">
            <v>114/12/08</v>
          </cell>
          <cell r="C18">
            <v>0.125</v>
          </cell>
          <cell r="D18">
            <v>2.13</v>
          </cell>
          <cell r="E18">
            <v>2.16</v>
          </cell>
          <cell r="F18" t="str">
            <v/>
          </cell>
          <cell r="G18" t="str">
            <v/>
          </cell>
          <cell r="H18" t="str">
            <v/>
          </cell>
          <cell r="I18" t="str">
            <v/>
          </cell>
          <cell r="J18" t="str">
            <v/>
          </cell>
          <cell r="K18" t="str">
            <v/>
          </cell>
          <cell r="L18" t="str">
            <v/>
          </cell>
          <cell r="M18" t="str">
            <v/>
          </cell>
          <cell r="N18" t="str">
            <v/>
          </cell>
          <cell r="O18">
            <v>1.0543</v>
          </cell>
        </row>
        <row r="19">
          <cell r="A19" t="str">
            <v>A10101</v>
          </cell>
          <cell r="B19" t="str">
            <v>115/01/13</v>
          </cell>
          <cell r="C19">
            <v>0.25</v>
          </cell>
          <cell r="D19">
            <v>2.2200000000000002</v>
          </cell>
          <cell r="E19">
            <v>2.25</v>
          </cell>
          <cell r="F19" t="str">
            <v/>
          </cell>
          <cell r="G19" t="str">
            <v/>
          </cell>
          <cell r="H19" t="str">
            <v/>
          </cell>
          <cell r="I19" t="str">
            <v/>
          </cell>
          <cell r="J19" t="str">
            <v/>
          </cell>
          <cell r="K19" t="str">
            <v/>
          </cell>
          <cell r="L19" t="str">
            <v/>
          </cell>
          <cell r="M19" t="str">
            <v/>
          </cell>
          <cell r="N19" t="str">
            <v/>
          </cell>
          <cell r="O19">
            <v>1.0613999999999999</v>
          </cell>
        </row>
        <row r="20">
          <cell r="A20" t="str">
            <v>A95102</v>
          </cell>
          <cell r="B20" t="str">
            <v>115/02/24</v>
          </cell>
          <cell r="C20">
            <v>1.875</v>
          </cell>
          <cell r="D20">
            <v>2.29</v>
          </cell>
          <cell r="E20">
            <v>2.37</v>
          </cell>
          <cell r="F20" t="str">
            <v/>
          </cell>
          <cell r="G20" t="str">
            <v/>
          </cell>
          <cell r="H20" t="str">
            <v/>
          </cell>
          <cell r="I20" t="str">
            <v/>
          </cell>
          <cell r="J20" t="str">
            <v/>
          </cell>
          <cell r="K20" t="str">
            <v/>
          </cell>
          <cell r="L20" t="str">
            <v/>
          </cell>
          <cell r="M20" t="str">
            <v/>
          </cell>
          <cell r="N20" t="str">
            <v/>
          </cell>
          <cell r="O20">
            <v>1.0688</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1.0711999999999999</v>
          </cell>
        </row>
        <row r="22">
          <cell r="A22" t="str">
            <v>A10108</v>
          </cell>
          <cell r="B22" t="str">
            <v>115/07/29</v>
          </cell>
          <cell r="C22">
            <v>0.25</v>
          </cell>
          <cell r="D22">
            <v>2.75</v>
          </cell>
          <cell r="E22">
            <v>2.79</v>
          </cell>
          <cell r="F22" t="str">
            <v/>
          </cell>
          <cell r="G22" t="str">
            <v/>
          </cell>
          <cell r="H22" t="str">
            <v/>
          </cell>
          <cell r="I22" t="str">
            <v/>
          </cell>
          <cell r="J22" t="str">
            <v/>
          </cell>
          <cell r="K22" t="str">
            <v/>
          </cell>
          <cell r="L22" t="str">
            <v/>
          </cell>
          <cell r="M22" t="str">
            <v/>
          </cell>
          <cell r="N22" t="str">
            <v/>
          </cell>
          <cell r="O22">
            <v>1.1020000000000001</v>
          </cell>
        </row>
        <row r="23">
          <cell r="A23" t="str">
            <v>A05111</v>
          </cell>
          <cell r="B23" t="str">
            <v>115/09/07</v>
          </cell>
          <cell r="C23">
            <v>0.625</v>
          </cell>
          <cell r="D23">
            <v>2.85</v>
          </cell>
          <cell r="E23">
            <v>2.9</v>
          </cell>
          <cell r="F23" t="str">
            <v/>
          </cell>
          <cell r="G23" t="str">
            <v/>
          </cell>
          <cell r="H23" t="str">
            <v/>
          </cell>
          <cell r="I23" t="str">
            <v/>
          </cell>
          <cell r="J23" t="str">
            <v/>
          </cell>
          <cell r="K23" t="str">
            <v/>
          </cell>
          <cell r="L23" t="str">
            <v/>
          </cell>
          <cell r="M23" t="str">
            <v/>
          </cell>
          <cell r="N23" t="str">
            <v/>
          </cell>
          <cell r="O23">
            <v>1.1099000000000001</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3.19</v>
          </cell>
          <cell r="E25">
            <v>3.34</v>
          </cell>
          <cell r="F25" t="str">
            <v/>
          </cell>
          <cell r="G25" t="str">
            <v/>
          </cell>
          <cell r="H25" t="str">
            <v/>
          </cell>
          <cell r="I25" t="str">
            <v/>
          </cell>
          <cell r="J25" t="str">
            <v/>
          </cell>
          <cell r="K25" t="str">
            <v/>
          </cell>
          <cell r="L25" t="str">
            <v/>
          </cell>
          <cell r="M25" t="str">
            <v/>
          </cell>
          <cell r="N25" t="str">
            <v/>
          </cell>
          <cell r="O25">
            <v>1.1392</v>
          </cell>
        </row>
        <row r="26">
          <cell r="A26" t="str">
            <v>A06104</v>
          </cell>
          <cell r="B26" t="str">
            <v>116/03/01</v>
          </cell>
          <cell r="C26">
            <v>1.125</v>
          </cell>
          <cell r="D26">
            <v>3.28</v>
          </cell>
          <cell r="E26">
            <v>3.38</v>
          </cell>
          <cell r="F26" t="str">
            <v/>
          </cell>
          <cell r="G26" t="str">
            <v/>
          </cell>
          <cell r="H26" t="str">
            <v/>
          </cell>
          <cell r="I26" t="str">
            <v/>
          </cell>
          <cell r="J26" t="str">
            <v/>
          </cell>
          <cell r="K26" t="str">
            <v/>
          </cell>
          <cell r="L26" t="str">
            <v/>
          </cell>
          <cell r="M26" t="str">
            <v/>
          </cell>
          <cell r="N26" t="str">
            <v/>
          </cell>
          <cell r="O26">
            <v>1.143</v>
          </cell>
        </row>
        <row r="27">
          <cell r="A27" t="str">
            <v>A11103</v>
          </cell>
          <cell r="B27" t="str">
            <v>116/02/24</v>
          </cell>
          <cell r="C27">
            <v>0.5</v>
          </cell>
          <cell r="D27">
            <v>3.3</v>
          </cell>
          <cell r="E27">
            <v>3.37</v>
          </cell>
          <cell r="F27" t="str">
            <v/>
          </cell>
          <cell r="G27" t="str">
            <v/>
          </cell>
          <cell r="H27" t="str">
            <v/>
          </cell>
          <cell r="I27" t="str">
            <v/>
          </cell>
          <cell r="J27" t="str">
            <v/>
          </cell>
          <cell r="K27" t="str">
            <v/>
          </cell>
          <cell r="L27" t="str">
            <v/>
          </cell>
          <cell r="M27" t="str">
            <v/>
          </cell>
          <cell r="N27" t="str">
            <v/>
          </cell>
          <cell r="O27">
            <v>1.1428</v>
          </cell>
        </row>
        <row r="28">
          <cell r="A28" t="str">
            <v>A11106</v>
          </cell>
          <cell r="B28" t="str">
            <v>116/06/23</v>
          </cell>
          <cell r="C28">
            <v>1</v>
          </cell>
          <cell r="D28">
            <v>3.59</v>
          </cell>
          <cell r="E28">
            <v>3.69</v>
          </cell>
          <cell r="F28">
            <v>1.2010000000000001</v>
          </cell>
          <cell r="G28">
            <v>1.2</v>
          </cell>
          <cell r="H28">
            <v>1.2004999999999999</v>
          </cell>
          <cell r="I28">
            <v>6</v>
          </cell>
          <cell r="J28" t="str">
            <v/>
          </cell>
          <cell r="K28" t="str">
            <v/>
          </cell>
          <cell r="L28" t="str">
            <v/>
          </cell>
          <cell r="M28" t="str">
            <v/>
          </cell>
          <cell r="N28" t="str">
            <v/>
          </cell>
          <cell r="O28">
            <v>1.1623000000000001</v>
          </cell>
        </row>
        <row r="29">
          <cell r="A29" t="str">
            <v>A96107</v>
          </cell>
          <cell r="B29" t="str">
            <v>116/11/16</v>
          </cell>
          <cell r="C29">
            <v>3</v>
          </cell>
          <cell r="D29">
            <v>3.78</v>
          </cell>
          <cell r="E29">
            <v>4.09</v>
          </cell>
          <cell r="F29" t="str">
            <v/>
          </cell>
          <cell r="G29" t="str">
            <v/>
          </cell>
          <cell r="H29" t="str">
            <v/>
          </cell>
          <cell r="I29" t="str">
            <v/>
          </cell>
          <cell r="J29" t="str">
            <v/>
          </cell>
          <cell r="K29" t="str">
            <v/>
          </cell>
          <cell r="L29" t="str">
            <v/>
          </cell>
          <cell r="M29" t="str">
            <v/>
          </cell>
          <cell r="N29" t="str">
            <v/>
          </cell>
          <cell r="O29">
            <v>1.1793</v>
          </cell>
        </row>
        <row r="30">
          <cell r="A30" t="str">
            <v>A11108</v>
          </cell>
          <cell r="B30" t="str">
            <v>116/09/23</v>
          </cell>
          <cell r="C30">
            <v>1.25</v>
          </cell>
          <cell r="D30">
            <v>3.83</v>
          </cell>
          <cell r="E30">
            <v>3.95</v>
          </cell>
          <cell r="F30">
            <v>1.206</v>
          </cell>
          <cell r="G30">
            <v>1.2050000000000001</v>
          </cell>
          <cell r="H30">
            <v>1.2055</v>
          </cell>
          <cell r="I30">
            <v>10</v>
          </cell>
          <cell r="J30" t="str">
            <v/>
          </cell>
          <cell r="K30" t="str">
            <v/>
          </cell>
          <cell r="L30" t="str">
            <v/>
          </cell>
          <cell r="M30" t="str">
            <v/>
          </cell>
          <cell r="N30" t="str">
            <v/>
          </cell>
          <cell r="O30">
            <v>1.1752</v>
          </cell>
        </row>
        <row r="31">
          <cell r="A31" t="str">
            <v>A06109</v>
          </cell>
          <cell r="B31" t="str">
            <v>116/09/20</v>
          </cell>
          <cell r="C31">
            <v>1</v>
          </cell>
          <cell r="D31">
            <v>3.83</v>
          </cell>
          <cell r="E31">
            <v>3.94</v>
          </cell>
          <cell r="F31" t="str">
            <v/>
          </cell>
          <cell r="G31" t="str">
            <v/>
          </cell>
          <cell r="H31" t="str">
            <v/>
          </cell>
          <cell r="I31" t="str">
            <v/>
          </cell>
          <cell r="J31" t="str">
            <v/>
          </cell>
          <cell r="K31" t="str">
            <v/>
          </cell>
          <cell r="L31" t="str">
            <v/>
          </cell>
          <cell r="M31" t="str">
            <v/>
          </cell>
          <cell r="N31" t="str">
            <v/>
          </cell>
          <cell r="O31">
            <v>1.1752</v>
          </cell>
        </row>
        <row r="32">
          <cell r="A32" t="str">
            <v>A02101</v>
          </cell>
          <cell r="B32" t="str">
            <v>117/01/09</v>
          </cell>
          <cell r="C32">
            <v>1.375</v>
          </cell>
          <cell r="D32">
            <v>4.0599999999999996</v>
          </cell>
          <cell r="E32">
            <v>4.24</v>
          </cell>
          <cell r="F32" t="str">
            <v/>
          </cell>
          <cell r="G32" t="str">
            <v/>
          </cell>
          <cell r="H32" t="str">
            <v/>
          </cell>
          <cell r="I32" t="str">
            <v/>
          </cell>
          <cell r="J32" t="str">
            <v/>
          </cell>
          <cell r="K32" t="str">
            <v/>
          </cell>
          <cell r="L32" t="str">
            <v/>
          </cell>
          <cell r="M32" t="str">
            <v/>
          </cell>
          <cell r="N32" t="str">
            <v/>
          </cell>
          <cell r="O32">
            <v>1.1879999999999999</v>
          </cell>
        </row>
        <row r="33">
          <cell r="A33" t="str">
            <v>A97102</v>
          </cell>
          <cell r="B33" t="str">
            <v>117/02/14</v>
          </cell>
          <cell r="C33">
            <v>2.5</v>
          </cell>
          <cell r="D33">
            <v>4.0599999999999996</v>
          </cell>
          <cell r="E33">
            <v>4.34</v>
          </cell>
          <cell r="F33" t="str">
            <v/>
          </cell>
          <cell r="G33" t="str">
            <v/>
          </cell>
          <cell r="H33" t="str">
            <v/>
          </cell>
          <cell r="I33" t="str">
            <v/>
          </cell>
          <cell r="J33" t="str">
            <v/>
          </cell>
          <cell r="K33" t="str">
            <v/>
          </cell>
          <cell r="L33" t="str">
            <v/>
          </cell>
          <cell r="M33" t="str">
            <v/>
          </cell>
          <cell r="N33" t="str">
            <v/>
          </cell>
          <cell r="O33">
            <v>1.1899</v>
          </cell>
        </row>
        <row r="34">
          <cell r="A34" t="str">
            <v>A12101</v>
          </cell>
          <cell r="B34" t="str">
            <v>117/01/17</v>
          </cell>
          <cell r="C34">
            <v>1</v>
          </cell>
          <cell r="D34">
            <v>4.12</v>
          </cell>
          <cell r="E34">
            <v>4.26</v>
          </cell>
          <cell r="F34" t="str">
            <v/>
          </cell>
          <cell r="G34" t="str">
            <v/>
          </cell>
          <cell r="H34" t="str">
            <v/>
          </cell>
          <cell r="I34" t="str">
            <v/>
          </cell>
          <cell r="J34" t="str">
            <v/>
          </cell>
          <cell r="K34" t="str">
            <v/>
          </cell>
          <cell r="L34" t="str">
            <v/>
          </cell>
          <cell r="M34" t="str">
            <v/>
          </cell>
          <cell r="N34" t="str">
            <v/>
          </cell>
          <cell r="O34">
            <v>1.1896</v>
          </cell>
        </row>
        <row r="35">
          <cell r="A35" t="str">
            <v>A07102</v>
          </cell>
          <cell r="B35" t="str">
            <v>117/02/08</v>
          </cell>
          <cell r="C35">
            <v>1</v>
          </cell>
          <cell r="D35">
            <v>4.18</v>
          </cell>
          <cell r="E35">
            <v>4.32</v>
          </cell>
          <cell r="F35" t="str">
            <v/>
          </cell>
          <cell r="G35" t="str">
            <v/>
          </cell>
          <cell r="H35" t="str">
            <v/>
          </cell>
          <cell r="I35" t="str">
            <v/>
          </cell>
          <cell r="J35" t="str">
            <v/>
          </cell>
          <cell r="K35" t="str">
            <v/>
          </cell>
          <cell r="L35" t="str">
            <v/>
          </cell>
          <cell r="M35" t="str">
            <v/>
          </cell>
          <cell r="N35" t="str">
            <v/>
          </cell>
          <cell r="O35">
            <v>1.1918</v>
          </cell>
        </row>
        <row r="36">
          <cell r="A36" t="str">
            <v>A12106</v>
          </cell>
          <cell r="B36" t="str">
            <v>117/05/26</v>
          </cell>
          <cell r="C36">
            <v>1</v>
          </cell>
          <cell r="D36">
            <v>4.47</v>
          </cell>
          <cell r="E36">
            <v>4.62</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4.51</v>
          </cell>
          <cell r="E37">
            <v>4.6500000000000004</v>
          </cell>
          <cell r="F37" t="str">
            <v/>
          </cell>
          <cell r="G37" t="str">
            <v/>
          </cell>
          <cell r="H37" t="str">
            <v/>
          </cell>
          <cell r="I37" t="str">
            <v/>
          </cell>
          <cell r="J37" t="str">
            <v/>
          </cell>
          <cell r="K37" t="str">
            <v/>
          </cell>
          <cell r="L37" t="str">
            <v/>
          </cell>
          <cell r="M37" t="str">
            <v/>
          </cell>
          <cell r="N37" t="str">
            <v/>
          </cell>
          <cell r="O37">
            <v>1.2032</v>
          </cell>
        </row>
        <row r="38">
          <cell r="A38" t="str">
            <v>A97105</v>
          </cell>
          <cell r="B38" t="str">
            <v>117/08/14</v>
          </cell>
          <cell r="C38">
            <v>2.625</v>
          </cell>
          <cell r="D38">
            <v>4.54</v>
          </cell>
          <cell r="E38">
            <v>4.84</v>
          </cell>
          <cell r="F38" t="str">
            <v/>
          </cell>
          <cell r="G38" t="str">
            <v/>
          </cell>
          <cell r="H38" t="str">
            <v/>
          </cell>
          <cell r="I38" t="str">
            <v/>
          </cell>
          <cell r="J38" t="str">
            <v/>
          </cell>
          <cell r="K38" t="str">
            <v/>
          </cell>
          <cell r="L38" t="str">
            <v/>
          </cell>
          <cell r="M38" t="str">
            <v/>
          </cell>
          <cell r="N38" t="str">
            <v/>
          </cell>
          <cell r="O38">
            <v>1.2051000000000001</v>
          </cell>
        </row>
        <row r="39">
          <cell r="A39" t="str">
            <v>A12108</v>
          </cell>
          <cell r="B39" t="str">
            <v>117/09/15</v>
          </cell>
          <cell r="C39">
            <v>1.125</v>
          </cell>
          <cell r="D39">
            <v>4.76</v>
          </cell>
          <cell r="E39">
            <v>4.93</v>
          </cell>
          <cell r="F39" t="str">
            <v/>
          </cell>
          <cell r="G39" t="str">
            <v/>
          </cell>
          <cell r="H39" t="str">
            <v/>
          </cell>
          <cell r="I39" t="str">
            <v/>
          </cell>
          <cell r="J39" t="str">
            <v/>
          </cell>
          <cell r="K39" t="str">
            <v/>
          </cell>
          <cell r="L39" t="str">
            <v/>
          </cell>
          <cell r="M39" t="str">
            <v/>
          </cell>
          <cell r="N39" t="str">
            <v/>
          </cell>
          <cell r="O39">
            <v>1.2101999999999999</v>
          </cell>
        </row>
        <row r="40">
          <cell r="A40" t="str">
            <v>A10202</v>
          </cell>
          <cell r="B40" t="str">
            <v>117/08/20</v>
          </cell>
          <cell r="C40">
            <v>0.25</v>
          </cell>
          <cell r="D40">
            <v>4.7699999999999996</v>
          </cell>
          <cell r="E40">
            <v>4.8499999999999996</v>
          </cell>
          <cell r="F40" t="str">
            <v/>
          </cell>
          <cell r="G40" t="str">
            <v/>
          </cell>
          <cell r="H40" t="str">
            <v/>
          </cell>
          <cell r="I40" t="str">
            <v/>
          </cell>
          <cell r="J40" t="str">
            <v/>
          </cell>
          <cell r="K40" t="str">
            <v/>
          </cell>
          <cell r="L40" t="str">
            <v/>
          </cell>
          <cell r="M40" t="str">
            <v/>
          </cell>
          <cell r="N40" t="str">
            <v/>
          </cell>
          <cell r="O40">
            <v>1.2101999999999999</v>
          </cell>
        </row>
        <row r="41">
          <cell r="A41" t="str">
            <v>A07109</v>
          </cell>
          <cell r="B41" t="str">
            <v>117/10/17</v>
          </cell>
          <cell r="C41">
            <v>0.875</v>
          </cell>
          <cell r="D41">
            <v>4.82</v>
          </cell>
          <cell r="E41">
            <v>5.01</v>
          </cell>
          <cell r="F41" t="str">
            <v/>
          </cell>
          <cell r="G41" t="str">
            <v/>
          </cell>
          <cell r="H41" t="str">
            <v/>
          </cell>
          <cell r="I41" t="str">
            <v/>
          </cell>
          <cell r="J41" t="str">
            <v/>
          </cell>
          <cell r="K41" t="str">
            <v/>
          </cell>
          <cell r="L41" t="str">
            <v/>
          </cell>
          <cell r="M41" t="str">
            <v/>
          </cell>
          <cell r="N41" t="str">
            <v/>
          </cell>
          <cell r="O41">
            <v>1.2129000000000001</v>
          </cell>
        </row>
        <row r="42">
          <cell r="A42" t="str">
            <v>A98102</v>
          </cell>
          <cell r="B42" t="str">
            <v>118/02/16</v>
          </cell>
          <cell r="C42">
            <v>2.125</v>
          </cell>
          <cell r="D42">
            <v>4.99</v>
          </cell>
          <cell r="E42">
            <v>5.35</v>
          </cell>
          <cell r="F42" t="str">
            <v/>
          </cell>
          <cell r="G42" t="str">
            <v/>
          </cell>
          <cell r="H42" t="str">
            <v/>
          </cell>
          <cell r="I42" t="str">
            <v/>
          </cell>
          <cell r="J42" t="str">
            <v/>
          </cell>
          <cell r="K42" t="str">
            <v/>
          </cell>
          <cell r="L42" t="str">
            <v/>
          </cell>
          <cell r="M42" t="str">
            <v/>
          </cell>
          <cell r="N42" t="str">
            <v/>
          </cell>
          <cell r="O42">
            <v>1.2176</v>
          </cell>
        </row>
        <row r="43">
          <cell r="A43" t="str">
            <v>A08103</v>
          </cell>
          <cell r="B43" t="str">
            <v>118/02/13</v>
          </cell>
          <cell r="C43">
            <v>0.75</v>
          </cell>
          <cell r="D43">
            <v>5.16</v>
          </cell>
          <cell r="E43">
            <v>5.34</v>
          </cell>
          <cell r="F43" t="str">
            <v/>
          </cell>
          <cell r="G43" t="str">
            <v/>
          </cell>
          <cell r="H43" t="str">
            <v/>
          </cell>
          <cell r="I43" t="str">
            <v/>
          </cell>
          <cell r="J43" t="str">
            <v/>
          </cell>
          <cell r="K43" t="str">
            <v/>
          </cell>
          <cell r="L43" t="str">
            <v/>
          </cell>
          <cell r="M43" t="str">
            <v/>
          </cell>
          <cell r="N43" t="str">
            <v/>
          </cell>
          <cell r="O43">
            <v>1.2202</v>
          </cell>
        </row>
        <row r="44">
          <cell r="A44" t="str">
            <v>A98105</v>
          </cell>
          <cell r="B44" t="str">
            <v>118/08/13</v>
          </cell>
          <cell r="C44">
            <v>2.125</v>
          </cell>
          <cell r="D44">
            <v>5.47</v>
          </cell>
          <cell r="E44">
            <v>5.83</v>
          </cell>
          <cell r="F44" t="str">
            <v/>
          </cell>
          <cell r="G44" t="str">
            <v/>
          </cell>
          <cell r="H44" t="str">
            <v/>
          </cell>
          <cell r="I44" t="str">
            <v/>
          </cell>
          <cell r="J44" t="str">
            <v/>
          </cell>
          <cell r="K44" t="str">
            <v/>
          </cell>
          <cell r="L44" t="str">
            <v/>
          </cell>
          <cell r="M44" t="str">
            <v/>
          </cell>
          <cell r="N44" t="str">
            <v/>
          </cell>
          <cell r="O44">
            <v>1.2258</v>
          </cell>
        </row>
        <row r="45">
          <cell r="A45" t="str">
            <v>A08106</v>
          </cell>
          <cell r="B45" t="str">
            <v>118/06/26</v>
          </cell>
          <cell r="C45">
            <v>0.625</v>
          </cell>
          <cell r="D45">
            <v>5.54</v>
          </cell>
          <cell r="E45">
            <v>5.7</v>
          </cell>
          <cell r="F45" t="str">
            <v/>
          </cell>
          <cell r="G45" t="str">
            <v/>
          </cell>
          <cell r="H45" t="str">
            <v/>
          </cell>
          <cell r="I45" t="str">
            <v/>
          </cell>
          <cell r="J45" t="str">
            <v/>
          </cell>
          <cell r="K45" t="str">
            <v/>
          </cell>
          <cell r="L45" t="str">
            <v/>
          </cell>
          <cell r="M45" t="str">
            <v/>
          </cell>
          <cell r="N45" t="str">
            <v/>
          </cell>
          <cell r="O45">
            <v>1.2267999999999999</v>
          </cell>
        </row>
        <row r="46">
          <cell r="A46" t="str">
            <v>A08109</v>
          </cell>
          <cell r="B46" t="str">
            <v>118/10/14</v>
          </cell>
          <cell r="C46">
            <v>0.625</v>
          </cell>
          <cell r="D46">
            <v>5.8</v>
          </cell>
          <cell r="E46">
            <v>6</v>
          </cell>
          <cell r="F46" t="str">
            <v/>
          </cell>
          <cell r="G46" t="str">
            <v/>
          </cell>
          <cell r="H46" t="str">
            <v/>
          </cell>
          <cell r="I46" t="str">
            <v/>
          </cell>
          <cell r="J46" t="str">
            <v/>
          </cell>
          <cell r="K46" t="str">
            <v/>
          </cell>
          <cell r="L46" t="str">
            <v/>
          </cell>
          <cell r="M46" t="str">
            <v/>
          </cell>
          <cell r="N46" t="str">
            <v/>
          </cell>
          <cell r="O46">
            <v>1.2311000000000001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1.2326999999999999</v>
          </cell>
        </row>
        <row r="48">
          <cell r="A48" t="str">
            <v>A09103</v>
          </cell>
          <cell r="B48" t="str">
            <v>119/02/21</v>
          </cell>
          <cell r="C48">
            <v>0.5</v>
          </cell>
          <cell r="D48">
            <v>6.18</v>
          </cell>
          <cell r="E48">
            <v>6.36</v>
          </cell>
          <cell r="F48" t="str">
            <v/>
          </cell>
          <cell r="G48" t="str">
            <v/>
          </cell>
          <cell r="H48" t="str">
            <v/>
          </cell>
          <cell r="I48" t="str">
            <v/>
          </cell>
          <cell r="J48" t="str">
            <v/>
          </cell>
          <cell r="K48" t="str">
            <v/>
          </cell>
          <cell r="L48" t="str">
            <v/>
          </cell>
          <cell r="M48" t="str">
            <v/>
          </cell>
          <cell r="N48" t="str">
            <v/>
          </cell>
          <cell r="O48">
            <v>1.2355</v>
          </cell>
        </row>
        <row r="49">
          <cell r="A49" t="str">
            <v>A99107</v>
          </cell>
          <cell r="B49" t="str">
            <v>119/08/12</v>
          </cell>
          <cell r="C49">
            <v>1.75</v>
          </cell>
          <cell r="D49">
            <v>6.41</v>
          </cell>
          <cell r="E49">
            <v>6.83</v>
          </cell>
          <cell r="F49" t="str">
            <v/>
          </cell>
          <cell r="G49" t="str">
            <v/>
          </cell>
          <cell r="H49" t="str">
            <v/>
          </cell>
          <cell r="I49" t="str">
            <v/>
          </cell>
          <cell r="J49" t="str">
            <v/>
          </cell>
          <cell r="K49" t="str">
            <v/>
          </cell>
          <cell r="L49" t="str">
            <v/>
          </cell>
          <cell r="M49" t="str">
            <v/>
          </cell>
          <cell r="N49" t="str">
            <v/>
          </cell>
          <cell r="O49">
            <v>1.2372000000000001</v>
          </cell>
        </row>
        <row r="50">
          <cell r="A50" t="str">
            <v>A09106</v>
          </cell>
          <cell r="B50" t="str">
            <v>119/06/11</v>
          </cell>
          <cell r="C50">
            <v>0.375</v>
          </cell>
          <cell r="D50">
            <v>6.5</v>
          </cell>
          <cell r="E50">
            <v>6.66</v>
          </cell>
          <cell r="F50" t="str">
            <v/>
          </cell>
          <cell r="G50" t="str">
            <v/>
          </cell>
          <cell r="H50" t="str">
            <v/>
          </cell>
          <cell r="I50" t="str">
            <v/>
          </cell>
          <cell r="J50" t="str">
            <v/>
          </cell>
          <cell r="K50" t="str">
            <v/>
          </cell>
          <cell r="L50" t="str">
            <v/>
          </cell>
          <cell r="M50" t="str">
            <v/>
          </cell>
          <cell r="N50" t="str">
            <v/>
          </cell>
          <cell r="O50">
            <v>1.2386999999999999</v>
          </cell>
        </row>
        <row r="51">
          <cell r="A51" t="str">
            <v>A00102</v>
          </cell>
          <cell r="B51" t="str">
            <v>120/01/13</v>
          </cell>
          <cell r="C51">
            <v>2.125</v>
          </cell>
          <cell r="D51">
            <v>6.63</v>
          </cell>
          <cell r="E51">
            <v>7.25</v>
          </cell>
          <cell r="F51" t="str">
            <v/>
          </cell>
          <cell r="G51" t="str">
            <v/>
          </cell>
          <cell r="H51" t="str">
            <v/>
          </cell>
          <cell r="I51" t="str">
            <v/>
          </cell>
          <cell r="J51" t="str">
            <v/>
          </cell>
          <cell r="K51" t="str">
            <v/>
          </cell>
          <cell r="L51" t="str">
            <v/>
          </cell>
          <cell r="M51" t="str">
            <v/>
          </cell>
          <cell r="N51" t="str">
            <v/>
          </cell>
          <cell r="O51">
            <v>1.2395</v>
          </cell>
        </row>
        <row r="52">
          <cell r="A52" t="str">
            <v>A09109</v>
          </cell>
          <cell r="B52" t="str">
            <v>119/10/14</v>
          </cell>
          <cell r="C52">
            <v>0.25</v>
          </cell>
          <cell r="D52">
            <v>6.84</v>
          </cell>
          <cell r="E52">
            <v>7</v>
          </cell>
          <cell r="F52" t="str">
            <v/>
          </cell>
          <cell r="G52" t="str">
            <v/>
          </cell>
          <cell r="H52" t="str">
            <v/>
          </cell>
          <cell r="I52" t="str">
            <v/>
          </cell>
          <cell r="J52" t="str">
            <v/>
          </cell>
          <cell r="K52" t="str">
            <v/>
          </cell>
          <cell r="L52" t="str">
            <v/>
          </cell>
          <cell r="M52" t="str">
            <v/>
          </cell>
          <cell r="N52" t="str">
            <v/>
          </cell>
          <cell r="O52">
            <v>1.2416</v>
          </cell>
        </row>
        <row r="53">
          <cell r="A53" t="str">
            <v>A90105</v>
          </cell>
          <cell r="B53" t="str">
            <v>120/07/17</v>
          </cell>
          <cell r="C53">
            <v>3.625</v>
          </cell>
          <cell r="D53">
            <v>6.85</v>
          </cell>
          <cell r="E53">
            <v>7.76</v>
          </cell>
          <cell r="F53" t="str">
            <v/>
          </cell>
          <cell r="G53" t="str">
            <v/>
          </cell>
          <cell r="H53" t="str">
            <v/>
          </cell>
          <cell r="I53" t="str">
            <v/>
          </cell>
          <cell r="J53" t="str">
            <v/>
          </cell>
          <cell r="K53" t="str">
            <v/>
          </cell>
          <cell r="L53" t="str">
            <v/>
          </cell>
          <cell r="M53" t="str">
            <v/>
          </cell>
          <cell r="N53" t="str">
            <v/>
          </cell>
          <cell r="O53">
            <v>1.2403</v>
          </cell>
        </row>
        <row r="54">
          <cell r="A54" t="str">
            <v>A00201</v>
          </cell>
          <cell r="B54" t="str">
            <v>120/05/26</v>
          </cell>
          <cell r="C54">
            <v>1.75</v>
          </cell>
          <cell r="D54">
            <v>7.07</v>
          </cell>
          <cell r="E54">
            <v>7.62</v>
          </cell>
          <cell r="F54" t="str">
            <v/>
          </cell>
          <cell r="G54" t="str">
            <v/>
          </cell>
          <cell r="H54" t="str">
            <v/>
          </cell>
          <cell r="I54" t="str">
            <v/>
          </cell>
          <cell r="J54" t="str">
            <v/>
          </cell>
          <cell r="K54" t="str">
            <v/>
          </cell>
          <cell r="L54" t="str">
            <v/>
          </cell>
          <cell r="M54" t="str">
            <v/>
          </cell>
          <cell r="N54" t="str">
            <v/>
          </cell>
          <cell r="O54">
            <v>1.2425999999999999</v>
          </cell>
        </row>
        <row r="55">
          <cell r="A55" t="str">
            <v>A10103</v>
          </cell>
          <cell r="B55" t="str">
            <v>120/02/22</v>
          </cell>
          <cell r="C55">
            <v>0.25</v>
          </cell>
          <cell r="D55">
            <v>7.2</v>
          </cell>
          <cell r="E55">
            <v>7.36</v>
          </cell>
          <cell r="F55" t="str">
            <v/>
          </cell>
          <cell r="G55" t="str">
            <v/>
          </cell>
          <cell r="H55" t="str">
            <v/>
          </cell>
          <cell r="I55" t="str">
            <v/>
          </cell>
          <cell r="J55" t="str">
            <v/>
          </cell>
          <cell r="K55" t="str">
            <v/>
          </cell>
          <cell r="L55" t="str">
            <v/>
          </cell>
          <cell r="M55" t="str">
            <v/>
          </cell>
          <cell r="N55" t="str">
            <v/>
          </cell>
          <cell r="O55">
            <v>1.244</v>
          </cell>
        </row>
        <row r="56">
          <cell r="A56" t="str">
            <v>A00107</v>
          </cell>
          <cell r="B56" t="str">
            <v>120/08/02</v>
          </cell>
          <cell r="C56">
            <v>1.875</v>
          </cell>
          <cell r="D56">
            <v>7.23</v>
          </cell>
          <cell r="E56">
            <v>7.8</v>
          </cell>
          <cell r="F56" t="str">
            <v/>
          </cell>
          <cell r="G56" t="str">
            <v/>
          </cell>
          <cell r="H56" t="str">
            <v/>
          </cell>
          <cell r="I56" t="str">
            <v/>
          </cell>
          <cell r="J56" t="str">
            <v/>
          </cell>
          <cell r="K56" t="str">
            <v/>
          </cell>
          <cell r="L56" t="str">
            <v/>
          </cell>
          <cell r="M56" t="str">
            <v/>
          </cell>
          <cell r="N56" t="str">
            <v/>
          </cell>
          <cell r="O56">
            <v>1.2437</v>
          </cell>
        </row>
        <row r="57">
          <cell r="A57" t="str">
            <v>A10201</v>
          </cell>
          <cell r="B57" t="str">
            <v>120/05/07</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7.49</v>
          </cell>
          <cell r="E58">
            <v>7.69</v>
          </cell>
          <cell r="F58" t="str">
            <v/>
          </cell>
          <cell r="G58" t="str">
            <v/>
          </cell>
          <cell r="H58" t="str">
            <v/>
          </cell>
          <cell r="I58" t="str">
            <v/>
          </cell>
          <cell r="J58" t="str">
            <v/>
          </cell>
          <cell r="K58" t="str">
            <v/>
          </cell>
          <cell r="L58" t="str">
            <v/>
          </cell>
          <cell r="M58" t="str">
            <v/>
          </cell>
          <cell r="N58" t="str">
            <v/>
          </cell>
          <cell r="O58">
            <v>1.246</v>
          </cell>
        </row>
        <row r="59">
          <cell r="A59" t="str">
            <v>A01102</v>
          </cell>
          <cell r="B59" t="str">
            <v>121/01/20</v>
          </cell>
          <cell r="C59">
            <v>1.625</v>
          </cell>
          <cell r="D59">
            <v>7.63</v>
          </cell>
          <cell r="E59">
            <v>8.27</v>
          </cell>
          <cell r="F59" t="str">
            <v/>
          </cell>
          <cell r="G59" t="str">
            <v/>
          </cell>
          <cell r="H59" t="str">
            <v/>
          </cell>
          <cell r="I59" t="str">
            <v/>
          </cell>
          <cell r="J59" t="str">
            <v/>
          </cell>
          <cell r="K59" t="str">
            <v/>
          </cell>
          <cell r="L59" t="str">
            <v/>
          </cell>
          <cell r="M59" t="str">
            <v/>
          </cell>
          <cell r="N59" t="str">
            <v/>
          </cell>
          <cell r="O59">
            <v>1.2484</v>
          </cell>
        </row>
        <row r="60">
          <cell r="A60" t="str">
            <v>A10111</v>
          </cell>
          <cell r="B60" t="str">
            <v>120/10/22</v>
          </cell>
          <cell r="C60">
            <v>0.5</v>
          </cell>
          <cell r="D60">
            <v>7.74</v>
          </cell>
          <cell r="E60">
            <v>8.0299999999999994</v>
          </cell>
          <cell r="F60" t="str">
            <v/>
          </cell>
          <cell r="G60" t="str">
            <v/>
          </cell>
          <cell r="H60" t="str">
            <v/>
          </cell>
          <cell r="I60" t="str">
            <v/>
          </cell>
          <cell r="J60" t="str">
            <v/>
          </cell>
          <cell r="K60" t="str">
            <v/>
          </cell>
          <cell r="L60" t="str">
            <v/>
          </cell>
          <cell r="M60" t="str">
            <v/>
          </cell>
          <cell r="N60" t="str">
            <v/>
          </cell>
          <cell r="O60">
            <v>1.2484</v>
          </cell>
        </row>
        <row r="61">
          <cell r="A61" t="str">
            <v>A01201</v>
          </cell>
          <cell r="B61" t="str">
            <v>121/03/16</v>
          </cell>
          <cell r="C61">
            <v>1.625</v>
          </cell>
          <cell r="D61">
            <v>7.78</v>
          </cell>
          <cell r="E61">
            <v>8.42</v>
          </cell>
          <cell r="F61" t="str">
            <v/>
          </cell>
          <cell r="G61" t="str">
            <v/>
          </cell>
          <cell r="H61" t="str">
            <v/>
          </cell>
          <cell r="I61" t="str">
            <v/>
          </cell>
          <cell r="J61" t="str">
            <v/>
          </cell>
          <cell r="K61" t="str">
            <v/>
          </cell>
          <cell r="L61" t="str">
            <v/>
          </cell>
          <cell r="M61" t="str">
            <v/>
          </cell>
          <cell r="N61" t="str">
            <v/>
          </cell>
          <cell r="O61">
            <v>1.2501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1.25</v>
          </cell>
        </row>
        <row r="63">
          <cell r="A63" t="str">
            <v>A11102</v>
          </cell>
          <cell r="B63" t="str">
            <v>121/02/18</v>
          </cell>
          <cell r="C63">
            <v>0.625</v>
          </cell>
          <cell r="D63">
            <v>8.02</v>
          </cell>
          <cell r="E63">
            <v>8.35</v>
          </cell>
          <cell r="F63" t="str">
            <v/>
          </cell>
          <cell r="G63" t="str">
            <v/>
          </cell>
          <cell r="H63" t="str">
            <v/>
          </cell>
          <cell r="I63" t="str">
            <v/>
          </cell>
          <cell r="J63" t="str">
            <v/>
          </cell>
          <cell r="K63" t="str">
            <v/>
          </cell>
          <cell r="L63" t="str">
            <v/>
          </cell>
          <cell r="M63" t="str">
            <v/>
          </cell>
          <cell r="N63" t="str">
            <v/>
          </cell>
          <cell r="O63">
            <v>1.2515000000000001</v>
          </cell>
        </row>
        <row r="64">
          <cell r="A64" t="str">
            <v>A11107</v>
          </cell>
          <cell r="B64" t="str">
            <v>121/06/30</v>
          </cell>
          <cell r="C64">
            <v>1.25</v>
          </cell>
          <cell r="D64">
            <v>8.18</v>
          </cell>
          <cell r="E64">
            <v>8.7200000000000006</v>
          </cell>
          <cell r="F64" t="str">
            <v/>
          </cell>
          <cell r="G64" t="str">
            <v/>
          </cell>
          <cell r="H64" t="str">
            <v/>
          </cell>
          <cell r="I64" t="str">
            <v/>
          </cell>
          <cell r="J64" t="str">
            <v/>
          </cell>
          <cell r="K64" t="str">
            <v/>
          </cell>
          <cell r="L64" t="str">
            <v/>
          </cell>
          <cell r="M64" t="str">
            <v/>
          </cell>
          <cell r="N64" t="str">
            <v/>
          </cell>
          <cell r="O64">
            <v>1.2546999999999999</v>
          </cell>
        </row>
        <row r="65">
          <cell r="A65" t="str">
            <v>A11110</v>
          </cell>
          <cell r="B65" t="str">
            <v>121/10/17</v>
          </cell>
          <cell r="C65">
            <v>1.75</v>
          </cell>
          <cell r="D65">
            <v>8.19</v>
          </cell>
          <cell r="E65">
            <v>9.01</v>
          </cell>
          <cell r="F65" t="str">
            <v/>
          </cell>
          <cell r="G65" t="str">
            <v/>
          </cell>
          <cell r="H65" t="str">
            <v/>
          </cell>
          <cell r="I65" t="str">
            <v/>
          </cell>
          <cell r="J65" t="str">
            <v/>
          </cell>
          <cell r="K65" t="str">
            <v/>
          </cell>
          <cell r="L65" t="str">
            <v/>
          </cell>
          <cell r="M65" t="str">
            <v/>
          </cell>
          <cell r="N65" t="str">
            <v/>
          </cell>
          <cell r="O65">
            <v>1.2581</v>
          </cell>
        </row>
        <row r="66">
          <cell r="A66" t="str">
            <v>A01107</v>
          </cell>
          <cell r="B66" t="str">
            <v>121/08/10</v>
          </cell>
          <cell r="C66">
            <v>1.5</v>
          </cell>
          <cell r="D66">
            <v>8.2100000000000009</v>
          </cell>
          <cell r="E66">
            <v>8.83</v>
          </cell>
          <cell r="F66" t="str">
            <v/>
          </cell>
          <cell r="G66" t="str">
            <v/>
          </cell>
          <cell r="H66" t="str">
            <v/>
          </cell>
          <cell r="I66" t="str">
            <v/>
          </cell>
          <cell r="J66" t="str">
            <v/>
          </cell>
          <cell r="K66" t="str">
            <v/>
          </cell>
          <cell r="L66" t="str">
            <v/>
          </cell>
          <cell r="M66" t="str">
            <v/>
          </cell>
          <cell r="N66" t="str">
            <v/>
          </cell>
          <cell r="O66">
            <v>1.2558</v>
          </cell>
        </row>
        <row r="67">
          <cell r="A67" t="str">
            <v>A02103</v>
          </cell>
          <cell r="B67" t="str">
            <v>122/01/28</v>
          </cell>
          <cell r="C67">
            <v>1.5</v>
          </cell>
          <cell r="D67">
            <v>8.5500000000000007</v>
          </cell>
          <cell r="E67">
            <v>9.3000000000000007</v>
          </cell>
          <cell r="F67" t="str">
            <v/>
          </cell>
          <cell r="G67" t="str">
            <v/>
          </cell>
          <cell r="H67" t="str">
            <v/>
          </cell>
          <cell r="I67" t="str">
            <v/>
          </cell>
          <cell r="J67" t="str">
            <v/>
          </cell>
          <cell r="K67" t="str">
            <v/>
          </cell>
          <cell r="L67" t="str">
            <v/>
          </cell>
          <cell r="M67" t="str">
            <v/>
          </cell>
          <cell r="N67" t="str">
            <v/>
          </cell>
          <cell r="O67">
            <v>1.2630999999999999</v>
          </cell>
        </row>
        <row r="68">
          <cell r="A68" t="str">
            <v>A12201</v>
          </cell>
          <cell r="B68" t="str">
            <v>122/01/10</v>
          </cell>
          <cell r="C68">
            <v>1.25</v>
          </cell>
          <cell r="D68">
            <v>8.6</v>
          </cell>
          <cell r="E68">
            <v>9.25</v>
          </cell>
          <cell r="F68" t="str">
            <v/>
          </cell>
          <cell r="G68" t="str">
            <v/>
          </cell>
          <cell r="H68" t="str">
            <v/>
          </cell>
          <cell r="I68" t="str">
            <v/>
          </cell>
          <cell r="J68" t="str">
            <v/>
          </cell>
          <cell r="K68" t="str">
            <v/>
          </cell>
          <cell r="L68" t="str">
            <v/>
          </cell>
          <cell r="M68" t="str">
            <v/>
          </cell>
          <cell r="N68" t="str">
            <v/>
          </cell>
          <cell r="O68">
            <v>1.2628999999999999</v>
          </cell>
        </row>
        <row r="69">
          <cell r="A69" t="str">
            <v>A02201</v>
          </cell>
          <cell r="B69" t="str">
            <v>122/03/21</v>
          </cell>
          <cell r="C69">
            <v>1.75</v>
          </cell>
          <cell r="D69">
            <v>8.61</v>
          </cell>
          <cell r="E69">
            <v>9.44</v>
          </cell>
          <cell r="F69" t="str">
            <v/>
          </cell>
          <cell r="G69" t="str">
            <v/>
          </cell>
          <cell r="H69" t="str">
            <v/>
          </cell>
          <cell r="I69" t="str">
            <v/>
          </cell>
          <cell r="J69" t="str">
            <v/>
          </cell>
          <cell r="K69" t="str">
            <v/>
          </cell>
          <cell r="L69" t="str">
            <v/>
          </cell>
          <cell r="M69" t="str">
            <v/>
          </cell>
          <cell r="N69" t="str">
            <v/>
          </cell>
          <cell r="O69">
            <v>1.2648999999999999</v>
          </cell>
        </row>
        <row r="70">
          <cell r="A70" t="str">
            <v>A12102</v>
          </cell>
          <cell r="B70" t="str">
            <v>122/02/17</v>
          </cell>
          <cell r="C70">
            <v>1.125</v>
          </cell>
          <cell r="D70">
            <v>8.75</v>
          </cell>
          <cell r="E70">
            <v>9.35</v>
          </cell>
          <cell r="F70" t="str">
            <v/>
          </cell>
          <cell r="G70" t="str">
            <v/>
          </cell>
          <cell r="H70" t="str">
            <v/>
          </cell>
          <cell r="I70" t="str">
            <v/>
          </cell>
          <cell r="J70" t="str">
            <v/>
          </cell>
          <cell r="K70" t="str">
            <v/>
          </cell>
          <cell r="L70" t="str">
            <v/>
          </cell>
          <cell r="M70" t="str">
            <v/>
          </cell>
          <cell r="N70" t="str">
            <v/>
          </cell>
          <cell r="O70">
            <v>1.2648999999999999</v>
          </cell>
        </row>
        <row r="71">
          <cell r="A71" t="str">
            <v>A02108</v>
          </cell>
          <cell r="B71" t="str">
            <v>122/07/26</v>
          </cell>
          <cell r="C71">
            <v>2</v>
          </cell>
          <cell r="D71">
            <v>8.8699999999999992</v>
          </cell>
          <cell r="E71">
            <v>9.7899999999999991</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1.2801</v>
          </cell>
        </row>
        <row r="73">
          <cell r="A73" t="str">
            <v>A12107</v>
          </cell>
          <cell r="B73" t="str">
            <v>122/06/09</v>
          </cell>
          <cell r="C73">
            <v>1.125</v>
          </cell>
          <cell r="D73">
            <v>9.0500000000000007</v>
          </cell>
          <cell r="E73">
            <v>9.66</v>
          </cell>
          <cell r="F73" t="str">
            <v/>
          </cell>
          <cell r="G73" t="str">
            <v/>
          </cell>
          <cell r="H73" t="str">
            <v/>
          </cell>
          <cell r="I73" t="str">
            <v/>
          </cell>
          <cell r="J73" t="str">
            <v/>
          </cell>
          <cell r="K73" t="str">
            <v/>
          </cell>
          <cell r="L73" t="str">
            <v/>
          </cell>
          <cell r="M73" t="str">
            <v/>
          </cell>
          <cell r="N73" t="str">
            <v/>
          </cell>
          <cell r="O73">
            <v>1.2703</v>
          </cell>
        </row>
        <row r="74">
          <cell r="A74" t="str">
            <v>A12110R</v>
          </cell>
          <cell r="B74" t="str">
            <v>122/10/05</v>
          </cell>
          <cell r="C74">
            <v>1.25</v>
          </cell>
          <cell r="D74">
            <v>9.16</v>
          </cell>
          <cell r="E74">
            <v>9.98</v>
          </cell>
          <cell r="F74" t="str">
            <v/>
          </cell>
          <cell r="G74" t="str">
            <v/>
          </cell>
          <cell r="H74" t="str">
            <v/>
          </cell>
          <cell r="I74" t="str">
            <v/>
          </cell>
          <cell r="J74" t="str">
            <v/>
          </cell>
          <cell r="K74" t="str">
            <v/>
          </cell>
          <cell r="L74" t="str">
            <v/>
          </cell>
          <cell r="M74" t="str">
            <v/>
          </cell>
          <cell r="N74" t="str">
            <v/>
          </cell>
          <cell r="O74">
            <v>1.2726</v>
          </cell>
        </row>
        <row r="75">
          <cell r="A75" t="str">
            <v>A03103</v>
          </cell>
          <cell r="B75" t="str">
            <v>123/01/29</v>
          </cell>
          <cell r="C75">
            <v>2</v>
          </cell>
          <cell r="D75">
            <v>9.1999999999999993</v>
          </cell>
          <cell r="E75">
            <v>10.3</v>
          </cell>
          <cell r="F75" t="str">
            <v/>
          </cell>
          <cell r="G75" t="str">
            <v/>
          </cell>
          <cell r="H75" t="str">
            <v/>
          </cell>
          <cell r="I75" t="str">
            <v/>
          </cell>
          <cell r="J75" t="str">
            <v/>
          </cell>
          <cell r="K75" t="str">
            <v/>
          </cell>
          <cell r="L75" t="str">
            <v/>
          </cell>
          <cell r="M75" t="str">
            <v/>
          </cell>
          <cell r="N75" t="str">
            <v/>
          </cell>
          <cell r="O75">
            <v>1.2791999999999999</v>
          </cell>
        </row>
        <row r="76">
          <cell r="A76" t="str">
            <v>A12110</v>
          </cell>
          <cell r="B76" t="str">
            <v>122/10/05</v>
          </cell>
          <cell r="C76">
            <v>1.25</v>
          </cell>
          <cell r="D76">
            <v>9.32</v>
          </cell>
          <cell r="E76">
            <v>9.98</v>
          </cell>
          <cell r="F76" t="str">
            <v/>
          </cell>
          <cell r="G76" t="str">
            <v/>
          </cell>
          <cell r="H76" t="str">
            <v/>
          </cell>
          <cell r="I76" t="str">
            <v/>
          </cell>
          <cell r="J76" t="str">
            <v/>
          </cell>
          <cell r="K76" t="str">
            <v/>
          </cell>
          <cell r="L76" t="str">
            <v/>
          </cell>
          <cell r="M76" t="str">
            <v/>
          </cell>
          <cell r="N76" t="str">
            <v/>
          </cell>
          <cell r="O76">
            <v>1.2756000000000001</v>
          </cell>
        </row>
        <row r="77">
          <cell r="A77" t="str">
            <v>A03107</v>
          </cell>
          <cell r="B77" t="str">
            <v>123/04/25</v>
          </cell>
          <cell r="C77">
            <v>1.875</v>
          </cell>
          <cell r="D77">
            <v>9.49</v>
          </cell>
          <cell r="E77">
            <v>10.53</v>
          </cell>
          <cell r="F77" t="str">
            <v/>
          </cell>
          <cell r="G77" t="str">
            <v/>
          </cell>
          <cell r="H77" t="str">
            <v/>
          </cell>
          <cell r="I77" t="str">
            <v/>
          </cell>
          <cell r="J77" t="str">
            <v/>
          </cell>
          <cell r="K77" t="str">
            <v/>
          </cell>
          <cell r="L77" t="str">
            <v/>
          </cell>
          <cell r="M77" t="str">
            <v/>
          </cell>
          <cell r="N77" t="str">
            <v/>
          </cell>
          <cell r="O77">
            <v>1.2838000000000001</v>
          </cell>
        </row>
        <row r="78">
          <cell r="A78" t="str">
            <v>A03111</v>
          </cell>
          <cell r="B78" t="str">
            <v>123/07/31</v>
          </cell>
          <cell r="C78">
            <v>2.125</v>
          </cell>
          <cell r="D78">
            <v>9.65</v>
          </cell>
          <cell r="E78">
            <v>10.8</v>
          </cell>
          <cell r="F78" t="str">
            <v/>
          </cell>
          <cell r="G78" t="str">
            <v/>
          </cell>
          <cell r="H78" t="str">
            <v/>
          </cell>
          <cell r="I78" t="str">
            <v/>
          </cell>
          <cell r="J78" t="str">
            <v/>
          </cell>
          <cell r="K78" t="str">
            <v/>
          </cell>
          <cell r="L78" t="str">
            <v/>
          </cell>
          <cell r="M78" t="str">
            <v/>
          </cell>
          <cell r="N78" t="str">
            <v/>
          </cell>
          <cell r="O78">
            <v>1.288</v>
          </cell>
        </row>
        <row r="79">
          <cell r="A79" t="str">
            <v>A03114</v>
          </cell>
          <cell r="B79" t="str">
            <v>123/10/02</v>
          </cell>
          <cell r="C79">
            <v>2.25</v>
          </cell>
          <cell r="D79">
            <v>9.77</v>
          </cell>
          <cell r="E79">
            <v>10.97</v>
          </cell>
          <cell r="F79" t="str">
            <v/>
          </cell>
          <cell r="G79" t="str">
            <v/>
          </cell>
          <cell r="H79" t="str">
            <v/>
          </cell>
          <cell r="I79" t="str">
            <v/>
          </cell>
          <cell r="J79" t="str">
            <v/>
          </cell>
          <cell r="K79" t="str">
            <v/>
          </cell>
          <cell r="L79" t="str">
            <v/>
          </cell>
          <cell r="M79" t="str">
            <v/>
          </cell>
          <cell r="N79" t="str">
            <v/>
          </cell>
          <cell r="O79">
            <v>1.2907999999999999</v>
          </cell>
        </row>
        <row r="80">
          <cell r="A80" t="str">
            <v>A04102</v>
          </cell>
          <cell r="B80" t="str">
            <v>124/01/23</v>
          </cell>
          <cell r="C80">
            <v>2</v>
          </cell>
          <cell r="D80">
            <v>9.99</v>
          </cell>
          <cell r="E80">
            <v>11.28</v>
          </cell>
          <cell r="F80" t="str">
            <v/>
          </cell>
          <cell r="G80" t="str">
            <v/>
          </cell>
          <cell r="H80" t="str">
            <v/>
          </cell>
          <cell r="I80" t="str">
            <v/>
          </cell>
          <cell r="J80" t="str">
            <v/>
          </cell>
          <cell r="K80" t="str">
            <v/>
          </cell>
          <cell r="L80" t="str">
            <v/>
          </cell>
          <cell r="M80" t="str">
            <v/>
          </cell>
          <cell r="N80" t="str">
            <v/>
          </cell>
          <cell r="O80">
            <v>1.2972999999999999</v>
          </cell>
        </row>
        <row r="81">
          <cell r="A81" t="str">
            <v>A04107</v>
          </cell>
          <cell r="B81" t="str">
            <v>124/04/15</v>
          </cell>
          <cell r="C81">
            <v>2.125</v>
          </cell>
          <cell r="D81">
            <v>10.16</v>
          </cell>
          <cell r="E81">
            <v>11.5</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10.67</v>
          </cell>
          <cell r="E82">
            <v>12.04</v>
          </cell>
          <cell r="F82" t="str">
            <v/>
          </cell>
          <cell r="G82" t="str">
            <v/>
          </cell>
          <cell r="H82" t="str">
            <v/>
          </cell>
          <cell r="I82" t="str">
            <v/>
          </cell>
          <cell r="J82" t="str">
            <v/>
          </cell>
          <cell r="K82" t="str">
            <v/>
          </cell>
          <cell r="L82" t="str">
            <v/>
          </cell>
          <cell r="M82" t="str">
            <v/>
          </cell>
          <cell r="N82" t="str">
            <v/>
          </cell>
          <cell r="O82">
            <v>1.3128</v>
          </cell>
        </row>
        <row r="83">
          <cell r="A83" t="str">
            <v>A05102</v>
          </cell>
          <cell r="B83" t="str">
            <v>125/01/22</v>
          </cell>
          <cell r="C83">
            <v>1.375</v>
          </cell>
          <cell r="D83">
            <v>11.13</v>
          </cell>
          <cell r="E83">
            <v>12.28</v>
          </cell>
          <cell r="F83" t="str">
            <v/>
          </cell>
          <cell r="G83" t="str">
            <v/>
          </cell>
          <cell r="H83" t="str">
            <v/>
          </cell>
          <cell r="I83" t="str">
            <v/>
          </cell>
          <cell r="J83" t="str">
            <v/>
          </cell>
          <cell r="K83" t="str">
            <v/>
          </cell>
          <cell r="L83" t="str">
            <v/>
          </cell>
          <cell r="M83" t="str">
            <v/>
          </cell>
          <cell r="N83" t="str">
            <v/>
          </cell>
          <cell r="O83">
            <v>1.3190999999999999</v>
          </cell>
        </row>
        <row r="84">
          <cell r="A84" t="str">
            <v>A05106</v>
          </cell>
          <cell r="B84" t="str">
            <v>125/04/08</v>
          </cell>
          <cell r="C84">
            <v>1.25</v>
          </cell>
          <cell r="D84">
            <v>11.41</v>
          </cell>
          <cell r="E84">
            <v>12.49</v>
          </cell>
          <cell r="F84" t="str">
            <v/>
          </cell>
          <cell r="G84" t="str">
            <v/>
          </cell>
          <cell r="H84" t="str">
            <v/>
          </cell>
          <cell r="I84" t="str">
            <v/>
          </cell>
          <cell r="J84" t="str">
            <v/>
          </cell>
          <cell r="K84" t="str">
            <v/>
          </cell>
          <cell r="L84" t="str">
            <v/>
          </cell>
          <cell r="M84" t="str">
            <v/>
          </cell>
          <cell r="N84" t="str">
            <v/>
          </cell>
          <cell r="O84">
            <v>1.3238000000000001</v>
          </cell>
        </row>
        <row r="85">
          <cell r="A85" t="str">
            <v>A05109</v>
          </cell>
          <cell r="B85" t="str">
            <v>125/07/19</v>
          </cell>
          <cell r="C85">
            <v>1.125</v>
          </cell>
          <cell r="D85">
            <v>11.76</v>
          </cell>
          <cell r="E85">
            <v>12.77</v>
          </cell>
          <cell r="F85" t="str">
            <v/>
          </cell>
          <cell r="G85" t="str">
            <v/>
          </cell>
          <cell r="H85" t="str">
            <v/>
          </cell>
          <cell r="I85" t="str">
            <v/>
          </cell>
          <cell r="J85" t="str">
            <v/>
          </cell>
          <cell r="K85" t="str">
            <v/>
          </cell>
          <cell r="L85" t="str">
            <v/>
          </cell>
          <cell r="M85" t="str">
            <v/>
          </cell>
          <cell r="N85" t="str">
            <v/>
          </cell>
          <cell r="O85">
            <v>1.3301000000000001</v>
          </cell>
        </row>
        <row r="86">
          <cell r="A86" t="str">
            <v>A06103</v>
          </cell>
          <cell r="B86" t="str">
            <v>126/02/20</v>
          </cell>
          <cell r="C86">
            <v>1.75</v>
          </cell>
          <cell r="D86">
            <v>11.78</v>
          </cell>
          <cell r="E86">
            <v>13.36</v>
          </cell>
          <cell r="F86" t="str">
            <v/>
          </cell>
          <cell r="G86" t="str">
            <v/>
          </cell>
          <cell r="H86" t="str">
            <v/>
          </cell>
          <cell r="I86" t="str">
            <v/>
          </cell>
          <cell r="J86" t="str">
            <v/>
          </cell>
          <cell r="K86" t="str">
            <v/>
          </cell>
          <cell r="L86" t="str">
            <v/>
          </cell>
          <cell r="M86" t="str">
            <v/>
          </cell>
          <cell r="N86" t="str">
            <v/>
          </cell>
          <cell r="O86">
            <v>1.339</v>
          </cell>
        </row>
        <row r="87">
          <cell r="A87" t="str">
            <v>A06108</v>
          </cell>
          <cell r="B87" t="str">
            <v>126/08/18</v>
          </cell>
          <cell r="C87">
            <v>1.5</v>
          </cell>
          <cell r="D87">
            <v>12.43</v>
          </cell>
          <cell r="E87">
            <v>13.85</v>
          </cell>
          <cell r="F87" t="str">
            <v/>
          </cell>
          <cell r="G87" t="str">
            <v/>
          </cell>
          <cell r="H87" t="str">
            <v/>
          </cell>
          <cell r="I87" t="str">
            <v/>
          </cell>
          <cell r="J87" t="str">
            <v/>
          </cell>
          <cell r="K87" t="str">
            <v/>
          </cell>
          <cell r="L87" t="str">
            <v/>
          </cell>
          <cell r="M87" t="str">
            <v/>
          </cell>
          <cell r="N87" t="str">
            <v/>
          </cell>
          <cell r="O87">
            <v>1.3504</v>
          </cell>
        </row>
        <row r="88">
          <cell r="A88" t="str">
            <v>A07103</v>
          </cell>
          <cell r="B88" t="str">
            <v>127/03/13</v>
          </cell>
          <cell r="C88">
            <v>1.375</v>
          </cell>
          <cell r="D88">
            <v>12.9</v>
          </cell>
          <cell r="E88">
            <v>14.42</v>
          </cell>
          <cell r="F88" t="str">
            <v/>
          </cell>
          <cell r="G88" t="str">
            <v/>
          </cell>
          <cell r="H88" t="str">
            <v/>
          </cell>
          <cell r="I88" t="str">
            <v/>
          </cell>
          <cell r="J88" t="str">
            <v/>
          </cell>
          <cell r="K88" t="str">
            <v/>
          </cell>
          <cell r="L88" t="str">
            <v/>
          </cell>
          <cell r="M88" t="str">
            <v/>
          </cell>
          <cell r="N88" t="str">
            <v/>
          </cell>
          <cell r="O88">
            <v>1.3629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1.3755999999999999</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v>
          </cell>
        </row>
        <row r="92">
          <cell r="A92" t="str">
            <v>A08104</v>
          </cell>
          <cell r="B92" t="str">
            <v>128/03/04</v>
          </cell>
          <cell r="C92">
            <v>1.125</v>
          </cell>
          <cell r="D92">
            <v>13.9</v>
          </cell>
          <cell r="E92">
            <v>15.39</v>
          </cell>
          <cell r="F92" t="str">
            <v/>
          </cell>
          <cell r="G92" t="str">
            <v/>
          </cell>
          <cell r="H92" t="str">
            <v/>
          </cell>
          <cell r="I92" t="str">
            <v/>
          </cell>
          <cell r="J92" t="str">
            <v/>
          </cell>
          <cell r="K92" t="str">
            <v/>
          </cell>
          <cell r="L92" t="str">
            <v/>
          </cell>
          <cell r="M92" t="str">
            <v/>
          </cell>
          <cell r="N92" t="str">
            <v/>
          </cell>
          <cell r="O92">
            <v>1.385</v>
          </cell>
        </row>
        <row r="93">
          <cell r="A93" t="str">
            <v>A99109</v>
          </cell>
          <cell r="B93" t="str">
            <v>129/12/28</v>
          </cell>
          <cell r="C93">
            <v>2.125</v>
          </cell>
          <cell r="D93">
            <v>14.33</v>
          </cell>
          <cell r="E93">
            <v>17.21</v>
          </cell>
          <cell r="F93" t="str">
            <v/>
          </cell>
          <cell r="G93" t="str">
            <v/>
          </cell>
          <cell r="H93" t="str">
            <v/>
          </cell>
          <cell r="I93" t="str">
            <v/>
          </cell>
          <cell r="J93" t="str">
            <v/>
          </cell>
          <cell r="K93" t="str">
            <v/>
          </cell>
          <cell r="L93" t="str">
            <v/>
          </cell>
          <cell r="M93" t="str">
            <v/>
          </cell>
          <cell r="N93" t="str">
            <v/>
          </cell>
          <cell r="O93">
            <v>1.4149</v>
          </cell>
        </row>
        <row r="94">
          <cell r="A94" t="str">
            <v>A00104</v>
          </cell>
          <cell r="B94" t="str">
            <v>130/02/22</v>
          </cell>
          <cell r="C94">
            <v>2</v>
          </cell>
          <cell r="D94">
            <v>14.59</v>
          </cell>
          <cell r="E94">
            <v>17.36</v>
          </cell>
          <cell r="F94" t="str">
            <v/>
          </cell>
          <cell r="G94" t="str">
            <v/>
          </cell>
          <cell r="H94" t="str">
            <v/>
          </cell>
          <cell r="I94" t="str">
            <v/>
          </cell>
          <cell r="J94" t="str">
            <v/>
          </cell>
          <cell r="K94" t="str">
            <v/>
          </cell>
          <cell r="L94" t="str">
            <v/>
          </cell>
          <cell r="M94" t="str">
            <v/>
          </cell>
          <cell r="N94" t="str">
            <v/>
          </cell>
          <cell r="O94">
            <v>1.419</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1.399</v>
          </cell>
        </row>
        <row r="96">
          <cell r="A96" t="str">
            <v>A09102</v>
          </cell>
          <cell r="B96" t="str">
            <v>129/01/17</v>
          </cell>
          <cell r="C96">
            <v>0.75</v>
          </cell>
          <cell r="D96">
            <v>15.01</v>
          </cell>
          <cell r="E96">
            <v>16.260000000000002</v>
          </cell>
          <cell r="F96" t="str">
            <v/>
          </cell>
          <cell r="G96" t="str">
            <v/>
          </cell>
          <cell r="H96" t="str">
            <v/>
          </cell>
          <cell r="I96" t="str">
            <v/>
          </cell>
          <cell r="J96" t="str">
            <v/>
          </cell>
          <cell r="K96" t="str">
            <v/>
          </cell>
          <cell r="L96" t="str">
            <v/>
          </cell>
          <cell r="M96" t="str">
            <v/>
          </cell>
          <cell r="N96" t="str">
            <v/>
          </cell>
          <cell r="O96">
            <v>1.4068000000000001</v>
          </cell>
        </row>
        <row r="97">
          <cell r="A97" t="str">
            <v>A00108</v>
          </cell>
          <cell r="B97" t="str">
            <v>130/08/22</v>
          </cell>
          <cell r="C97">
            <v>1.875</v>
          </cell>
          <cell r="D97">
            <v>15.19</v>
          </cell>
          <cell r="E97">
            <v>17.86</v>
          </cell>
          <cell r="F97" t="str">
            <v/>
          </cell>
          <cell r="G97" t="str">
            <v/>
          </cell>
          <cell r="H97" t="str">
            <v/>
          </cell>
          <cell r="I97" t="str">
            <v/>
          </cell>
          <cell r="J97" t="str">
            <v/>
          </cell>
          <cell r="K97" t="str">
            <v/>
          </cell>
          <cell r="L97" t="str">
            <v/>
          </cell>
          <cell r="M97" t="str">
            <v/>
          </cell>
          <cell r="N97" t="str">
            <v/>
          </cell>
          <cell r="O97">
            <v>1.4300999999999999</v>
          </cell>
        </row>
        <row r="98">
          <cell r="A98" t="str">
            <v>A09104</v>
          </cell>
          <cell r="B98" t="str">
            <v>129/03/09</v>
          </cell>
          <cell r="C98">
            <v>0.5</v>
          </cell>
          <cell r="D98">
            <v>15.46</v>
          </cell>
          <cell r="E98">
            <v>16.41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15.52</v>
          </cell>
          <cell r="E99">
            <v>18.34</v>
          </cell>
          <cell r="F99" t="str">
            <v/>
          </cell>
          <cell r="G99" t="str">
            <v/>
          </cell>
          <cell r="H99" t="str">
            <v/>
          </cell>
          <cell r="I99" t="str">
            <v/>
          </cell>
          <cell r="J99" t="str">
            <v/>
          </cell>
          <cell r="K99" t="str">
            <v/>
          </cell>
          <cell r="L99" t="str">
            <v/>
          </cell>
          <cell r="M99" t="str">
            <v/>
          </cell>
          <cell r="N99" t="str">
            <v/>
          </cell>
          <cell r="O99">
            <v>1.4410000000000001</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1.4625999999999999</v>
          </cell>
        </row>
        <row r="101">
          <cell r="A101" t="str">
            <v>A09108</v>
          </cell>
          <cell r="B101" t="str">
            <v>129/09/18</v>
          </cell>
          <cell r="C101">
            <v>0.5</v>
          </cell>
          <cell r="D101">
            <v>15.98</v>
          </cell>
          <cell r="E101">
            <v>16.93</v>
          </cell>
          <cell r="F101" t="str">
            <v/>
          </cell>
          <cell r="G101" t="str">
            <v/>
          </cell>
          <cell r="H101" t="str">
            <v/>
          </cell>
          <cell r="I101" t="str">
            <v/>
          </cell>
          <cell r="J101" t="str">
            <v/>
          </cell>
          <cell r="K101" t="str">
            <v/>
          </cell>
          <cell r="L101" t="str">
            <v/>
          </cell>
          <cell r="M101" t="str">
            <v/>
          </cell>
          <cell r="N101" t="str">
            <v/>
          </cell>
          <cell r="O101">
            <v>1.4239999999999999</v>
          </cell>
        </row>
        <row r="102">
          <cell r="A102" t="str">
            <v>A11109</v>
          </cell>
          <cell r="B102" t="str">
            <v>131/09/30</v>
          </cell>
          <cell r="C102">
            <v>1.875</v>
          </cell>
          <cell r="D102">
            <v>16</v>
          </cell>
          <cell r="E102">
            <v>18.97</v>
          </cell>
          <cell r="F102" t="str">
            <v/>
          </cell>
          <cell r="G102" t="str">
            <v/>
          </cell>
          <cell r="H102" t="str">
            <v/>
          </cell>
          <cell r="I102" t="str">
            <v/>
          </cell>
          <cell r="J102" t="str">
            <v/>
          </cell>
          <cell r="K102" t="str">
            <v/>
          </cell>
          <cell r="L102" t="str">
            <v/>
          </cell>
          <cell r="M102" t="str">
            <v/>
          </cell>
          <cell r="N102" t="str">
            <v/>
          </cell>
          <cell r="O102">
            <v>1.4524999999999999</v>
          </cell>
        </row>
        <row r="103">
          <cell r="A103" t="str">
            <v>A01108</v>
          </cell>
          <cell r="B103" t="str">
            <v>131/08/24</v>
          </cell>
          <cell r="C103">
            <v>1.625</v>
          </cell>
          <cell r="D103">
            <v>16.170000000000002</v>
          </cell>
          <cell r="E103">
            <v>18.86</v>
          </cell>
          <cell r="F103" t="str">
            <v/>
          </cell>
          <cell r="G103" t="str">
            <v/>
          </cell>
          <cell r="H103" t="str">
            <v/>
          </cell>
          <cell r="I103" t="str">
            <v/>
          </cell>
          <cell r="J103" t="str">
            <v/>
          </cell>
          <cell r="K103" t="str">
            <v/>
          </cell>
          <cell r="L103" t="str">
            <v/>
          </cell>
          <cell r="M103" t="str">
            <v/>
          </cell>
          <cell r="N103" t="str">
            <v/>
          </cell>
          <cell r="O103">
            <v>1.4530000000000001</v>
          </cell>
        </row>
        <row r="104">
          <cell r="A104" t="str">
            <v>A10102</v>
          </cell>
          <cell r="B104" t="str">
            <v>130/01/29</v>
          </cell>
          <cell r="C104">
            <v>0.5</v>
          </cell>
          <cell r="D104">
            <v>16.239999999999998</v>
          </cell>
          <cell r="E104">
            <v>17.3</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A02105</v>
          </cell>
          <cell r="B105" t="str">
            <v>132/02/26</v>
          </cell>
          <cell r="C105">
            <v>1.75</v>
          </cell>
          <cell r="D105">
            <v>16.27</v>
          </cell>
          <cell r="E105">
            <v>19.37</v>
          </cell>
          <cell r="F105" t="str">
            <v/>
          </cell>
          <cell r="G105" t="str">
            <v/>
          </cell>
          <cell r="H105" t="str">
            <v/>
          </cell>
          <cell r="I105" t="str">
            <v/>
          </cell>
          <cell r="J105" t="str">
            <v/>
          </cell>
          <cell r="K105" t="str">
            <v/>
          </cell>
          <cell r="L105" t="str">
            <v/>
          </cell>
          <cell r="M105" t="str">
            <v/>
          </cell>
          <cell r="N105" t="str">
            <v/>
          </cell>
          <cell r="O105">
            <v>1.462</v>
          </cell>
        </row>
        <row r="106">
          <cell r="A106" t="str">
            <v>A09113</v>
          </cell>
          <cell r="B106" t="str">
            <v>129/12/29</v>
          </cell>
          <cell r="C106">
            <v>0.375</v>
          </cell>
          <cell r="D106">
            <v>16.350000000000001</v>
          </cell>
          <cell r="E106">
            <v>17.21</v>
          </cell>
          <cell r="F106" t="str">
            <v/>
          </cell>
          <cell r="G106" t="str">
            <v/>
          </cell>
          <cell r="H106" t="str">
            <v/>
          </cell>
          <cell r="I106" t="str">
            <v/>
          </cell>
          <cell r="J106" t="str">
            <v/>
          </cell>
          <cell r="K106" t="str">
            <v/>
          </cell>
          <cell r="L106" t="str">
            <v/>
          </cell>
          <cell r="M106" t="str">
            <v/>
          </cell>
          <cell r="N106" t="str">
            <v/>
          </cell>
          <cell r="O106">
            <v>1.4314</v>
          </cell>
        </row>
        <row r="107">
          <cell r="A107" t="str">
            <v>A11101</v>
          </cell>
          <cell r="B107" t="str">
            <v>131/01/18</v>
          </cell>
          <cell r="C107">
            <v>1</v>
          </cell>
          <cell r="D107">
            <v>16.350000000000001</v>
          </cell>
          <cell r="E107">
            <v>18.27</v>
          </cell>
          <cell r="F107" t="str">
            <v/>
          </cell>
          <cell r="G107" t="str">
            <v/>
          </cell>
          <cell r="H107" t="str">
            <v/>
          </cell>
          <cell r="I107" t="str">
            <v/>
          </cell>
          <cell r="J107" t="str">
            <v/>
          </cell>
          <cell r="K107" t="str">
            <v/>
          </cell>
          <cell r="L107" t="str">
            <v/>
          </cell>
          <cell r="M107" t="str">
            <v/>
          </cell>
          <cell r="N107" t="str">
            <v/>
          </cell>
          <cell r="O107">
            <v>1.4474</v>
          </cell>
        </row>
        <row r="108">
          <cell r="A108" t="str">
            <v>A10105</v>
          </cell>
          <cell r="B108" t="str">
            <v>130/05/21</v>
          </cell>
          <cell r="C108">
            <v>0.625</v>
          </cell>
          <cell r="D108">
            <v>16.37</v>
          </cell>
          <cell r="E108">
            <v>17.600000000000001</v>
          </cell>
          <cell r="F108" t="str">
            <v/>
          </cell>
          <cell r="G108" t="str">
            <v/>
          </cell>
          <cell r="H108" t="str">
            <v/>
          </cell>
          <cell r="I108" t="str">
            <v/>
          </cell>
          <cell r="J108" t="str">
            <v/>
          </cell>
          <cell r="K108" t="str">
            <v/>
          </cell>
          <cell r="L108" t="str">
            <v/>
          </cell>
          <cell r="M108" t="str">
            <v/>
          </cell>
          <cell r="N108" t="str">
            <v/>
          </cell>
          <cell r="O108">
            <v>1.4373</v>
          </cell>
        </row>
        <row r="109">
          <cell r="A109" t="str">
            <v>A03105</v>
          </cell>
          <cell r="B109" t="str">
            <v>133/02/26</v>
          </cell>
          <cell r="C109">
            <v>2.125</v>
          </cell>
          <cell r="D109">
            <v>16.53</v>
          </cell>
          <cell r="E109">
            <v>20.37</v>
          </cell>
          <cell r="F109" t="str">
            <v/>
          </cell>
          <cell r="G109" t="str">
            <v/>
          </cell>
          <cell r="H109" t="str">
            <v/>
          </cell>
          <cell r="I109" t="str">
            <v/>
          </cell>
          <cell r="J109" t="str">
            <v/>
          </cell>
          <cell r="K109" t="str">
            <v/>
          </cell>
          <cell r="L109" t="str">
            <v/>
          </cell>
          <cell r="M109" t="str">
            <v/>
          </cell>
          <cell r="N109" t="str">
            <v/>
          </cell>
          <cell r="O109">
            <v>1.4775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1.4515</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1.4478</v>
          </cell>
        </row>
        <row r="112">
          <cell r="A112" t="str">
            <v>A12104</v>
          </cell>
          <cell r="B112" t="str">
            <v>132/03/03</v>
          </cell>
          <cell r="C112">
            <v>1.375</v>
          </cell>
          <cell r="D112">
            <v>16.739999999999998</v>
          </cell>
          <cell r="E112">
            <v>19.39</v>
          </cell>
          <cell r="F112" t="str">
            <v/>
          </cell>
          <cell r="G112" t="str">
            <v/>
          </cell>
          <cell r="H112" t="str">
            <v/>
          </cell>
          <cell r="I112" t="str">
            <v/>
          </cell>
          <cell r="J112" t="str">
            <v/>
          </cell>
          <cell r="K112" t="str">
            <v/>
          </cell>
          <cell r="L112" t="str">
            <v/>
          </cell>
          <cell r="M112" t="str">
            <v/>
          </cell>
          <cell r="N112" t="str">
            <v/>
          </cell>
          <cell r="O112">
            <v>1.4664999999999999</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A03112</v>
          </cell>
          <cell r="B114" t="str">
            <v>133/08/04</v>
          </cell>
          <cell r="C114">
            <v>2.25</v>
          </cell>
          <cell r="D114">
            <v>16.82</v>
          </cell>
          <cell r="E114">
            <v>20.81</v>
          </cell>
          <cell r="F114" t="str">
            <v/>
          </cell>
          <cell r="G114" t="str">
            <v/>
          </cell>
          <cell r="H114" t="str">
            <v/>
          </cell>
          <cell r="I114" t="str">
            <v/>
          </cell>
          <cell r="J114" t="str">
            <v/>
          </cell>
          <cell r="K114" t="str">
            <v/>
          </cell>
          <cell r="L114" t="str">
            <v/>
          </cell>
          <cell r="M114" t="str">
            <v/>
          </cell>
          <cell r="N114" t="str">
            <v/>
          </cell>
          <cell r="O114">
            <v>1.4844999999999999</v>
          </cell>
        </row>
        <row r="115">
          <cell r="A115" t="str">
            <v>A04104</v>
          </cell>
          <cell r="B115" t="str">
            <v>134/02/13</v>
          </cell>
          <cell r="C115">
            <v>2.375</v>
          </cell>
          <cell r="D115">
            <v>16.87</v>
          </cell>
          <cell r="E115">
            <v>21.34</v>
          </cell>
          <cell r="F115" t="str">
            <v/>
          </cell>
          <cell r="G115" t="str">
            <v/>
          </cell>
          <cell r="H115" t="str">
            <v/>
          </cell>
          <cell r="I115" t="str">
            <v/>
          </cell>
          <cell r="J115" t="str">
            <v/>
          </cell>
          <cell r="K115" t="str">
            <v/>
          </cell>
          <cell r="L115" t="str">
            <v/>
          </cell>
          <cell r="M115" t="str">
            <v/>
          </cell>
          <cell r="N115" t="str">
            <v/>
          </cell>
          <cell r="O115">
            <v>1.4931000000000001</v>
          </cell>
        </row>
        <row r="116">
          <cell r="A116" t="str">
            <v>A10110</v>
          </cell>
          <cell r="B116" t="str">
            <v>130/09/29</v>
          </cell>
          <cell r="C116">
            <v>0.5</v>
          </cell>
          <cell r="D116">
            <v>16.899999999999999</v>
          </cell>
          <cell r="E116">
            <v>17.96</v>
          </cell>
          <cell r="F116" t="str">
            <v/>
          </cell>
          <cell r="G116" t="str">
            <v/>
          </cell>
          <cell r="H116" t="str">
            <v/>
          </cell>
          <cell r="I116" t="str">
            <v/>
          </cell>
          <cell r="J116" t="str">
            <v/>
          </cell>
          <cell r="K116" t="str">
            <v/>
          </cell>
          <cell r="L116" t="str">
            <v/>
          </cell>
          <cell r="M116" t="str">
            <v/>
          </cell>
          <cell r="N116" t="str">
            <v/>
          </cell>
          <cell r="O116">
            <v>1.4467000000000001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1.4838</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1.4977</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1.4779</v>
          </cell>
        </row>
        <row r="120">
          <cell r="A120" t="str">
            <v>A04111</v>
          </cell>
          <cell r="B120" t="str">
            <v>134/08/10</v>
          </cell>
          <cell r="C120">
            <v>2.25</v>
          </cell>
          <cell r="D120">
            <v>17.48</v>
          </cell>
          <cell r="E120">
            <v>21.83</v>
          </cell>
          <cell r="F120" t="str">
            <v/>
          </cell>
          <cell r="G120" t="str">
            <v/>
          </cell>
          <cell r="H120" t="str">
            <v/>
          </cell>
          <cell r="I120" t="str">
            <v/>
          </cell>
          <cell r="J120" t="str">
            <v/>
          </cell>
          <cell r="K120" t="str">
            <v/>
          </cell>
          <cell r="L120" t="str">
            <v/>
          </cell>
          <cell r="M120" t="str">
            <v/>
          </cell>
          <cell r="N120" t="str">
            <v/>
          </cell>
          <cell r="O120">
            <v>1.5038</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1.5311999999999999</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1.5269999999999999</v>
          </cell>
        </row>
        <row r="123">
          <cell r="A123" t="str">
            <v>A06106</v>
          </cell>
          <cell r="B123" t="str">
            <v>136/05/26</v>
          </cell>
          <cell r="C123">
            <v>1.875</v>
          </cell>
          <cell r="D123">
            <v>19.04</v>
          </cell>
          <cell r="E123">
            <v>23.62</v>
          </cell>
          <cell r="F123" t="str">
            <v/>
          </cell>
          <cell r="G123" t="str">
            <v/>
          </cell>
          <cell r="H123" t="str">
            <v/>
          </cell>
          <cell r="I123" t="str">
            <v/>
          </cell>
          <cell r="J123" t="str">
            <v/>
          </cell>
          <cell r="K123" t="str">
            <v/>
          </cell>
          <cell r="L123" t="str">
            <v/>
          </cell>
          <cell r="M123" t="str">
            <v/>
          </cell>
          <cell r="N123" t="str">
            <v/>
          </cell>
          <cell r="O123">
            <v>1.5422</v>
          </cell>
        </row>
        <row r="124">
          <cell r="A124" t="str">
            <v>A05110</v>
          </cell>
          <cell r="B124" t="str">
            <v>135/08/05</v>
          </cell>
          <cell r="C124">
            <v>1.375</v>
          </cell>
          <cell r="D124">
            <v>19.329999999999998</v>
          </cell>
          <cell r="E124">
            <v>22.81</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19.59</v>
          </cell>
          <cell r="E125">
            <v>24.12</v>
          </cell>
          <cell r="F125" t="str">
            <v/>
          </cell>
          <cell r="G125" t="str">
            <v/>
          </cell>
          <cell r="H125" t="str">
            <v/>
          </cell>
          <cell r="I125" t="str">
            <v/>
          </cell>
          <cell r="J125" t="str">
            <v/>
          </cell>
          <cell r="K125" t="str">
            <v/>
          </cell>
          <cell r="L125" t="str">
            <v/>
          </cell>
          <cell r="M125" t="str">
            <v/>
          </cell>
          <cell r="N125" t="str">
            <v/>
          </cell>
          <cell r="O125">
            <v>1.5556000000000001</v>
          </cell>
        </row>
        <row r="126">
          <cell r="A126" t="str">
            <v>A07104</v>
          </cell>
          <cell r="B126" t="str">
            <v>137/05/18</v>
          </cell>
          <cell r="C126">
            <v>1.5</v>
          </cell>
          <cell r="D126">
            <v>20.27</v>
          </cell>
          <cell r="E126">
            <v>24.6</v>
          </cell>
          <cell r="F126" t="str">
            <v/>
          </cell>
          <cell r="G126" t="str">
            <v/>
          </cell>
          <cell r="H126" t="str">
            <v/>
          </cell>
          <cell r="I126" t="str">
            <v/>
          </cell>
          <cell r="J126" t="str">
            <v/>
          </cell>
          <cell r="K126" t="str">
            <v/>
          </cell>
          <cell r="L126" t="str">
            <v/>
          </cell>
          <cell r="M126" t="str">
            <v/>
          </cell>
          <cell r="N126" t="str">
            <v/>
          </cell>
          <cell r="O126">
            <v>1.5666</v>
          </cell>
        </row>
        <row r="127">
          <cell r="A127" t="str">
            <v>A07110</v>
          </cell>
          <cell r="B127" t="str">
            <v>137/11/09</v>
          </cell>
          <cell r="C127">
            <v>1.375</v>
          </cell>
          <cell r="D127">
            <v>20.67</v>
          </cell>
          <cell r="E127">
            <v>25.08</v>
          </cell>
          <cell r="F127" t="str">
            <v/>
          </cell>
          <cell r="G127" t="str">
            <v/>
          </cell>
          <cell r="H127" t="str">
            <v/>
          </cell>
          <cell r="I127" t="str">
            <v/>
          </cell>
          <cell r="J127" t="str">
            <v/>
          </cell>
          <cell r="K127" t="str">
            <v/>
          </cell>
          <cell r="L127" t="str">
            <v/>
          </cell>
          <cell r="M127" t="str">
            <v/>
          </cell>
          <cell r="N127" t="str">
            <v/>
          </cell>
          <cell r="O127">
            <v>1.5777000000000001</v>
          </cell>
        </row>
        <row r="128">
          <cell r="A128" t="str">
            <v>A11111</v>
          </cell>
          <cell r="B128" t="str">
            <v>141/11/11</v>
          </cell>
          <cell r="C128">
            <v>2.375</v>
          </cell>
          <cell r="D128">
            <v>21.26</v>
          </cell>
          <cell r="E128">
            <v>29.08</v>
          </cell>
          <cell r="F128" t="str">
            <v/>
          </cell>
          <cell r="G128" t="str">
            <v/>
          </cell>
          <cell r="H128" t="str">
            <v/>
          </cell>
          <cell r="I128" t="str">
            <v/>
          </cell>
          <cell r="J128" t="str">
            <v/>
          </cell>
          <cell r="K128" t="str">
            <v/>
          </cell>
          <cell r="L128" t="str">
            <v/>
          </cell>
          <cell r="M128" t="str">
            <v/>
          </cell>
          <cell r="N128" t="str">
            <v/>
          </cell>
          <cell r="O128">
            <v>1.6246</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1.5922000000000001</v>
          </cell>
        </row>
        <row r="130">
          <cell r="A130" t="str">
            <v>A11105</v>
          </cell>
          <cell r="B130" t="str">
            <v>141/05/20</v>
          </cell>
          <cell r="C130">
            <v>2</v>
          </cell>
          <cell r="D130">
            <v>21.85</v>
          </cell>
          <cell r="E130">
            <v>28.6</v>
          </cell>
          <cell r="F130" t="str">
            <v/>
          </cell>
          <cell r="G130" t="str">
            <v/>
          </cell>
          <cell r="H130" t="str">
            <v/>
          </cell>
          <cell r="I130" t="str">
            <v/>
          </cell>
          <cell r="J130" t="str">
            <v/>
          </cell>
          <cell r="K130" t="str">
            <v/>
          </cell>
          <cell r="L130" t="str">
            <v/>
          </cell>
          <cell r="M130" t="str">
            <v/>
          </cell>
          <cell r="N130" t="str">
            <v/>
          </cell>
          <cell r="O130">
            <v>1.6247</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1.6037999999999999</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1.6192</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1.6379999999999999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1.6509</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1.6573</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1.637</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1.6396999999999999</v>
          </cell>
        </row>
        <row r="138">
          <cell r="A138" t="str">
            <v>B903YX</v>
          </cell>
          <cell r="B138" t="str">
            <v>P12台電2B</v>
          </cell>
          <cell r="C138">
            <v>4.3</v>
          </cell>
          <cell r="D138">
            <v>4.5199999999999996</v>
          </cell>
          <cell r="E138">
            <v>0</v>
          </cell>
          <cell r="F138">
            <v>1.5680000000000001</v>
          </cell>
          <cell r="G138">
            <v>1.5669999999999999</v>
          </cell>
          <cell r="H138">
            <v>1.5674999999999999</v>
          </cell>
          <cell r="I138">
            <v>17</v>
          </cell>
          <cell r="J138" t="str">
            <v/>
          </cell>
          <cell r="K138" t="str">
            <v/>
          </cell>
          <cell r="L138" t="str">
            <v/>
          </cell>
          <cell r="M138" t="str">
            <v/>
          </cell>
          <cell r="N138" t="str">
            <v/>
          </cell>
          <cell r="O138" t="e">
            <v>#N/A</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5"/>
    </sheetNames>
    <sheetDataSet>
      <sheetData sheetId="0">
        <row r="4">
          <cell r="A4" t="str">
            <v>A07111</v>
          </cell>
          <cell r="B4" t="str">
            <v>112/11/23</v>
          </cell>
          <cell r="C4">
            <v>0.75</v>
          </cell>
          <cell r="D4">
            <v>0.12</v>
          </cell>
          <cell r="E4">
            <v>0.13</v>
          </cell>
          <cell r="F4" t="str">
            <v/>
          </cell>
          <cell r="G4" t="str">
            <v/>
          </cell>
          <cell r="H4" t="str">
            <v/>
          </cell>
          <cell r="I4" t="str">
            <v/>
          </cell>
          <cell r="J4" t="str">
            <v/>
          </cell>
          <cell r="K4" t="str">
            <v/>
          </cell>
          <cell r="L4" t="str">
            <v/>
          </cell>
          <cell r="M4" t="str">
            <v/>
          </cell>
          <cell r="N4" t="str">
            <v/>
          </cell>
          <cell r="O4">
            <v>0.95189999999999997</v>
          </cell>
        </row>
        <row r="5">
          <cell r="A5" t="str">
            <v>A08101</v>
          </cell>
          <cell r="B5" t="str">
            <v>113/01/14</v>
          </cell>
          <cell r="C5">
            <v>0.625</v>
          </cell>
          <cell r="D5">
            <v>0.26</v>
          </cell>
          <cell r="E5">
            <v>0.27</v>
          </cell>
          <cell r="F5" t="str">
            <v/>
          </cell>
          <cell r="G5" t="str">
            <v/>
          </cell>
          <cell r="H5" t="str">
            <v/>
          </cell>
          <cell r="I5" t="str">
            <v/>
          </cell>
          <cell r="J5" t="str">
            <v/>
          </cell>
          <cell r="K5" t="str">
            <v/>
          </cell>
          <cell r="L5" t="str">
            <v/>
          </cell>
          <cell r="M5" t="str">
            <v/>
          </cell>
          <cell r="N5" t="str">
            <v/>
          </cell>
          <cell r="O5">
            <v>0.95240000000000002</v>
          </cell>
        </row>
        <row r="6">
          <cell r="A6" t="str">
            <v>A93103</v>
          </cell>
          <cell r="B6" t="str">
            <v>113/02/10</v>
          </cell>
          <cell r="C6">
            <v>3</v>
          </cell>
          <cell r="D6">
            <v>0.33</v>
          </cell>
          <cell r="E6">
            <v>0.35</v>
          </cell>
          <cell r="F6" t="str">
            <v/>
          </cell>
          <cell r="G6" t="str">
            <v/>
          </cell>
          <cell r="H6" t="str">
            <v/>
          </cell>
          <cell r="I6" t="str">
            <v/>
          </cell>
          <cell r="J6" t="str">
            <v/>
          </cell>
          <cell r="K6" t="str">
            <v/>
          </cell>
          <cell r="L6" t="str">
            <v/>
          </cell>
          <cell r="M6" t="str">
            <v/>
          </cell>
          <cell r="N6" t="str">
            <v/>
          </cell>
          <cell r="O6">
            <v>0.95540000000000003</v>
          </cell>
        </row>
        <row r="7">
          <cell r="A7" t="str">
            <v>A03106</v>
          </cell>
          <cell r="B7" t="str">
            <v>113/03/03</v>
          </cell>
          <cell r="C7">
            <v>1.5</v>
          </cell>
          <cell r="D7">
            <v>0.39</v>
          </cell>
          <cell r="E7">
            <v>0.41</v>
          </cell>
          <cell r="F7" t="str">
            <v/>
          </cell>
          <cell r="G7" t="str">
            <v/>
          </cell>
          <cell r="H7" t="str">
            <v/>
          </cell>
          <cell r="I7" t="str">
            <v/>
          </cell>
          <cell r="J7" t="str">
            <v/>
          </cell>
          <cell r="K7" t="str">
            <v/>
          </cell>
          <cell r="L7" t="str">
            <v/>
          </cell>
          <cell r="M7" t="str">
            <v/>
          </cell>
          <cell r="N7" t="str">
            <v/>
          </cell>
          <cell r="O7">
            <v>0.95809999999999995</v>
          </cell>
        </row>
        <row r="8">
          <cell r="A8" t="str">
            <v>A11202</v>
          </cell>
          <cell r="B8" t="str">
            <v>113/03/31</v>
          </cell>
          <cell r="C8">
            <v>0.75</v>
          </cell>
          <cell r="D8">
            <v>0.47</v>
          </cell>
          <cell r="E8">
            <v>0.48</v>
          </cell>
          <cell r="F8" t="str">
            <v/>
          </cell>
          <cell r="G8" t="str">
            <v/>
          </cell>
          <cell r="H8" t="str">
            <v/>
          </cell>
          <cell r="I8" t="str">
            <v/>
          </cell>
          <cell r="J8" t="str">
            <v/>
          </cell>
          <cell r="K8" t="str">
            <v/>
          </cell>
          <cell r="L8" t="str">
            <v/>
          </cell>
          <cell r="M8" t="str">
            <v/>
          </cell>
          <cell r="N8" t="str">
            <v/>
          </cell>
          <cell r="O8">
            <v>0.96199999999999997</v>
          </cell>
        </row>
        <row r="9">
          <cell r="A9" t="str">
            <v>A08107</v>
          </cell>
          <cell r="B9" t="str">
            <v>113/07/17</v>
          </cell>
          <cell r="C9">
            <v>0.5</v>
          </cell>
          <cell r="D9">
            <v>0.76</v>
          </cell>
          <cell r="E9">
            <v>0.78</v>
          </cell>
          <cell r="F9">
            <v>0.94</v>
          </cell>
          <cell r="G9">
            <v>0.92500000000000004</v>
          </cell>
          <cell r="H9">
            <v>0.93149999999999999</v>
          </cell>
          <cell r="I9">
            <v>9.5</v>
          </cell>
          <cell r="J9">
            <v>0.92500000000000004</v>
          </cell>
          <cell r="K9">
            <v>0.92500000000000004</v>
          </cell>
          <cell r="L9">
            <v>0.92500000000000004</v>
          </cell>
          <cell r="M9">
            <v>1</v>
          </cell>
          <cell r="N9">
            <v>1.5</v>
          </cell>
          <cell r="O9">
            <v>0.97750000000000004</v>
          </cell>
        </row>
        <row r="10">
          <cell r="A10" t="str">
            <v>A03113</v>
          </cell>
          <cell r="B10" t="str">
            <v>113/09/26</v>
          </cell>
          <cell r="C10">
            <v>1.625</v>
          </cell>
          <cell r="D10">
            <v>0.95</v>
          </cell>
          <cell r="E10">
            <v>0.97</v>
          </cell>
          <cell r="F10" t="str">
            <v/>
          </cell>
          <cell r="G10" t="str">
            <v/>
          </cell>
          <cell r="H10" t="str">
            <v/>
          </cell>
          <cell r="I10" t="str">
            <v/>
          </cell>
          <cell r="J10" t="str">
            <v/>
          </cell>
          <cell r="K10" t="str">
            <v/>
          </cell>
          <cell r="L10" t="str">
            <v/>
          </cell>
          <cell r="M10" t="str">
            <v/>
          </cell>
          <cell r="N10" t="str">
            <v/>
          </cell>
          <cell r="O10">
            <v>0.98770000000000002</v>
          </cell>
        </row>
        <row r="11">
          <cell r="A11" t="str">
            <v>A93109</v>
          </cell>
          <cell r="B11" t="str">
            <v>113/11/18</v>
          </cell>
          <cell r="C11">
            <v>3</v>
          </cell>
          <cell r="D11">
            <v>1.06</v>
          </cell>
          <cell r="E11">
            <v>1.1200000000000001</v>
          </cell>
          <cell r="F11" t="str">
            <v/>
          </cell>
          <cell r="G11" t="str">
            <v/>
          </cell>
          <cell r="H11" t="str">
            <v/>
          </cell>
          <cell r="I11" t="str">
            <v/>
          </cell>
          <cell r="J11" t="str">
            <v/>
          </cell>
          <cell r="K11" t="str">
            <v/>
          </cell>
          <cell r="L11" t="str">
            <v/>
          </cell>
          <cell r="M11" t="str">
            <v/>
          </cell>
          <cell r="N11" t="str">
            <v/>
          </cell>
          <cell r="O11">
            <v>0.99519999999999997</v>
          </cell>
        </row>
        <row r="12">
          <cell r="A12" t="str">
            <v>A09101</v>
          </cell>
          <cell r="B12" t="str">
            <v>114/01/10</v>
          </cell>
          <cell r="C12">
            <v>0.5</v>
          </cell>
          <cell r="D12">
            <v>1.23</v>
          </cell>
          <cell r="E12">
            <v>1.26</v>
          </cell>
          <cell r="F12" t="str">
            <v/>
          </cell>
          <cell r="G12" t="str">
            <v/>
          </cell>
          <cell r="H12" t="str">
            <v/>
          </cell>
          <cell r="I12" t="str">
            <v/>
          </cell>
          <cell r="J12" t="str">
            <v/>
          </cell>
          <cell r="K12" t="str">
            <v/>
          </cell>
          <cell r="L12" t="str">
            <v/>
          </cell>
          <cell r="M12" t="str">
            <v/>
          </cell>
          <cell r="N12" t="str">
            <v/>
          </cell>
          <cell r="O12">
            <v>1.0027999999999999</v>
          </cell>
        </row>
        <row r="13">
          <cell r="A13" t="str">
            <v>A94103</v>
          </cell>
          <cell r="B13" t="str">
            <v>114/02/25</v>
          </cell>
          <cell r="C13">
            <v>2.375</v>
          </cell>
          <cell r="D13">
            <v>1.34</v>
          </cell>
          <cell r="E13">
            <v>1.39</v>
          </cell>
          <cell r="F13" t="str">
            <v/>
          </cell>
          <cell r="G13" t="str">
            <v/>
          </cell>
          <cell r="H13" t="str">
            <v/>
          </cell>
          <cell r="I13" t="str">
            <v/>
          </cell>
          <cell r="J13" t="str">
            <v/>
          </cell>
          <cell r="K13" t="str">
            <v/>
          </cell>
          <cell r="L13" t="str">
            <v/>
          </cell>
          <cell r="M13" t="str">
            <v/>
          </cell>
          <cell r="N13" t="str">
            <v/>
          </cell>
          <cell r="O13">
            <v>1.0091000000000001</v>
          </cell>
        </row>
        <row r="14">
          <cell r="A14" t="str">
            <v>A12103</v>
          </cell>
          <cell r="B14" t="str">
            <v>114/02/23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1.0089999999999999</v>
          </cell>
        </row>
        <row r="15">
          <cell r="A15" t="str">
            <v>A04105</v>
          </cell>
          <cell r="B15" t="str">
            <v>114/03/13</v>
          </cell>
          <cell r="C15">
            <v>1.625</v>
          </cell>
          <cell r="D15">
            <v>1.39</v>
          </cell>
          <cell r="E15">
            <v>1.43</v>
          </cell>
          <cell r="F15" t="str">
            <v/>
          </cell>
          <cell r="G15" t="str">
            <v/>
          </cell>
          <cell r="H15" t="str">
            <v/>
          </cell>
          <cell r="I15" t="str">
            <v/>
          </cell>
          <cell r="J15" t="str">
            <v/>
          </cell>
          <cell r="K15" t="str">
            <v/>
          </cell>
          <cell r="L15" t="str">
            <v/>
          </cell>
          <cell r="M15" t="str">
            <v/>
          </cell>
          <cell r="N15" t="str">
            <v/>
          </cell>
          <cell r="O15">
            <v>1.0116000000000001</v>
          </cell>
        </row>
        <row r="16">
          <cell r="A16" t="str">
            <v>A09107</v>
          </cell>
          <cell r="B16" t="str">
            <v>114/07/17</v>
          </cell>
          <cell r="C16">
            <v>0.25</v>
          </cell>
          <cell r="D16">
            <v>1.74</v>
          </cell>
          <cell r="E16">
            <v>1.78</v>
          </cell>
          <cell r="F16" t="str">
            <v/>
          </cell>
          <cell r="G16" t="str">
            <v/>
          </cell>
          <cell r="H16" t="str">
            <v/>
          </cell>
          <cell r="I16" t="str">
            <v/>
          </cell>
          <cell r="J16" t="str">
            <v/>
          </cell>
          <cell r="K16" t="str">
            <v/>
          </cell>
          <cell r="L16" t="str">
            <v/>
          </cell>
          <cell r="M16" t="str">
            <v/>
          </cell>
          <cell r="N16" t="str">
            <v/>
          </cell>
          <cell r="O16">
            <v>1.0304</v>
          </cell>
        </row>
        <row r="17">
          <cell r="A17" t="str">
            <v>A04112</v>
          </cell>
          <cell r="B17" t="str">
            <v>114/09/11</v>
          </cell>
          <cell r="C17">
            <v>1.125</v>
          </cell>
          <cell r="D17">
            <v>1.89</v>
          </cell>
          <cell r="E17">
            <v>1.93</v>
          </cell>
          <cell r="F17" t="str">
            <v/>
          </cell>
          <cell r="G17" t="str">
            <v/>
          </cell>
          <cell r="H17" t="str">
            <v/>
          </cell>
          <cell r="I17" t="str">
            <v/>
          </cell>
          <cell r="J17" t="str">
            <v/>
          </cell>
          <cell r="K17" t="str">
            <v/>
          </cell>
          <cell r="L17" t="str">
            <v/>
          </cell>
          <cell r="M17" t="str">
            <v/>
          </cell>
          <cell r="N17" t="str">
            <v/>
          </cell>
          <cell r="O17">
            <v>1.0388999999999999</v>
          </cell>
        </row>
        <row r="18">
          <cell r="A18" t="str">
            <v>A09112</v>
          </cell>
          <cell r="B18" t="str">
            <v>114/12/08</v>
          </cell>
          <cell r="C18">
            <v>0.125</v>
          </cell>
          <cell r="D18">
            <v>2.13</v>
          </cell>
          <cell r="E18">
            <v>2.17</v>
          </cell>
          <cell r="F18" t="str">
            <v/>
          </cell>
          <cell r="G18" t="str">
            <v/>
          </cell>
          <cell r="H18" t="str">
            <v/>
          </cell>
          <cell r="I18" t="str">
            <v/>
          </cell>
          <cell r="J18" t="str">
            <v/>
          </cell>
          <cell r="K18" t="str">
            <v/>
          </cell>
          <cell r="L18" t="str">
            <v/>
          </cell>
          <cell r="M18" t="str">
            <v/>
          </cell>
          <cell r="N18" t="str">
            <v/>
          </cell>
          <cell r="O18">
            <v>1.0535000000000001</v>
          </cell>
        </row>
        <row r="19">
          <cell r="A19" t="str">
            <v>A10101</v>
          </cell>
          <cell r="B19" t="str">
            <v>115/01/13</v>
          </cell>
          <cell r="C19">
            <v>0.25</v>
          </cell>
          <cell r="D19">
            <v>2.23</v>
          </cell>
          <cell r="E19">
            <v>2.27</v>
          </cell>
          <cell r="F19" t="str">
            <v/>
          </cell>
          <cell r="G19" t="str">
            <v/>
          </cell>
          <cell r="H19" t="str">
            <v/>
          </cell>
          <cell r="I19" t="str">
            <v/>
          </cell>
          <cell r="J19" t="str">
            <v/>
          </cell>
          <cell r="K19" t="str">
            <v/>
          </cell>
          <cell r="L19" t="str">
            <v/>
          </cell>
          <cell r="M19" t="str">
            <v/>
          </cell>
          <cell r="N19" t="str">
            <v/>
          </cell>
          <cell r="O19">
            <v>1.0593999999999999</v>
          </cell>
        </row>
        <row r="20">
          <cell r="A20" t="str">
            <v>A95102</v>
          </cell>
          <cell r="B20" t="str">
            <v>115/02/24</v>
          </cell>
          <cell r="C20">
            <v>1.875</v>
          </cell>
          <cell r="D20">
            <v>2.29</v>
          </cell>
          <cell r="E20">
            <v>2.39</v>
          </cell>
          <cell r="F20" t="str">
            <v/>
          </cell>
          <cell r="G20" t="str">
            <v/>
          </cell>
          <cell r="H20" t="str">
            <v/>
          </cell>
          <cell r="I20" t="str">
            <v/>
          </cell>
          <cell r="J20" t="str">
            <v/>
          </cell>
          <cell r="K20" t="str">
            <v/>
          </cell>
          <cell r="L20" t="str">
            <v/>
          </cell>
          <cell r="M20" t="str">
            <v/>
          </cell>
          <cell r="N20" t="str">
            <v/>
          </cell>
          <cell r="O20">
            <v>1.0658000000000001</v>
          </cell>
        </row>
        <row r="21">
          <cell r="A21" t="str">
            <v>A05104</v>
          </cell>
          <cell r="B21" t="str">
            <v>115/03/04</v>
          </cell>
          <cell r="C21">
            <v>0.75</v>
          </cell>
          <cell r="D21">
            <v>2.35</v>
          </cell>
          <cell r="E21">
            <v>2.41</v>
          </cell>
          <cell r="F21" t="str">
            <v/>
          </cell>
          <cell r="G21" t="str">
            <v/>
          </cell>
          <cell r="H21" t="str">
            <v/>
          </cell>
          <cell r="I21" t="str">
            <v/>
          </cell>
          <cell r="J21" t="str">
            <v/>
          </cell>
          <cell r="K21" t="str">
            <v/>
          </cell>
          <cell r="L21" t="str">
            <v/>
          </cell>
          <cell r="M21" t="str">
            <v/>
          </cell>
          <cell r="N21" t="str">
            <v/>
          </cell>
          <cell r="O21">
            <v>1.0677000000000001</v>
          </cell>
        </row>
        <row r="22">
          <cell r="A22" t="str">
            <v>A10108</v>
          </cell>
          <cell r="B22" t="str">
            <v>115/07/29</v>
          </cell>
          <cell r="C22">
            <v>0.25</v>
          </cell>
          <cell r="D22">
            <v>2.76</v>
          </cell>
          <cell r="E22">
            <v>2.81</v>
          </cell>
          <cell r="F22" t="str">
            <v/>
          </cell>
          <cell r="G22" t="str">
            <v/>
          </cell>
          <cell r="H22" t="str">
            <v/>
          </cell>
          <cell r="I22" t="str">
            <v/>
          </cell>
          <cell r="J22" t="str">
            <v/>
          </cell>
          <cell r="K22" t="str">
            <v/>
          </cell>
          <cell r="L22" t="str">
            <v/>
          </cell>
          <cell r="M22" t="str">
            <v/>
          </cell>
          <cell r="N22" t="str">
            <v/>
          </cell>
          <cell r="O22">
            <v>1.0939000000000001</v>
          </cell>
        </row>
        <row r="23">
          <cell r="A23" t="str">
            <v>A05111</v>
          </cell>
          <cell r="B23" t="str">
            <v>115/09/07</v>
          </cell>
          <cell r="C23">
            <v>0.625</v>
          </cell>
          <cell r="D23">
            <v>2.86</v>
          </cell>
          <cell r="E23">
            <v>2.92</v>
          </cell>
          <cell r="F23" t="str">
            <v/>
          </cell>
          <cell r="G23" t="str">
            <v/>
          </cell>
          <cell r="H23" t="str">
            <v/>
          </cell>
          <cell r="I23" t="str">
            <v/>
          </cell>
          <cell r="J23" t="str">
            <v/>
          </cell>
          <cell r="K23" t="str">
            <v/>
          </cell>
          <cell r="L23" t="str">
            <v/>
          </cell>
          <cell r="M23" t="str">
            <v/>
          </cell>
          <cell r="N23" t="str">
            <v/>
          </cell>
          <cell r="O23">
            <v>1.1007</v>
          </cell>
        </row>
        <row r="24">
          <cell r="A24" t="str">
            <v>A95107</v>
          </cell>
          <cell r="B24" t="str">
            <v>115/11/10</v>
          </cell>
          <cell r="C24">
            <v>2.125</v>
          </cell>
          <cell r="D24">
            <v>2.93</v>
          </cell>
          <cell r="E24">
            <v>3.09</v>
          </cell>
          <cell r="F24" t="str">
            <v/>
          </cell>
          <cell r="G24" t="str">
            <v/>
          </cell>
          <cell r="H24" t="str">
            <v/>
          </cell>
          <cell r="I24" t="str">
            <v/>
          </cell>
          <cell r="J24" t="str">
            <v/>
          </cell>
          <cell r="K24" t="str">
            <v/>
          </cell>
          <cell r="L24" t="str">
            <v/>
          </cell>
          <cell r="M24" t="str">
            <v/>
          </cell>
          <cell r="N24" t="str">
            <v/>
          </cell>
          <cell r="O24">
            <v>1.1106</v>
          </cell>
        </row>
        <row r="25">
          <cell r="A25" t="str">
            <v>A96102</v>
          </cell>
          <cell r="B25" t="str">
            <v>116/02/14</v>
          </cell>
          <cell r="C25">
            <v>2</v>
          </cell>
          <cell r="D25">
            <v>3.2</v>
          </cell>
          <cell r="E25">
            <v>3.36</v>
          </cell>
          <cell r="F25" t="str">
            <v/>
          </cell>
          <cell r="G25" t="str">
            <v/>
          </cell>
          <cell r="H25" t="str">
            <v/>
          </cell>
          <cell r="I25" t="str">
            <v/>
          </cell>
          <cell r="J25" t="str">
            <v/>
          </cell>
          <cell r="K25" t="str">
            <v/>
          </cell>
          <cell r="L25" t="str">
            <v/>
          </cell>
          <cell r="M25" t="str">
            <v/>
          </cell>
          <cell r="N25" t="str">
            <v/>
          </cell>
          <cell r="O25">
            <v>1.1265000000000001</v>
          </cell>
        </row>
        <row r="26">
          <cell r="A26" t="str">
            <v>A06104</v>
          </cell>
          <cell r="B26" t="str">
            <v>116/03/01</v>
          </cell>
          <cell r="C26">
            <v>1.125</v>
          </cell>
          <cell r="D26">
            <v>3.28</v>
          </cell>
          <cell r="E26">
            <v>3.4</v>
          </cell>
          <cell r="F26" t="str">
            <v/>
          </cell>
          <cell r="G26" t="str">
            <v/>
          </cell>
          <cell r="H26" t="str">
            <v/>
          </cell>
          <cell r="I26" t="str">
            <v/>
          </cell>
          <cell r="J26" t="str">
            <v/>
          </cell>
          <cell r="K26" t="str">
            <v/>
          </cell>
          <cell r="L26" t="str">
            <v/>
          </cell>
          <cell r="M26" t="str">
            <v/>
          </cell>
          <cell r="N26" t="str">
            <v/>
          </cell>
          <cell r="O26">
            <v>1.1299999999999999</v>
          </cell>
        </row>
        <row r="27">
          <cell r="A27" t="str">
            <v>A11103</v>
          </cell>
          <cell r="B27" t="str">
            <v>116/02/24</v>
          </cell>
          <cell r="C27">
            <v>0.5</v>
          </cell>
          <cell r="D27">
            <v>3.31</v>
          </cell>
          <cell r="E27">
            <v>3.38</v>
          </cell>
          <cell r="F27" t="str">
            <v/>
          </cell>
          <cell r="G27" t="str">
            <v/>
          </cell>
          <cell r="H27" t="str">
            <v/>
          </cell>
          <cell r="I27" t="str">
            <v/>
          </cell>
          <cell r="J27" t="str">
            <v/>
          </cell>
          <cell r="K27" t="str">
            <v/>
          </cell>
          <cell r="L27" t="str">
            <v/>
          </cell>
          <cell r="M27" t="str">
            <v/>
          </cell>
          <cell r="N27" t="str">
            <v/>
          </cell>
          <cell r="O27">
            <v>1.1297999999999999</v>
          </cell>
        </row>
        <row r="28">
          <cell r="A28" t="str">
            <v>A11106</v>
          </cell>
          <cell r="B28" t="str">
            <v>116/06/23</v>
          </cell>
          <cell r="C28">
            <v>1</v>
          </cell>
          <cell r="D28">
            <v>3.6</v>
          </cell>
          <cell r="E28">
            <v>3.71</v>
          </cell>
          <cell r="F28" t="str">
            <v/>
          </cell>
          <cell r="G28" t="str">
            <v/>
          </cell>
          <cell r="H28" t="str">
            <v/>
          </cell>
          <cell r="I28" t="str">
            <v/>
          </cell>
          <cell r="J28" t="str">
            <v/>
          </cell>
          <cell r="K28" t="str">
            <v/>
          </cell>
          <cell r="L28" t="str">
            <v/>
          </cell>
          <cell r="M28" t="str">
            <v/>
          </cell>
          <cell r="N28" t="str">
            <v/>
          </cell>
          <cell r="O28">
            <v>1.1479999999999999</v>
          </cell>
        </row>
        <row r="29">
          <cell r="A29" t="str">
            <v>A96107</v>
          </cell>
          <cell r="B29" t="str">
            <v>116/11/16</v>
          </cell>
          <cell r="C29">
            <v>3</v>
          </cell>
          <cell r="D29">
            <v>3.79</v>
          </cell>
          <cell r="E29">
            <v>4.1100000000000003</v>
          </cell>
          <cell r="F29" t="str">
            <v/>
          </cell>
          <cell r="G29" t="str">
            <v/>
          </cell>
          <cell r="H29" t="str">
            <v/>
          </cell>
          <cell r="I29" t="str">
            <v/>
          </cell>
          <cell r="J29" t="str">
            <v/>
          </cell>
          <cell r="K29" t="str">
            <v/>
          </cell>
          <cell r="L29" t="str">
            <v/>
          </cell>
          <cell r="M29" t="str">
            <v/>
          </cell>
          <cell r="N29" t="str">
            <v/>
          </cell>
          <cell r="O29">
            <v>1.1655</v>
          </cell>
        </row>
        <row r="30">
          <cell r="A30" t="str">
            <v>A11108</v>
          </cell>
          <cell r="B30" t="str">
            <v>116/09/23</v>
          </cell>
          <cell r="C30">
            <v>1.25</v>
          </cell>
          <cell r="D30">
            <v>3.83</v>
          </cell>
          <cell r="E30">
            <v>3.96</v>
          </cell>
          <cell r="F30" t="str">
            <v/>
          </cell>
          <cell r="G30" t="str">
            <v/>
          </cell>
          <cell r="H30" t="str">
            <v/>
          </cell>
          <cell r="I30" t="str">
            <v/>
          </cell>
          <cell r="J30" t="str">
            <v/>
          </cell>
          <cell r="K30" t="str">
            <v/>
          </cell>
          <cell r="L30" t="str">
            <v/>
          </cell>
          <cell r="M30" t="str">
            <v/>
          </cell>
          <cell r="N30" t="str">
            <v/>
          </cell>
          <cell r="O30">
            <v>1.1609</v>
          </cell>
        </row>
        <row r="31">
          <cell r="A31" t="str">
            <v>A06109</v>
          </cell>
          <cell r="B31" t="str">
            <v>116/09/20</v>
          </cell>
          <cell r="C31">
            <v>1</v>
          </cell>
          <cell r="D31">
            <v>3.84</v>
          </cell>
          <cell r="E31">
            <v>3.95</v>
          </cell>
          <cell r="F31" t="str">
            <v/>
          </cell>
          <cell r="G31" t="str">
            <v/>
          </cell>
          <cell r="H31" t="str">
            <v/>
          </cell>
          <cell r="I31" t="str">
            <v/>
          </cell>
          <cell r="J31" t="str">
            <v/>
          </cell>
          <cell r="K31" t="str">
            <v/>
          </cell>
          <cell r="L31" t="str">
            <v/>
          </cell>
          <cell r="M31" t="str">
            <v/>
          </cell>
          <cell r="N31" t="str">
            <v/>
          </cell>
          <cell r="O31">
            <v>1.1608000000000001</v>
          </cell>
        </row>
        <row r="32">
          <cell r="A32" t="str">
            <v>A02101</v>
          </cell>
          <cell r="B32" t="str">
            <v>117/01/09</v>
          </cell>
          <cell r="C32">
            <v>1.375</v>
          </cell>
          <cell r="D32">
            <v>4.07</v>
          </cell>
          <cell r="E32">
            <v>4.26</v>
          </cell>
          <cell r="F32" t="str">
            <v/>
          </cell>
          <cell r="G32" t="str">
            <v/>
          </cell>
          <cell r="H32" t="str">
            <v/>
          </cell>
          <cell r="I32" t="str">
            <v/>
          </cell>
          <cell r="J32" t="str">
            <v/>
          </cell>
          <cell r="K32" t="str">
            <v/>
          </cell>
          <cell r="L32" t="str">
            <v/>
          </cell>
          <cell r="M32" t="str">
            <v/>
          </cell>
          <cell r="N32" t="str">
            <v/>
          </cell>
          <cell r="O32">
            <v>1.1746000000000001</v>
          </cell>
        </row>
        <row r="33">
          <cell r="A33" t="str">
            <v>A97102</v>
          </cell>
          <cell r="B33" t="str">
            <v>117/02/14</v>
          </cell>
          <cell r="C33">
            <v>2.5</v>
          </cell>
          <cell r="D33">
            <v>4.07</v>
          </cell>
          <cell r="E33">
            <v>4.3600000000000003</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4.12</v>
          </cell>
          <cell r="E34">
            <v>4.28</v>
          </cell>
          <cell r="F34" t="str">
            <v/>
          </cell>
          <cell r="G34" t="str">
            <v/>
          </cell>
          <cell r="H34" t="str">
            <v/>
          </cell>
          <cell r="I34" t="str">
            <v/>
          </cell>
          <cell r="J34" t="str">
            <v/>
          </cell>
          <cell r="K34" t="str">
            <v/>
          </cell>
          <cell r="L34" t="str">
            <v/>
          </cell>
          <cell r="M34" t="str">
            <v/>
          </cell>
          <cell r="N34" t="str">
            <v/>
          </cell>
          <cell r="O34">
            <v>1.1760999999999999</v>
          </cell>
        </row>
        <row r="35">
          <cell r="A35" t="str">
            <v>A07102</v>
          </cell>
          <cell r="B35" t="str">
            <v>117/02/08</v>
          </cell>
          <cell r="C35">
            <v>1</v>
          </cell>
          <cell r="D35">
            <v>4.18</v>
          </cell>
          <cell r="E35">
            <v>4.34</v>
          </cell>
          <cell r="F35" t="str">
            <v/>
          </cell>
          <cell r="G35" t="str">
            <v/>
          </cell>
          <cell r="H35" t="str">
            <v/>
          </cell>
          <cell r="I35" t="str">
            <v/>
          </cell>
          <cell r="J35" t="str">
            <v/>
          </cell>
          <cell r="K35" t="str">
            <v/>
          </cell>
          <cell r="L35" t="str">
            <v/>
          </cell>
          <cell r="M35" t="str">
            <v/>
          </cell>
          <cell r="N35" t="str">
            <v/>
          </cell>
          <cell r="O35">
            <v>1.1788000000000001</v>
          </cell>
        </row>
        <row r="36">
          <cell r="A36" t="str">
            <v>A12106</v>
          </cell>
          <cell r="B36" t="str">
            <v>117/05/26</v>
          </cell>
          <cell r="C36">
            <v>1</v>
          </cell>
          <cell r="D36">
            <v>4.47</v>
          </cell>
          <cell r="E36">
            <v>4.6399999999999997</v>
          </cell>
          <cell r="F36">
            <v>1.1910000000000001</v>
          </cell>
          <cell r="G36">
            <v>1.1890000000000001</v>
          </cell>
          <cell r="H36">
            <v>1.1899</v>
          </cell>
          <cell r="I36">
            <v>17</v>
          </cell>
          <cell r="J36">
            <v>1.1900999999999999</v>
          </cell>
          <cell r="K36">
            <v>1.1900999999999999</v>
          </cell>
          <cell r="L36">
            <v>1.1900999999999999</v>
          </cell>
          <cell r="M36">
            <v>1</v>
          </cell>
          <cell r="N36">
            <v>0.5</v>
          </cell>
          <cell r="O36">
            <v>1.1902999999999999</v>
          </cell>
        </row>
        <row r="37">
          <cell r="A37" t="str">
            <v>A07105</v>
          </cell>
          <cell r="B37" t="str">
            <v>117/06/08</v>
          </cell>
          <cell r="C37">
            <v>0.875</v>
          </cell>
          <cell r="D37">
            <v>4.5199999999999996</v>
          </cell>
          <cell r="E37">
            <v>4.67</v>
          </cell>
          <cell r="F37" t="str">
            <v/>
          </cell>
          <cell r="G37" t="str">
            <v/>
          </cell>
          <cell r="H37" t="str">
            <v/>
          </cell>
          <cell r="I37" t="str">
            <v/>
          </cell>
          <cell r="J37" t="str">
            <v/>
          </cell>
          <cell r="K37" t="str">
            <v/>
          </cell>
          <cell r="L37" t="str">
            <v/>
          </cell>
          <cell r="M37" t="str">
            <v/>
          </cell>
          <cell r="N37" t="str">
            <v/>
          </cell>
          <cell r="O37">
            <v>1.1918</v>
          </cell>
        </row>
        <row r="38">
          <cell r="A38" t="str">
            <v>A97105</v>
          </cell>
          <cell r="B38" t="str">
            <v>117/08/14</v>
          </cell>
          <cell r="C38">
            <v>2.625</v>
          </cell>
          <cell r="D38">
            <v>4.55</v>
          </cell>
          <cell r="E38">
            <v>4.8499999999999996</v>
          </cell>
          <cell r="F38" t="str">
            <v/>
          </cell>
          <cell r="G38" t="str">
            <v/>
          </cell>
          <cell r="H38" t="str">
            <v/>
          </cell>
          <cell r="I38" t="str">
            <v/>
          </cell>
          <cell r="J38" t="str">
            <v/>
          </cell>
          <cell r="K38" t="str">
            <v/>
          </cell>
          <cell r="L38" t="str">
            <v/>
          </cell>
          <cell r="M38" t="str">
            <v/>
          </cell>
          <cell r="N38" t="str">
            <v/>
          </cell>
          <cell r="O38">
            <v>1.1948000000000001</v>
          </cell>
        </row>
        <row r="39">
          <cell r="A39" t="str">
            <v>A12108</v>
          </cell>
          <cell r="B39" t="str">
            <v>117/09/15</v>
          </cell>
          <cell r="C39">
            <v>1.125</v>
          </cell>
          <cell r="D39">
            <v>4.76</v>
          </cell>
          <cell r="E39">
            <v>4.9400000000000004</v>
          </cell>
          <cell r="F39" t="str">
            <v/>
          </cell>
          <cell r="G39" t="str">
            <v/>
          </cell>
          <cell r="H39" t="str">
            <v/>
          </cell>
          <cell r="I39" t="str">
            <v/>
          </cell>
          <cell r="J39" t="str">
            <v/>
          </cell>
          <cell r="K39" t="str">
            <v/>
          </cell>
          <cell r="L39" t="str">
            <v/>
          </cell>
          <cell r="M39" t="str">
            <v/>
          </cell>
          <cell r="N39" t="str">
            <v/>
          </cell>
          <cell r="O39">
            <v>1.2000999999999999</v>
          </cell>
        </row>
        <row r="40">
          <cell r="A40" t="str">
            <v>A10202</v>
          </cell>
          <cell r="B40" t="str">
            <v>117/08/20</v>
          </cell>
          <cell r="C40">
            <v>0.25</v>
          </cell>
          <cell r="D40">
            <v>4.78</v>
          </cell>
          <cell r="E40">
            <v>4.87</v>
          </cell>
          <cell r="F40" t="str">
            <v/>
          </cell>
          <cell r="G40" t="str">
            <v/>
          </cell>
          <cell r="H40" t="str">
            <v/>
          </cell>
          <cell r="I40" t="str">
            <v/>
          </cell>
          <cell r="J40" t="str">
            <v/>
          </cell>
          <cell r="K40" t="str">
            <v/>
          </cell>
          <cell r="L40" t="str">
            <v/>
          </cell>
          <cell r="M40" t="str">
            <v/>
          </cell>
          <cell r="N40" t="str">
            <v/>
          </cell>
          <cell r="O40">
            <v>1.1996</v>
          </cell>
        </row>
        <row r="41">
          <cell r="A41" t="str">
            <v>A07109</v>
          </cell>
          <cell r="B41" t="str">
            <v>117/10/17</v>
          </cell>
          <cell r="C41">
            <v>0.875</v>
          </cell>
          <cell r="D41">
            <v>4.83</v>
          </cell>
          <cell r="E41">
            <v>5.03</v>
          </cell>
          <cell r="F41" t="str">
            <v/>
          </cell>
          <cell r="G41" t="str">
            <v/>
          </cell>
          <cell r="H41" t="str">
            <v/>
          </cell>
          <cell r="I41" t="str">
            <v/>
          </cell>
          <cell r="J41" t="str">
            <v/>
          </cell>
          <cell r="K41" t="str">
            <v/>
          </cell>
          <cell r="L41" t="str">
            <v/>
          </cell>
          <cell r="M41" t="str">
            <v/>
          </cell>
          <cell r="N41" t="str">
            <v/>
          </cell>
          <cell r="O41">
            <v>1.2030000000000001</v>
          </cell>
        </row>
        <row r="42">
          <cell r="A42" t="str">
            <v>A98102</v>
          </cell>
          <cell r="B42" t="str">
            <v>118/02/16</v>
          </cell>
          <cell r="C42">
            <v>2.125</v>
          </cell>
          <cell r="D42">
            <v>5</v>
          </cell>
          <cell r="E42">
            <v>5.36</v>
          </cell>
          <cell r="F42" t="str">
            <v/>
          </cell>
          <cell r="G42" t="str">
            <v/>
          </cell>
          <cell r="H42" t="str">
            <v/>
          </cell>
          <cell r="I42" t="str">
            <v/>
          </cell>
          <cell r="J42" t="str">
            <v/>
          </cell>
          <cell r="K42" t="str">
            <v/>
          </cell>
          <cell r="L42" t="str">
            <v/>
          </cell>
          <cell r="M42" t="str">
            <v/>
          </cell>
          <cell r="N42" t="str">
            <v/>
          </cell>
          <cell r="O42">
            <v>1.208</v>
          </cell>
        </row>
        <row r="43">
          <cell r="A43" t="str">
            <v>A08103</v>
          </cell>
          <cell r="B43" t="str">
            <v>118/02/13</v>
          </cell>
          <cell r="C43">
            <v>0.75</v>
          </cell>
          <cell r="D43">
            <v>5.17</v>
          </cell>
          <cell r="E43">
            <v>5.36</v>
          </cell>
          <cell r="F43" t="str">
            <v/>
          </cell>
          <cell r="G43" t="str">
            <v/>
          </cell>
          <cell r="H43" t="str">
            <v/>
          </cell>
          <cell r="I43" t="str">
            <v/>
          </cell>
          <cell r="J43" t="str">
            <v/>
          </cell>
          <cell r="K43" t="str">
            <v/>
          </cell>
          <cell r="L43" t="str">
            <v/>
          </cell>
          <cell r="M43" t="str">
            <v/>
          </cell>
          <cell r="N43" t="str">
            <v/>
          </cell>
          <cell r="O43">
            <v>1.2104999999999999</v>
          </cell>
        </row>
        <row r="44">
          <cell r="A44" t="str">
            <v>A98105</v>
          </cell>
          <cell r="B44" t="str">
            <v>118/08/13</v>
          </cell>
          <cell r="C44">
            <v>2.125</v>
          </cell>
          <cell r="D44">
            <v>5.48</v>
          </cell>
          <cell r="E44">
            <v>5.85</v>
          </cell>
          <cell r="F44" t="str">
            <v/>
          </cell>
          <cell r="G44" t="str">
            <v/>
          </cell>
          <cell r="H44" t="str">
            <v/>
          </cell>
          <cell r="I44" t="str">
            <v/>
          </cell>
          <cell r="J44" t="str">
            <v/>
          </cell>
          <cell r="K44" t="str">
            <v/>
          </cell>
          <cell r="L44" t="str">
            <v/>
          </cell>
          <cell r="M44" t="str">
            <v/>
          </cell>
          <cell r="N44" t="str">
            <v/>
          </cell>
          <cell r="O44">
            <v>1.2159</v>
          </cell>
        </row>
        <row r="45">
          <cell r="A45" t="str">
            <v>A08106</v>
          </cell>
          <cell r="B45" t="str">
            <v>118/06/26</v>
          </cell>
          <cell r="C45">
            <v>0.625</v>
          </cell>
          <cell r="D45">
            <v>5.55</v>
          </cell>
          <cell r="E45">
            <v>5.72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5.81</v>
          </cell>
          <cell r="E46">
            <v>6.02</v>
          </cell>
          <cell r="F46" t="str">
            <v/>
          </cell>
          <cell r="G46" t="str">
            <v/>
          </cell>
          <cell r="H46" t="str">
            <v/>
          </cell>
          <cell r="I46" t="str">
            <v/>
          </cell>
          <cell r="J46" t="str">
            <v/>
          </cell>
          <cell r="K46" t="str">
            <v/>
          </cell>
          <cell r="L46" t="str">
            <v/>
          </cell>
          <cell r="M46" t="str">
            <v/>
          </cell>
          <cell r="N46" t="str">
            <v/>
          </cell>
          <cell r="O46">
            <v>1.2213000000000001</v>
          </cell>
        </row>
        <row r="47">
          <cell r="A47" t="str">
            <v>A99104</v>
          </cell>
          <cell r="B47" t="str">
            <v>119/02/22</v>
          </cell>
          <cell r="C47">
            <v>1.875</v>
          </cell>
          <cell r="D47">
            <v>5.93</v>
          </cell>
          <cell r="E47">
            <v>6.38</v>
          </cell>
          <cell r="F47" t="str">
            <v/>
          </cell>
          <cell r="G47" t="str">
            <v/>
          </cell>
          <cell r="H47" t="str">
            <v/>
          </cell>
          <cell r="I47" t="str">
            <v/>
          </cell>
          <cell r="J47" t="str">
            <v/>
          </cell>
          <cell r="K47" t="str">
            <v/>
          </cell>
          <cell r="L47" t="str">
            <v/>
          </cell>
          <cell r="M47" t="str">
            <v/>
          </cell>
          <cell r="N47" t="str">
            <v/>
          </cell>
          <cell r="O47">
            <v>1.2231000000000001</v>
          </cell>
        </row>
        <row r="48">
          <cell r="A48" t="str">
            <v>A09103</v>
          </cell>
          <cell r="B48" t="str">
            <v>119/02/21</v>
          </cell>
          <cell r="C48">
            <v>0.5</v>
          </cell>
          <cell r="D48">
            <v>6.18</v>
          </cell>
          <cell r="E48">
            <v>6.38</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6.41</v>
          </cell>
          <cell r="E49">
            <v>6.85</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6.51</v>
          </cell>
          <cell r="E50">
            <v>6.68</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6.64</v>
          </cell>
          <cell r="E51">
            <v>7.27</v>
          </cell>
          <cell r="F51" t="str">
            <v/>
          </cell>
          <cell r="G51" t="str">
            <v/>
          </cell>
          <cell r="H51" t="str">
            <v/>
          </cell>
          <cell r="I51" t="str">
            <v/>
          </cell>
          <cell r="J51" t="str">
            <v/>
          </cell>
          <cell r="K51" t="str">
            <v/>
          </cell>
          <cell r="L51" t="str">
            <v/>
          </cell>
          <cell r="M51" t="str">
            <v/>
          </cell>
          <cell r="N51" t="str">
            <v/>
          </cell>
          <cell r="O51">
            <v>1.2351000000000001</v>
          </cell>
        </row>
        <row r="52">
          <cell r="A52" t="str">
            <v>A09109</v>
          </cell>
          <cell r="B52" t="str">
            <v>119/10/14</v>
          </cell>
          <cell r="C52">
            <v>0.25</v>
          </cell>
          <cell r="D52">
            <v>6.85</v>
          </cell>
          <cell r="E52">
            <v>7.02</v>
          </cell>
          <cell r="F52" t="str">
            <v/>
          </cell>
          <cell r="G52" t="str">
            <v/>
          </cell>
          <cell r="H52" t="str">
            <v/>
          </cell>
          <cell r="I52" t="str">
            <v/>
          </cell>
          <cell r="J52" t="str">
            <v/>
          </cell>
          <cell r="K52" t="str">
            <v/>
          </cell>
          <cell r="L52" t="str">
            <v/>
          </cell>
          <cell r="M52" t="str">
            <v/>
          </cell>
          <cell r="N52" t="str">
            <v/>
          </cell>
          <cell r="O52">
            <v>1.2351000000000001</v>
          </cell>
        </row>
        <row r="53">
          <cell r="A53" t="str">
            <v>A90105</v>
          </cell>
          <cell r="B53" t="str">
            <v>120/07/17</v>
          </cell>
          <cell r="C53">
            <v>3.625</v>
          </cell>
          <cell r="D53">
            <v>6.85</v>
          </cell>
          <cell r="E53">
            <v>7.78</v>
          </cell>
          <cell r="F53" t="str">
            <v/>
          </cell>
          <cell r="G53" t="str">
            <v/>
          </cell>
          <cell r="H53" t="str">
            <v/>
          </cell>
          <cell r="I53" t="str">
            <v/>
          </cell>
          <cell r="J53" t="str">
            <v/>
          </cell>
          <cell r="K53" t="str">
            <v/>
          </cell>
          <cell r="L53" t="str">
            <v/>
          </cell>
          <cell r="M53" t="str">
            <v/>
          </cell>
          <cell r="N53" t="str">
            <v/>
          </cell>
          <cell r="O53">
            <v>1.2404999999999999</v>
          </cell>
        </row>
        <row r="54">
          <cell r="A54" t="str">
            <v>A00201</v>
          </cell>
          <cell r="B54" t="str">
            <v>120/05/26</v>
          </cell>
          <cell r="C54">
            <v>1.75</v>
          </cell>
          <cell r="D54">
            <v>7.08</v>
          </cell>
          <cell r="E54">
            <v>7.63</v>
          </cell>
          <cell r="F54" t="str">
            <v/>
          </cell>
          <cell r="G54" t="str">
            <v/>
          </cell>
          <cell r="H54" t="str">
            <v/>
          </cell>
          <cell r="I54" t="str">
            <v/>
          </cell>
          <cell r="J54" t="str">
            <v/>
          </cell>
          <cell r="K54" t="str">
            <v/>
          </cell>
          <cell r="L54" t="str">
            <v/>
          </cell>
          <cell r="M54" t="str">
            <v/>
          </cell>
          <cell r="N54" t="str">
            <v/>
          </cell>
          <cell r="O54">
            <v>1.2419</v>
          </cell>
        </row>
        <row r="55">
          <cell r="A55" t="str">
            <v>A10103</v>
          </cell>
          <cell r="B55" t="str">
            <v>120/02/22</v>
          </cell>
          <cell r="C55">
            <v>0.25</v>
          </cell>
          <cell r="D55">
            <v>7.2</v>
          </cell>
          <cell r="E55">
            <v>7.38</v>
          </cell>
          <cell r="F55" t="str">
            <v/>
          </cell>
          <cell r="G55" t="str">
            <v/>
          </cell>
          <cell r="H55" t="str">
            <v/>
          </cell>
          <cell r="I55" t="str">
            <v/>
          </cell>
          <cell r="J55" t="str">
            <v/>
          </cell>
          <cell r="K55" t="str">
            <v/>
          </cell>
          <cell r="L55" t="str">
            <v/>
          </cell>
          <cell r="M55" t="str">
            <v/>
          </cell>
          <cell r="N55" t="str">
            <v/>
          </cell>
          <cell r="O55">
            <v>1.2410000000000001</v>
          </cell>
        </row>
        <row r="56">
          <cell r="A56" t="str">
            <v>A00107</v>
          </cell>
          <cell r="B56" t="str">
            <v>120/08/02</v>
          </cell>
          <cell r="C56">
            <v>1.875</v>
          </cell>
          <cell r="D56">
            <v>7.24</v>
          </cell>
          <cell r="E56">
            <v>7.82</v>
          </cell>
          <cell r="F56" t="str">
            <v/>
          </cell>
          <cell r="G56" t="str">
            <v/>
          </cell>
          <cell r="H56" t="str">
            <v/>
          </cell>
          <cell r="I56" t="str">
            <v/>
          </cell>
          <cell r="J56" t="str">
            <v/>
          </cell>
          <cell r="K56" t="str">
            <v/>
          </cell>
          <cell r="L56" t="str">
            <v/>
          </cell>
          <cell r="M56" t="str">
            <v/>
          </cell>
          <cell r="N56" t="str">
            <v/>
          </cell>
          <cell r="O56">
            <v>1.2448999999999999</v>
          </cell>
        </row>
        <row r="57">
          <cell r="A57" t="str">
            <v>A10201</v>
          </cell>
          <cell r="B57" t="str">
            <v>120/05/07</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1.2443</v>
          </cell>
        </row>
        <row r="58">
          <cell r="A58" t="str">
            <v>A10107</v>
          </cell>
          <cell r="B58" t="str">
            <v>120/06/23</v>
          </cell>
          <cell r="C58">
            <v>0.375</v>
          </cell>
          <cell r="D58">
            <v>7.5</v>
          </cell>
          <cell r="E58">
            <v>7.71</v>
          </cell>
          <cell r="F58">
            <v>1.2709999999999999</v>
          </cell>
          <cell r="G58">
            <v>1.2689999999999999</v>
          </cell>
          <cell r="H58">
            <v>1.27</v>
          </cell>
          <cell r="I58">
            <v>1</v>
          </cell>
          <cell r="J58" t="str">
            <v/>
          </cell>
          <cell r="K58" t="str">
            <v/>
          </cell>
          <cell r="L58" t="str">
            <v/>
          </cell>
          <cell r="M58" t="str">
            <v/>
          </cell>
          <cell r="N58" t="str">
            <v/>
          </cell>
          <cell r="O58">
            <v>1.2464</v>
          </cell>
        </row>
        <row r="59">
          <cell r="A59" t="str">
            <v>A01102</v>
          </cell>
          <cell r="B59" t="str">
            <v>121/01/20</v>
          </cell>
          <cell r="C59">
            <v>1.625</v>
          </cell>
          <cell r="D59">
            <v>7.64</v>
          </cell>
          <cell r="E59">
            <v>8.2899999999999991</v>
          </cell>
          <cell r="F59" t="str">
            <v/>
          </cell>
          <cell r="G59" t="str">
            <v/>
          </cell>
          <cell r="H59" t="str">
            <v/>
          </cell>
          <cell r="I59" t="str">
            <v/>
          </cell>
          <cell r="J59" t="str">
            <v/>
          </cell>
          <cell r="K59" t="str">
            <v/>
          </cell>
          <cell r="L59" t="str">
            <v/>
          </cell>
          <cell r="M59" t="str">
            <v/>
          </cell>
          <cell r="N59" t="str">
            <v/>
          </cell>
          <cell r="O59">
            <v>1.2529999999999999</v>
          </cell>
        </row>
        <row r="60">
          <cell r="A60" t="str">
            <v>A10111</v>
          </cell>
          <cell r="B60" t="str">
            <v>120/10/22</v>
          </cell>
          <cell r="C60">
            <v>0.5</v>
          </cell>
          <cell r="D60">
            <v>7.75</v>
          </cell>
          <cell r="E60">
            <v>8.0399999999999991</v>
          </cell>
          <cell r="F60" t="str">
            <v/>
          </cell>
          <cell r="G60" t="str">
            <v/>
          </cell>
          <cell r="H60" t="str">
            <v/>
          </cell>
          <cell r="I60" t="str">
            <v/>
          </cell>
          <cell r="J60" t="str">
            <v/>
          </cell>
          <cell r="K60" t="str">
            <v/>
          </cell>
          <cell r="L60" t="str">
            <v/>
          </cell>
          <cell r="M60" t="str">
            <v/>
          </cell>
          <cell r="N60" t="str">
            <v/>
          </cell>
          <cell r="O60">
            <v>1.2519</v>
          </cell>
        </row>
        <row r="61">
          <cell r="A61" t="str">
            <v>A01201</v>
          </cell>
          <cell r="B61" t="str">
            <v>121/03/16</v>
          </cell>
          <cell r="C61">
            <v>1.625</v>
          </cell>
          <cell r="D61">
            <v>7.79</v>
          </cell>
          <cell r="E61">
            <v>8.44</v>
          </cell>
          <cell r="F61" t="str">
            <v/>
          </cell>
          <cell r="G61" t="str">
            <v/>
          </cell>
          <cell r="H61" t="str">
            <v/>
          </cell>
          <cell r="I61" t="str">
            <v/>
          </cell>
          <cell r="J61" t="str">
            <v/>
          </cell>
          <cell r="K61" t="str">
            <v/>
          </cell>
          <cell r="L61" t="str">
            <v/>
          </cell>
          <cell r="M61" t="str">
            <v/>
          </cell>
          <cell r="N61" t="str">
            <v/>
          </cell>
          <cell r="O61">
            <v>1.2553000000000001</v>
          </cell>
        </row>
        <row r="62">
          <cell r="A62" t="str">
            <v>A11201</v>
          </cell>
          <cell r="B62" t="str">
            <v>121/01/10</v>
          </cell>
          <cell r="C62">
            <v>0.75</v>
          </cell>
          <cell r="D62">
            <v>7.88</v>
          </cell>
          <cell r="E62">
            <v>8.26</v>
          </cell>
          <cell r="F62" t="str">
            <v/>
          </cell>
          <cell r="G62" t="str">
            <v/>
          </cell>
          <cell r="H62" t="str">
            <v/>
          </cell>
          <cell r="I62" t="str">
            <v/>
          </cell>
          <cell r="J62" t="str">
            <v/>
          </cell>
          <cell r="K62" t="str">
            <v/>
          </cell>
          <cell r="L62" t="str">
            <v/>
          </cell>
          <cell r="M62" t="str">
            <v/>
          </cell>
          <cell r="N62" t="str">
            <v/>
          </cell>
          <cell r="O62">
            <v>1.2547999999999999</v>
          </cell>
        </row>
        <row r="63">
          <cell r="A63" t="str">
            <v>A11102</v>
          </cell>
          <cell r="B63" t="str">
            <v>121/02/18</v>
          </cell>
          <cell r="C63">
            <v>0.625</v>
          </cell>
          <cell r="D63">
            <v>8.0299999999999994</v>
          </cell>
          <cell r="E63">
            <v>8.3699999999999992</v>
          </cell>
          <cell r="F63" t="str">
            <v/>
          </cell>
          <cell r="G63" t="str">
            <v/>
          </cell>
          <cell r="H63" t="str">
            <v/>
          </cell>
          <cell r="I63" t="str">
            <v/>
          </cell>
          <cell r="J63" t="str">
            <v/>
          </cell>
          <cell r="K63" t="str">
            <v/>
          </cell>
          <cell r="L63" t="str">
            <v/>
          </cell>
          <cell r="M63" t="str">
            <v/>
          </cell>
          <cell r="N63" t="str">
            <v/>
          </cell>
          <cell r="O63">
            <v>1.2567999999999999</v>
          </cell>
        </row>
        <row r="64">
          <cell r="A64" t="str">
            <v>A11107</v>
          </cell>
          <cell r="B64" t="str">
            <v>121/06/30</v>
          </cell>
          <cell r="C64">
            <v>1.25</v>
          </cell>
          <cell r="D64">
            <v>8.18</v>
          </cell>
          <cell r="E64">
            <v>8.73</v>
          </cell>
          <cell r="F64" t="str">
            <v/>
          </cell>
          <cell r="G64" t="str">
            <v/>
          </cell>
          <cell r="H64" t="str">
            <v/>
          </cell>
          <cell r="I64" t="str">
            <v/>
          </cell>
          <cell r="J64" t="str">
            <v/>
          </cell>
          <cell r="K64" t="str">
            <v/>
          </cell>
          <cell r="L64" t="str">
            <v/>
          </cell>
          <cell r="M64" t="str">
            <v/>
          </cell>
          <cell r="N64" t="str">
            <v/>
          </cell>
          <cell r="O64">
            <v>1.2602</v>
          </cell>
        </row>
        <row r="65">
          <cell r="A65" t="str">
            <v>A11110</v>
          </cell>
          <cell r="B65" t="str">
            <v>121/10/17</v>
          </cell>
          <cell r="C65">
            <v>1.75</v>
          </cell>
          <cell r="D65">
            <v>8.19</v>
          </cell>
          <cell r="E65">
            <v>9.0299999999999994</v>
          </cell>
          <cell r="F65">
            <v>1.2809999999999999</v>
          </cell>
          <cell r="G65">
            <v>1.2749999999999999</v>
          </cell>
          <cell r="H65">
            <v>1.2794000000000001</v>
          </cell>
          <cell r="I65">
            <v>7.5</v>
          </cell>
          <cell r="J65" t="str">
            <v/>
          </cell>
          <cell r="K65" t="str">
            <v/>
          </cell>
          <cell r="L65" t="str">
            <v/>
          </cell>
          <cell r="M65" t="str">
            <v/>
          </cell>
          <cell r="N65" t="str">
            <v/>
          </cell>
          <cell r="O65">
            <v>1.2627999999999999</v>
          </cell>
        </row>
        <row r="66">
          <cell r="A66" t="str">
            <v>A01107</v>
          </cell>
          <cell r="B66" t="str">
            <v>121/08/10</v>
          </cell>
          <cell r="C66">
            <v>1.5</v>
          </cell>
          <cell r="D66">
            <v>8.2200000000000006</v>
          </cell>
          <cell r="E66">
            <v>8.84</v>
          </cell>
          <cell r="F66" t="str">
            <v/>
          </cell>
          <cell r="G66" t="str">
            <v/>
          </cell>
          <cell r="H66" t="str">
            <v/>
          </cell>
          <cell r="I66" t="str">
            <v/>
          </cell>
          <cell r="J66" t="str">
            <v/>
          </cell>
          <cell r="K66" t="str">
            <v/>
          </cell>
          <cell r="L66" t="str">
            <v/>
          </cell>
          <cell r="M66" t="str">
            <v/>
          </cell>
          <cell r="N66" t="str">
            <v/>
          </cell>
          <cell r="O66">
            <v>1.2609999999999999</v>
          </cell>
        </row>
        <row r="67">
          <cell r="A67" t="str">
            <v>A02103</v>
          </cell>
          <cell r="B67" t="str">
            <v>122/01/28</v>
          </cell>
          <cell r="C67">
            <v>1.5</v>
          </cell>
          <cell r="D67">
            <v>8.56</v>
          </cell>
          <cell r="E67">
            <v>9.31</v>
          </cell>
          <cell r="F67" t="str">
            <v/>
          </cell>
          <cell r="G67" t="str">
            <v/>
          </cell>
          <cell r="H67" t="str">
            <v/>
          </cell>
          <cell r="I67" t="str">
            <v/>
          </cell>
          <cell r="J67" t="str">
            <v/>
          </cell>
          <cell r="K67" t="str">
            <v/>
          </cell>
          <cell r="L67" t="str">
            <v/>
          </cell>
          <cell r="M67" t="str">
            <v/>
          </cell>
          <cell r="N67" t="str">
            <v/>
          </cell>
          <cell r="O67">
            <v>1.2669999999999999</v>
          </cell>
        </row>
        <row r="68">
          <cell r="A68" t="str">
            <v>A12201</v>
          </cell>
          <cell r="B68" t="str">
            <v>122/01/10</v>
          </cell>
          <cell r="C68">
            <v>1.25</v>
          </cell>
          <cell r="D68">
            <v>8.6</v>
          </cell>
          <cell r="E68">
            <v>9.26</v>
          </cell>
          <cell r="F68" t="str">
            <v/>
          </cell>
          <cell r="G68" t="str">
            <v/>
          </cell>
          <cell r="H68" t="str">
            <v/>
          </cell>
          <cell r="I68" t="str">
            <v/>
          </cell>
          <cell r="J68" t="str">
            <v/>
          </cell>
          <cell r="K68" t="str">
            <v/>
          </cell>
          <cell r="L68" t="str">
            <v/>
          </cell>
          <cell r="M68" t="str">
            <v/>
          </cell>
          <cell r="N68" t="str">
            <v/>
          </cell>
          <cell r="O68">
            <v>1.2669999999999999</v>
          </cell>
        </row>
        <row r="69">
          <cell r="A69" t="str">
            <v>A02201</v>
          </cell>
          <cell r="B69" t="str">
            <v>122/03/21</v>
          </cell>
          <cell r="C69">
            <v>1.75</v>
          </cell>
          <cell r="D69">
            <v>8.61</v>
          </cell>
          <cell r="E69">
            <v>9.4499999999999993</v>
          </cell>
          <cell r="F69" t="str">
            <v/>
          </cell>
          <cell r="G69" t="str">
            <v/>
          </cell>
          <cell r="H69" t="str">
            <v/>
          </cell>
          <cell r="I69" t="str">
            <v/>
          </cell>
          <cell r="J69" t="str">
            <v/>
          </cell>
          <cell r="K69" t="str">
            <v/>
          </cell>
          <cell r="L69" t="str">
            <v/>
          </cell>
          <cell r="M69" t="str">
            <v/>
          </cell>
          <cell r="N69" t="str">
            <v/>
          </cell>
          <cell r="O69">
            <v>1.2681</v>
          </cell>
        </row>
        <row r="70">
          <cell r="A70" t="str">
            <v>A12102</v>
          </cell>
          <cell r="B70" t="str">
            <v>122/02/17</v>
          </cell>
          <cell r="C70">
            <v>1.125</v>
          </cell>
          <cell r="D70">
            <v>8.75</v>
          </cell>
          <cell r="E70">
            <v>9.3699999999999992</v>
          </cell>
          <cell r="F70" t="str">
            <v/>
          </cell>
          <cell r="G70" t="str">
            <v/>
          </cell>
          <cell r="H70" t="str">
            <v/>
          </cell>
          <cell r="I70" t="str">
            <v/>
          </cell>
          <cell r="J70" t="str">
            <v/>
          </cell>
          <cell r="K70" t="str">
            <v/>
          </cell>
          <cell r="L70" t="str">
            <v/>
          </cell>
          <cell r="M70" t="str">
            <v/>
          </cell>
          <cell r="N70" t="str">
            <v/>
          </cell>
          <cell r="O70">
            <v>1.2686999999999999</v>
          </cell>
        </row>
        <row r="71">
          <cell r="A71" t="str">
            <v>A02108</v>
          </cell>
          <cell r="B71" t="str">
            <v>122/07/26</v>
          </cell>
          <cell r="C71">
            <v>2</v>
          </cell>
          <cell r="D71">
            <v>8.8699999999999992</v>
          </cell>
          <cell r="E71">
            <v>9.8000000000000007</v>
          </cell>
          <cell r="F71" t="str">
            <v/>
          </cell>
          <cell r="G71" t="str">
            <v/>
          </cell>
          <cell r="H71" t="str">
            <v/>
          </cell>
          <cell r="I71" t="str">
            <v/>
          </cell>
          <cell r="J71" t="str">
            <v/>
          </cell>
          <cell r="K71" t="str">
            <v/>
          </cell>
          <cell r="L71" t="str">
            <v/>
          </cell>
          <cell r="M71" t="str">
            <v/>
          </cell>
          <cell r="N71" t="str">
            <v/>
          </cell>
          <cell r="O71">
            <v>1.2719</v>
          </cell>
        </row>
        <row r="72">
          <cell r="A72" t="str">
            <v>A93106</v>
          </cell>
          <cell r="B72" t="str">
            <v>123/05/27</v>
          </cell>
          <cell r="C72">
            <v>3.875</v>
          </cell>
          <cell r="D72">
            <v>8.91</v>
          </cell>
          <cell r="E72">
            <v>10.64</v>
          </cell>
          <cell r="F72" t="str">
            <v/>
          </cell>
          <cell r="G72" t="str">
            <v/>
          </cell>
          <cell r="H72" t="str">
            <v/>
          </cell>
          <cell r="I72" t="str">
            <v/>
          </cell>
          <cell r="J72" t="str">
            <v/>
          </cell>
          <cell r="K72" t="str">
            <v/>
          </cell>
          <cell r="L72" t="str">
            <v/>
          </cell>
          <cell r="M72" t="str">
            <v/>
          </cell>
          <cell r="N72" t="str">
            <v/>
          </cell>
          <cell r="O72">
            <v>1.278</v>
          </cell>
        </row>
        <row r="73">
          <cell r="A73" t="str">
            <v>A12107</v>
          </cell>
          <cell r="B73" t="str">
            <v>122/06/09</v>
          </cell>
          <cell r="C73">
            <v>1.125</v>
          </cell>
          <cell r="D73">
            <v>9.06</v>
          </cell>
          <cell r="E73">
            <v>9.67</v>
          </cell>
          <cell r="F73" t="str">
            <v/>
          </cell>
          <cell r="G73" t="str">
            <v/>
          </cell>
          <cell r="H73" t="str">
            <v/>
          </cell>
          <cell r="I73" t="str">
            <v/>
          </cell>
          <cell r="J73" t="str">
            <v/>
          </cell>
          <cell r="K73" t="str">
            <v/>
          </cell>
          <cell r="L73" t="str">
            <v/>
          </cell>
          <cell r="M73" t="str">
            <v/>
          </cell>
          <cell r="N73" t="str">
            <v/>
          </cell>
          <cell r="O73">
            <v>1.2726</v>
          </cell>
        </row>
        <row r="74">
          <cell r="A74" t="str">
            <v>A12110R</v>
          </cell>
          <cell r="B74" t="str">
            <v>122/10/05</v>
          </cell>
          <cell r="C74">
            <v>1.25</v>
          </cell>
          <cell r="D74">
            <v>9.16</v>
          </cell>
          <cell r="E74">
            <v>10</v>
          </cell>
          <cell r="F74">
            <v>1.282</v>
          </cell>
          <cell r="G74">
            <v>1.282</v>
          </cell>
          <cell r="H74">
            <v>1.282</v>
          </cell>
          <cell r="I74">
            <v>0.5</v>
          </cell>
          <cell r="J74" t="str">
            <v/>
          </cell>
          <cell r="K74" t="str">
            <v/>
          </cell>
          <cell r="L74" t="str">
            <v/>
          </cell>
          <cell r="M74" t="str">
            <v/>
          </cell>
          <cell r="N74" t="str">
            <v/>
          </cell>
          <cell r="O74">
            <v>1.2743</v>
          </cell>
        </row>
        <row r="75">
          <cell r="A75" t="str">
            <v>A03103</v>
          </cell>
          <cell r="B75" t="str">
            <v>123/01/29</v>
          </cell>
          <cell r="C75">
            <v>2</v>
          </cell>
          <cell r="D75">
            <v>9.2100000000000009</v>
          </cell>
          <cell r="E75">
            <v>10.31</v>
          </cell>
          <cell r="F75" t="str">
            <v/>
          </cell>
          <cell r="G75" t="str">
            <v/>
          </cell>
          <cell r="H75" t="str">
            <v/>
          </cell>
          <cell r="I75" t="str">
            <v/>
          </cell>
          <cell r="J75" t="str">
            <v/>
          </cell>
          <cell r="K75" t="str">
            <v/>
          </cell>
          <cell r="L75" t="str">
            <v/>
          </cell>
          <cell r="M75" t="str">
            <v/>
          </cell>
          <cell r="N75" t="str">
            <v/>
          </cell>
          <cell r="O75">
            <v>1.2786</v>
          </cell>
        </row>
        <row r="76">
          <cell r="A76" t="str">
            <v>A12110</v>
          </cell>
          <cell r="B76" t="str">
            <v>122/10/05</v>
          </cell>
          <cell r="C76">
            <v>1.25</v>
          </cell>
          <cell r="D76">
            <v>9.33</v>
          </cell>
          <cell r="E76">
            <v>10</v>
          </cell>
          <cell r="F76" t="str">
            <v/>
          </cell>
          <cell r="G76" t="str">
            <v/>
          </cell>
          <cell r="H76" t="str">
            <v/>
          </cell>
          <cell r="I76" t="str">
            <v/>
          </cell>
          <cell r="J76" t="str">
            <v/>
          </cell>
          <cell r="K76" t="str">
            <v/>
          </cell>
          <cell r="L76" t="str">
            <v/>
          </cell>
          <cell r="M76" t="str">
            <v/>
          </cell>
          <cell r="N76" t="str">
            <v/>
          </cell>
          <cell r="O76">
            <v>1.2766</v>
          </cell>
        </row>
        <row r="77">
          <cell r="A77" t="str">
            <v>A03107</v>
          </cell>
          <cell r="B77" t="str">
            <v>123/04/25</v>
          </cell>
          <cell r="C77">
            <v>1.875</v>
          </cell>
          <cell r="D77">
            <v>9.49</v>
          </cell>
          <cell r="E77">
            <v>10.55</v>
          </cell>
          <cell r="F77" t="str">
            <v/>
          </cell>
          <cell r="G77" t="str">
            <v/>
          </cell>
          <cell r="H77" t="str">
            <v/>
          </cell>
          <cell r="I77" t="str">
            <v/>
          </cell>
          <cell r="J77" t="str">
            <v/>
          </cell>
          <cell r="K77" t="str">
            <v/>
          </cell>
          <cell r="L77" t="str">
            <v/>
          </cell>
          <cell r="M77" t="str">
            <v/>
          </cell>
          <cell r="N77" t="str">
            <v/>
          </cell>
          <cell r="O77">
            <v>1.2822</v>
          </cell>
        </row>
        <row r="78">
          <cell r="A78" t="str">
            <v>A03111</v>
          </cell>
          <cell r="B78" t="str">
            <v>123/07/31</v>
          </cell>
          <cell r="C78">
            <v>2.125</v>
          </cell>
          <cell r="D78">
            <v>9.66</v>
          </cell>
          <cell r="E78">
            <v>10.81</v>
          </cell>
          <cell r="F78" t="str">
            <v/>
          </cell>
          <cell r="G78" t="str">
            <v/>
          </cell>
          <cell r="H78" t="str">
            <v/>
          </cell>
          <cell r="I78" t="str">
            <v/>
          </cell>
          <cell r="J78" t="str">
            <v/>
          </cell>
          <cell r="K78" t="str">
            <v/>
          </cell>
          <cell r="L78" t="str">
            <v/>
          </cell>
          <cell r="M78" t="str">
            <v/>
          </cell>
          <cell r="N78" t="str">
            <v/>
          </cell>
          <cell r="O78">
            <v>1.2851999999999999</v>
          </cell>
        </row>
        <row r="79">
          <cell r="A79" t="str">
            <v>A03114</v>
          </cell>
          <cell r="B79" t="str">
            <v>123/10/02</v>
          </cell>
          <cell r="C79">
            <v>2.25</v>
          </cell>
          <cell r="D79">
            <v>9.7799999999999994</v>
          </cell>
          <cell r="E79">
            <v>10.99</v>
          </cell>
          <cell r="F79" t="str">
            <v/>
          </cell>
          <cell r="G79" t="str">
            <v/>
          </cell>
          <cell r="H79" t="str">
            <v/>
          </cell>
          <cell r="I79" t="str">
            <v/>
          </cell>
          <cell r="J79" t="str">
            <v/>
          </cell>
          <cell r="K79" t="str">
            <v/>
          </cell>
          <cell r="L79" t="str">
            <v/>
          </cell>
          <cell r="M79" t="str">
            <v/>
          </cell>
          <cell r="N79" t="str">
            <v/>
          </cell>
          <cell r="O79">
            <v>1.2871999999999999</v>
          </cell>
        </row>
        <row r="80">
          <cell r="A80" t="str">
            <v>A04102</v>
          </cell>
          <cell r="B80" t="str">
            <v>124/01/23</v>
          </cell>
          <cell r="C80">
            <v>2</v>
          </cell>
          <cell r="D80">
            <v>10</v>
          </cell>
          <cell r="E80">
            <v>11.3</v>
          </cell>
          <cell r="F80" t="str">
            <v/>
          </cell>
          <cell r="G80" t="str">
            <v/>
          </cell>
          <cell r="H80" t="str">
            <v/>
          </cell>
          <cell r="I80" t="str">
            <v/>
          </cell>
          <cell r="J80" t="str">
            <v/>
          </cell>
          <cell r="K80" t="str">
            <v/>
          </cell>
          <cell r="L80" t="str">
            <v/>
          </cell>
          <cell r="M80" t="str">
            <v/>
          </cell>
          <cell r="N80" t="str">
            <v/>
          </cell>
          <cell r="O80">
            <v>1.2923</v>
          </cell>
        </row>
        <row r="81">
          <cell r="A81" t="str">
            <v>A04107</v>
          </cell>
          <cell r="B81" t="str">
            <v>124/04/15</v>
          </cell>
          <cell r="C81">
            <v>2.125</v>
          </cell>
          <cell r="D81">
            <v>10.16</v>
          </cell>
          <cell r="E81">
            <v>11.52</v>
          </cell>
          <cell r="F81" t="str">
            <v/>
          </cell>
          <cell r="G81" t="str">
            <v/>
          </cell>
          <cell r="H81" t="str">
            <v/>
          </cell>
          <cell r="I81" t="str">
            <v/>
          </cell>
          <cell r="J81" t="str">
            <v/>
          </cell>
          <cell r="K81" t="str">
            <v/>
          </cell>
          <cell r="L81" t="str">
            <v/>
          </cell>
          <cell r="M81" t="str">
            <v/>
          </cell>
          <cell r="N81" t="str">
            <v/>
          </cell>
          <cell r="O81">
            <v>1.2950999999999999</v>
          </cell>
        </row>
        <row r="82">
          <cell r="A82" t="str">
            <v>A04114</v>
          </cell>
          <cell r="B82" t="str">
            <v>124/10/26</v>
          </cell>
          <cell r="C82">
            <v>1.75</v>
          </cell>
          <cell r="D82">
            <v>10.68</v>
          </cell>
          <cell r="E82">
            <v>12.05</v>
          </cell>
          <cell r="F82" t="str">
            <v/>
          </cell>
          <cell r="G82" t="str">
            <v/>
          </cell>
          <cell r="H82" t="str">
            <v/>
          </cell>
          <cell r="I82" t="str">
            <v/>
          </cell>
          <cell r="J82" t="str">
            <v/>
          </cell>
          <cell r="K82" t="str">
            <v/>
          </cell>
          <cell r="L82" t="str">
            <v/>
          </cell>
          <cell r="M82" t="str">
            <v/>
          </cell>
          <cell r="N82" t="str">
            <v/>
          </cell>
          <cell r="O82">
            <v>1.3041</v>
          </cell>
        </row>
        <row r="83">
          <cell r="A83" t="str">
            <v>A05102</v>
          </cell>
          <cell r="B83" t="str">
            <v>125/01/22</v>
          </cell>
          <cell r="C83">
            <v>1.375</v>
          </cell>
          <cell r="D83">
            <v>11.13</v>
          </cell>
          <cell r="E83">
            <v>12.29</v>
          </cell>
          <cell r="F83" t="str">
            <v/>
          </cell>
          <cell r="G83" t="str">
            <v/>
          </cell>
          <cell r="H83" t="str">
            <v/>
          </cell>
          <cell r="I83" t="str">
            <v/>
          </cell>
          <cell r="J83" t="str">
            <v/>
          </cell>
          <cell r="K83" t="str">
            <v/>
          </cell>
          <cell r="L83" t="str">
            <v/>
          </cell>
          <cell r="M83" t="str">
            <v/>
          </cell>
          <cell r="N83" t="str">
            <v/>
          </cell>
          <cell r="O83">
            <v>1.3090999999999999</v>
          </cell>
        </row>
        <row r="84">
          <cell r="A84" t="str">
            <v>A05106</v>
          </cell>
          <cell r="B84" t="str">
            <v>125/04/08</v>
          </cell>
          <cell r="C84">
            <v>1.25</v>
          </cell>
          <cell r="D84">
            <v>11.42</v>
          </cell>
          <cell r="E84">
            <v>12.5</v>
          </cell>
          <cell r="F84" t="str">
            <v/>
          </cell>
          <cell r="G84" t="str">
            <v/>
          </cell>
          <cell r="H84" t="str">
            <v/>
          </cell>
          <cell r="I84" t="str">
            <v/>
          </cell>
          <cell r="J84" t="str">
            <v/>
          </cell>
          <cell r="K84" t="str">
            <v/>
          </cell>
          <cell r="L84" t="str">
            <v/>
          </cell>
          <cell r="M84" t="str">
            <v/>
          </cell>
          <cell r="N84" t="str">
            <v/>
          </cell>
          <cell r="O84">
            <v>1.3127</v>
          </cell>
        </row>
        <row r="85">
          <cell r="A85" t="str">
            <v>A05109</v>
          </cell>
          <cell r="B85" t="str">
            <v>125/07/19</v>
          </cell>
          <cell r="C85">
            <v>1.125</v>
          </cell>
          <cell r="D85">
            <v>11.77</v>
          </cell>
          <cell r="E85">
            <v>12.78</v>
          </cell>
          <cell r="F85" t="str">
            <v/>
          </cell>
          <cell r="G85" t="str">
            <v/>
          </cell>
          <cell r="H85" t="str">
            <v/>
          </cell>
          <cell r="I85" t="str">
            <v/>
          </cell>
          <cell r="J85" t="str">
            <v/>
          </cell>
          <cell r="K85" t="str">
            <v/>
          </cell>
          <cell r="L85" t="str">
            <v/>
          </cell>
          <cell r="M85" t="str">
            <v/>
          </cell>
          <cell r="N85" t="str">
            <v/>
          </cell>
          <cell r="O85">
            <v>1.3173999999999999</v>
          </cell>
        </row>
        <row r="86">
          <cell r="A86" t="str">
            <v>A06103</v>
          </cell>
          <cell r="B86" t="str">
            <v>126/02/20</v>
          </cell>
          <cell r="C86">
            <v>1.75</v>
          </cell>
          <cell r="D86">
            <v>11.79</v>
          </cell>
          <cell r="E86">
            <v>13.37</v>
          </cell>
          <cell r="F86" t="str">
            <v/>
          </cell>
          <cell r="G86" t="str">
            <v/>
          </cell>
          <cell r="H86" t="str">
            <v/>
          </cell>
          <cell r="I86" t="str">
            <v/>
          </cell>
          <cell r="J86" t="str">
            <v/>
          </cell>
          <cell r="K86" t="str">
            <v/>
          </cell>
          <cell r="L86" t="str">
            <v/>
          </cell>
          <cell r="M86" t="str">
            <v/>
          </cell>
          <cell r="N86" t="str">
            <v/>
          </cell>
          <cell r="O86">
            <v>1.3236000000000001</v>
          </cell>
        </row>
        <row r="87">
          <cell r="A87" t="str">
            <v>A06108</v>
          </cell>
          <cell r="B87" t="str">
            <v>126/08/18</v>
          </cell>
          <cell r="C87">
            <v>1.5</v>
          </cell>
          <cell r="D87">
            <v>12.43</v>
          </cell>
          <cell r="E87">
            <v>13.86</v>
          </cell>
          <cell r="F87" t="str">
            <v/>
          </cell>
          <cell r="G87" t="str">
            <v/>
          </cell>
          <cell r="H87" t="str">
            <v/>
          </cell>
          <cell r="I87" t="str">
            <v/>
          </cell>
          <cell r="J87" t="str">
            <v/>
          </cell>
          <cell r="K87" t="str">
            <v/>
          </cell>
          <cell r="L87" t="str">
            <v/>
          </cell>
          <cell r="M87" t="str">
            <v/>
          </cell>
          <cell r="N87" t="str">
            <v/>
          </cell>
          <cell r="O87">
            <v>1.3322000000000001</v>
          </cell>
        </row>
        <row r="88">
          <cell r="A88" t="str">
            <v>A07103</v>
          </cell>
          <cell r="B88" t="str">
            <v>127/03/13</v>
          </cell>
          <cell r="C88">
            <v>1.375</v>
          </cell>
          <cell r="D88">
            <v>12.91</v>
          </cell>
          <cell r="E88">
            <v>14.43</v>
          </cell>
          <cell r="F88" t="str">
            <v/>
          </cell>
          <cell r="G88" t="str">
            <v/>
          </cell>
          <cell r="H88" t="str">
            <v/>
          </cell>
          <cell r="I88" t="str">
            <v/>
          </cell>
          <cell r="J88" t="str">
            <v/>
          </cell>
          <cell r="K88" t="str">
            <v/>
          </cell>
          <cell r="L88" t="str">
            <v/>
          </cell>
          <cell r="M88" t="str">
            <v/>
          </cell>
          <cell r="N88" t="str">
            <v/>
          </cell>
          <cell r="O88">
            <v>1.3414999999999999</v>
          </cell>
        </row>
        <row r="89">
          <cell r="A89" t="str">
            <v>A99102</v>
          </cell>
          <cell r="B89" t="str">
            <v>129/01/28</v>
          </cell>
          <cell r="C89">
            <v>2.25</v>
          </cell>
          <cell r="D89">
            <v>13.62</v>
          </cell>
          <cell r="E89">
            <v>16.309999999999999</v>
          </cell>
          <cell r="F89" t="str">
            <v/>
          </cell>
          <cell r="G89" t="str">
            <v/>
          </cell>
          <cell r="H89" t="str">
            <v/>
          </cell>
          <cell r="I89" t="str">
            <v/>
          </cell>
          <cell r="J89" t="str">
            <v/>
          </cell>
          <cell r="K89" t="str">
            <v/>
          </cell>
          <cell r="L89" t="str">
            <v/>
          </cell>
          <cell r="M89" t="str">
            <v/>
          </cell>
          <cell r="N89" t="str">
            <v/>
          </cell>
          <cell r="O89">
            <v>1.3645</v>
          </cell>
        </row>
        <row r="90">
          <cell r="A90" t="str">
            <v>A07108</v>
          </cell>
          <cell r="B90" t="str">
            <v>127/09/21</v>
          </cell>
          <cell r="C90">
            <v>1.125</v>
          </cell>
          <cell r="D90">
            <v>13.63</v>
          </cell>
          <cell r="E90">
            <v>14.96</v>
          </cell>
          <cell r="F90" t="str">
            <v/>
          </cell>
          <cell r="G90" t="str">
            <v/>
          </cell>
          <cell r="H90" t="str">
            <v/>
          </cell>
          <cell r="I90" t="str">
            <v/>
          </cell>
          <cell r="J90" t="str">
            <v/>
          </cell>
          <cell r="K90" t="str">
            <v/>
          </cell>
          <cell r="L90" t="str">
            <v/>
          </cell>
          <cell r="M90" t="str">
            <v/>
          </cell>
          <cell r="N90" t="str">
            <v/>
          </cell>
          <cell r="O90">
            <v>1.3509</v>
          </cell>
        </row>
        <row r="91">
          <cell r="A91" t="str">
            <v>A08102</v>
          </cell>
          <cell r="B91" t="str">
            <v>128/01/28</v>
          </cell>
          <cell r="C91">
            <v>1.125</v>
          </cell>
          <cell r="D91">
            <v>13.82</v>
          </cell>
          <cell r="E91">
            <v>15.31</v>
          </cell>
          <cell r="F91" t="str">
            <v/>
          </cell>
          <cell r="G91" t="str">
            <v/>
          </cell>
          <cell r="H91" t="str">
            <v/>
          </cell>
          <cell r="I91" t="str">
            <v/>
          </cell>
          <cell r="J91" t="str">
            <v/>
          </cell>
          <cell r="K91" t="str">
            <v/>
          </cell>
          <cell r="L91" t="str">
            <v/>
          </cell>
          <cell r="M91" t="str">
            <v/>
          </cell>
          <cell r="N91" t="str">
            <v/>
          </cell>
          <cell r="O91">
            <v>1.3563000000000001</v>
          </cell>
        </row>
        <row r="92">
          <cell r="A92" t="str">
            <v>A08104</v>
          </cell>
          <cell r="B92" t="str">
            <v>128/03/04</v>
          </cell>
          <cell r="C92">
            <v>1.125</v>
          </cell>
          <cell r="D92">
            <v>13.91</v>
          </cell>
          <cell r="E92">
            <v>15.41</v>
          </cell>
          <cell r="F92" t="str">
            <v/>
          </cell>
          <cell r="G92" t="str">
            <v/>
          </cell>
          <cell r="H92" t="str">
            <v/>
          </cell>
          <cell r="I92" t="str">
            <v/>
          </cell>
          <cell r="J92" t="str">
            <v/>
          </cell>
          <cell r="K92" t="str">
            <v/>
          </cell>
          <cell r="L92" t="str">
            <v/>
          </cell>
          <cell r="M92" t="str">
            <v/>
          </cell>
          <cell r="N92" t="str">
            <v/>
          </cell>
          <cell r="O92">
            <v>1.3577999999999999</v>
          </cell>
        </row>
        <row r="93">
          <cell r="A93" t="str">
            <v>A99109</v>
          </cell>
          <cell r="B93" t="str">
            <v>129/12/28</v>
          </cell>
          <cell r="C93">
            <v>2.125</v>
          </cell>
          <cell r="D93">
            <v>14.35</v>
          </cell>
          <cell r="E93">
            <v>17.23</v>
          </cell>
          <cell r="F93" t="str">
            <v/>
          </cell>
          <cell r="G93" t="str">
            <v/>
          </cell>
          <cell r="H93" t="str">
            <v/>
          </cell>
          <cell r="I93" t="str">
            <v/>
          </cell>
          <cell r="J93" t="str">
            <v/>
          </cell>
          <cell r="K93" t="str">
            <v/>
          </cell>
          <cell r="L93" t="str">
            <v/>
          </cell>
          <cell r="M93" t="str">
            <v/>
          </cell>
          <cell r="N93" t="str">
            <v/>
          </cell>
          <cell r="O93">
            <v>1.3785000000000001</v>
          </cell>
        </row>
        <row r="94">
          <cell r="A94" t="str">
            <v>A00104</v>
          </cell>
          <cell r="B94" t="str">
            <v>130/02/22</v>
          </cell>
          <cell r="C94">
            <v>2</v>
          </cell>
          <cell r="D94">
            <v>14.61</v>
          </cell>
          <cell r="E94">
            <v>17.38</v>
          </cell>
          <cell r="F94" t="str">
            <v/>
          </cell>
          <cell r="G94" t="str">
            <v/>
          </cell>
          <cell r="H94" t="str">
            <v/>
          </cell>
          <cell r="I94" t="str">
            <v/>
          </cell>
          <cell r="J94" t="str">
            <v/>
          </cell>
          <cell r="K94" t="str">
            <v/>
          </cell>
          <cell r="L94" t="str">
            <v/>
          </cell>
          <cell r="M94" t="str">
            <v/>
          </cell>
          <cell r="N94" t="str">
            <v/>
          </cell>
          <cell r="O94">
            <v>1.3814</v>
          </cell>
        </row>
        <row r="95">
          <cell r="A95" t="str">
            <v>A08108</v>
          </cell>
          <cell r="B95" t="str">
            <v>128/09/06</v>
          </cell>
          <cell r="C95">
            <v>0.75</v>
          </cell>
          <cell r="D95">
            <v>14.79</v>
          </cell>
          <cell r="E95">
            <v>15.92</v>
          </cell>
          <cell r="F95" t="str">
            <v/>
          </cell>
          <cell r="G95" t="str">
            <v/>
          </cell>
          <cell r="H95" t="str">
            <v/>
          </cell>
          <cell r="I95" t="str">
            <v/>
          </cell>
          <cell r="J95" t="str">
            <v/>
          </cell>
          <cell r="K95" t="str">
            <v/>
          </cell>
          <cell r="L95" t="str">
            <v/>
          </cell>
          <cell r="M95" t="str">
            <v/>
          </cell>
          <cell r="N95" t="str">
            <v/>
          </cell>
          <cell r="O95">
            <v>1.3681000000000001</v>
          </cell>
        </row>
        <row r="96">
          <cell r="A96" t="str">
            <v>A09102</v>
          </cell>
          <cell r="B96" t="str">
            <v>129/01/17</v>
          </cell>
          <cell r="C96">
            <v>0.75</v>
          </cell>
          <cell r="D96">
            <v>15.02</v>
          </cell>
          <cell r="E96">
            <v>16.28</v>
          </cell>
          <cell r="F96" t="str">
            <v/>
          </cell>
          <cell r="G96" t="str">
            <v/>
          </cell>
          <cell r="H96" t="str">
            <v/>
          </cell>
          <cell r="I96" t="str">
            <v/>
          </cell>
          <cell r="J96" t="str">
            <v/>
          </cell>
          <cell r="K96" t="str">
            <v/>
          </cell>
          <cell r="L96" t="str">
            <v/>
          </cell>
          <cell r="M96" t="str">
            <v/>
          </cell>
          <cell r="N96" t="str">
            <v/>
          </cell>
          <cell r="O96">
            <v>1.3736999999999999</v>
          </cell>
        </row>
        <row r="97">
          <cell r="A97" t="str">
            <v>A00108</v>
          </cell>
          <cell r="B97" t="str">
            <v>130/08/22</v>
          </cell>
          <cell r="C97">
            <v>1.875</v>
          </cell>
          <cell r="D97">
            <v>15.21</v>
          </cell>
          <cell r="E97">
            <v>17.88</v>
          </cell>
          <cell r="F97" t="str">
            <v/>
          </cell>
          <cell r="G97" t="str">
            <v/>
          </cell>
          <cell r="H97" t="str">
            <v/>
          </cell>
          <cell r="I97" t="str">
            <v/>
          </cell>
          <cell r="J97" t="str">
            <v/>
          </cell>
          <cell r="K97" t="str">
            <v/>
          </cell>
          <cell r="L97" t="str">
            <v/>
          </cell>
          <cell r="M97" t="str">
            <v/>
          </cell>
          <cell r="N97" t="str">
            <v/>
          </cell>
          <cell r="O97">
            <v>1.3894</v>
          </cell>
        </row>
        <row r="98">
          <cell r="A98" t="str">
            <v>A09104</v>
          </cell>
          <cell r="B98" t="str">
            <v>129/03/09</v>
          </cell>
          <cell r="C98">
            <v>0.5</v>
          </cell>
          <cell r="D98">
            <v>15.47</v>
          </cell>
          <cell r="E98">
            <v>16.420000000000002</v>
          </cell>
          <cell r="F98" t="str">
            <v/>
          </cell>
          <cell r="G98" t="str">
            <v/>
          </cell>
          <cell r="H98" t="str">
            <v/>
          </cell>
          <cell r="I98" t="str">
            <v/>
          </cell>
          <cell r="J98" t="str">
            <v/>
          </cell>
          <cell r="K98" t="str">
            <v/>
          </cell>
          <cell r="L98" t="str">
            <v/>
          </cell>
          <cell r="M98" t="str">
            <v/>
          </cell>
          <cell r="N98" t="str">
            <v/>
          </cell>
          <cell r="O98">
            <v>1.3777999999999999</v>
          </cell>
        </row>
        <row r="99">
          <cell r="A99" t="str">
            <v>A01104</v>
          </cell>
          <cell r="B99" t="str">
            <v>131/02/13</v>
          </cell>
          <cell r="C99">
            <v>1.75</v>
          </cell>
          <cell r="D99">
            <v>15.54</v>
          </cell>
          <cell r="E99">
            <v>18.36</v>
          </cell>
          <cell r="F99" t="str">
            <v/>
          </cell>
          <cell r="G99" t="str">
            <v/>
          </cell>
          <cell r="H99" t="str">
            <v/>
          </cell>
          <cell r="I99" t="str">
            <v/>
          </cell>
          <cell r="J99" t="str">
            <v/>
          </cell>
          <cell r="K99" t="str">
            <v/>
          </cell>
          <cell r="L99" t="str">
            <v/>
          </cell>
          <cell r="M99" t="str">
            <v/>
          </cell>
          <cell r="N99" t="str">
            <v/>
          </cell>
          <cell r="O99">
            <v>1.397</v>
          </cell>
        </row>
        <row r="100">
          <cell r="A100" t="str">
            <v>A02109</v>
          </cell>
          <cell r="B100" t="str">
            <v>132/08/02</v>
          </cell>
          <cell r="C100">
            <v>2.5</v>
          </cell>
          <cell r="D100">
            <v>15.95</v>
          </cell>
          <cell r="E100">
            <v>19.82</v>
          </cell>
          <cell r="F100" t="str">
            <v/>
          </cell>
          <cell r="G100" t="str">
            <v/>
          </cell>
          <cell r="H100" t="str">
            <v/>
          </cell>
          <cell r="I100" t="str">
            <v/>
          </cell>
          <cell r="J100" t="str">
            <v/>
          </cell>
          <cell r="K100" t="str">
            <v/>
          </cell>
          <cell r="L100" t="str">
            <v/>
          </cell>
          <cell r="M100" t="str">
            <v/>
          </cell>
          <cell r="N100" t="str">
            <v/>
          </cell>
          <cell r="O100">
            <v>1.4112</v>
          </cell>
        </row>
        <row r="101">
          <cell r="A101" t="str">
            <v>A09108</v>
          </cell>
          <cell r="B101" t="str">
            <v>129/09/18</v>
          </cell>
          <cell r="C101">
            <v>0.5</v>
          </cell>
          <cell r="D101">
            <v>15.99</v>
          </cell>
          <cell r="E101">
            <v>16.95</v>
          </cell>
          <cell r="F101" t="str">
            <v/>
          </cell>
          <cell r="G101" t="str">
            <v/>
          </cell>
          <cell r="H101" t="str">
            <v/>
          </cell>
          <cell r="I101" t="str">
            <v/>
          </cell>
          <cell r="J101" t="str">
            <v/>
          </cell>
          <cell r="K101" t="str">
            <v/>
          </cell>
          <cell r="L101" t="str">
            <v/>
          </cell>
          <cell r="M101" t="str">
            <v/>
          </cell>
          <cell r="N101" t="str">
            <v/>
          </cell>
          <cell r="O101">
            <v>1.3859999999999999</v>
          </cell>
        </row>
        <row r="102">
          <cell r="A102" t="str">
            <v>A11109</v>
          </cell>
          <cell r="B102" t="str">
            <v>131/09/30</v>
          </cell>
          <cell r="C102">
            <v>1.875</v>
          </cell>
          <cell r="D102">
            <v>16.03</v>
          </cell>
          <cell r="E102">
            <v>18.98</v>
          </cell>
          <cell r="F102" t="str">
            <v/>
          </cell>
          <cell r="G102" t="str">
            <v/>
          </cell>
          <cell r="H102" t="str">
            <v/>
          </cell>
          <cell r="I102" t="str">
            <v/>
          </cell>
          <cell r="J102" t="str">
            <v/>
          </cell>
          <cell r="K102" t="str">
            <v/>
          </cell>
          <cell r="L102" t="str">
            <v/>
          </cell>
          <cell r="M102" t="str">
            <v/>
          </cell>
          <cell r="N102" t="str">
            <v/>
          </cell>
          <cell r="O102">
            <v>1.4048</v>
          </cell>
        </row>
        <row r="103">
          <cell r="A103" t="str">
            <v>A01108</v>
          </cell>
          <cell r="B103" t="str">
            <v>131/08/24</v>
          </cell>
          <cell r="C103">
            <v>1.625</v>
          </cell>
          <cell r="D103">
            <v>16.190000000000001</v>
          </cell>
          <cell r="E103">
            <v>18.88</v>
          </cell>
          <cell r="F103" t="str">
            <v/>
          </cell>
          <cell r="G103" t="str">
            <v/>
          </cell>
          <cell r="H103" t="str">
            <v/>
          </cell>
          <cell r="I103" t="str">
            <v/>
          </cell>
          <cell r="J103" t="str">
            <v/>
          </cell>
          <cell r="K103" t="str">
            <v/>
          </cell>
          <cell r="L103" t="str">
            <v/>
          </cell>
          <cell r="M103" t="str">
            <v/>
          </cell>
          <cell r="N103" t="str">
            <v/>
          </cell>
          <cell r="O103">
            <v>1.4054</v>
          </cell>
        </row>
        <row r="104">
          <cell r="A104" t="str">
            <v>A10102</v>
          </cell>
          <cell r="B104" t="str">
            <v>130/01/29</v>
          </cell>
          <cell r="C104">
            <v>0.5</v>
          </cell>
          <cell r="D104">
            <v>16.260000000000002</v>
          </cell>
          <cell r="E104">
            <v>17.309999999999999</v>
          </cell>
          <cell r="F104" t="str">
            <v/>
          </cell>
          <cell r="G104" t="str">
            <v/>
          </cell>
          <cell r="H104" t="str">
            <v/>
          </cell>
          <cell r="I104" t="str">
            <v/>
          </cell>
          <cell r="J104" t="str">
            <v/>
          </cell>
          <cell r="K104" t="str">
            <v/>
          </cell>
          <cell r="L104" t="str">
            <v/>
          </cell>
          <cell r="M104" t="str">
            <v/>
          </cell>
          <cell r="N104" t="str">
            <v/>
          </cell>
          <cell r="O104">
            <v>1.3916999999999999</v>
          </cell>
        </row>
        <row r="105">
          <cell r="A105" t="str">
            <v>A02105</v>
          </cell>
          <cell r="B105" t="str">
            <v>132/02/26</v>
          </cell>
          <cell r="C105">
            <v>1.75</v>
          </cell>
          <cell r="D105">
            <v>16.3</v>
          </cell>
          <cell r="E105">
            <v>19.39</v>
          </cell>
          <cell r="F105" t="str">
            <v/>
          </cell>
          <cell r="G105" t="str">
            <v/>
          </cell>
          <cell r="H105" t="str">
            <v/>
          </cell>
          <cell r="I105" t="str">
            <v/>
          </cell>
          <cell r="J105" t="str">
            <v/>
          </cell>
          <cell r="K105" t="str">
            <v/>
          </cell>
          <cell r="L105" t="str">
            <v/>
          </cell>
          <cell r="M105" t="str">
            <v/>
          </cell>
          <cell r="N105" t="str">
            <v/>
          </cell>
          <cell r="O105">
            <v>1.4113</v>
          </cell>
        </row>
        <row r="106">
          <cell r="A106" t="str">
            <v>A09113</v>
          </cell>
          <cell r="B106" t="str">
            <v>129/12/29</v>
          </cell>
          <cell r="C106">
            <v>0.375</v>
          </cell>
          <cell r="D106">
            <v>16.36</v>
          </cell>
          <cell r="E106">
            <v>17.23</v>
          </cell>
          <cell r="F106" t="str">
            <v/>
          </cell>
          <cell r="G106" t="str">
            <v/>
          </cell>
          <cell r="H106" t="str">
            <v/>
          </cell>
          <cell r="I106" t="str">
            <v/>
          </cell>
          <cell r="J106" t="str">
            <v/>
          </cell>
          <cell r="K106" t="str">
            <v/>
          </cell>
          <cell r="L106" t="str">
            <v/>
          </cell>
          <cell r="M106" t="str">
            <v/>
          </cell>
          <cell r="N106" t="str">
            <v/>
          </cell>
          <cell r="O106">
            <v>1.3914</v>
          </cell>
        </row>
        <row r="107">
          <cell r="A107" t="str">
            <v>A11101</v>
          </cell>
          <cell r="B107" t="str">
            <v>131/01/18</v>
          </cell>
          <cell r="C107">
            <v>1</v>
          </cell>
          <cell r="D107">
            <v>16.37</v>
          </cell>
          <cell r="E107">
            <v>18.28</v>
          </cell>
          <cell r="F107" t="str">
            <v/>
          </cell>
          <cell r="G107" t="str">
            <v/>
          </cell>
          <cell r="H107" t="str">
            <v/>
          </cell>
          <cell r="I107" t="str">
            <v/>
          </cell>
          <cell r="J107" t="str">
            <v/>
          </cell>
          <cell r="K107" t="str">
            <v/>
          </cell>
          <cell r="L107" t="str">
            <v/>
          </cell>
          <cell r="M107" t="str">
            <v/>
          </cell>
          <cell r="N107" t="str">
            <v/>
          </cell>
          <cell r="O107">
            <v>1.4019999999999999</v>
          </cell>
        </row>
        <row r="108">
          <cell r="A108" t="str">
            <v>A10105</v>
          </cell>
          <cell r="B108" t="str">
            <v>130/05/21</v>
          </cell>
          <cell r="C108">
            <v>0.625</v>
          </cell>
          <cell r="D108">
            <v>16.38</v>
          </cell>
          <cell r="E108">
            <v>17.62</v>
          </cell>
          <cell r="F108" t="str">
            <v/>
          </cell>
          <cell r="G108" t="str">
            <v/>
          </cell>
          <cell r="H108" t="str">
            <v/>
          </cell>
          <cell r="I108" t="str">
            <v/>
          </cell>
          <cell r="J108" t="str">
            <v/>
          </cell>
          <cell r="K108" t="str">
            <v/>
          </cell>
          <cell r="L108" t="str">
            <v/>
          </cell>
          <cell r="M108" t="str">
            <v/>
          </cell>
          <cell r="N108" t="str">
            <v/>
          </cell>
          <cell r="O108">
            <v>1.3954</v>
          </cell>
        </row>
        <row r="109">
          <cell r="A109" t="str">
            <v>A03105</v>
          </cell>
          <cell r="B109" t="str">
            <v>133/02/26</v>
          </cell>
          <cell r="C109">
            <v>2.125</v>
          </cell>
          <cell r="D109">
            <v>16.559999999999999</v>
          </cell>
          <cell r="E109">
            <v>20.39</v>
          </cell>
          <cell r="F109" t="str">
            <v/>
          </cell>
          <cell r="G109" t="str">
            <v/>
          </cell>
          <cell r="H109" t="str">
            <v/>
          </cell>
          <cell r="I109" t="str">
            <v/>
          </cell>
          <cell r="J109" t="str">
            <v/>
          </cell>
          <cell r="K109" t="str">
            <v/>
          </cell>
          <cell r="L109" t="str">
            <v/>
          </cell>
          <cell r="M109" t="str">
            <v/>
          </cell>
          <cell r="N109" t="str">
            <v/>
          </cell>
          <cell r="O109">
            <v>1.4214</v>
          </cell>
        </row>
        <row r="110">
          <cell r="A110" t="str">
            <v>A11104</v>
          </cell>
          <cell r="B110" t="str">
            <v>131/03/04</v>
          </cell>
          <cell r="C110">
            <v>0.875</v>
          </cell>
          <cell r="D110">
            <v>16.66</v>
          </cell>
          <cell r="E110">
            <v>18.41</v>
          </cell>
          <cell r="F110" t="str">
            <v/>
          </cell>
          <cell r="G110" t="str">
            <v/>
          </cell>
          <cell r="H110" t="str">
            <v/>
          </cell>
          <cell r="I110" t="str">
            <v/>
          </cell>
          <cell r="J110" t="str">
            <v/>
          </cell>
          <cell r="K110" t="str">
            <v/>
          </cell>
          <cell r="L110" t="str">
            <v/>
          </cell>
          <cell r="M110" t="str">
            <v/>
          </cell>
          <cell r="N110" t="str">
            <v/>
          </cell>
          <cell r="O110">
            <v>1.405</v>
          </cell>
        </row>
        <row r="111">
          <cell r="A111" t="str">
            <v>A10112</v>
          </cell>
          <cell r="B111" t="str">
            <v>130/11/12</v>
          </cell>
          <cell r="C111">
            <v>0.625</v>
          </cell>
          <cell r="D111">
            <v>16.73</v>
          </cell>
          <cell r="E111">
            <v>18.100000000000001</v>
          </cell>
          <cell r="F111" t="str">
            <v/>
          </cell>
          <cell r="G111" t="str">
            <v/>
          </cell>
          <cell r="H111" t="str">
            <v/>
          </cell>
          <cell r="I111" t="str">
            <v/>
          </cell>
          <cell r="J111" t="str">
            <v/>
          </cell>
          <cell r="K111" t="str">
            <v/>
          </cell>
          <cell r="L111" t="str">
            <v/>
          </cell>
          <cell r="M111" t="str">
            <v/>
          </cell>
          <cell r="N111" t="str">
            <v/>
          </cell>
          <cell r="O111">
            <v>1.4026000000000001</v>
          </cell>
        </row>
        <row r="112">
          <cell r="A112" t="str">
            <v>A12104</v>
          </cell>
          <cell r="B112" t="str">
            <v>132/03/03</v>
          </cell>
          <cell r="C112">
            <v>1.375</v>
          </cell>
          <cell r="D112">
            <v>16.77</v>
          </cell>
          <cell r="E112">
            <v>19.399999999999999</v>
          </cell>
          <cell r="F112" t="str">
            <v/>
          </cell>
          <cell r="G112" t="str">
            <v/>
          </cell>
          <cell r="H112" t="str">
            <v/>
          </cell>
          <cell r="I112" t="str">
            <v/>
          </cell>
          <cell r="J112" t="str">
            <v/>
          </cell>
          <cell r="K112" t="str">
            <v/>
          </cell>
          <cell r="L112" t="str">
            <v/>
          </cell>
          <cell r="M112" t="str">
            <v/>
          </cell>
          <cell r="N112" t="str">
            <v/>
          </cell>
          <cell r="O112">
            <v>1.4147000000000001</v>
          </cell>
        </row>
        <row r="113">
          <cell r="A113" t="str">
            <v>A03116</v>
          </cell>
          <cell r="B113" t="str">
            <v>133/11/26</v>
          </cell>
          <cell r="C113">
            <v>2.25</v>
          </cell>
          <cell r="D113">
            <v>16.84</v>
          </cell>
          <cell r="E113">
            <v>21.14</v>
          </cell>
          <cell r="F113" t="str">
            <v/>
          </cell>
          <cell r="G113" t="str">
            <v/>
          </cell>
          <cell r="H113" t="str">
            <v/>
          </cell>
          <cell r="I113" t="str">
            <v/>
          </cell>
          <cell r="J113" t="str">
            <v/>
          </cell>
          <cell r="K113" t="str">
            <v/>
          </cell>
          <cell r="L113" t="str">
            <v/>
          </cell>
          <cell r="M113" t="str">
            <v/>
          </cell>
          <cell r="N113" t="str">
            <v/>
          </cell>
          <cell r="O113">
            <v>1.4298999999999999</v>
          </cell>
        </row>
        <row r="114">
          <cell r="A114" t="str">
            <v>A03112</v>
          </cell>
          <cell r="B114" t="str">
            <v>133/08/04</v>
          </cell>
          <cell r="C114">
            <v>2.25</v>
          </cell>
          <cell r="D114">
            <v>16.86</v>
          </cell>
          <cell r="E114">
            <v>20.83</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134/02/13</v>
          </cell>
          <cell r="C115">
            <v>2.375</v>
          </cell>
          <cell r="D115">
            <v>16.91</v>
          </cell>
          <cell r="E115">
            <v>21.36</v>
          </cell>
          <cell r="F115" t="str">
            <v/>
          </cell>
          <cell r="G115" t="str">
            <v/>
          </cell>
          <cell r="H115" t="str">
            <v/>
          </cell>
          <cell r="I115" t="str">
            <v/>
          </cell>
          <cell r="J115" t="str">
            <v/>
          </cell>
          <cell r="K115" t="str">
            <v/>
          </cell>
          <cell r="L115" t="str">
            <v/>
          </cell>
          <cell r="M115" t="str">
            <v/>
          </cell>
          <cell r="N115" t="str">
            <v/>
          </cell>
          <cell r="O115">
            <v>1.4315</v>
          </cell>
        </row>
        <row r="116">
          <cell r="A116" t="str">
            <v>A10110</v>
          </cell>
          <cell r="B116" t="str">
            <v>130/09/29</v>
          </cell>
          <cell r="C116">
            <v>0.5</v>
          </cell>
          <cell r="D116">
            <v>16.91</v>
          </cell>
          <cell r="E116">
            <v>17.98</v>
          </cell>
          <cell r="F116" t="str">
            <v/>
          </cell>
          <cell r="G116" t="str">
            <v/>
          </cell>
          <cell r="H116" t="str">
            <v/>
          </cell>
          <cell r="I116" t="str">
            <v/>
          </cell>
          <cell r="J116" t="str">
            <v/>
          </cell>
          <cell r="K116" t="str">
            <v/>
          </cell>
          <cell r="L116" t="str">
            <v/>
          </cell>
          <cell r="M116" t="str">
            <v/>
          </cell>
          <cell r="N116" t="str">
            <v/>
          </cell>
          <cell r="O116">
            <v>1.4018999999999999</v>
          </cell>
        </row>
        <row r="117">
          <cell r="A117" t="str">
            <v>A03108</v>
          </cell>
          <cell r="B117" t="str">
            <v>133/05/28</v>
          </cell>
          <cell r="C117">
            <v>2</v>
          </cell>
          <cell r="D117">
            <v>16.95</v>
          </cell>
          <cell r="E117">
            <v>20.64</v>
          </cell>
          <cell r="F117" t="str">
            <v/>
          </cell>
          <cell r="G117" t="str">
            <v/>
          </cell>
          <cell r="H117" t="str">
            <v/>
          </cell>
          <cell r="I117" t="str">
            <v/>
          </cell>
          <cell r="J117" t="str">
            <v/>
          </cell>
          <cell r="K117" t="str">
            <v/>
          </cell>
          <cell r="L117" t="str">
            <v/>
          </cell>
          <cell r="M117" t="str">
            <v/>
          </cell>
          <cell r="N117" t="str">
            <v/>
          </cell>
          <cell r="O117">
            <v>1.4257</v>
          </cell>
        </row>
        <row r="118">
          <cell r="A118" t="str">
            <v>A04108</v>
          </cell>
          <cell r="B118" t="str">
            <v>134/05/15</v>
          </cell>
          <cell r="C118">
            <v>2.375</v>
          </cell>
          <cell r="D118">
            <v>17.149999999999999</v>
          </cell>
          <cell r="E118">
            <v>21.6</v>
          </cell>
          <cell r="F118" t="str">
            <v/>
          </cell>
          <cell r="G118" t="str">
            <v/>
          </cell>
          <cell r="H118" t="str">
            <v/>
          </cell>
          <cell r="I118" t="str">
            <v/>
          </cell>
          <cell r="J118" t="str">
            <v/>
          </cell>
          <cell r="K118" t="str">
            <v/>
          </cell>
          <cell r="L118" t="str">
            <v/>
          </cell>
          <cell r="M118" t="str">
            <v/>
          </cell>
          <cell r="N118" t="str">
            <v/>
          </cell>
          <cell r="O118">
            <v>1.4345000000000001</v>
          </cell>
        </row>
        <row r="119">
          <cell r="A119" t="str">
            <v>A12109</v>
          </cell>
          <cell r="B119" t="str">
            <v>132/09/22</v>
          </cell>
          <cell r="C119">
            <v>1.375</v>
          </cell>
          <cell r="D119">
            <v>17.309999999999999</v>
          </cell>
          <cell r="E119">
            <v>19.96</v>
          </cell>
          <cell r="F119" t="str">
            <v/>
          </cell>
          <cell r="G119" t="str">
            <v/>
          </cell>
          <cell r="H119" t="str">
            <v/>
          </cell>
          <cell r="I119" t="str">
            <v/>
          </cell>
          <cell r="J119" t="str">
            <v/>
          </cell>
          <cell r="K119" t="str">
            <v/>
          </cell>
          <cell r="L119" t="str">
            <v/>
          </cell>
          <cell r="M119" t="str">
            <v/>
          </cell>
          <cell r="N119" t="str">
            <v/>
          </cell>
          <cell r="O119">
            <v>1.4224000000000001</v>
          </cell>
        </row>
        <row r="120">
          <cell r="A120" t="str">
            <v>A04111</v>
          </cell>
          <cell r="B120" t="str">
            <v>134/08/10</v>
          </cell>
          <cell r="C120">
            <v>2.25</v>
          </cell>
          <cell r="D120">
            <v>17.52</v>
          </cell>
          <cell r="E120">
            <v>21.84</v>
          </cell>
          <cell r="F120" t="str">
            <v/>
          </cell>
          <cell r="G120" t="str">
            <v/>
          </cell>
          <cell r="H120" t="str">
            <v/>
          </cell>
          <cell r="I120" t="str">
            <v/>
          </cell>
          <cell r="J120" t="str">
            <v/>
          </cell>
          <cell r="K120" t="str">
            <v/>
          </cell>
          <cell r="L120" t="str">
            <v/>
          </cell>
          <cell r="M120" t="str">
            <v/>
          </cell>
          <cell r="N120" t="str">
            <v/>
          </cell>
          <cell r="O120">
            <v>1.4383999999999999</v>
          </cell>
        </row>
        <row r="121">
          <cell r="A121" t="str">
            <v>A05114</v>
          </cell>
          <cell r="B121" t="str">
            <v>135/11/25</v>
          </cell>
          <cell r="C121">
            <v>2</v>
          </cell>
          <cell r="D121">
            <v>18.43</v>
          </cell>
          <cell r="E121">
            <v>23.14</v>
          </cell>
          <cell r="F121" t="str">
            <v/>
          </cell>
          <cell r="G121" t="str">
            <v/>
          </cell>
          <cell r="H121" t="str">
            <v/>
          </cell>
          <cell r="I121" t="str">
            <v/>
          </cell>
          <cell r="J121" t="str">
            <v/>
          </cell>
          <cell r="K121" t="str">
            <v/>
          </cell>
          <cell r="L121" t="str">
            <v/>
          </cell>
          <cell r="M121" t="str">
            <v/>
          </cell>
          <cell r="N121" t="str">
            <v/>
          </cell>
          <cell r="O121">
            <v>1.4559</v>
          </cell>
        </row>
        <row r="122">
          <cell r="A122" t="str">
            <v>A05107</v>
          </cell>
          <cell r="B122" t="str">
            <v>135/05/20</v>
          </cell>
          <cell r="C122">
            <v>1.625</v>
          </cell>
          <cell r="D122">
            <v>18.78</v>
          </cell>
          <cell r="E122">
            <v>22.62</v>
          </cell>
          <cell r="F122" t="str">
            <v/>
          </cell>
          <cell r="G122" t="str">
            <v/>
          </cell>
          <cell r="H122" t="str">
            <v/>
          </cell>
          <cell r="I122" t="str">
            <v/>
          </cell>
          <cell r="J122" t="str">
            <v/>
          </cell>
          <cell r="K122" t="str">
            <v/>
          </cell>
          <cell r="L122" t="str">
            <v/>
          </cell>
          <cell r="M122" t="str">
            <v/>
          </cell>
          <cell r="N122" t="str">
            <v/>
          </cell>
          <cell r="O122">
            <v>1.4538</v>
          </cell>
        </row>
        <row r="123">
          <cell r="A123" t="str">
            <v>A06106</v>
          </cell>
          <cell r="B123" t="str">
            <v>136/05/26</v>
          </cell>
          <cell r="C123">
            <v>1.875</v>
          </cell>
          <cell r="D123">
            <v>19.100000000000001</v>
          </cell>
          <cell r="E123">
            <v>23.63</v>
          </cell>
          <cell r="F123" t="str">
            <v/>
          </cell>
          <cell r="G123" t="str">
            <v/>
          </cell>
          <cell r="H123" t="str">
            <v/>
          </cell>
          <cell r="I123" t="str">
            <v/>
          </cell>
          <cell r="J123" t="str">
            <v/>
          </cell>
          <cell r="K123" t="str">
            <v/>
          </cell>
          <cell r="L123" t="str">
            <v/>
          </cell>
          <cell r="M123" t="str">
            <v/>
          </cell>
          <cell r="N123" t="str">
            <v/>
          </cell>
          <cell r="O123">
            <v>1.4628000000000001</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1.4592000000000001</v>
          </cell>
        </row>
        <row r="125">
          <cell r="A125" t="str">
            <v>A06111</v>
          </cell>
          <cell r="B125" t="str">
            <v>136/11/24</v>
          </cell>
          <cell r="C125">
            <v>1.625</v>
          </cell>
          <cell r="D125">
            <v>19.649999999999999</v>
          </cell>
          <cell r="E125">
            <v>24.13</v>
          </cell>
          <cell r="F125" t="str">
            <v/>
          </cell>
          <cell r="G125" t="str">
            <v/>
          </cell>
          <cell r="H125" t="str">
            <v/>
          </cell>
          <cell r="I125" t="str">
            <v/>
          </cell>
          <cell r="J125" t="str">
            <v/>
          </cell>
          <cell r="K125" t="str">
            <v/>
          </cell>
          <cell r="L125" t="str">
            <v/>
          </cell>
          <cell r="M125" t="str">
            <v/>
          </cell>
          <cell r="N125" t="str">
            <v/>
          </cell>
          <cell r="O125">
            <v>1.4711000000000001</v>
          </cell>
        </row>
        <row r="126">
          <cell r="A126" t="str">
            <v>A07104</v>
          </cell>
          <cell r="B126" t="str">
            <v>137/05/18</v>
          </cell>
          <cell r="C126">
            <v>1.5</v>
          </cell>
          <cell r="D126">
            <v>20.34</v>
          </cell>
          <cell r="E126">
            <v>24.61</v>
          </cell>
          <cell r="F126" t="str">
            <v/>
          </cell>
          <cell r="G126" t="str">
            <v/>
          </cell>
          <cell r="H126" t="str">
            <v/>
          </cell>
          <cell r="I126" t="str">
            <v/>
          </cell>
          <cell r="J126" t="str">
            <v/>
          </cell>
          <cell r="K126" t="str">
            <v/>
          </cell>
          <cell r="L126" t="str">
            <v/>
          </cell>
          <cell r="M126" t="str">
            <v/>
          </cell>
          <cell r="N126" t="str">
            <v/>
          </cell>
          <cell r="O126">
            <v>1.4777</v>
          </cell>
        </row>
        <row r="127">
          <cell r="A127" t="str">
            <v>A07110</v>
          </cell>
          <cell r="B127" t="str">
            <v>137/11/09</v>
          </cell>
          <cell r="C127">
            <v>1.375</v>
          </cell>
          <cell r="D127">
            <v>20.75</v>
          </cell>
          <cell r="E127">
            <v>25.09</v>
          </cell>
          <cell r="F127" t="str">
            <v/>
          </cell>
          <cell r="G127" t="str">
            <v/>
          </cell>
          <cell r="H127" t="str">
            <v/>
          </cell>
          <cell r="I127" t="str">
            <v/>
          </cell>
          <cell r="J127" t="str">
            <v/>
          </cell>
          <cell r="K127" t="str">
            <v/>
          </cell>
          <cell r="L127" t="str">
            <v/>
          </cell>
          <cell r="M127" t="str">
            <v/>
          </cell>
          <cell r="N127" t="str">
            <v/>
          </cell>
          <cell r="O127">
            <v>1.4843999999999999</v>
          </cell>
        </row>
        <row r="128">
          <cell r="A128" t="str">
            <v>A11111</v>
          </cell>
          <cell r="B128" t="str">
            <v>141/11/11</v>
          </cell>
          <cell r="C128">
            <v>2.375</v>
          </cell>
          <cell r="D128">
            <v>21.4</v>
          </cell>
          <cell r="E128">
            <v>29.1</v>
          </cell>
          <cell r="F128" t="str">
            <v/>
          </cell>
          <cell r="G128" t="str">
            <v/>
          </cell>
          <cell r="H128" t="str">
            <v/>
          </cell>
          <cell r="I128" t="str">
            <v/>
          </cell>
          <cell r="J128" t="str">
            <v/>
          </cell>
          <cell r="K128" t="str">
            <v/>
          </cell>
          <cell r="L128" t="str">
            <v/>
          </cell>
          <cell r="M128" t="str">
            <v/>
          </cell>
          <cell r="N128" t="str">
            <v/>
          </cell>
          <cell r="O128">
            <v>1.5058</v>
          </cell>
        </row>
        <row r="129">
          <cell r="A129" t="str">
            <v>A08105</v>
          </cell>
          <cell r="B129" t="str">
            <v>138/05/17</v>
          </cell>
          <cell r="C129">
            <v>1.125</v>
          </cell>
          <cell r="D129">
            <v>21.79</v>
          </cell>
          <cell r="E129">
            <v>25.61</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A11105</v>
          </cell>
          <cell r="B130" t="str">
            <v>141/05/20</v>
          </cell>
          <cell r="C130">
            <v>2</v>
          </cell>
          <cell r="D130">
            <v>21.97</v>
          </cell>
          <cell r="E130">
            <v>28.62</v>
          </cell>
          <cell r="F130" t="str">
            <v/>
          </cell>
          <cell r="G130" t="str">
            <v/>
          </cell>
          <cell r="H130" t="str">
            <v/>
          </cell>
          <cell r="I130" t="str">
            <v/>
          </cell>
          <cell r="J130" t="str">
            <v/>
          </cell>
          <cell r="K130" t="str">
            <v/>
          </cell>
          <cell r="L130" t="str">
            <v/>
          </cell>
          <cell r="M130" t="str">
            <v/>
          </cell>
          <cell r="N130" t="str">
            <v/>
          </cell>
          <cell r="O130">
            <v>1.5069999999999999</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1.4996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1.5085999999999999</v>
          </cell>
        </row>
        <row r="133">
          <cell r="A133" t="str">
            <v>A10113</v>
          </cell>
          <cell r="B133" t="str">
            <v>140/12/23</v>
          </cell>
          <cell r="C133">
            <v>1.125</v>
          </cell>
          <cell r="D133">
            <v>23.5</v>
          </cell>
          <cell r="E133">
            <v>28.21</v>
          </cell>
          <cell r="F133" t="str">
            <v/>
          </cell>
          <cell r="G133" t="str">
            <v/>
          </cell>
          <cell r="H133" t="str">
            <v/>
          </cell>
          <cell r="I133" t="str">
            <v/>
          </cell>
          <cell r="J133" t="str">
            <v/>
          </cell>
          <cell r="K133" t="str">
            <v/>
          </cell>
          <cell r="L133" t="str">
            <v/>
          </cell>
          <cell r="M133" t="str">
            <v/>
          </cell>
          <cell r="N133" t="str">
            <v/>
          </cell>
          <cell r="O133">
            <v>1.5164</v>
          </cell>
        </row>
        <row r="134">
          <cell r="A134" t="str">
            <v>A12105</v>
          </cell>
          <cell r="B134" t="str">
            <v>142/05/12</v>
          </cell>
          <cell r="C134">
            <v>1.5</v>
          </cell>
          <cell r="D134">
            <v>23.59</v>
          </cell>
          <cell r="E134">
            <v>29.6</v>
          </cell>
          <cell r="F134" t="str">
            <v/>
          </cell>
          <cell r="G134" t="str">
            <v/>
          </cell>
          <cell r="H134" t="str">
            <v/>
          </cell>
          <cell r="I134" t="str">
            <v/>
          </cell>
          <cell r="J134" t="str">
            <v/>
          </cell>
          <cell r="K134" t="str">
            <v/>
          </cell>
          <cell r="L134" t="str">
            <v/>
          </cell>
          <cell r="M134" t="str">
            <v/>
          </cell>
          <cell r="N134" t="str">
            <v/>
          </cell>
          <cell r="O134">
            <v>1.5205</v>
          </cell>
        </row>
        <row r="135">
          <cell r="A135" t="str">
            <v>A12111</v>
          </cell>
          <cell r="B135" t="str">
            <v>142/11/22</v>
          </cell>
          <cell r="C135">
            <v>1.5</v>
          </cell>
          <cell r="D135">
            <v>23.99</v>
          </cell>
          <cell r="E135">
            <v>30</v>
          </cell>
          <cell r="F135" t="str">
            <v/>
          </cell>
          <cell r="G135" t="str">
            <v/>
          </cell>
          <cell r="H135" t="str">
            <v/>
          </cell>
          <cell r="I135" t="str">
            <v/>
          </cell>
          <cell r="J135" t="str">
            <v/>
          </cell>
          <cell r="K135" t="str">
            <v/>
          </cell>
          <cell r="L135" t="str">
            <v/>
          </cell>
          <cell r="M135" t="str">
            <v/>
          </cell>
          <cell r="N135" t="str">
            <v/>
          </cell>
          <cell r="O135">
            <v>1.5230999999999999</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1.5179</v>
          </cell>
        </row>
        <row r="137">
          <cell r="A137" t="str">
            <v>A09111</v>
          </cell>
          <cell r="B137" t="str">
            <v>139/11/27</v>
          </cell>
          <cell r="C137">
            <v>0.375</v>
          </cell>
          <cell r="D137">
            <v>25.09</v>
          </cell>
          <cell r="E137">
            <v>27.14</v>
          </cell>
          <cell r="F137" t="str">
            <v/>
          </cell>
          <cell r="G137" t="str">
            <v/>
          </cell>
          <cell r="H137" t="str">
            <v/>
          </cell>
          <cell r="I137" t="str">
            <v/>
          </cell>
          <cell r="J137" t="str">
            <v/>
          </cell>
          <cell r="K137" t="str">
            <v/>
          </cell>
          <cell r="L137" t="str">
            <v/>
          </cell>
          <cell r="M137" t="str">
            <v/>
          </cell>
          <cell r="N137" t="str">
            <v/>
          </cell>
          <cell r="O137">
            <v>1.5203</v>
          </cell>
        </row>
        <row r="138">
          <cell r="A138" t="str">
            <v>B401DS</v>
          </cell>
          <cell r="B138" t="str">
            <v>P12南亞1A</v>
          </cell>
          <cell r="C138" t="str">
            <v>TWD</v>
          </cell>
          <cell r="D138">
            <v>4.3099999999999996</v>
          </cell>
          <cell r="E138">
            <v>5</v>
          </cell>
          <cell r="F138">
            <v>1.57</v>
          </cell>
          <cell r="G138">
            <v>1.57</v>
          </cell>
          <cell r="H138">
            <v>1.57</v>
          </cell>
          <cell r="I138">
            <v>10</v>
          </cell>
          <cell r="J138">
            <v>1.57</v>
          </cell>
          <cell r="K138">
            <v>1.57</v>
          </cell>
          <cell r="L138">
            <v>1.57</v>
          </cell>
          <cell r="M138">
            <v>26</v>
          </cell>
          <cell r="N138">
            <v>37</v>
          </cell>
          <cell r="O138" t="e">
            <v>#N/A</v>
          </cell>
        </row>
        <row r="139">
          <cell r="A139" t="str">
            <v>B401DT</v>
          </cell>
          <cell r="B139" t="str">
            <v>P12南亞1B</v>
          </cell>
          <cell r="C139" t="str">
            <v>TWD</v>
          </cell>
          <cell r="D139">
            <v>8.67</v>
          </cell>
          <cell r="E139">
            <v>10</v>
          </cell>
          <cell r="F139">
            <v>1.768</v>
          </cell>
          <cell r="G139">
            <v>1.76</v>
          </cell>
          <cell r="H139">
            <v>1.7636000000000001</v>
          </cell>
          <cell r="I139">
            <v>3</v>
          </cell>
          <cell r="J139">
            <v>1.77</v>
          </cell>
          <cell r="K139">
            <v>1.7649999999999999</v>
          </cell>
          <cell r="L139">
            <v>1.7698</v>
          </cell>
          <cell r="M139">
            <v>11</v>
          </cell>
          <cell r="N139">
            <v>67</v>
          </cell>
          <cell r="O139" t="e">
            <v>#N/A</v>
          </cell>
        </row>
        <row r="140">
          <cell r="A140" t="str">
            <v>B638BH</v>
          </cell>
          <cell r="B140" t="str">
            <v>P12聯電1</v>
          </cell>
          <cell r="C140" t="str">
            <v>TWD</v>
          </cell>
          <cell r="D140">
            <v>4.71</v>
          </cell>
          <cell r="E140">
            <v>4.9400000000000004</v>
          </cell>
          <cell r="F140">
            <v>1.6359999999999999</v>
          </cell>
          <cell r="G140">
            <v>1.6359999999999999</v>
          </cell>
          <cell r="H140">
            <v>1.6359999999999999</v>
          </cell>
          <cell r="I140">
            <v>2</v>
          </cell>
          <cell r="J140">
            <v>1.635</v>
          </cell>
          <cell r="K140">
            <v>1.635</v>
          </cell>
          <cell r="L140">
            <v>1.635</v>
          </cell>
          <cell r="M140">
            <v>1</v>
          </cell>
          <cell r="N140">
            <v>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4"/>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0.99529999999999996</v>
          </cell>
        </row>
        <row r="5">
          <cell r="A5" t="str">
            <v>A08101</v>
          </cell>
          <cell r="B5" t="str">
            <v>113/01/14</v>
          </cell>
          <cell r="C5">
            <v>0.625</v>
          </cell>
          <cell r="D5">
            <v>0.27</v>
          </cell>
          <cell r="E5">
            <v>0.27</v>
          </cell>
          <cell r="F5" t="str">
            <v/>
          </cell>
          <cell r="G5" t="str">
            <v/>
          </cell>
          <cell r="H5" t="str">
            <v/>
          </cell>
          <cell r="I5" t="str">
            <v/>
          </cell>
          <cell r="J5" t="str">
            <v/>
          </cell>
          <cell r="K5" t="str">
            <v/>
          </cell>
          <cell r="L5" t="str">
            <v/>
          </cell>
          <cell r="M5" t="str">
            <v/>
          </cell>
          <cell r="N5" t="str">
            <v/>
          </cell>
          <cell r="O5">
            <v>0.99429999999999996</v>
          </cell>
        </row>
        <row r="6">
          <cell r="A6" t="str">
            <v>A93103</v>
          </cell>
          <cell r="B6" t="str">
            <v>113/02/10</v>
          </cell>
          <cell r="C6">
            <v>3</v>
          </cell>
          <cell r="D6">
            <v>0.34</v>
          </cell>
          <cell r="E6">
            <v>0.35</v>
          </cell>
          <cell r="F6" t="str">
            <v/>
          </cell>
          <cell r="G6" t="str">
            <v/>
          </cell>
          <cell r="H6" t="str">
            <v/>
          </cell>
          <cell r="I6" t="str">
            <v/>
          </cell>
          <cell r="J6" t="str">
            <v/>
          </cell>
          <cell r="K6" t="str">
            <v/>
          </cell>
          <cell r="L6" t="str">
            <v/>
          </cell>
          <cell r="M6" t="str">
            <v/>
          </cell>
          <cell r="N6" t="str">
            <v/>
          </cell>
          <cell r="O6">
            <v>0.99560000000000004</v>
          </cell>
        </row>
        <row r="7">
          <cell r="A7" t="str">
            <v>A03106</v>
          </cell>
          <cell r="B7" t="str">
            <v>113/03/03</v>
          </cell>
          <cell r="C7">
            <v>1.5</v>
          </cell>
          <cell r="D7">
            <v>0.4</v>
          </cell>
          <cell r="E7">
            <v>0.41</v>
          </cell>
          <cell r="F7" t="str">
            <v/>
          </cell>
          <cell r="G7" t="str">
            <v/>
          </cell>
          <cell r="H7" t="str">
            <v/>
          </cell>
          <cell r="I7" t="str">
            <v/>
          </cell>
          <cell r="J7">
            <v>0.87</v>
          </cell>
          <cell r="K7">
            <v>0.87</v>
          </cell>
          <cell r="L7">
            <v>0.87</v>
          </cell>
          <cell r="M7">
            <v>1</v>
          </cell>
          <cell r="N7">
            <v>6</v>
          </cell>
          <cell r="O7">
            <v>0.997</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0.999</v>
          </cell>
        </row>
        <row r="9">
          <cell r="A9" t="str">
            <v>A08107</v>
          </cell>
          <cell r="B9" t="str">
            <v>113/07/17</v>
          </cell>
          <cell r="C9">
            <v>0.5</v>
          </cell>
          <cell r="D9">
            <v>0.77</v>
          </cell>
          <cell r="E9">
            <v>0.78</v>
          </cell>
          <cell r="F9" t="str">
            <v/>
          </cell>
          <cell r="G9" t="str">
            <v/>
          </cell>
          <cell r="H9" t="str">
            <v/>
          </cell>
          <cell r="I9" t="str">
            <v/>
          </cell>
          <cell r="J9">
            <v>0.92</v>
          </cell>
          <cell r="K9">
            <v>0.92</v>
          </cell>
          <cell r="L9">
            <v>0.92</v>
          </cell>
          <cell r="M9">
            <v>1</v>
          </cell>
          <cell r="N9">
            <v>1.5</v>
          </cell>
          <cell r="O9">
            <v>1.0066999999999999</v>
          </cell>
        </row>
        <row r="10">
          <cell r="A10" t="str">
            <v>A03113</v>
          </cell>
          <cell r="B10" t="str">
            <v>113/09/26</v>
          </cell>
          <cell r="C10">
            <v>1.625</v>
          </cell>
          <cell r="D10">
            <v>0.96</v>
          </cell>
          <cell r="E10">
            <v>0.98</v>
          </cell>
          <cell r="F10" t="str">
            <v/>
          </cell>
          <cell r="G10" t="str">
            <v/>
          </cell>
          <cell r="H10" t="str">
            <v/>
          </cell>
          <cell r="I10" t="str">
            <v/>
          </cell>
          <cell r="J10" t="str">
            <v/>
          </cell>
          <cell r="K10" t="str">
            <v/>
          </cell>
          <cell r="L10" t="str">
            <v/>
          </cell>
          <cell r="M10" t="str">
            <v/>
          </cell>
          <cell r="N10" t="str">
            <v/>
          </cell>
          <cell r="O10">
            <v>1.0115000000000001</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1.0145999999999999</v>
          </cell>
        </row>
        <row r="12">
          <cell r="A12" t="str">
            <v>A09101</v>
          </cell>
          <cell r="B12" t="str">
            <v>114/01/10</v>
          </cell>
          <cell r="C12">
            <v>0.5</v>
          </cell>
          <cell r="D12">
            <v>1.25</v>
          </cell>
          <cell r="E12">
            <v>1.27</v>
          </cell>
          <cell r="F12" t="str">
            <v/>
          </cell>
          <cell r="G12" t="str">
            <v/>
          </cell>
          <cell r="H12" t="str">
            <v/>
          </cell>
          <cell r="I12" t="str">
            <v/>
          </cell>
          <cell r="J12">
            <v>0.93</v>
          </cell>
          <cell r="K12">
            <v>0.93</v>
          </cell>
          <cell r="L12">
            <v>0.93</v>
          </cell>
          <cell r="M12">
            <v>1</v>
          </cell>
          <cell r="N12">
            <v>1</v>
          </cell>
          <cell r="O12">
            <v>1.018</v>
          </cell>
        </row>
        <row r="13">
          <cell r="A13" t="str">
            <v>A94103</v>
          </cell>
          <cell r="B13" t="str">
            <v>114/02/25</v>
          </cell>
          <cell r="C13">
            <v>2.375</v>
          </cell>
          <cell r="D13">
            <v>1.35</v>
          </cell>
          <cell r="E13">
            <v>1.39</v>
          </cell>
          <cell r="F13" t="str">
            <v/>
          </cell>
          <cell r="G13" t="str">
            <v/>
          </cell>
          <cell r="H13" t="str">
            <v/>
          </cell>
          <cell r="I13" t="str">
            <v/>
          </cell>
          <cell r="J13" t="str">
            <v/>
          </cell>
          <cell r="K13" t="str">
            <v/>
          </cell>
          <cell r="L13" t="str">
            <v/>
          </cell>
          <cell r="M13" t="str">
            <v/>
          </cell>
          <cell r="N13" t="str">
            <v/>
          </cell>
          <cell r="O13">
            <v>1.0208999999999999</v>
          </cell>
        </row>
        <row r="14">
          <cell r="A14" t="str">
            <v>A12103</v>
          </cell>
          <cell r="B14" t="str">
            <v>114/02/23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1.0207999999999999</v>
          </cell>
        </row>
        <row r="15">
          <cell r="A15" t="str">
            <v>A04105</v>
          </cell>
          <cell r="B15" t="str">
            <v>114/03/13</v>
          </cell>
          <cell r="C15">
            <v>1.625</v>
          </cell>
          <cell r="D15">
            <v>1.4</v>
          </cell>
          <cell r="E15">
            <v>1.44</v>
          </cell>
          <cell r="F15" t="str">
            <v/>
          </cell>
          <cell r="G15" t="str">
            <v/>
          </cell>
          <cell r="H15" t="str">
            <v/>
          </cell>
          <cell r="I15" t="str">
            <v/>
          </cell>
          <cell r="J15" t="str">
            <v/>
          </cell>
          <cell r="K15" t="str">
            <v/>
          </cell>
          <cell r="L15" t="str">
            <v/>
          </cell>
          <cell r="M15" t="str">
            <v/>
          </cell>
          <cell r="N15" t="str">
            <v/>
          </cell>
          <cell r="O15">
            <v>1.0221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1.9</v>
          </cell>
          <cell r="E17">
            <v>1.93</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2.15</v>
          </cell>
          <cell r="E18">
            <v>2.17</v>
          </cell>
          <cell r="F18" t="str">
            <v/>
          </cell>
          <cell r="G18" t="str">
            <v/>
          </cell>
          <cell r="H18" t="str">
            <v/>
          </cell>
          <cell r="I18" t="str">
            <v/>
          </cell>
          <cell r="J18" t="str">
            <v/>
          </cell>
          <cell r="K18" t="str">
            <v/>
          </cell>
          <cell r="L18" t="str">
            <v/>
          </cell>
          <cell r="M18" t="str">
            <v/>
          </cell>
          <cell r="N18" t="str">
            <v/>
          </cell>
          <cell r="O18">
            <v>1.0497000000000001</v>
          </cell>
        </row>
        <row r="19">
          <cell r="A19" t="str">
            <v>A10101</v>
          </cell>
          <cell r="B19" t="str">
            <v>115/01/13</v>
          </cell>
          <cell r="C19">
            <v>0.25</v>
          </cell>
          <cell r="D19">
            <v>2.2400000000000002</v>
          </cell>
          <cell r="E19">
            <v>2.27</v>
          </cell>
          <cell r="F19" t="str">
            <v/>
          </cell>
          <cell r="G19" t="str">
            <v/>
          </cell>
          <cell r="H19" t="str">
            <v/>
          </cell>
          <cell r="I19" t="str">
            <v/>
          </cell>
          <cell r="J19" t="str">
            <v/>
          </cell>
          <cell r="K19" t="str">
            <v/>
          </cell>
          <cell r="L19" t="str">
            <v/>
          </cell>
          <cell r="M19" t="str">
            <v/>
          </cell>
          <cell r="N19" t="str">
            <v/>
          </cell>
          <cell r="O19">
            <v>1.0547</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2.36</v>
          </cell>
          <cell r="E21">
            <v>2.41</v>
          </cell>
          <cell r="F21" t="str">
            <v/>
          </cell>
          <cell r="G21" t="str">
            <v/>
          </cell>
          <cell r="H21" t="str">
            <v/>
          </cell>
          <cell r="I21" t="str">
            <v/>
          </cell>
          <cell r="J21" t="str">
            <v/>
          </cell>
          <cell r="K21" t="str">
            <v/>
          </cell>
          <cell r="L21" t="str">
            <v/>
          </cell>
          <cell r="M21" t="str">
            <v/>
          </cell>
          <cell r="N21" t="str">
            <v/>
          </cell>
          <cell r="O21">
            <v>1.0622</v>
          </cell>
        </row>
        <row r="22">
          <cell r="A22" t="str">
            <v>A10108</v>
          </cell>
          <cell r="B22" t="str">
            <v>115/07/29</v>
          </cell>
          <cell r="C22">
            <v>0.25</v>
          </cell>
          <cell r="D22">
            <v>2.77</v>
          </cell>
          <cell r="E22">
            <v>2.81</v>
          </cell>
          <cell r="F22" t="str">
            <v/>
          </cell>
          <cell r="G22" t="str">
            <v/>
          </cell>
          <cell r="H22" t="str">
            <v/>
          </cell>
          <cell r="I22" t="str">
            <v/>
          </cell>
          <cell r="J22" t="str">
            <v/>
          </cell>
          <cell r="K22" t="str">
            <v/>
          </cell>
          <cell r="L22" t="str">
            <v/>
          </cell>
          <cell r="M22" t="str">
            <v/>
          </cell>
          <cell r="N22" t="str">
            <v/>
          </cell>
          <cell r="O22">
            <v>1.0879000000000001</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1.0949</v>
          </cell>
        </row>
        <row r="24">
          <cell r="A24" t="str">
            <v>A95107</v>
          </cell>
          <cell r="B24" t="str">
            <v>115/11/10</v>
          </cell>
          <cell r="C24">
            <v>2.125</v>
          </cell>
          <cell r="D24">
            <v>2.94</v>
          </cell>
          <cell r="E24">
            <v>3.1</v>
          </cell>
          <cell r="F24" t="str">
            <v/>
          </cell>
          <cell r="G24" t="str">
            <v/>
          </cell>
          <cell r="H24" t="str">
            <v/>
          </cell>
          <cell r="I24" t="str">
            <v/>
          </cell>
          <cell r="J24" t="str">
            <v/>
          </cell>
          <cell r="K24" t="str">
            <v/>
          </cell>
          <cell r="L24" t="str">
            <v/>
          </cell>
          <cell r="M24" t="str">
            <v/>
          </cell>
          <cell r="N24" t="str">
            <v/>
          </cell>
          <cell r="O24">
            <v>1.1053999999999999</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1.1222000000000001</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1.1257999999999999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1.1254</v>
          </cell>
        </row>
        <row r="28">
          <cell r="A28" t="str">
            <v>A11106</v>
          </cell>
          <cell r="B28" t="str">
            <v>116/06/23</v>
          </cell>
          <cell r="C28">
            <v>1</v>
          </cell>
          <cell r="D28">
            <v>3.61</v>
          </cell>
          <cell r="E28">
            <v>3.71</v>
          </cell>
          <cell r="F28" t="str">
            <v/>
          </cell>
          <cell r="G28" t="str">
            <v/>
          </cell>
          <cell r="H28" t="str">
            <v/>
          </cell>
          <cell r="I28" t="str">
            <v/>
          </cell>
          <cell r="J28" t="str">
            <v/>
          </cell>
          <cell r="K28" t="str">
            <v/>
          </cell>
          <cell r="L28" t="str">
            <v/>
          </cell>
          <cell r="M28" t="str">
            <v/>
          </cell>
          <cell r="N28" t="str">
            <v/>
          </cell>
          <cell r="O28">
            <v>1.1445000000000001</v>
          </cell>
        </row>
        <row r="29">
          <cell r="A29" t="str">
            <v>A96107</v>
          </cell>
          <cell r="B29" t="str">
            <v>116/11/16</v>
          </cell>
          <cell r="C29">
            <v>3</v>
          </cell>
          <cell r="D29">
            <v>3.8</v>
          </cell>
          <cell r="E29">
            <v>4.1100000000000003</v>
          </cell>
          <cell r="F29" t="str">
            <v/>
          </cell>
          <cell r="G29" t="str">
            <v/>
          </cell>
          <cell r="H29" t="str">
            <v/>
          </cell>
          <cell r="I29" t="str">
            <v/>
          </cell>
          <cell r="J29" t="str">
            <v/>
          </cell>
          <cell r="K29" t="str">
            <v/>
          </cell>
          <cell r="L29" t="str">
            <v/>
          </cell>
          <cell r="M29" t="str">
            <v/>
          </cell>
          <cell r="N29" t="str">
            <v/>
          </cell>
          <cell r="O29">
            <v>1.1624000000000001</v>
          </cell>
        </row>
        <row r="30">
          <cell r="A30" t="str">
            <v>A11108</v>
          </cell>
          <cell r="B30" t="str">
            <v>116/09/23</v>
          </cell>
          <cell r="C30">
            <v>1.25</v>
          </cell>
          <cell r="D30">
            <v>3.85</v>
          </cell>
          <cell r="E30">
            <v>3.96</v>
          </cell>
          <cell r="F30" t="str">
            <v/>
          </cell>
          <cell r="G30" t="str">
            <v/>
          </cell>
          <cell r="H30" t="str">
            <v/>
          </cell>
          <cell r="I30" t="str">
            <v/>
          </cell>
          <cell r="J30" t="str">
            <v/>
          </cell>
          <cell r="K30" t="str">
            <v/>
          </cell>
          <cell r="L30" t="str">
            <v/>
          </cell>
          <cell r="M30" t="str">
            <v/>
          </cell>
          <cell r="N30" t="str">
            <v/>
          </cell>
          <cell r="O30">
            <v>1.1577</v>
          </cell>
        </row>
        <row r="31">
          <cell r="A31" t="str">
            <v>A06109</v>
          </cell>
          <cell r="B31" t="str">
            <v>116/09/20</v>
          </cell>
          <cell r="C31">
            <v>1</v>
          </cell>
          <cell r="D31">
            <v>3.85</v>
          </cell>
          <cell r="E31">
            <v>3.96</v>
          </cell>
          <cell r="F31" t="str">
            <v/>
          </cell>
          <cell r="G31" t="str">
            <v/>
          </cell>
          <cell r="H31" t="str">
            <v/>
          </cell>
          <cell r="I31" t="str">
            <v/>
          </cell>
          <cell r="J31" t="str">
            <v/>
          </cell>
          <cell r="K31" t="str">
            <v/>
          </cell>
          <cell r="L31" t="str">
            <v/>
          </cell>
          <cell r="M31" t="str">
            <v/>
          </cell>
          <cell r="N31" t="str">
            <v/>
          </cell>
          <cell r="O31">
            <v>1.1576</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1.1712</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1.1735</v>
          </cell>
        </row>
        <row r="34">
          <cell r="A34" t="str">
            <v>A12101</v>
          </cell>
          <cell r="B34" t="str">
            <v>117/01/17</v>
          </cell>
          <cell r="C34">
            <v>1</v>
          </cell>
          <cell r="D34">
            <v>4.1399999999999997</v>
          </cell>
          <cell r="E34">
            <v>4.28</v>
          </cell>
          <cell r="F34" t="str">
            <v/>
          </cell>
          <cell r="G34" t="str">
            <v/>
          </cell>
          <cell r="H34" t="str">
            <v/>
          </cell>
          <cell r="I34" t="str">
            <v/>
          </cell>
          <cell r="J34" t="str">
            <v/>
          </cell>
          <cell r="K34" t="str">
            <v/>
          </cell>
          <cell r="L34" t="str">
            <v/>
          </cell>
          <cell r="M34" t="str">
            <v/>
          </cell>
          <cell r="N34" t="str">
            <v/>
          </cell>
          <cell r="O34">
            <v>1.1728000000000001</v>
          </cell>
        </row>
        <row r="35">
          <cell r="A35" t="str">
            <v>A07102</v>
          </cell>
          <cell r="B35" t="str">
            <v>117/02/08</v>
          </cell>
          <cell r="C35">
            <v>1</v>
          </cell>
          <cell r="D35">
            <v>4.1900000000000004</v>
          </cell>
          <cell r="E35">
            <v>4.34</v>
          </cell>
          <cell r="F35" t="str">
            <v/>
          </cell>
          <cell r="G35" t="str">
            <v/>
          </cell>
          <cell r="H35" t="str">
            <v/>
          </cell>
          <cell r="I35" t="str">
            <v/>
          </cell>
          <cell r="J35" t="str">
            <v/>
          </cell>
          <cell r="K35" t="str">
            <v/>
          </cell>
          <cell r="L35" t="str">
            <v/>
          </cell>
          <cell r="M35" t="str">
            <v/>
          </cell>
          <cell r="N35" t="str">
            <v/>
          </cell>
          <cell r="O35">
            <v>1.1752</v>
          </cell>
        </row>
        <row r="36">
          <cell r="A36" t="str">
            <v>A12106</v>
          </cell>
          <cell r="B36" t="str">
            <v>117/05/26</v>
          </cell>
          <cell r="C36">
            <v>1</v>
          </cell>
          <cell r="D36">
            <v>4.4800000000000004</v>
          </cell>
          <cell r="E36">
            <v>4.6399999999999997</v>
          </cell>
          <cell r="F36">
            <v>1.2010000000000001</v>
          </cell>
          <cell r="G36">
            <v>1.19</v>
          </cell>
          <cell r="H36">
            <v>1.1968000000000001</v>
          </cell>
          <cell r="I36">
            <v>11</v>
          </cell>
          <cell r="J36" t="str">
            <v/>
          </cell>
          <cell r="K36" t="str">
            <v/>
          </cell>
          <cell r="L36" t="str">
            <v/>
          </cell>
          <cell r="M36" t="str">
            <v/>
          </cell>
          <cell r="N36" t="str">
            <v/>
          </cell>
          <cell r="O36">
            <v>1.1861999999999999</v>
          </cell>
        </row>
        <row r="37">
          <cell r="A37" t="str">
            <v>A07105</v>
          </cell>
          <cell r="B37" t="str">
            <v>117/06/08</v>
          </cell>
          <cell r="C37">
            <v>0.875</v>
          </cell>
          <cell r="D37">
            <v>4.53</v>
          </cell>
          <cell r="E37">
            <v>4.67</v>
          </cell>
          <cell r="F37" t="str">
            <v/>
          </cell>
          <cell r="G37" t="str">
            <v/>
          </cell>
          <cell r="H37" t="str">
            <v/>
          </cell>
          <cell r="I37" t="str">
            <v/>
          </cell>
          <cell r="J37" t="str">
            <v/>
          </cell>
          <cell r="K37" t="str">
            <v/>
          </cell>
          <cell r="L37" t="str">
            <v/>
          </cell>
          <cell r="M37" t="str">
            <v/>
          </cell>
          <cell r="N37" t="str">
            <v/>
          </cell>
          <cell r="O37">
            <v>1.1876</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1.1902999999999999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1.1953</v>
          </cell>
        </row>
        <row r="40">
          <cell r="A40" t="str">
            <v>A10202</v>
          </cell>
          <cell r="B40" t="str">
            <v>117/08/20</v>
          </cell>
          <cell r="C40">
            <v>0.25</v>
          </cell>
          <cell r="D40">
            <v>4.79</v>
          </cell>
          <cell r="E40">
            <v>4.87</v>
          </cell>
          <cell r="F40" t="str">
            <v/>
          </cell>
          <cell r="G40" t="str">
            <v/>
          </cell>
          <cell r="H40" t="str">
            <v/>
          </cell>
          <cell r="I40" t="str">
            <v/>
          </cell>
          <cell r="J40" t="str">
            <v/>
          </cell>
          <cell r="K40" t="str">
            <v/>
          </cell>
          <cell r="L40" t="str">
            <v/>
          </cell>
          <cell r="M40" t="str">
            <v/>
          </cell>
          <cell r="N40" t="str">
            <v/>
          </cell>
          <cell r="O40">
            <v>1.1949000000000001</v>
          </cell>
        </row>
        <row r="41">
          <cell r="A41" t="str">
            <v>A07109</v>
          </cell>
          <cell r="B41" t="str">
            <v>117/10/17</v>
          </cell>
          <cell r="C41">
            <v>0.875</v>
          </cell>
          <cell r="D41">
            <v>4.84</v>
          </cell>
          <cell r="E41">
            <v>5.03</v>
          </cell>
          <cell r="F41" t="str">
            <v/>
          </cell>
          <cell r="G41" t="str">
            <v/>
          </cell>
          <cell r="H41" t="str">
            <v/>
          </cell>
          <cell r="I41" t="str">
            <v/>
          </cell>
          <cell r="J41" t="str">
            <v/>
          </cell>
          <cell r="K41" t="str">
            <v/>
          </cell>
          <cell r="L41" t="str">
            <v/>
          </cell>
          <cell r="M41" t="str">
            <v/>
          </cell>
          <cell r="N41" t="str">
            <v/>
          </cell>
          <cell r="O41">
            <v>1.198</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1.2030000000000001</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1.2056</v>
          </cell>
        </row>
        <row r="44">
          <cell r="A44" t="str">
            <v>A98105</v>
          </cell>
          <cell r="B44" t="str">
            <v>118/08/13</v>
          </cell>
          <cell r="C44">
            <v>2.125</v>
          </cell>
          <cell r="D44">
            <v>5.49</v>
          </cell>
          <cell r="E44">
            <v>5.85</v>
          </cell>
          <cell r="F44" t="str">
            <v/>
          </cell>
          <cell r="G44" t="str">
            <v/>
          </cell>
          <cell r="H44" t="str">
            <v/>
          </cell>
          <cell r="I44" t="str">
            <v/>
          </cell>
          <cell r="J44" t="str">
            <v/>
          </cell>
          <cell r="K44" t="str">
            <v/>
          </cell>
          <cell r="L44" t="str">
            <v/>
          </cell>
          <cell r="M44" t="str">
            <v/>
          </cell>
          <cell r="N44" t="str">
            <v/>
          </cell>
          <cell r="O44">
            <v>1.2115</v>
          </cell>
        </row>
        <row r="45">
          <cell r="A45" t="str">
            <v>A08106</v>
          </cell>
          <cell r="B45" t="str">
            <v>118/06/26</v>
          </cell>
          <cell r="C45">
            <v>0.625</v>
          </cell>
          <cell r="D45">
            <v>5.56</v>
          </cell>
          <cell r="E45">
            <v>5.72</v>
          </cell>
          <cell r="F45" t="str">
            <v/>
          </cell>
          <cell r="G45" t="str">
            <v/>
          </cell>
          <cell r="H45" t="str">
            <v/>
          </cell>
          <cell r="I45" t="str">
            <v/>
          </cell>
          <cell r="J45" t="str">
            <v/>
          </cell>
          <cell r="K45" t="str">
            <v/>
          </cell>
          <cell r="L45" t="str">
            <v/>
          </cell>
          <cell r="M45" t="str">
            <v/>
          </cell>
          <cell r="N45" t="str">
            <v/>
          </cell>
          <cell r="O45">
            <v>1.2123999999999999</v>
          </cell>
        </row>
        <row r="46">
          <cell r="A46" t="str">
            <v>A08109</v>
          </cell>
          <cell r="B46" t="str">
            <v>118/10/14</v>
          </cell>
          <cell r="C46">
            <v>0.625</v>
          </cell>
          <cell r="D46">
            <v>5.82</v>
          </cell>
          <cell r="E46">
            <v>6.02</v>
          </cell>
          <cell r="F46" t="str">
            <v/>
          </cell>
          <cell r="G46" t="str">
            <v/>
          </cell>
          <cell r="H46" t="str">
            <v/>
          </cell>
          <cell r="I46" t="str">
            <v/>
          </cell>
          <cell r="J46" t="str">
            <v/>
          </cell>
          <cell r="K46" t="str">
            <v/>
          </cell>
          <cell r="L46" t="str">
            <v/>
          </cell>
          <cell r="M46" t="str">
            <v/>
          </cell>
          <cell r="N46" t="str">
            <v/>
          </cell>
          <cell r="O46">
            <v>1.2173</v>
          </cell>
        </row>
        <row r="47">
          <cell r="A47" t="str">
            <v>A99104</v>
          </cell>
          <cell r="B47" t="str">
            <v>119/02/22</v>
          </cell>
          <cell r="C47">
            <v>1.875</v>
          </cell>
          <cell r="D47">
            <v>5.94</v>
          </cell>
          <cell r="E47">
            <v>6.38</v>
          </cell>
          <cell r="F47" t="str">
            <v/>
          </cell>
          <cell r="G47" t="str">
            <v/>
          </cell>
          <cell r="H47" t="str">
            <v/>
          </cell>
          <cell r="I47" t="str">
            <v/>
          </cell>
          <cell r="J47" t="str">
            <v/>
          </cell>
          <cell r="K47" t="str">
            <v/>
          </cell>
          <cell r="L47" t="str">
            <v/>
          </cell>
          <cell r="M47" t="str">
            <v/>
          </cell>
          <cell r="N47" t="str">
            <v/>
          </cell>
          <cell r="O47">
            <v>1.2203999999999999</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1.2232000000000001</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1.2290000000000001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1.2286999999999999</v>
          </cell>
        </row>
        <row r="51">
          <cell r="A51" t="str">
            <v>A00102</v>
          </cell>
          <cell r="B51" t="str">
            <v>120/01/13</v>
          </cell>
          <cell r="C51">
            <v>2.125</v>
          </cell>
          <cell r="D51">
            <v>6.65</v>
          </cell>
          <cell r="E51">
            <v>7.27</v>
          </cell>
          <cell r="F51" t="str">
            <v/>
          </cell>
          <cell r="G51" t="str">
            <v/>
          </cell>
          <cell r="H51" t="str">
            <v/>
          </cell>
          <cell r="I51" t="str">
            <v/>
          </cell>
          <cell r="J51" t="str">
            <v/>
          </cell>
          <cell r="K51" t="str">
            <v/>
          </cell>
          <cell r="L51" t="str">
            <v/>
          </cell>
          <cell r="M51" t="str">
            <v/>
          </cell>
          <cell r="N51" t="str">
            <v/>
          </cell>
          <cell r="O51">
            <v>1.2370000000000001</v>
          </cell>
        </row>
        <row r="52">
          <cell r="A52" t="str">
            <v>A09109</v>
          </cell>
          <cell r="B52" t="str">
            <v>119/10/14</v>
          </cell>
          <cell r="C52">
            <v>0.25</v>
          </cell>
          <cell r="D52">
            <v>6.86</v>
          </cell>
          <cell r="E52">
            <v>7.02</v>
          </cell>
          <cell r="F52" t="str">
            <v/>
          </cell>
          <cell r="G52" t="str">
            <v/>
          </cell>
          <cell r="H52" t="str">
            <v/>
          </cell>
          <cell r="I52" t="str">
            <v/>
          </cell>
          <cell r="J52" t="str">
            <v/>
          </cell>
          <cell r="K52" t="str">
            <v/>
          </cell>
          <cell r="L52" t="str">
            <v/>
          </cell>
          <cell r="M52" t="str">
            <v/>
          </cell>
          <cell r="N52" t="str">
            <v/>
          </cell>
          <cell r="O52">
            <v>1.2359</v>
          </cell>
        </row>
        <row r="53">
          <cell r="A53" t="str">
            <v>A90105</v>
          </cell>
          <cell r="B53" t="str">
            <v>120/07/17</v>
          </cell>
          <cell r="C53">
            <v>3.625</v>
          </cell>
          <cell r="D53">
            <v>6.86</v>
          </cell>
          <cell r="E53">
            <v>7.78</v>
          </cell>
          <cell r="F53" t="str">
            <v/>
          </cell>
          <cell r="G53" t="str">
            <v/>
          </cell>
          <cell r="H53" t="str">
            <v/>
          </cell>
          <cell r="I53" t="str">
            <v/>
          </cell>
          <cell r="J53" t="str">
            <v/>
          </cell>
          <cell r="K53" t="str">
            <v/>
          </cell>
          <cell r="L53" t="str">
            <v/>
          </cell>
          <cell r="M53" t="str">
            <v/>
          </cell>
          <cell r="N53" t="str">
            <v/>
          </cell>
          <cell r="O53">
            <v>1.2454000000000001</v>
          </cell>
        </row>
        <row r="54">
          <cell r="A54" t="str">
            <v>A00201</v>
          </cell>
          <cell r="B54" t="str">
            <v>120/05/26</v>
          </cell>
          <cell r="C54">
            <v>1.75</v>
          </cell>
          <cell r="D54">
            <v>7.09</v>
          </cell>
          <cell r="E54">
            <v>7.64</v>
          </cell>
          <cell r="F54" t="str">
            <v/>
          </cell>
          <cell r="G54" t="str">
            <v/>
          </cell>
          <cell r="H54" t="str">
            <v/>
          </cell>
          <cell r="I54" t="str">
            <v/>
          </cell>
          <cell r="J54" t="str">
            <v/>
          </cell>
          <cell r="K54" t="str">
            <v/>
          </cell>
          <cell r="L54" t="str">
            <v/>
          </cell>
          <cell r="M54" t="str">
            <v/>
          </cell>
          <cell r="N54" t="str">
            <v/>
          </cell>
          <cell r="O54">
            <v>1.2464</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1.2441</v>
          </cell>
        </row>
        <row r="56">
          <cell r="A56" t="str">
            <v>A00107</v>
          </cell>
          <cell r="B56" t="str">
            <v>120/08/02</v>
          </cell>
          <cell r="C56">
            <v>1.875</v>
          </cell>
          <cell r="D56">
            <v>7.25</v>
          </cell>
          <cell r="E56">
            <v>7.82</v>
          </cell>
          <cell r="F56" t="str">
            <v/>
          </cell>
          <cell r="G56" t="str">
            <v/>
          </cell>
          <cell r="H56" t="str">
            <v/>
          </cell>
          <cell r="I56" t="str">
            <v/>
          </cell>
          <cell r="J56" t="str">
            <v/>
          </cell>
          <cell r="K56" t="str">
            <v/>
          </cell>
          <cell r="L56" t="str">
            <v/>
          </cell>
          <cell r="M56" t="str">
            <v/>
          </cell>
          <cell r="N56" t="str">
            <v/>
          </cell>
          <cell r="O56">
            <v>1.2504</v>
          </cell>
        </row>
        <row r="57">
          <cell r="A57" t="str">
            <v>A10201</v>
          </cell>
          <cell r="B57" t="str">
            <v>120/05/07</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1.2486999999999999</v>
          </cell>
        </row>
        <row r="58">
          <cell r="A58" t="str">
            <v>A10107</v>
          </cell>
          <cell r="B58" t="str">
            <v>120/06/23</v>
          </cell>
          <cell r="C58">
            <v>0.375</v>
          </cell>
          <cell r="D58">
            <v>7.51</v>
          </cell>
          <cell r="E58">
            <v>7.71</v>
          </cell>
          <cell r="F58">
            <v>1.256</v>
          </cell>
          <cell r="G58">
            <v>1.2549999999999999</v>
          </cell>
          <cell r="H58">
            <v>1.2555000000000001</v>
          </cell>
          <cell r="I58">
            <v>3</v>
          </cell>
          <cell r="J58" t="str">
            <v/>
          </cell>
          <cell r="K58" t="str">
            <v/>
          </cell>
          <cell r="L58" t="str">
            <v/>
          </cell>
          <cell r="M58" t="str">
            <v/>
          </cell>
          <cell r="N58" t="str">
            <v/>
          </cell>
          <cell r="O58">
            <v>1.2517</v>
          </cell>
        </row>
        <row r="59">
          <cell r="A59" t="str">
            <v>A01102</v>
          </cell>
          <cell r="B59" t="str">
            <v>121/01/20</v>
          </cell>
          <cell r="C59">
            <v>1.625</v>
          </cell>
          <cell r="D59">
            <v>7.65</v>
          </cell>
          <cell r="E59">
            <v>8.2899999999999991</v>
          </cell>
          <cell r="F59" t="str">
            <v/>
          </cell>
          <cell r="G59" t="str">
            <v/>
          </cell>
          <cell r="H59" t="str">
            <v/>
          </cell>
          <cell r="I59" t="str">
            <v/>
          </cell>
          <cell r="J59" t="str">
            <v/>
          </cell>
          <cell r="K59" t="str">
            <v/>
          </cell>
          <cell r="L59" t="str">
            <v/>
          </cell>
          <cell r="M59" t="str">
            <v/>
          </cell>
          <cell r="N59" t="str">
            <v/>
          </cell>
          <cell r="O59">
            <v>1.2612000000000001</v>
          </cell>
        </row>
        <row r="60">
          <cell r="A60" t="str">
            <v>A10111</v>
          </cell>
          <cell r="B60" t="str">
            <v>120/10/22</v>
          </cell>
          <cell r="C60">
            <v>0.5</v>
          </cell>
          <cell r="D60">
            <v>7.76</v>
          </cell>
          <cell r="E60">
            <v>8.0399999999999991</v>
          </cell>
          <cell r="F60" t="str">
            <v/>
          </cell>
          <cell r="G60" t="str">
            <v/>
          </cell>
          <cell r="H60" t="str">
            <v/>
          </cell>
          <cell r="I60" t="str">
            <v/>
          </cell>
          <cell r="J60" t="str">
            <v/>
          </cell>
          <cell r="K60" t="str">
            <v/>
          </cell>
          <cell r="L60" t="str">
            <v/>
          </cell>
          <cell r="M60" t="str">
            <v/>
          </cell>
          <cell r="N60" t="str">
            <v/>
          </cell>
          <cell r="O60">
            <v>1.2592000000000001</v>
          </cell>
        </row>
        <row r="61">
          <cell r="A61" t="str">
            <v>A01201</v>
          </cell>
          <cell r="B61" t="str">
            <v>121/03/16</v>
          </cell>
          <cell r="C61">
            <v>1.625</v>
          </cell>
          <cell r="D61">
            <v>7.8</v>
          </cell>
          <cell r="E61">
            <v>8.44</v>
          </cell>
          <cell r="F61" t="str">
            <v/>
          </cell>
          <cell r="G61" t="str">
            <v/>
          </cell>
          <cell r="H61" t="str">
            <v/>
          </cell>
          <cell r="I61" t="str">
            <v/>
          </cell>
          <cell r="J61" t="str">
            <v/>
          </cell>
          <cell r="K61" t="str">
            <v/>
          </cell>
          <cell r="L61" t="str">
            <v/>
          </cell>
          <cell r="M61" t="str">
            <v/>
          </cell>
          <cell r="N61" t="str">
            <v/>
          </cell>
          <cell r="O61">
            <v>1.2642</v>
          </cell>
        </row>
        <row r="62">
          <cell r="A62" t="str">
            <v>A11201</v>
          </cell>
          <cell r="B62" t="str">
            <v>121/01/10</v>
          </cell>
          <cell r="C62">
            <v>0.75</v>
          </cell>
          <cell r="D62">
            <v>7.89</v>
          </cell>
          <cell r="E62">
            <v>8.26</v>
          </cell>
          <cell r="F62" t="str">
            <v/>
          </cell>
          <cell r="G62" t="str">
            <v/>
          </cell>
          <cell r="H62" t="str">
            <v/>
          </cell>
          <cell r="I62" t="str">
            <v/>
          </cell>
          <cell r="J62" t="str">
            <v/>
          </cell>
          <cell r="K62" t="str">
            <v/>
          </cell>
          <cell r="L62" t="str">
            <v/>
          </cell>
          <cell r="M62" t="str">
            <v/>
          </cell>
          <cell r="N62" t="str">
            <v/>
          </cell>
          <cell r="O62">
            <v>1.2632000000000001</v>
          </cell>
        </row>
        <row r="63">
          <cell r="A63" t="str">
            <v>A11102</v>
          </cell>
          <cell r="B63" t="str">
            <v>121/02/18</v>
          </cell>
          <cell r="C63">
            <v>0.625</v>
          </cell>
          <cell r="D63">
            <v>8.0399999999999991</v>
          </cell>
          <cell r="E63">
            <v>8.3699999999999992</v>
          </cell>
          <cell r="F63" t="str">
            <v/>
          </cell>
          <cell r="G63" t="str">
            <v/>
          </cell>
          <cell r="H63" t="str">
            <v/>
          </cell>
          <cell r="I63" t="str">
            <v/>
          </cell>
          <cell r="J63" t="str">
            <v/>
          </cell>
          <cell r="K63" t="str">
            <v/>
          </cell>
          <cell r="L63" t="str">
            <v/>
          </cell>
          <cell r="M63" t="str">
            <v/>
          </cell>
          <cell r="N63" t="str">
            <v/>
          </cell>
          <cell r="O63">
            <v>1.2657</v>
          </cell>
        </row>
        <row r="64">
          <cell r="A64" t="str">
            <v>A11107</v>
          </cell>
          <cell r="B64" t="str">
            <v>121/06/30</v>
          </cell>
          <cell r="C64">
            <v>1.25</v>
          </cell>
          <cell r="D64">
            <v>8.1999999999999993</v>
          </cell>
          <cell r="E64">
            <v>8.73</v>
          </cell>
          <cell r="F64">
            <v>1.268</v>
          </cell>
          <cell r="G64">
            <v>1.2669999999999999</v>
          </cell>
          <cell r="H64">
            <v>1.2675000000000001</v>
          </cell>
          <cell r="I64">
            <v>8</v>
          </cell>
          <cell r="J64" t="str">
            <v/>
          </cell>
          <cell r="K64" t="str">
            <v/>
          </cell>
          <cell r="L64" t="str">
            <v/>
          </cell>
          <cell r="M64" t="str">
            <v/>
          </cell>
          <cell r="N64" t="str">
            <v/>
          </cell>
          <cell r="O64">
            <v>1.2705</v>
          </cell>
        </row>
        <row r="65">
          <cell r="A65" t="str">
            <v>A11110</v>
          </cell>
          <cell r="B65" t="str">
            <v>121/10/17</v>
          </cell>
          <cell r="C65">
            <v>1.75</v>
          </cell>
          <cell r="D65">
            <v>8.2100000000000009</v>
          </cell>
          <cell r="E65">
            <v>9.0299999999999994</v>
          </cell>
          <cell r="F65" t="str">
            <v/>
          </cell>
          <cell r="G65" t="str">
            <v/>
          </cell>
          <cell r="H65" t="str">
            <v/>
          </cell>
          <cell r="I65" t="str">
            <v/>
          </cell>
          <cell r="J65" t="str">
            <v/>
          </cell>
          <cell r="K65" t="str">
            <v/>
          </cell>
          <cell r="L65" t="str">
            <v/>
          </cell>
          <cell r="M65" t="str">
            <v/>
          </cell>
          <cell r="N65" t="str">
            <v/>
          </cell>
          <cell r="O65">
            <v>1.2739</v>
          </cell>
        </row>
        <row r="66">
          <cell r="A66" t="str">
            <v>A01107</v>
          </cell>
          <cell r="B66" t="str">
            <v>121/08/10</v>
          </cell>
          <cell r="C66">
            <v>1.5</v>
          </cell>
          <cell r="D66">
            <v>8.23</v>
          </cell>
          <cell r="E66">
            <v>8.85</v>
          </cell>
          <cell r="F66" t="str">
            <v/>
          </cell>
          <cell r="G66" t="str">
            <v/>
          </cell>
          <cell r="H66" t="str">
            <v/>
          </cell>
          <cell r="I66" t="str">
            <v/>
          </cell>
          <cell r="J66" t="str">
            <v/>
          </cell>
          <cell r="K66" t="str">
            <v/>
          </cell>
          <cell r="L66" t="str">
            <v/>
          </cell>
          <cell r="M66" t="str">
            <v/>
          </cell>
          <cell r="N66" t="str">
            <v/>
          </cell>
          <cell r="O66">
            <v>1.2717000000000001</v>
          </cell>
        </row>
        <row r="67">
          <cell r="A67" t="str">
            <v>A02103</v>
          </cell>
          <cell r="B67" t="str">
            <v>122/01/28</v>
          </cell>
          <cell r="C67">
            <v>1.5</v>
          </cell>
          <cell r="D67">
            <v>8.57</v>
          </cell>
          <cell r="E67">
            <v>9.31</v>
          </cell>
          <cell r="F67" t="str">
            <v/>
          </cell>
          <cell r="G67" t="str">
            <v/>
          </cell>
          <cell r="H67" t="str">
            <v/>
          </cell>
          <cell r="I67" t="str">
            <v/>
          </cell>
          <cell r="J67" t="str">
            <v/>
          </cell>
          <cell r="K67" t="str">
            <v/>
          </cell>
          <cell r="L67" t="str">
            <v/>
          </cell>
          <cell r="M67" t="str">
            <v/>
          </cell>
          <cell r="N67" t="str">
            <v/>
          </cell>
          <cell r="O67">
            <v>1.2788999999999999</v>
          </cell>
        </row>
        <row r="68">
          <cell r="A68" t="str">
            <v>A12201</v>
          </cell>
          <cell r="B68" t="str">
            <v>122/01/10</v>
          </cell>
          <cell r="C68">
            <v>1.25</v>
          </cell>
          <cell r="D68">
            <v>8.61</v>
          </cell>
          <cell r="E68">
            <v>9.27</v>
          </cell>
          <cell r="F68" t="str">
            <v/>
          </cell>
          <cell r="G68" t="str">
            <v/>
          </cell>
          <cell r="H68" t="str">
            <v/>
          </cell>
          <cell r="I68" t="str">
            <v/>
          </cell>
          <cell r="J68" t="str">
            <v/>
          </cell>
          <cell r="K68" t="str">
            <v/>
          </cell>
          <cell r="L68" t="str">
            <v/>
          </cell>
          <cell r="M68" t="str">
            <v/>
          </cell>
          <cell r="N68" t="str">
            <v/>
          </cell>
          <cell r="O68">
            <v>1.2788999999999999</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1.2801</v>
          </cell>
        </row>
        <row r="70">
          <cell r="A70" t="str">
            <v>A12102</v>
          </cell>
          <cell r="B70" t="str">
            <v>122/02/17</v>
          </cell>
          <cell r="C70">
            <v>1.125</v>
          </cell>
          <cell r="D70">
            <v>8.76</v>
          </cell>
          <cell r="E70">
            <v>9.3699999999999992</v>
          </cell>
          <cell r="F70" t="str">
            <v/>
          </cell>
          <cell r="G70" t="str">
            <v/>
          </cell>
          <cell r="H70" t="str">
            <v/>
          </cell>
          <cell r="I70" t="str">
            <v/>
          </cell>
          <cell r="J70" t="str">
            <v/>
          </cell>
          <cell r="K70" t="str">
            <v/>
          </cell>
          <cell r="L70" t="str">
            <v/>
          </cell>
          <cell r="M70" t="str">
            <v/>
          </cell>
          <cell r="N70" t="str">
            <v/>
          </cell>
          <cell r="O70">
            <v>1.2808999999999999</v>
          </cell>
        </row>
        <row r="71">
          <cell r="A71" t="str">
            <v>A02108</v>
          </cell>
          <cell r="B71" t="str">
            <v>122/07/26</v>
          </cell>
          <cell r="C71">
            <v>2</v>
          </cell>
          <cell r="D71">
            <v>8.8800000000000008</v>
          </cell>
          <cell r="E71">
            <v>9.8000000000000007</v>
          </cell>
          <cell r="F71" t="str">
            <v/>
          </cell>
          <cell r="G71" t="str">
            <v/>
          </cell>
          <cell r="H71" t="str">
            <v/>
          </cell>
          <cell r="I71" t="str">
            <v/>
          </cell>
          <cell r="J71" t="str">
            <v/>
          </cell>
          <cell r="K71" t="str">
            <v/>
          </cell>
          <cell r="L71" t="str">
            <v/>
          </cell>
          <cell r="M71" t="str">
            <v/>
          </cell>
          <cell r="N71" t="str">
            <v/>
          </cell>
          <cell r="O71">
            <v>1.2843</v>
          </cell>
        </row>
        <row r="72">
          <cell r="A72" t="str">
            <v>A93106</v>
          </cell>
          <cell r="B72" t="str">
            <v>123/05/27</v>
          </cell>
          <cell r="C72">
            <v>3.875</v>
          </cell>
          <cell r="D72">
            <v>8.92</v>
          </cell>
          <cell r="E72">
            <v>10.64</v>
          </cell>
          <cell r="F72" t="str">
            <v/>
          </cell>
          <cell r="G72" t="str">
            <v/>
          </cell>
          <cell r="H72" t="str">
            <v/>
          </cell>
          <cell r="I72" t="str">
            <v/>
          </cell>
          <cell r="J72" t="str">
            <v/>
          </cell>
          <cell r="K72" t="str">
            <v/>
          </cell>
          <cell r="L72" t="str">
            <v/>
          </cell>
          <cell r="M72" t="str">
            <v/>
          </cell>
          <cell r="N72" t="str">
            <v/>
          </cell>
          <cell r="O72">
            <v>1.2902</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1.2853000000000001</v>
          </cell>
        </row>
        <row r="74">
          <cell r="A74" t="str">
            <v>A12110R</v>
          </cell>
          <cell r="B74" t="str">
            <v>122/10/05</v>
          </cell>
          <cell r="C74">
            <v>1.25</v>
          </cell>
          <cell r="D74">
            <v>9.16</v>
          </cell>
          <cell r="E74">
            <v>10</v>
          </cell>
          <cell r="F74">
            <v>1.3</v>
          </cell>
          <cell r="G74">
            <v>1.288</v>
          </cell>
          <cell r="H74">
            <v>1.2928999999999999</v>
          </cell>
          <cell r="I74">
            <v>11</v>
          </cell>
          <cell r="J74" t="str">
            <v/>
          </cell>
          <cell r="K74" t="str">
            <v/>
          </cell>
          <cell r="L74" t="str">
            <v/>
          </cell>
          <cell r="M74" t="str">
            <v/>
          </cell>
          <cell r="N74" t="str">
            <v/>
          </cell>
          <cell r="O74">
            <v>1.2868999999999999</v>
          </cell>
        </row>
        <row r="75">
          <cell r="A75" t="str">
            <v>A03103</v>
          </cell>
          <cell r="B75" t="str">
            <v>123/01/29</v>
          </cell>
          <cell r="C75">
            <v>2</v>
          </cell>
          <cell r="D75">
            <v>9.2200000000000006</v>
          </cell>
          <cell r="E75">
            <v>10.32</v>
          </cell>
          <cell r="F75" t="str">
            <v/>
          </cell>
          <cell r="G75" t="str">
            <v/>
          </cell>
          <cell r="H75" t="str">
            <v/>
          </cell>
          <cell r="I75" t="str">
            <v/>
          </cell>
          <cell r="J75" t="str">
            <v/>
          </cell>
          <cell r="K75" t="str">
            <v/>
          </cell>
          <cell r="L75" t="str">
            <v/>
          </cell>
          <cell r="M75" t="str">
            <v/>
          </cell>
          <cell r="N75" t="str">
            <v/>
          </cell>
          <cell r="O75">
            <v>1.2915000000000001</v>
          </cell>
        </row>
        <row r="76">
          <cell r="A76" t="str">
            <v>A12110</v>
          </cell>
          <cell r="B76" t="str">
            <v>122/10/05</v>
          </cell>
          <cell r="C76">
            <v>1.25</v>
          </cell>
          <cell r="D76">
            <v>9.34</v>
          </cell>
          <cell r="E76">
            <v>10</v>
          </cell>
          <cell r="F76">
            <v>1.29</v>
          </cell>
          <cell r="G76">
            <v>1.29</v>
          </cell>
          <cell r="H76">
            <v>1.29</v>
          </cell>
          <cell r="I76">
            <v>1</v>
          </cell>
          <cell r="J76" t="str">
            <v/>
          </cell>
          <cell r="K76" t="str">
            <v/>
          </cell>
          <cell r="L76" t="str">
            <v/>
          </cell>
          <cell r="M76" t="str">
            <v/>
          </cell>
          <cell r="N76" t="str">
            <v/>
          </cell>
          <cell r="O76">
            <v>1.2896000000000001</v>
          </cell>
        </row>
        <row r="77">
          <cell r="A77" t="str">
            <v>A03107</v>
          </cell>
          <cell r="B77" t="str">
            <v>123/04/25</v>
          </cell>
          <cell r="C77">
            <v>1.875</v>
          </cell>
          <cell r="D77">
            <v>9.5</v>
          </cell>
          <cell r="E77">
            <v>10.55</v>
          </cell>
          <cell r="F77" t="str">
            <v/>
          </cell>
          <cell r="G77" t="str">
            <v/>
          </cell>
          <cell r="H77" t="str">
            <v/>
          </cell>
          <cell r="I77" t="str">
            <v/>
          </cell>
          <cell r="J77" t="str">
            <v/>
          </cell>
          <cell r="K77" t="str">
            <v/>
          </cell>
          <cell r="L77" t="str">
            <v/>
          </cell>
          <cell r="M77" t="str">
            <v/>
          </cell>
          <cell r="N77" t="str">
            <v/>
          </cell>
          <cell r="O77">
            <v>1.2951999999999999</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1.2982</v>
          </cell>
        </row>
        <row r="79">
          <cell r="A79" t="str">
            <v>A03114</v>
          </cell>
          <cell r="B79" t="str">
            <v>123/10/02</v>
          </cell>
          <cell r="C79">
            <v>2.25</v>
          </cell>
          <cell r="D79">
            <v>9.7899999999999991</v>
          </cell>
          <cell r="E79">
            <v>10.99</v>
          </cell>
          <cell r="F79" t="str">
            <v/>
          </cell>
          <cell r="G79" t="str">
            <v/>
          </cell>
          <cell r="H79" t="str">
            <v/>
          </cell>
          <cell r="I79" t="str">
            <v/>
          </cell>
          <cell r="J79" t="str">
            <v/>
          </cell>
          <cell r="K79" t="str">
            <v/>
          </cell>
          <cell r="L79" t="str">
            <v/>
          </cell>
          <cell r="M79" t="str">
            <v/>
          </cell>
          <cell r="N79" t="str">
            <v/>
          </cell>
          <cell r="O79">
            <v>1.3001</v>
          </cell>
        </row>
        <row r="80">
          <cell r="A80" t="str">
            <v>A04102</v>
          </cell>
          <cell r="B80" t="str">
            <v>124/01/23</v>
          </cell>
          <cell r="C80">
            <v>2</v>
          </cell>
          <cell r="D80">
            <v>10.01</v>
          </cell>
          <cell r="E80">
            <v>11.3</v>
          </cell>
          <cell r="F80" t="str">
            <v/>
          </cell>
          <cell r="G80" t="str">
            <v/>
          </cell>
          <cell r="H80" t="str">
            <v/>
          </cell>
          <cell r="I80" t="str">
            <v/>
          </cell>
          <cell r="J80" t="str">
            <v/>
          </cell>
          <cell r="K80" t="str">
            <v/>
          </cell>
          <cell r="L80" t="str">
            <v/>
          </cell>
          <cell r="M80" t="str">
            <v/>
          </cell>
          <cell r="N80" t="str">
            <v/>
          </cell>
          <cell r="O80">
            <v>1.3052999999999999</v>
          </cell>
        </row>
        <row r="81">
          <cell r="A81" t="str">
            <v>A04107</v>
          </cell>
          <cell r="B81" t="str">
            <v>124/04/15</v>
          </cell>
          <cell r="C81">
            <v>2.125</v>
          </cell>
          <cell r="D81">
            <v>10.17</v>
          </cell>
          <cell r="E81">
            <v>11.52</v>
          </cell>
          <cell r="F81" t="str">
            <v/>
          </cell>
          <cell r="G81" t="str">
            <v/>
          </cell>
          <cell r="H81" t="str">
            <v/>
          </cell>
          <cell r="I81" t="str">
            <v/>
          </cell>
          <cell r="J81" t="str">
            <v/>
          </cell>
          <cell r="K81" t="str">
            <v/>
          </cell>
          <cell r="L81" t="str">
            <v/>
          </cell>
          <cell r="M81" t="str">
            <v/>
          </cell>
          <cell r="N81" t="str">
            <v/>
          </cell>
          <cell r="O81">
            <v>1.3080000000000001</v>
          </cell>
        </row>
        <row r="82">
          <cell r="A82" t="str">
            <v>A04114</v>
          </cell>
          <cell r="B82" t="str">
            <v>124/10/26</v>
          </cell>
          <cell r="C82">
            <v>1.75</v>
          </cell>
          <cell r="D82">
            <v>10.69</v>
          </cell>
          <cell r="E82">
            <v>12.06</v>
          </cell>
          <cell r="F82" t="str">
            <v/>
          </cell>
          <cell r="G82" t="str">
            <v/>
          </cell>
          <cell r="H82" t="str">
            <v/>
          </cell>
          <cell r="I82" t="str">
            <v/>
          </cell>
          <cell r="J82" t="str">
            <v/>
          </cell>
          <cell r="K82" t="str">
            <v/>
          </cell>
          <cell r="L82" t="str">
            <v/>
          </cell>
          <cell r="M82" t="str">
            <v/>
          </cell>
          <cell r="N82" t="str">
            <v/>
          </cell>
          <cell r="O82">
            <v>1.3169</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1.3218000000000001</v>
          </cell>
        </row>
        <row r="84">
          <cell r="A84" t="str">
            <v>A05106</v>
          </cell>
          <cell r="B84" t="str">
            <v>125/04/08</v>
          </cell>
          <cell r="C84">
            <v>1.25</v>
          </cell>
          <cell r="D84">
            <v>11.43</v>
          </cell>
          <cell r="E84">
            <v>12.51</v>
          </cell>
          <cell r="F84" t="str">
            <v/>
          </cell>
          <cell r="G84" t="str">
            <v/>
          </cell>
          <cell r="H84" t="str">
            <v/>
          </cell>
          <cell r="I84" t="str">
            <v/>
          </cell>
          <cell r="J84" t="str">
            <v/>
          </cell>
          <cell r="K84" t="str">
            <v/>
          </cell>
          <cell r="L84" t="str">
            <v/>
          </cell>
          <cell r="M84" t="str">
            <v/>
          </cell>
          <cell r="N84" t="str">
            <v/>
          </cell>
          <cell r="O84">
            <v>1.3252999999999999</v>
          </cell>
        </row>
        <row r="85">
          <cell r="A85" t="str">
            <v>A05109</v>
          </cell>
          <cell r="B85" t="str">
            <v>125/07/19</v>
          </cell>
          <cell r="C85">
            <v>1.125</v>
          </cell>
          <cell r="D85">
            <v>11.78</v>
          </cell>
          <cell r="E85">
            <v>12.79</v>
          </cell>
          <cell r="F85" t="str">
            <v/>
          </cell>
          <cell r="G85" t="str">
            <v/>
          </cell>
          <cell r="H85" t="str">
            <v/>
          </cell>
          <cell r="I85" t="str">
            <v/>
          </cell>
          <cell r="J85" t="str">
            <v/>
          </cell>
          <cell r="K85" t="str">
            <v/>
          </cell>
          <cell r="L85" t="str">
            <v/>
          </cell>
          <cell r="M85" t="str">
            <v/>
          </cell>
          <cell r="N85" t="str">
            <v/>
          </cell>
          <cell r="O85">
            <v>1.3299000000000001</v>
          </cell>
        </row>
        <row r="86">
          <cell r="A86" t="str">
            <v>A06103</v>
          </cell>
          <cell r="B86" t="str">
            <v>126/02/20</v>
          </cell>
          <cell r="C86">
            <v>1.75</v>
          </cell>
          <cell r="D86">
            <v>11.8</v>
          </cell>
          <cell r="E86">
            <v>13.38</v>
          </cell>
          <cell r="F86" t="str">
            <v/>
          </cell>
          <cell r="G86" t="str">
            <v/>
          </cell>
          <cell r="H86" t="str">
            <v/>
          </cell>
          <cell r="I86" t="str">
            <v/>
          </cell>
          <cell r="J86" t="str">
            <v/>
          </cell>
          <cell r="K86" t="str">
            <v/>
          </cell>
          <cell r="L86" t="str">
            <v/>
          </cell>
          <cell r="M86" t="str">
            <v/>
          </cell>
          <cell r="N86" t="str">
            <v/>
          </cell>
          <cell r="O86">
            <v>1.3351999999999999</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1.3431</v>
          </cell>
        </row>
        <row r="88">
          <cell r="A88" t="str">
            <v>A07103</v>
          </cell>
          <cell r="B88" t="str">
            <v>127/03/13</v>
          </cell>
          <cell r="C88">
            <v>1.375</v>
          </cell>
          <cell r="D88">
            <v>12.92</v>
          </cell>
          <cell r="E88">
            <v>14.43</v>
          </cell>
          <cell r="F88" t="str">
            <v/>
          </cell>
          <cell r="G88" t="str">
            <v/>
          </cell>
          <cell r="H88" t="str">
            <v/>
          </cell>
          <cell r="I88" t="str">
            <v/>
          </cell>
          <cell r="J88" t="str">
            <v/>
          </cell>
          <cell r="K88" t="str">
            <v/>
          </cell>
          <cell r="L88" t="str">
            <v/>
          </cell>
          <cell r="M88" t="str">
            <v/>
          </cell>
          <cell r="N88" t="str">
            <v/>
          </cell>
          <cell r="O88">
            <v>1.3515999999999999</v>
          </cell>
        </row>
        <row r="89">
          <cell r="A89" t="str">
            <v>A99102</v>
          </cell>
          <cell r="B89" t="str">
            <v>129/01/28</v>
          </cell>
          <cell r="C89">
            <v>2.25</v>
          </cell>
          <cell r="D89">
            <v>13.63</v>
          </cell>
          <cell r="E89">
            <v>16.309999999999999</v>
          </cell>
          <cell r="F89" t="str">
            <v/>
          </cell>
          <cell r="G89" t="str">
            <v/>
          </cell>
          <cell r="H89" t="str">
            <v/>
          </cell>
          <cell r="I89" t="str">
            <v/>
          </cell>
          <cell r="J89" t="str">
            <v/>
          </cell>
          <cell r="K89" t="str">
            <v/>
          </cell>
          <cell r="L89" t="str">
            <v/>
          </cell>
          <cell r="M89" t="str">
            <v/>
          </cell>
          <cell r="N89" t="str">
            <v/>
          </cell>
          <cell r="O89">
            <v>1.3714</v>
          </cell>
        </row>
        <row r="90">
          <cell r="A90" t="str">
            <v>A07108</v>
          </cell>
          <cell r="B90" t="str">
            <v>127/09/21</v>
          </cell>
          <cell r="C90">
            <v>1.125</v>
          </cell>
          <cell r="D90">
            <v>13.64</v>
          </cell>
          <cell r="E90">
            <v>14.96</v>
          </cell>
          <cell r="F90" t="str">
            <v/>
          </cell>
          <cell r="G90" t="str">
            <v/>
          </cell>
          <cell r="H90" t="str">
            <v/>
          </cell>
          <cell r="I90" t="str">
            <v/>
          </cell>
          <cell r="J90" t="str">
            <v/>
          </cell>
          <cell r="K90" t="str">
            <v/>
          </cell>
          <cell r="L90" t="str">
            <v/>
          </cell>
          <cell r="M90" t="str">
            <v/>
          </cell>
          <cell r="N90" t="str">
            <v/>
          </cell>
          <cell r="O90">
            <v>1.3602000000000001</v>
          </cell>
        </row>
        <row r="91">
          <cell r="A91" t="str">
            <v>A08102</v>
          </cell>
          <cell r="B91" t="str">
            <v>128/01/28</v>
          </cell>
          <cell r="C91">
            <v>1.125</v>
          </cell>
          <cell r="D91">
            <v>13.83</v>
          </cell>
          <cell r="E91">
            <v>15.31</v>
          </cell>
          <cell r="F91" t="str">
            <v/>
          </cell>
          <cell r="G91" t="str">
            <v/>
          </cell>
          <cell r="H91" t="str">
            <v/>
          </cell>
          <cell r="I91" t="str">
            <v/>
          </cell>
          <cell r="J91" t="str">
            <v/>
          </cell>
          <cell r="K91" t="str">
            <v/>
          </cell>
          <cell r="L91" t="str">
            <v/>
          </cell>
          <cell r="M91" t="str">
            <v/>
          </cell>
          <cell r="N91" t="str">
            <v/>
          </cell>
          <cell r="O91">
            <v>1.365</v>
          </cell>
        </row>
        <row r="92">
          <cell r="A92" t="str">
            <v>A08104</v>
          </cell>
          <cell r="B92" t="str">
            <v>128/03/04</v>
          </cell>
          <cell r="C92">
            <v>1.125</v>
          </cell>
          <cell r="D92">
            <v>13.92</v>
          </cell>
          <cell r="E92">
            <v>15.41</v>
          </cell>
          <cell r="F92" t="str">
            <v/>
          </cell>
          <cell r="G92" t="str">
            <v/>
          </cell>
          <cell r="H92" t="str">
            <v/>
          </cell>
          <cell r="I92" t="str">
            <v/>
          </cell>
          <cell r="J92" t="str">
            <v/>
          </cell>
          <cell r="K92" t="str">
            <v/>
          </cell>
          <cell r="L92" t="str">
            <v/>
          </cell>
          <cell r="M92" t="str">
            <v/>
          </cell>
          <cell r="N92" t="str">
            <v/>
          </cell>
          <cell r="O92">
            <v>1.3663000000000001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1.3834</v>
          </cell>
        </row>
        <row r="94">
          <cell r="A94" t="str">
            <v>A00104</v>
          </cell>
          <cell r="B94" t="str">
            <v>130/02/22</v>
          </cell>
          <cell r="C94">
            <v>2</v>
          </cell>
          <cell r="D94">
            <v>14.62</v>
          </cell>
          <cell r="E94">
            <v>17.38</v>
          </cell>
          <cell r="F94" t="str">
            <v/>
          </cell>
          <cell r="G94" t="str">
            <v/>
          </cell>
          <cell r="H94" t="str">
            <v/>
          </cell>
          <cell r="I94" t="str">
            <v/>
          </cell>
          <cell r="J94" t="str">
            <v/>
          </cell>
          <cell r="K94" t="str">
            <v/>
          </cell>
          <cell r="L94" t="str">
            <v/>
          </cell>
          <cell r="M94" t="str">
            <v/>
          </cell>
          <cell r="N94" t="str">
            <v/>
          </cell>
          <cell r="O94">
            <v>1.3861000000000001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1.3755999999999999</v>
          </cell>
        </row>
        <row r="96">
          <cell r="A96" t="str">
            <v>A09102</v>
          </cell>
          <cell r="B96" t="str">
            <v>129/01/17</v>
          </cell>
          <cell r="C96">
            <v>0.75</v>
          </cell>
          <cell r="D96">
            <v>15.04</v>
          </cell>
          <cell r="E96">
            <v>16.28</v>
          </cell>
          <cell r="F96" t="str">
            <v/>
          </cell>
          <cell r="G96" t="str">
            <v/>
          </cell>
          <cell r="H96" t="str">
            <v/>
          </cell>
          <cell r="I96" t="str">
            <v/>
          </cell>
          <cell r="J96" t="str">
            <v/>
          </cell>
          <cell r="K96" t="str">
            <v/>
          </cell>
          <cell r="L96" t="str">
            <v/>
          </cell>
          <cell r="M96" t="str">
            <v/>
          </cell>
          <cell r="N96" t="str">
            <v/>
          </cell>
          <cell r="O96">
            <v>1.3805000000000001</v>
          </cell>
        </row>
        <row r="97">
          <cell r="A97" t="str">
            <v>A00108</v>
          </cell>
          <cell r="B97" t="str">
            <v>130/08/22</v>
          </cell>
          <cell r="C97">
            <v>1.875</v>
          </cell>
          <cell r="D97">
            <v>15.22</v>
          </cell>
          <cell r="E97">
            <v>17.88</v>
          </cell>
          <cell r="F97">
            <v>1.401</v>
          </cell>
          <cell r="G97">
            <v>1.4</v>
          </cell>
          <cell r="H97">
            <v>1.4004000000000001</v>
          </cell>
          <cell r="I97">
            <v>7</v>
          </cell>
          <cell r="J97">
            <v>1.405</v>
          </cell>
          <cell r="K97">
            <v>1.405</v>
          </cell>
          <cell r="L97">
            <v>1.405</v>
          </cell>
          <cell r="M97">
            <v>1</v>
          </cell>
          <cell r="N97">
            <v>1</v>
          </cell>
          <cell r="O97">
            <v>1.393</v>
          </cell>
        </row>
        <row r="98">
          <cell r="A98" t="str">
            <v>A09104</v>
          </cell>
          <cell r="B98" t="str">
            <v>129/03/09</v>
          </cell>
          <cell r="C98">
            <v>0.5</v>
          </cell>
          <cell r="D98">
            <v>15.49</v>
          </cell>
          <cell r="E98">
            <v>16.420000000000002</v>
          </cell>
          <cell r="F98">
            <v>1.38</v>
          </cell>
          <cell r="G98">
            <v>1.38</v>
          </cell>
          <cell r="H98">
            <v>1.38</v>
          </cell>
          <cell r="I98">
            <v>5</v>
          </cell>
          <cell r="J98">
            <v>1.38</v>
          </cell>
          <cell r="K98">
            <v>1.38</v>
          </cell>
          <cell r="L98">
            <v>1.38</v>
          </cell>
          <cell r="M98">
            <v>1</v>
          </cell>
          <cell r="N98">
            <v>1</v>
          </cell>
          <cell r="O98">
            <v>1.3842000000000001</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1.3995</v>
          </cell>
        </row>
        <row r="100">
          <cell r="A100" t="str">
            <v>A02109</v>
          </cell>
          <cell r="B100" t="str">
            <v>132/08/02</v>
          </cell>
          <cell r="C100">
            <v>2.5</v>
          </cell>
          <cell r="D100">
            <v>15.97</v>
          </cell>
          <cell r="E100">
            <v>19.82</v>
          </cell>
          <cell r="F100" t="str">
            <v/>
          </cell>
          <cell r="G100" t="str">
            <v/>
          </cell>
          <cell r="H100" t="str">
            <v/>
          </cell>
          <cell r="I100" t="str">
            <v/>
          </cell>
          <cell r="J100" t="str">
            <v/>
          </cell>
          <cell r="K100" t="str">
            <v/>
          </cell>
          <cell r="L100" t="str">
            <v/>
          </cell>
          <cell r="M100" t="str">
            <v/>
          </cell>
          <cell r="N100" t="str">
            <v/>
          </cell>
          <cell r="O100">
            <v>1.4109</v>
          </cell>
        </row>
        <row r="101">
          <cell r="A101" t="str">
            <v>A09108</v>
          </cell>
          <cell r="B101" t="str">
            <v>129/09/18</v>
          </cell>
          <cell r="C101">
            <v>0.5</v>
          </cell>
          <cell r="D101">
            <v>16</v>
          </cell>
          <cell r="E101">
            <v>16.95</v>
          </cell>
          <cell r="F101" t="str">
            <v/>
          </cell>
          <cell r="G101" t="str">
            <v/>
          </cell>
          <cell r="H101" t="str">
            <v/>
          </cell>
          <cell r="I101" t="str">
            <v/>
          </cell>
          <cell r="J101" t="str">
            <v/>
          </cell>
          <cell r="K101" t="str">
            <v/>
          </cell>
          <cell r="L101" t="str">
            <v/>
          </cell>
          <cell r="M101" t="str">
            <v/>
          </cell>
          <cell r="N101" t="str">
            <v/>
          </cell>
          <cell r="O101">
            <v>1.3913</v>
          </cell>
        </row>
        <row r="102">
          <cell r="A102" t="str">
            <v>A11109</v>
          </cell>
          <cell r="B102" t="str">
            <v>131/09/30</v>
          </cell>
          <cell r="C102">
            <v>1.875</v>
          </cell>
          <cell r="D102">
            <v>16.04</v>
          </cell>
          <cell r="E102">
            <v>18.98</v>
          </cell>
          <cell r="F102">
            <v>1.419</v>
          </cell>
          <cell r="G102">
            <v>1.415</v>
          </cell>
          <cell r="H102">
            <v>1.4158999999999999</v>
          </cell>
          <cell r="I102">
            <v>5</v>
          </cell>
          <cell r="J102" t="str">
            <v/>
          </cell>
          <cell r="K102" t="str">
            <v/>
          </cell>
          <cell r="L102" t="str">
            <v/>
          </cell>
          <cell r="M102" t="str">
            <v/>
          </cell>
          <cell r="N102" t="str">
            <v/>
          </cell>
          <cell r="O102">
            <v>1.4059999999999999</v>
          </cell>
        </row>
        <row r="103">
          <cell r="A103" t="str">
            <v>A01108</v>
          </cell>
          <cell r="B103" t="str">
            <v>131/08/24</v>
          </cell>
          <cell r="C103">
            <v>1.625</v>
          </cell>
          <cell r="D103">
            <v>16.21</v>
          </cell>
          <cell r="E103">
            <v>18.88</v>
          </cell>
          <cell r="F103" t="str">
            <v/>
          </cell>
          <cell r="G103" t="str">
            <v/>
          </cell>
          <cell r="H103" t="str">
            <v/>
          </cell>
          <cell r="I103" t="str">
            <v/>
          </cell>
          <cell r="J103" t="str">
            <v/>
          </cell>
          <cell r="K103" t="str">
            <v/>
          </cell>
          <cell r="L103" t="str">
            <v/>
          </cell>
          <cell r="M103" t="str">
            <v/>
          </cell>
          <cell r="N103" t="str">
            <v/>
          </cell>
          <cell r="O103">
            <v>1.4067000000000001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1.3960999999999999</v>
          </cell>
        </row>
        <row r="105">
          <cell r="A105" t="str">
            <v>A02105</v>
          </cell>
          <cell r="B105" t="str">
            <v>132/02/26</v>
          </cell>
          <cell r="C105">
            <v>1.75</v>
          </cell>
          <cell r="D105">
            <v>16.309999999999999</v>
          </cell>
          <cell r="E105">
            <v>19.39</v>
          </cell>
          <cell r="F105" t="str">
            <v/>
          </cell>
          <cell r="G105" t="str">
            <v/>
          </cell>
          <cell r="H105" t="str">
            <v/>
          </cell>
          <cell r="I105" t="str">
            <v/>
          </cell>
          <cell r="J105" t="str">
            <v/>
          </cell>
          <cell r="K105" t="str">
            <v/>
          </cell>
          <cell r="L105" t="str">
            <v/>
          </cell>
          <cell r="M105" t="str">
            <v/>
          </cell>
          <cell r="N105" t="str">
            <v/>
          </cell>
          <cell r="O105">
            <v>1.4116</v>
          </cell>
        </row>
        <row r="106">
          <cell r="A106" t="str">
            <v>A09113</v>
          </cell>
          <cell r="B106" t="str">
            <v>129/12/29</v>
          </cell>
          <cell r="C106">
            <v>0.375</v>
          </cell>
          <cell r="D106">
            <v>16.37</v>
          </cell>
          <cell r="E106">
            <v>17.23</v>
          </cell>
          <cell r="F106" t="str">
            <v/>
          </cell>
          <cell r="G106" t="str">
            <v/>
          </cell>
          <cell r="H106" t="str">
            <v/>
          </cell>
          <cell r="I106" t="str">
            <v/>
          </cell>
          <cell r="J106" t="str">
            <v/>
          </cell>
          <cell r="K106" t="str">
            <v/>
          </cell>
          <cell r="L106" t="str">
            <v/>
          </cell>
          <cell r="M106" t="str">
            <v/>
          </cell>
          <cell r="N106" t="str">
            <v/>
          </cell>
          <cell r="O106">
            <v>1.3959999999999999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1.4044000000000001</v>
          </cell>
        </row>
        <row r="108">
          <cell r="A108" t="str">
            <v>A10105</v>
          </cell>
          <cell r="B108" t="str">
            <v>130/05/21</v>
          </cell>
          <cell r="C108">
            <v>0.625</v>
          </cell>
          <cell r="D108">
            <v>16.39</v>
          </cell>
          <cell r="E108">
            <v>17.62</v>
          </cell>
          <cell r="F108" t="str">
            <v/>
          </cell>
          <cell r="G108" t="str">
            <v/>
          </cell>
          <cell r="H108" t="str">
            <v/>
          </cell>
          <cell r="I108" t="str">
            <v/>
          </cell>
          <cell r="J108" t="str">
            <v/>
          </cell>
          <cell r="K108" t="str">
            <v/>
          </cell>
          <cell r="L108" t="str">
            <v/>
          </cell>
          <cell r="M108" t="str">
            <v/>
          </cell>
          <cell r="N108" t="str">
            <v/>
          </cell>
          <cell r="O108">
            <v>1.3991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1.4197</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1.4069</v>
          </cell>
        </row>
        <row r="111">
          <cell r="A111" t="str">
            <v>A10112</v>
          </cell>
          <cell r="B111" t="str">
            <v>130/11/12</v>
          </cell>
          <cell r="C111">
            <v>0.625</v>
          </cell>
          <cell r="D111">
            <v>16.75</v>
          </cell>
          <cell r="E111">
            <v>18.100000000000001</v>
          </cell>
          <cell r="F111" t="str">
            <v/>
          </cell>
          <cell r="G111" t="str">
            <v/>
          </cell>
          <cell r="H111" t="str">
            <v/>
          </cell>
          <cell r="I111" t="str">
            <v/>
          </cell>
          <cell r="J111" t="str">
            <v/>
          </cell>
          <cell r="K111" t="str">
            <v/>
          </cell>
          <cell r="L111" t="str">
            <v/>
          </cell>
          <cell r="M111" t="str">
            <v/>
          </cell>
          <cell r="N111" t="str">
            <v/>
          </cell>
          <cell r="O111">
            <v>1.4053</v>
          </cell>
        </row>
        <row r="112">
          <cell r="A112" t="str">
            <v>A12104</v>
          </cell>
          <cell r="B112" t="str">
            <v>132/03/03</v>
          </cell>
          <cell r="C112">
            <v>1.375</v>
          </cell>
          <cell r="D112">
            <v>16.78</v>
          </cell>
          <cell r="E112">
            <v>19.41</v>
          </cell>
          <cell r="F112">
            <v>1.4259999999999999</v>
          </cell>
          <cell r="G112">
            <v>1.425</v>
          </cell>
          <cell r="H112">
            <v>1.4255</v>
          </cell>
          <cell r="I112">
            <v>4</v>
          </cell>
          <cell r="J112">
            <v>1.425</v>
          </cell>
          <cell r="K112">
            <v>1.425</v>
          </cell>
          <cell r="L112">
            <v>1.425</v>
          </cell>
          <cell r="M112">
            <v>1</v>
          </cell>
          <cell r="N112">
            <v>1</v>
          </cell>
          <cell r="O112">
            <v>1.4148000000000001</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1.4265000000000001</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1.4234</v>
          </cell>
        </row>
        <row r="115">
          <cell r="A115" t="str">
            <v>A04104</v>
          </cell>
          <cell r="B115" t="str">
            <v>134/02/13</v>
          </cell>
          <cell r="C115">
            <v>2.375</v>
          </cell>
          <cell r="D115">
            <v>16.93</v>
          </cell>
          <cell r="E115">
            <v>21.36</v>
          </cell>
          <cell r="F115" t="str">
            <v/>
          </cell>
          <cell r="G115" t="str">
            <v/>
          </cell>
          <cell r="H115" t="str">
            <v/>
          </cell>
          <cell r="I115" t="str">
            <v/>
          </cell>
          <cell r="J115" t="str">
            <v/>
          </cell>
          <cell r="K115" t="str">
            <v/>
          </cell>
          <cell r="L115" t="str">
            <v/>
          </cell>
          <cell r="M115" t="str">
            <v/>
          </cell>
          <cell r="N115" t="str">
            <v/>
          </cell>
          <cell r="O115">
            <v>1.4278</v>
          </cell>
        </row>
        <row r="116">
          <cell r="A116" t="str">
            <v>A10110</v>
          </cell>
          <cell r="B116" t="str">
            <v>130/09/29</v>
          </cell>
          <cell r="C116">
            <v>0.5</v>
          </cell>
          <cell r="D116">
            <v>16.920000000000002</v>
          </cell>
          <cell r="E116">
            <v>17.98</v>
          </cell>
          <cell r="F116" t="str">
            <v/>
          </cell>
          <cell r="G116" t="str">
            <v/>
          </cell>
          <cell r="H116" t="str">
            <v/>
          </cell>
          <cell r="I116" t="str">
            <v/>
          </cell>
          <cell r="J116" t="str">
            <v/>
          </cell>
          <cell r="K116" t="str">
            <v/>
          </cell>
          <cell r="L116" t="str">
            <v/>
          </cell>
          <cell r="M116" t="str">
            <v/>
          </cell>
          <cell r="N116" t="str">
            <v/>
          </cell>
          <cell r="O116">
            <v>1.4048</v>
          </cell>
        </row>
        <row r="117">
          <cell r="A117" t="str">
            <v>A03108</v>
          </cell>
          <cell r="B117" t="str">
            <v>133/05/28</v>
          </cell>
          <cell r="C117">
            <v>2</v>
          </cell>
          <cell r="D117">
            <v>16.96</v>
          </cell>
          <cell r="E117">
            <v>20.64</v>
          </cell>
          <cell r="F117" t="str">
            <v/>
          </cell>
          <cell r="G117" t="str">
            <v/>
          </cell>
          <cell r="H117" t="str">
            <v/>
          </cell>
          <cell r="I117" t="str">
            <v/>
          </cell>
          <cell r="J117" t="str">
            <v/>
          </cell>
          <cell r="K117" t="str">
            <v/>
          </cell>
          <cell r="L117" t="str">
            <v/>
          </cell>
          <cell r="M117" t="str">
            <v/>
          </cell>
          <cell r="N117" t="str">
            <v/>
          </cell>
          <cell r="O117">
            <v>1.4234</v>
          </cell>
        </row>
        <row r="118">
          <cell r="A118" t="str">
            <v>A04108</v>
          </cell>
          <cell r="B118" t="str">
            <v>134/05/15</v>
          </cell>
          <cell r="C118">
            <v>2.375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1.4301999999999999</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1.4211</v>
          </cell>
        </row>
        <row r="120">
          <cell r="A120" t="str">
            <v>A04111</v>
          </cell>
          <cell r="B120" t="str">
            <v>134/08/10</v>
          </cell>
          <cell r="C120">
            <v>2.25</v>
          </cell>
          <cell r="D120">
            <v>17.54</v>
          </cell>
          <cell r="E120">
            <v>21.85</v>
          </cell>
          <cell r="F120" t="str">
            <v/>
          </cell>
          <cell r="G120" t="str">
            <v/>
          </cell>
          <cell r="H120" t="str">
            <v/>
          </cell>
          <cell r="I120" t="str">
            <v/>
          </cell>
          <cell r="J120" t="str">
            <v/>
          </cell>
          <cell r="K120" t="str">
            <v/>
          </cell>
          <cell r="L120" t="str">
            <v/>
          </cell>
          <cell r="M120" t="str">
            <v/>
          </cell>
          <cell r="N120" t="str">
            <v/>
          </cell>
          <cell r="O120">
            <v>1.4336</v>
          </cell>
        </row>
        <row r="121">
          <cell r="A121" t="str">
            <v>A05114</v>
          </cell>
          <cell r="B121" t="str">
            <v>135/11/25</v>
          </cell>
          <cell r="C121">
            <v>2</v>
          </cell>
          <cell r="D121">
            <v>18.45</v>
          </cell>
          <cell r="E121">
            <v>23.14</v>
          </cell>
          <cell r="F121" t="str">
            <v/>
          </cell>
          <cell r="G121" t="str">
            <v/>
          </cell>
          <cell r="H121" t="str">
            <v/>
          </cell>
          <cell r="I121" t="str">
            <v/>
          </cell>
          <cell r="J121" t="str">
            <v/>
          </cell>
          <cell r="K121" t="str">
            <v/>
          </cell>
          <cell r="L121" t="str">
            <v/>
          </cell>
          <cell r="M121" t="str">
            <v/>
          </cell>
          <cell r="N121" t="str">
            <v xml:space="preserve">  </v>
          </cell>
          <cell r="O121">
            <v>1.448</v>
          </cell>
        </row>
        <row r="122">
          <cell r="A122" t="str">
            <v>A05107</v>
          </cell>
          <cell r="B122" t="str">
            <v>135/05/20</v>
          </cell>
          <cell r="C122">
            <v>1.625</v>
          </cell>
          <cell r="D122">
            <v>18.8</v>
          </cell>
          <cell r="E122">
            <v>22.62</v>
          </cell>
          <cell r="F122" t="str">
            <v/>
          </cell>
          <cell r="G122" t="str">
            <v/>
          </cell>
          <cell r="H122" t="str">
            <v/>
          </cell>
          <cell r="I122" t="str">
            <v/>
          </cell>
          <cell r="J122" t="str">
            <v/>
          </cell>
          <cell r="K122" t="str">
            <v/>
          </cell>
          <cell r="L122" t="str">
            <v/>
          </cell>
          <cell r="M122" t="str">
            <v/>
          </cell>
          <cell r="N122" t="str">
            <v/>
          </cell>
          <cell r="O122">
            <v>1.4466000000000001</v>
          </cell>
        </row>
        <row r="123">
          <cell r="A123" t="str">
            <v>A06106</v>
          </cell>
          <cell r="B123" t="str">
            <v>136/05/26</v>
          </cell>
          <cell r="C123">
            <v>1.875</v>
          </cell>
          <cell r="D123">
            <v>19.12</v>
          </cell>
          <cell r="E123">
            <v>23.64</v>
          </cell>
          <cell r="F123" t="str">
            <v/>
          </cell>
          <cell r="G123" t="str">
            <v/>
          </cell>
          <cell r="H123" t="str">
            <v/>
          </cell>
          <cell r="I123" t="str">
            <v/>
          </cell>
          <cell r="J123" t="str">
            <v/>
          </cell>
          <cell r="K123" t="str">
            <v/>
          </cell>
          <cell r="L123" t="str">
            <v/>
          </cell>
          <cell r="M123" t="str">
            <v/>
          </cell>
          <cell r="N123" t="str">
            <v/>
          </cell>
          <cell r="O123">
            <v>1.4537</v>
          </cell>
        </row>
        <row r="124">
          <cell r="A124" t="str">
            <v>A05110</v>
          </cell>
          <cell r="B124" t="str">
            <v>135/08/05</v>
          </cell>
          <cell r="C124">
            <v>1.375</v>
          </cell>
          <cell r="D124">
            <v>19.39</v>
          </cell>
          <cell r="E124">
            <v>22.83</v>
          </cell>
          <cell r="F124" t="str">
            <v/>
          </cell>
          <cell r="G124" t="str">
            <v/>
          </cell>
          <cell r="H124" t="str">
            <v/>
          </cell>
          <cell r="I124" t="str">
            <v/>
          </cell>
          <cell r="J124" t="str">
            <v/>
          </cell>
          <cell r="K124" t="str">
            <v/>
          </cell>
          <cell r="L124" t="str">
            <v/>
          </cell>
          <cell r="M124" t="str">
            <v/>
          </cell>
          <cell r="N124" t="str">
            <v/>
          </cell>
          <cell r="O124">
            <v>1.4511000000000001</v>
          </cell>
        </row>
        <row r="125">
          <cell r="A125" t="str">
            <v>A06111</v>
          </cell>
          <cell r="B125" t="str">
            <v>136/11/24</v>
          </cell>
          <cell r="C125">
            <v>1.625</v>
          </cell>
          <cell r="D125">
            <v>19.68</v>
          </cell>
          <cell r="E125">
            <v>24.13</v>
          </cell>
          <cell r="F125" t="str">
            <v/>
          </cell>
          <cell r="G125" t="str">
            <v/>
          </cell>
          <cell r="H125" t="str">
            <v/>
          </cell>
          <cell r="I125" t="str">
            <v/>
          </cell>
          <cell r="J125" t="str">
            <v/>
          </cell>
          <cell r="K125" t="str">
            <v/>
          </cell>
          <cell r="L125" t="str">
            <v/>
          </cell>
          <cell r="M125" t="str">
            <v/>
          </cell>
          <cell r="N125" t="str">
            <v/>
          </cell>
          <cell r="O125">
            <v>1.4604999999999999</v>
          </cell>
        </row>
        <row r="126">
          <cell r="A126" t="str">
            <v>A07104</v>
          </cell>
          <cell r="B126" t="str">
            <v>137/05/18</v>
          </cell>
          <cell r="C126">
            <v>1.5</v>
          </cell>
          <cell r="D126">
            <v>20.36</v>
          </cell>
          <cell r="E126">
            <v>24.62</v>
          </cell>
          <cell r="F126" t="str">
            <v/>
          </cell>
          <cell r="G126" t="str">
            <v/>
          </cell>
          <cell r="H126" t="str">
            <v/>
          </cell>
          <cell r="I126" t="str">
            <v/>
          </cell>
          <cell r="J126" t="str">
            <v/>
          </cell>
          <cell r="K126" t="str">
            <v/>
          </cell>
          <cell r="L126" t="str">
            <v/>
          </cell>
          <cell r="M126" t="str">
            <v/>
          </cell>
          <cell r="N126" t="str">
            <v/>
          </cell>
          <cell r="O126">
            <v>1.4659</v>
          </cell>
        </row>
        <row r="127">
          <cell r="A127" t="str">
            <v>A07110</v>
          </cell>
          <cell r="B127" t="str">
            <v>137/11/09</v>
          </cell>
          <cell r="C127">
            <v>1.375</v>
          </cell>
          <cell r="D127">
            <v>20.77</v>
          </cell>
          <cell r="E127">
            <v>25.1</v>
          </cell>
          <cell r="F127" t="str">
            <v/>
          </cell>
          <cell r="G127" t="str">
            <v/>
          </cell>
          <cell r="H127" t="str">
            <v/>
          </cell>
          <cell r="I127" t="str">
            <v/>
          </cell>
          <cell r="J127" t="str">
            <v/>
          </cell>
          <cell r="K127" t="str">
            <v/>
          </cell>
          <cell r="L127" t="str">
            <v/>
          </cell>
          <cell r="M127" t="str">
            <v/>
          </cell>
          <cell r="N127" t="str">
            <v/>
          </cell>
          <cell r="O127">
            <v>1.4713000000000001</v>
          </cell>
        </row>
        <row r="128">
          <cell r="A128" t="str">
            <v>A11111</v>
          </cell>
          <cell r="B128" t="str">
            <v>141/11/11</v>
          </cell>
          <cell r="C128">
            <v>2.375</v>
          </cell>
          <cell r="D128">
            <v>21.43</v>
          </cell>
          <cell r="E128">
            <v>29.1</v>
          </cell>
          <cell r="F128" t="str">
            <v/>
          </cell>
          <cell r="G128" t="str">
            <v/>
          </cell>
          <cell r="H128" t="str">
            <v/>
          </cell>
          <cell r="I128" t="str">
            <v/>
          </cell>
          <cell r="J128" t="str">
            <v/>
          </cell>
          <cell r="K128" t="str">
            <v/>
          </cell>
          <cell r="L128" t="str">
            <v/>
          </cell>
          <cell r="M128" t="str">
            <v/>
          </cell>
          <cell r="N128" t="str">
            <v/>
          </cell>
          <cell r="O128">
            <v>1.4865999999999999</v>
          </cell>
        </row>
        <row r="129">
          <cell r="A129" t="str">
            <v>A08105</v>
          </cell>
          <cell r="B129" t="str">
            <v>138/05/17</v>
          </cell>
          <cell r="C129">
            <v>1.125</v>
          </cell>
          <cell r="D129">
            <v>21.81</v>
          </cell>
          <cell r="E129">
            <v>25.61</v>
          </cell>
          <cell r="F129" t="str">
            <v/>
          </cell>
          <cell r="G129" t="str">
            <v/>
          </cell>
          <cell r="H129" t="str">
            <v/>
          </cell>
          <cell r="I129" t="str">
            <v/>
          </cell>
          <cell r="J129" t="str">
            <v/>
          </cell>
          <cell r="K129" t="str">
            <v/>
          </cell>
          <cell r="L129" t="str">
            <v/>
          </cell>
          <cell r="M129" t="str">
            <v/>
          </cell>
          <cell r="N129" t="str">
            <v/>
          </cell>
          <cell r="O129">
            <v>1.4782999999999999</v>
          </cell>
        </row>
        <row r="130">
          <cell r="A130" t="str">
            <v>A11105</v>
          </cell>
          <cell r="B130" t="str">
            <v>141/05/20</v>
          </cell>
          <cell r="C130">
            <v>2</v>
          </cell>
          <cell r="D130">
            <v>22.01</v>
          </cell>
          <cell r="E130">
            <v>28.62</v>
          </cell>
          <cell r="F130" t="str">
            <v/>
          </cell>
          <cell r="G130" t="str">
            <v/>
          </cell>
          <cell r="H130" t="str">
            <v/>
          </cell>
          <cell r="I130" t="str">
            <v/>
          </cell>
          <cell r="J130" t="str">
            <v/>
          </cell>
          <cell r="K130" t="str">
            <v/>
          </cell>
          <cell r="L130" t="str">
            <v/>
          </cell>
          <cell r="M130" t="str">
            <v/>
          </cell>
          <cell r="N130" t="str">
            <v/>
          </cell>
          <cell r="O130">
            <v>1.488</v>
          </cell>
        </row>
        <row r="131">
          <cell r="A131" t="str">
            <v>A08110</v>
          </cell>
          <cell r="B131" t="str">
            <v>138/11/08</v>
          </cell>
          <cell r="C131">
            <v>1</v>
          </cell>
          <cell r="D131">
            <v>22.32</v>
          </cell>
          <cell r="E131">
            <v>26.09</v>
          </cell>
          <cell r="F131" t="str">
            <v/>
          </cell>
          <cell r="G131" t="str">
            <v/>
          </cell>
          <cell r="H131" t="str">
            <v/>
          </cell>
          <cell r="I131" t="str">
            <v/>
          </cell>
          <cell r="J131" t="str">
            <v/>
          </cell>
          <cell r="K131" t="str">
            <v/>
          </cell>
          <cell r="L131" t="str">
            <v/>
          </cell>
          <cell r="M131" t="str">
            <v/>
          </cell>
          <cell r="N131" t="str">
            <v/>
          </cell>
          <cell r="O131">
            <v>1.4837</v>
          </cell>
        </row>
        <row r="132">
          <cell r="A132" t="str">
            <v>A09105</v>
          </cell>
          <cell r="B132" t="str">
            <v>139/05/12</v>
          </cell>
          <cell r="C132">
            <v>0.75</v>
          </cell>
          <cell r="D132">
            <v>23.5</v>
          </cell>
          <cell r="E132">
            <v>26.6</v>
          </cell>
          <cell r="F132" t="str">
            <v/>
          </cell>
          <cell r="G132" t="str">
            <v/>
          </cell>
          <cell r="H132" t="str">
            <v/>
          </cell>
          <cell r="I132" t="str">
            <v/>
          </cell>
          <cell r="J132" t="str">
            <v/>
          </cell>
          <cell r="K132" t="str">
            <v/>
          </cell>
          <cell r="L132" t="str">
            <v/>
          </cell>
          <cell r="M132" t="str">
            <v/>
          </cell>
          <cell r="N132" t="str">
            <v/>
          </cell>
          <cell r="O132">
            <v>1.4907999999999999</v>
          </cell>
        </row>
        <row r="133">
          <cell r="A133" t="str">
            <v>A10113</v>
          </cell>
          <cell r="B133" t="str">
            <v>140/12/23</v>
          </cell>
          <cell r="C133">
            <v>1.125</v>
          </cell>
          <cell r="D133">
            <v>23.53</v>
          </cell>
          <cell r="E133">
            <v>28.21</v>
          </cell>
          <cell r="F133" t="str">
            <v/>
          </cell>
          <cell r="G133" t="str">
            <v/>
          </cell>
          <cell r="H133" t="str">
            <v/>
          </cell>
          <cell r="I133" t="str">
            <v/>
          </cell>
          <cell r="J133" t="str">
            <v/>
          </cell>
          <cell r="K133" t="str">
            <v/>
          </cell>
          <cell r="L133" t="str">
            <v/>
          </cell>
          <cell r="M133" t="str">
            <v/>
          </cell>
          <cell r="N133" t="str">
            <v/>
          </cell>
          <cell r="O133">
            <v>1.4962</v>
          </cell>
        </row>
        <row r="134">
          <cell r="A134" t="str">
            <v>A12105</v>
          </cell>
          <cell r="B134" t="str">
            <v>142/05/12</v>
          </cell>
          <cell r="C134">
            <v>1.5</v>
          </cell>
          <cell r="D134">
            <v>23.62</v>
          </cell>
          <cell r="E134">
            <v>29.6</v>
          </cell>
          <cell r="F134" t="str">
            <v/>
          </cell>
          <cell r="G134" t="str">
            <v/>
          </cell>
          <cell r="H134" t="str">
            <v/>
          </cell>
          <cell r="I134" t="str">
            <v/>
          </cell>
          <cell r="J134" t="str">
            <v/>
          </cell>
          <cell r="K134" t="str">
            <v/>
          </cell>
          <cell r="L134" t="str">
            <v/>
          </cell>
          <cell r="M134" t="str">
            <v/>
          </cell>
          <cell r="N134" t="str">
            <v/>
          </cell>
          <cell r="O134">
            <v>1.4984999999999999</v>
          </cell>
        </row>
        <row r="135">
          <cell r="A135" t="str">
            <v>A12111</v>
          </cell>
          <cell r="B135" t="str">
            <v>142/11/22</v>
          </cell>
          <cell r="C135">
            <v>1.5</v>
          </cell>
          <cell r="D135">
            <v>24.02</v>
          </cell>
          <cell r="E135">
            <v>30</v>
          </cell>
          <cell r="F135" t="str">
            <v/>
          </cell>
          <cell r="G135" t="str">
            <v/>
          </cell>
          <cell r="H135" t="str">
            <v/>
          </cell>
          <cell r="I135" t="str">
            <v/>
          </cell>
          <cell r="J135" t="str">
            <v/>
          </cell>
          <cell r="K135" t="str">
            <v/>
          </cell>
          <cell r="L135" t="str">
            <v/>
          </cell>
          <cell r="M135" t="str">
            <v/>
          </cell>
          <cell r="N135" t="str">
            <v/>
          </cell>
          <cell r="O135">
            <v>1.5004</v>
          </cell>
        </row>
        <row r="136">
          <cell r="A136" t="str">
            <v>A10104</v>
          </cell>
          <cell r="B136" t="str">
            <v>140/02/25</v>
          </cell>
          <cell r="C136">
            <v>0.625</v>
          </cell>
          <cell r="D136">
            <v>24.46</v>
          </cell>
          <cell r="E136">
            <v>27.39</v>
          </cell>
          <cell r="F136" t="str">
            <v/>
          </cell>
          <cell r="G136" t="str">
            <v/>
          </cell>
          <cell r="H136" t="str">
            <v/>
          </cell>
          <cell r="I136" t="str">
            <v/>
          </cell>
          <cell r="J136" t="str">
            <v/>
          </cell>
          <cell r="K136" t="str">
            <v/>
          </cell>
          <cell r="L136" t="str">
            <v/>
          </cell>
          <cell r="M136" t="str">
            <v/>
          </cell>
          <cell r="N136" t="str">
            <v/>
          </cell>
          <cell r="O136">
            <v>1.4981</v>
          </cell>
        </row>
        <row r="137">
          <cell r="A137" t="str">
            <v>A09111</v>
          </cell>
          <cell r="B137" t="str">
            <v>139/11/27</v>
          </cell>
          <cell r="C137">
            <v>0.375</v>
          </cell>
          <cell r="D137">
            <v>25.11</v>
          </cell>
          <cell r="E137">
            <v>27.14</v>
          </cell>
          <cell r="F137" t="str">
            <v/>
          </cell>
          <cell r="G137" t="str">
            <v/>
          </cell>
          <cell r="H137" t="str">
            <v/>
          </cell>
          <cell r="I137" t="str">
            <v/>
          </cell>
          <cell r="J137" t="str">
            <v/>
          </cell>
          <cell r="K137" t="str">
            <v/>
          </cell>
          <cell r="L137" t="str">
            <v/>
          </cell>
          <cell r="M137" t="str">
            <v/>
          </cell>
          <cell r="N137" t="str">
            <v/>
          </cell>
          <cell r="O137">
            <v>1.5004</v>
          </cell>
        </row>
        <row r="138">
          <cell r="A138" t="str">
            <v>B64614</v>
          </cell>
          <cell r="B138" t="str">
            <v>P11國巨1</v>
          </cell>
          <cell r="C138">
            <v>3.17</v>
          </cell>
          <cell r="D138">
            <v>3.27</v>
          </cell>
          <cell r="E138">
            <v>0</v>
          </cell>
          <cell r="F138">
            <v>1.62</v>
          </cell>
          <cell r="G138">
            <v>1.62</v>
          </cell>
          <cell r="H138">
            <v>1.62</v>
          </cell>
          <cell r="I138">
            <v>1</v>
          </cell>
          <cell r="J138" t="str">
            <v/>
          </cell>
          <cell r="K138" t="str">
            <v/>
          </cell>
          <cell r="L138" t="str">
            <v/>
          </cell>
          <cell r="M138" t="str">
            <v/>
          </cell>
          <cell r="N138" t="str">
            <v/>
          </cell>
          <cell r="O138" t="e">
            <v>#N/A</v>
          </cell>
        </row>
        <row r="139">
          <cell r="A139" t="str">
            <v>B401DJ</v>
          </cell>
          <cell r="B139" t="str">
            <v>P08南亞2A</v>
          </cell>
          <cell r="C139" t="str">
            <v>TWD</v>
          </cell>
          <cell r="D139">
            <v>0.52</v>
          </cell>
          <cell r="E139">
            <v>0</v>
          </cell>
          <cell r="F139">
            <v>1.5</v>
          </cell>
          <cell r="G139">
            <v>1.5</v>
          </cell>
          <cell r="H139">
            <v>1.5</v>
          </cell>
          <cell r="I139">
            <v>2</v>
          </cell>
          <cell r="J139">
            <v>1.51</v>
          </cell>
          <cell r="K139">
            <v>1.51</v>
          </cell>
          <cell r="L139">
            <v>1.51</v>
          </cell>
          <cell r="M139">
            <v>1</v>
          </cell>
          <cell r="N139">
            <v>2</v>
          </cell>
          <cell r="O139" t="e">
            <v>#N/A</v>
          </cell>
        </row>
        <row r="140">
          <cell r="A140" t="str">
            <v>B702AK</v>
          </cell>
          <cell r="B140" t="str">
            <v>P08台化1A</v>
          </cell>
          <cell r="C140" t="str">
            <v>TWD</v>
          </cell>
          <cell r="D140">
            <v>0.6</v>
          </cell>
          <cell r="E140">
            <v>0</v>
          </cell>
          <cell r="F140">
            <v>1.5</v>
          </cell>
          <cell r="G140">
            <v>1.5</v>
          </cell>
          <cell r="H140">
            <v>1.5</v>
          </cell>
          <cell r="I140">
            <v>1</v>
          </cell>
          <cell r="J140">
            <v>1.51</v>
          </cell>
          <cell r="K140">
            <v>1.51</v>
          </cell>
          <cell r="L140">
            <v>1.51</v>
          </cell>
          <cell r="M140">
            <v>1</v>
          </cell>
          <cell r="N140">
            <v>1</v>
          </cell>
          <cell r="O140" t="e">
            <v>#N/A</v>
          </cell>
        </row>
        <row r="141">
          <cell r="A141" t="str">
            <v>B801AQ</v>
          </cell>
          <cell r="B141" t="str">
            <v>P12中鋼1A</v>
          </cell>
          <cell r="C141" t="str">
            <v>TWD</v>
          </cell>
          <cell r="D141">
            <v>2.67</v>
          </cell>
          <cell r="E141">
            <v>0</v>
          </cell>
          <cell r="F141">
            <v>1.56</v>
          </cell>
          <cell r="G141">
            <v>1.56</v>
          </cell>
          <cell r="H141">
            <v>1.56</v>
          </cell>
          <cell r="I141">
            <v>2</v>
          </cell>
          <cell r="J141">
            <v>1.5620000000000001</v>
          </cell>
          <cell r="K141">
            <v>1.5620000000000001</v>
          </cell>
          <cell r="L141">
            <v>1.5620000000000001</v>
          </cell>
          <cell r="M141">
            <v>1</v>
          </cell>
          <cell r="N141">
            <v>2</v>
          </cell>
          <cell r="O141" t="e">
            <v>#N/A</v>
          </cell>
        </row>
        <row r="142">
          <cell r="A142" t="str">
            <v>B903YT</v>
          </cell>
          <cell r="B142" t="str">
            <v>P12台電1B</v>
          </cell>
          <cell r="C142" t="str">
            <v>TWD</v>
          </cell>
          <cell r="D142">
            <v>4.05</v>
          </cell>
          <cell r="E142">
            <v>0</v>
          </cell>
          <cell r="F142" t="str">
            <v/>
          </cell>
          <cell r="G142" t="str">
            <v/>
          </cell>
          <cell r="H142" t="str">
            <v/>
          </cell>
          <cell r="I142" t="str">
            <v/>
          </cell>
          <cell r="J142">
            <v>1.52</v>
          </cell>
          <cell r="K142">
            <v>1.52</v>
          </cell>
          <cell r="L142">
            <v>1.52</v>
          </cell>
          <cell r="M142">
            <v>1</v>
          </cell>
          <cell r="N142">
            <v>3</v>
          </cell>
          <cell r="O142" t="e">
            <v>#N/A</v>
          </cell>
        </row>
        <row r="143">
          <cell r="A143" t="str">
            <v>B97846</v>
          </cell>
          <cell r="B143" t="str">
            <v>P08富邦金1</v>
          </cell>
          <cell r="C143" t="str">
            <v>TWD</v>
          </cell>
          <cell r="D143">
            <v>1.1399999999999999</v>
          </cell>
          <cell r="E143">
            <v>0</v>
          </cell>
          <cell r="F143">
            <v>1.53</v>
          </cell>
          <cell r="G143">
            <v>1.53</v>
          </cell>
          <cell r="H143">
            <v>1.53</v>
          </cell>
          <cell r="I143">
            <v>2</v>
          </cell>
          <cell r="J143">
            <v>1.54</v>
          </cell>
          <cell r="K143">
            <v>1.54</v>
          </cell>
          <cell r="L143">
            <v>1.54</v>
          </cell>
          <cell r="M143">
            <v>1</v>
          </cell>
          <cell r="N143">
            <v>2</v>
          </cell>
          <cell r="O143" t="e">
            <v>#N/A</v>
          </cell>
        </row>
        <row r="144">
          <cell r="A144" t="str">
            <v>B97855</v>
          </cell>
          <cell r="B144" t="str">
            <v>P09富邦金8</v>
          </cell>
          <cell r="C144" t="str">
            <v>TWD</v>
          </cell>
          <cell r="D144">
            <v>1.07</v>
          </cell>
          <cell r="E144">
            <v>0</v>
          </cell>
          <cell r="F144">
            <v>1.522</v>
          </cell>
          <cell r="G144">
            <v>1.522</v>
          </cell>
          <cell r="H144">
            <v>1.522</v>
          </cell>
          <cell r="I144">
            <v>4</v>
          </cell>
          <cell r="J144">
            <v>1.5349999999999999</v>
          </cell>
          <cell r="K144">
            <v>1.52</v>
          </cell>
          <cell r="L144">
            <v>1.5275000000000001</v>
          </cell>
          <cell r="M144">
            <v>2</v>
          </cell>
          <cell r="N144">
            <v>8</v>
          </cell>
          <cell r="O144" t="e">
            <v>#N/A</v>
          </cell>
        </row>
        <row r="145">
          <cell r="A145" t="str">
            <v>F19002</v>
          </cell>
          <cell r="B145" t="str">
            <v>P23CATLI2</v>
          </cell>
          <cell r="C145" t="str">
            <v>USD</v>
          </cell>
          <cell r="D145">
            <v>7.33</v>
          </cell>
          <cell r="E145">
            <v>0</v>
          </cell>
          <cell r="F145" t="str">
            <v/>
          </cell>
          <cell r="G145" t="str">
            <v/>
          </cell>
          <cell r="H145" t="str">
            <v/>
          </cell>
          <cell r="I145" t="str">
            <v/>
          </cell>
          <cell r="J145">
            <v>6.1</v>
          </cell>
          <cell r="K145">
            <v>6.1</v>
          </cell>
          <cell r="L145">
            <v>6.1</v>
          </cell>
          <cell r="M145">
            <v>20</v>
          </cell>
          <cell r="N145">
            <v>0.27</v>
          </cell>
          <cell r="O145" t="e">
            <v>#N/A</v>
          </cell>
        </row>
        <row r="146">
          <cell r="A146" t="str">
            <v>F12204</v>
          </cell>
          <cell r="B146" t="str">
            <v>P23NAB1</v>
          </cell>
          <cell r="C146" t="str">
            <v>USD</v>
          </cell>
          <cell r="D146">
            <v>0</v>
          </cell>
          <cell r="E146">
            <v>0</v>
          </cell>
          <cell r="F146" t="str">
            <v/>
          </cell>
          <cell r="G146" t="str">
            <v/>
          </cell>
          <cell r="H146" t="str">
            <v/>
          </cell>
          <cell r="I146" t="str">
            <v/>
          </cell>
          <cell r="J146" t="str">
            <v>-</v>
          </cell>
          <cell r="K146" t="str">
            <v>-</v>
          </cell>
          <cell r="L146" t="str">
            <v>-</v>
          </cell>
          <cell r="M146">
            <v>1</v>
          </cell>
          <cell r="N146">
            <v>0.02</v>
          </cell>
          <cell r="O146" t="e">
            <v>#N/A</v>
          </cell>
        </row>
        <row r="147">
          <cell r="M147">
            <v>0</v>
          </cell>
        </row>
        <row r="148">
          <cell r="M148">
            <v>0</v>
          </cell>
        </row>
        <row r="149">
          <cell r="M149">
            <v>0</v>
          </cell>
        </row>
        <row r="150">
          <cell r="M150">
            <v>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0.98229999999999995</v>
          </cell>
        </row>
        <row r="5">
          <cell r="A5" t="str">
            <v>A08101</v>
          </cell>
          <cell r="B5" t="str">
            <v>113/01/14</v>
          </cell>
          <cell r="C5">
            <v>0.625</v>
          </cell>
          <cell r="D5">
            <v>0.27</v>
          </cell>
          <cell r="E5">
            <v>0.28000000000000003</v>
          </cell>
          <cell r="F5" t="str">
            <v/>
          </cell>
          <cell r="G5" t="str">
            <v/>
          </cell>
          <cell r="H5" t="str">
            <v/>
          </cell>
          <cell r="I5" t="str">
            <v/>
          </cell>
          <cell r="J5" t="str">
            <v/>
          </cell>
          <cell r="K5" t="str">
            <v/>
          </cell>
          <cell r="L5" t="str">
            <v/>
          </cell>
          <cell r="M5" t="str">
            <v/>
          </cell>
          <cell r="N5" t="str">
            <v/>
          </cell>
          <cell r="O5">
            <v>0.98309999999999997</v>
          </cell>
        </row>
        <row r="6">
          <cell r="A6" t="str">
            <v>A93103</v>
          </cell>
          <cell r="B6" t="str">
            <v>113/02/10</v>
          </cell>
          <cell r="C6">
            <v>3</v>
          </cell>
          <cell r="D6">
            <v>0.35</v>
          </cell>
          <cell r="E6">
            <v>0.35</v>
          </cell>
          <cell r="F6" t="str">
            <v/>
          </cell>
          <cell r="G6" t="str">
            <v/>
          </cell>
          <cell r="H6" t="str">
            <v/>
          </cell>
          <cell r="I6" t="str">
            <v/>
          </cell>
          <cell r="J6" t="str">
            <v/>
          </cell>
          <cell r="K6" t="str">
            <v/>
          </cell>
          <cell r="L6" t="str">
            <v/>
          </cell>
          <cell r="M6" t="str">
            <v/>
          </cell>
          <cell r="N6" t="str">
            <v/>
          </cell>
          <cell r="O6">
            <v>0.98509999999999998</v>
          </cell>
        </row>
        <row r="7">
          <cell r="A7" t="str">
            <v>A03106</v>
          </cell>
          <cell r="B7" t="str">
            <v>113/03/03</v>
          </cell>
          <cell r="C7">
            <v>1.5</v>
          </cell>
          <cell r="D7">
            <v>0.41</v>
          </cell>
          <cell r="E7">
            <v>0.41</v>
          </cell>
          <cell r="F7" t="str">
            <v/>
          </cell>
          <cell r="G7" t="str">
            <v/>
          </cell>
          <cell r="H7" t="str">
            <v/>
          </cell>
          <cell r="I7" t="str">
            <v/>
          </cell>
          <cell r="J7" t="str">
            <v/>
          </cell>
          <cell r="K7" t="str">
            <v/>
          </cell>
          <cell r="L7" t="str">
            <v/>
          </cell>
          <cell r="M7" t="str">
            <v/>
          </cell>
          <cell r="N7" t="str">
            <v/>
          </cell>
          <cell r="O7">
            <v>0.98699999999999999</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0.98950000000000005</v>
          </cell>
        </row>
        <row r="9">
          <cell r="A9" t="str">
            <v>A08107</v>
          </cell>
          <cell r="B9" t="str">
            <v>113/07/17</v>
          </cell>
          <cell r="C9">
            <v>0.5</v>
          </cell>
          <cell r="D9">
            <v>0.77</v>
          </cell>
          <cell r="E9">
            <v>0.78</v>
          </cell>
          <cell r="F9">
            <v>0.93</v>
          </cell>
          <cell r="G9">
            <v>0.93</v>
          </cell>
          <cell r="H9">
            <v>0.93</v>
          </cell>
          <cell r="I9">
            <v>1</v>
          </cell>
          <cell r="J9">
            <v>0.92</v>
          </cell>
          <cell r="K9">
            <v>0.92</v>
          </cell>
          <cell r="L9">
            <v>0.92</v>
          </cell>
          <cell r="M9">
            <v>1</v>
          </cell>
          <cell r="N9">
            <v>1</v>
          </cell>
          <cell r="O9">
            <v>0.99939999999999996</v>
          </cell>
        </row>
        <row r="10">
          <cell r="A10" t="str">
            <v>A03113</v>
          </cell>
          <cell r="B10" t="str">
            <v>113/09/26</v>
          </cell>
          <cell r="C10">
            <v>1.625</v>
          </cell>
          <cell r="D10">
            <v>0.97</v>
          </cell>
          <cell r="E10">
            <v>0.98</v>
          </cell>
          <cell r="F10" t="str">
            <v/>
          </cell>
          <cell r="G10" t="str">
            <v/>
          </cell>
          <cell r="H10" t="str">
            <v/>
          </cell>
          <cell r="I10" t="str">
            <v/>
          </cell>
          <cell r="J10" t="str">
            <v/>
          </cell>
          <cell r="K10" t="str">
            <v/>
          </cell>
          <cell r="L10" t="str">
            <v/>
          </cell>
          <cell r="M10" t="str">
            <v/>
          </cell>
          <cell r="N10" t="str">
            <v/>
          </cell>
          <cell r="O10">
            <v>1.0056</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1.0098</v>
          </cell>
        </row>
        <row r="12">
          <cell r="A12" t="str">
            <v>A09101</v>
          </cell>
          <cell r="B12" t="str">
            <v>114/01/10</v>
          </cell>
          <cell r="C12">
            <v>0.5</v>
          </cell>
          <cell r="D12">
            <v>1.25</v>
          </cell>
          <cell r="E12">
            <v>1.27</v>
          </cell>
          <cell r="F12" t="str">
            <v/>
          </cell>
          <cell r="G12" t="str">
            <v/>
          </cell>
          <cell r="H12" t="str">
            <v/>
          </cell>
          <cell r="I12" t="str">
            <v/>
          </cell>
          <cell r="J12" t="str">
            <v/>
          </cell>
          <cell r="K12" t="str">
            <v/>
          </cell>
          <cell r="L12" t="str">
            <v/>
          </cell>
          <cell r="M12" t="str">
            <v/>
          </cell>
          <cell r="N12" t="str">
            <v/>
          </cell>
          <cell r="O12">
            <v>1.0143</v>
          </cell>
        </row>
        <row r="13">
          <cell r="A13" t="str">
            <v>A12103</v>
          </cell>
          <cell r="B13" t="str">
            <v>114/02/23</v>
          </cell>
          <cell r="C13">
            <v>1</v>
          </cell>
          <cell r="D13">
            <v>1.36</v>
          </cell>
          <cell r="E13">
            <v>1.39</v>
          </cell>
          <cell r="F13" t="str">
            <v/>
          </cell>
          <cell r="G13" t="str">
            <v/>
          </cell>
          <cell r="H13" t="str">
            <v/>
          </cell>
          <cell r="I13" t="str">
            <v/>
          </cell>
          <cell r="J13" t="str">
            <v/>
          </cell>
          <cell r="K13" t="str">
            <v/>
          </cell>
          <cell r="L13" t="str">
            <v/>
          </cell>
          <cell r="M13" t="str">
            <v/>
          </cell>
          <cell r="N13" t="str">
            <v/>
          </cell>
          <cell r="O13">
            <v>1.0179</v>
          </cell>
        </row>
        <row r="14">
          <cell r="A14" t="str">
            <v>A94103</v>
          </cell>
          <cell r="B14" t="str">
            <v>114/02/25</v>
          </cell>
          <cell r="C14">
            <v>2.375</v>
          </cell>
          <cell r="D14">
            <v>1.36</v>
          </cell>
          <cell r="E14">
            <v>1.39</v>
          </cell>
          <cell r="F14" t="str">
            <v/>
          </cell>
          <cell r="G14" t="str">
            <v/>
          </cell>
          <cell r="H14" t="str">
            <v/>
          </cell>
          <cell r="I14" t="str">
            <v/>
          </cell>
          <cell r="J14" t="str">
            <v/>
          </cell>
          <cell r="K14" t="str">
            <v/>
          </cell>
          <cell r="L14" t="str">
            <v/>
          </cell>
          <cell r="M14" t="str">
            <v/>
          </cell>
          <cell r="N14" t="str">
            <v/>
          </cell>
          <cell r="O14">
            <v>1.018</v>
          </cell>
        </row>
        <row r="15">
          <cell r="A15" t="str">
            <v>A04105</v>
          </cell>
          <cell r="B15" t="str">
            <v>114/03/13</v>
          </cell>
          <cell r="C15">
            <v>1.625</v>
          </cell>
          <cell r="D15">
            <v>1.41</v>
          </cell>
          <cell r="E15">
            <v>1.44</v>
          </cell>
          <cell r="F15" t="str">
            <v/>
          </cell>
          <cell r="G15" t="str">
            <v/>
          </cell>
          <cell r="H15" t="str">
            <v/>
          </cell>
          <cell r="I15" t="str">
            <v/>
          </cell>
          <cell r="J15" t="str">
            <v/>
          </cell>
          <cell r="K15" t="str">
            <v/>
          </cell>
          <cell r="L15" t="str">
            <v/>
          </cell>
          <cell r="M15" t="str">
            <v/>
          </cell>
          <cell r="N15" t="str">
            <v/>
          </cell>
          <cell r="O15">
            <v>1.0194000000000001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1.0319</v>
          </cell>
        </row>
        <row r="17">
          <cell r="A17" t="str">
            <v>A04112</v>
          </cell>
          <cell r="B17" t="str">
            <v>114/09/11</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2.15</v>
          </cell>
          <cell r="E18">
            <v>2.1800000000000002</v>
          </cell>
          <cell r="F18" t="str">
            <v/>
          </cell>
          <cell r="G18" t="str">
            <v/>
          </cell>
          <cell r="H18" t="str">
            <v/>
          </cell>
          <cell r="I18" t="str">
            <v/>
          </cell>
          <cell r="J18" t="str">
            <v/>
          </cell>
          <cell r="K18" t="str">
            <v/>
          </cell>
          <cell r="L18" t="str">
            <v/>
          </cell>
          <cell r="M18" t="str">
            <v/>
          </cell>
          <cell r="N18" t="str">
            <v/>
          </cell>
          <cell r="O18">
            <v>1.0491999999999999</v>
          </cell>
        </row>
        <row r="19">
          <cell r="A19" t="str">
            <v>A10101</v>
          </cell>
          <cell r="B19" t="str">
            <v>115/01/13</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1.0541</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1.0596000000000001</v>
          </cell>
        </row>
        <row r="21">
          <cell r="A21" t="str">
            <v>A05104</v>
          </cell>
          <cell r="B21" t="str">
            <v>115/03/04</v>
          </cell>
          <cell r="C21">
            <v>0.75</v>
          </cell>
          <cell r="D21">
            <v>2.37</v>
          </cell>
          <cell r="E21">
            <v>2.41</v>
          </cell>
          <cell r="F21" t="str">
            <v/>
          </cell>
          <cell r="G21" t="str">
            <v/>
          </cell>
          <cell r="H21" t="str">
            <v/>
          </cell>
          <cell r="I21" t="str">
            <v/>
          </cell>
          <cell r="J21" t="str">
            <v/>
          </cell>
          <cell r="K21" t="str">
            <v/>
          </cell>
          <cell r="L21" t="str">
            <v/>
          </cell>
          <cell r="M21" t="str">
            <v/>
          </cell>
          <cell r="N21" t="str">
            <v/>
          </cell>
          <cell r="O21">
            <v>1.0612999999999999</v>
          </cell>
        </row>
        <row r="22">
          <cell r="A22" t="str">
            <v>A10108</v>
          </cell>
          <cell r="B22" t="str">
            <v>115/07/29</v>
          </cell>
          <cell r="C22">
            <v>0.25</v>
          </cell>
          <cell r="D22">
            <v>2.78</v>
          </cell>
          <cell r="E22">
            <v>2.81</v>
          </cell>
          <cell r="F22" t="str">
            <v/>
          </cell>
          <cell r="G22" t="str">
            <v/>
          </cell>
          <cell r="H22" t="str">
            <v/>
          </cell>
          <cell r="I22" t="str">
            <v/>
          </cell>
          <cell r="J22" t="str">
            <v/>
          </cell>
          <cell r="K22" t="str">
            <v/>
          </cell>
          <cell r="L22" t="str">
            <v/>
          </cell>
          <cell r="M22" t="str">
            <v/>
          </cell>
          <cell r="N22" t="str">
            <v/>
          </cell>
          <cell r="O22">
            <v>1.085</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1.0912999999999999</v>
          </cell>
        </row>
        <row r="24">
          <cell r="A24" t="str">
            <v>A95107</v>
          </cell>
          <cell r="B24" t="str">
            <v>115/11/10</v>
          </cell>
          <cell r="C24">
            <v>2.125</v>
          </cell>
          <cell r="D24">
            <v>2.95</v>
          </cell>
          <cell r="E24">
            <v>3.1</v>
          </cell>
          <cell r="F24" t="str">
            <v/>
          </cell>
          <cell r="G24" t="str">
            <v/>
          </cell>
          <cell r="H24" t="str">
            <v/>
          </cell>
          <cell r="I24" t="str">
            <v/>
          </cell>
          <cell r="J24" t="str">
            <v/>
          </cell>
          <cell r="K24" t="str">
            <v/>
          </cell>
          <cell r="L24" t="str">
            <v/>
          </cell>
          <cell r="M24" t="str">
            <v/>
          </cell>
          <cell r="N24" t="str">
            <v/>
          </cell>
          <cell r="O24">
            <v>1.1008</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1.1157999999999999</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1.119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1.1188</v>
          </cell>
        </row>
        <row r="28">
          <cell r="A28" t="str">
            <v>A11106</v>
          </cell>
          <cell r="B28" t="str">
            <v>116/06/23</v>
          </cell>
          <cell r="C28">
            <v>1</v>
          </cell>
          <cell r="D28">
            <v>3.62</v>
          </cell>
          <cell r="E28">
            <v>3.72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3.8</v>
          </cell>
          <cell r="E29">
            <v>4.12</v>
          </cell>
          <cell r="F29" t="str">
            <v/>
          </cell>
          <cell r="G29" t="str">
            <v/>
          </cell>
          <cell r="H29" t="str">
            <v/>
          </cell>
          <cell r="I29" t="str">
            <v/>
          </cell>
          <cell r="J29" t="str">
            <v/>
          </cell>
          <cell r="K29" t="str">
            <v/>
          </cell>
          <cell r="L29" t="str">
            <v/>
          </cell>
          <cell r="M29" t="str">
            <v/>
          </cell>
          <cell r="N29" t="str">
            <v/>
          </cell>
          <cell r="O29">
            <v>1.1514</v>
          </cell>
        </row>
        <row r="30">
          <cell r="A30" t="str">
            <v>A11108</v>
          </cell>
          <cell r="B30" t="str">
            <v>116/09/23</v>
          </cell>
          <cell r="C30">
            <v>1.25</v>
          </cell>
          <cell r="D30">
            <v>3.85</v>
          </cell>
          <cell r="E30">
            <v>3.97</v>
          </cell>
          <cell r="F30" t="str">
            <v/>
          </cell>
          <cell r="G30" t="str">
            <v/>
          </cell>
          <cell r="H30" t="str">
            <v/>
          </cell>
          <cell r="I30" t="str">
            <v/>
          </cell>
          <cell r="J30" t="str">
            <v/>
          </cell>
          <cell r="K30" t="str">
            <v/>
          </cell>
          <cell r="L30" t="str">
            <v/>
          </cell>
          <cell r="M30" t="str">
            <v/>
          </cell>
          <cell r="N30" t="str">
            <v/>
          </cell>
          <cell r="O30">
            <v>1.1474</v>
          </cell>
        </row>
        <row r="31">
          <cell r="A31" t="str">
            <v>A06109</v>
          </cell>
          <cell r="B31" t="str">
            <v>116/09/20</v>
          </cell>
          <cell r="C31">
            <v>1</v>
          </cell>
          <cell r="D31">
            <v>3.86</v>
          </cell>
          <cell r="E31">
            <v>3.96</v>
          </cell>
          <cell r="F31" t="str">
            <v/>
          </cell>
          <cell r="G31" t="str">
            <v/>
          </cell>
          <cell r="H31" t="str">
            <v/>
          </cell>
          <cell r="I31" t="str">
            <v/>
          </cell>
          <cell r="J31" t="str">
            <v/>
          </cell>
          <cell r="K31" t="str">
            <v/>
          </cell>
          <cell r="L31" t="str">
            <v/>
          </cell>
          <cell r="M31" t="str">
            <v/>
          </cell>
          <cell r="N31" t="str">
            <v/>
          </cell>
          <cell r="O31">
            <v>1.1473</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1.1593</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1.1613</v>
          </cell>
        </row>
        <row r="34">
          <cell r="A34" t="str">
            <v>A12101</v>
          </cell>
          <cell r="B34" t="str">
            <v>117/01/17</v>
          </cell>
          <cell r="C34">
            <v>1</v>
          </cell>
          <cell r="D34">
            <v>4.1399999999999997</v>
          </cell>
          <cell r="E34">
            <v>4.29</v>
          </cell>
          <cell r="F34" t="str">
            <v/>
          </cell>
          <cell r="G34" t="str">
            <v/>
          </cell>
          <cell r="H34" t="str">
            <v/>
          </cell>
          <cell r="I34" t="str">
            <v/>
          </cell>
          <cell r="J34" t="str">
            <v/>
          </cell>
          <cell r="K34" t="str">
            <v/>
          </cell>
          <cell r="L34" t="str">
            <v/>
          </cell>
          <cell r="M34" t="str">
            <v/>
          </cell>
          <cell r="N34" t="str">
            <v/>
          </cell>
          <cell r="O34">
            <v>1.1607000000000001</v>
          </cell>
        </row>
        <row r="35">
          <cell r="A35" t="str">
            <v>A07102</v>
          </cell>
          <cell r="B35" t="str">
            <v>117/02/08</v>
          </cell>
          <cell r="C35">
            <v>1</v>
          </cell>
          <cell r="D35">
            <v>4.2</v>
          </cell>
          <cell r="E35">
            <v>4.3499999999999996</v>
          </cell>
          <cell r="F35" t="str">
            <v/>
          </cell>
          <cell r="G35" t="str">
            <v/>
          </cell>
          <cell r="H35" t="str">
            <v/>
          </cell>
          <cell r="I35" t="str">
            <v/>
          </cell>
          <cell r="J35" t="str">
            <v/>
          </cell>
          <cell r="K35" t="str">
            <v/>
          </cell>
          <cell r="L35" t="str">
            <v/>
          </cell>
          <cell r="M35" t="str">
            <v/>
          </cell>
          <cell r="N35" t="str">
            <v/>
          </cell>
          <cell r="O35">
            <v>1.1629</v>
          </cell>
        </row>
        <row r="36">
          <cell r="A36" t="str">
            <v>A12106</v>
          </cell>
          <cell r="B36" t="str">
            <v>117/05/26</v>
          </cell>
          <cell r="C36">
            <v>1</v>
          </cell>
          <cell r="D36">
            <v>4.49</v>
          </cell>
          <cell r="E36">
            <v>4.6399999999999997</v>
          </cell>
          <cell r="F36" t="str">
            <v/>
          </cell>
          <cell r="G36" t="str">
            <v/>
          </cell>
          <cell r="H36" t="str">
            <v/>
          </cell>
          <cell r="I36" t="str">
            <v/>
          </cell>
          <cell r="J36" t="str">
            <v/>
          </cell>
          <cell r="K36" t="str">
            <v/>
          </cell>
          <cell r="L36" t="str">
            <v/>
          </cell>
          <cell r="M36" t="str">
            <v/>
          </cell>
          <cell r="N36" t="str">
            <v/>
          </cell>
          <cell r="O36">
            <v>1.1725000000000001</v>
          </cell>
        </row>
        <row r="37">
          <cell r="A37" t="str">
            <v>A07105</v>
          </cell>
          <cell r="B37" t="str">
            <v>117/06/08</v>
          </cell>
          <cell r="C37">
            <v>0.875</v>
          </cell>
          <cell r="D37">
            <v>4.53</v>
          </cell>
          <cell r="E37">
            <v>4.68</v>
          </cell>
          <cell r="F37" t="str">
            <v/>
          </cell>
          <cell r="G37" t="str">
            <v/>
          </cell>
          <cell r="H37" t="str">
            <v/>
          </cell>
          <cell r="I37" t="str">
            <v/>
          </cell>
          <cell r="J37" t="str">
            <v/>
          </cell>
          <cell r="K37" t="str">
            <v/>
          </cell>
          <cell r="L37" t="str">
            <v/>
          </cell>
          <cell r="M37" t="str">
            <v/>
          </cell>
          <cell r="N37" t="str">
            <v/>
          </cell>
          <cell r="O37">
            <v>1.1738</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1.1761999999999999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1.1808000000000001</v>
          </cell>
        </row>
        <row r="40">
          <cell r="A40" t="str">
            <v>A10202</v>
          </cell>
          <cell r="B40" t="str">
            <v>117/08/20</v>
          </cell>
          <cell r="C40">
            <v>0.25</v>
          </cell>
          <cell r="D40">
            <v>4.79</v>
          </cell>
          <cell r="E40">
            <v>4.88</v>
          </cell>
          <cell r="F40" t="str">
            <v/>
          </cell>
          <cell r="G40" t="str">
            <v/>
          </cell>
          <cell r="H40" t="str">
            <v/>
          </cell>
          <cell r="I40" t="str">
            <v/>
          </cell>
          <cell r="J40" t="str">
            <v/>
          </cell>
          <cell r="K40" t="str">
            <v/>
          </cell>
          <cell r="L40" t="str">
            <v/>
          </cell>
          <cell r="M40" t="str">
            <v/>
          </cell>
          <cell r="N40" t="str">
            <v/>
          </cell>
          <cell r="O40">
            <v>1.1805000000000001</v>
          </cell>
        </row>
        <row r="41">
          <cell r="A41" t="str">
            <v>A07109</v>
          </cell>
          <cell r="B41" t="str">
            <v>117/10/17</v>
          </cell>
          <cell r="C41">
            <v>0.875</v>
          </cell>
          <cell r="D41">
            <v>4.8499999999999996</v>
          </cell>
          <cell r="E41">
            <v>5.04</v>
          </cell>
          <cell r="F41" t="str">
            <v/>
          </cell>
          <cell r="G41" t="str">
            <v/>
          </cell>
          <cell r="H41" t="str">
            <v/>
          </cell>
          <cell r="I41" t="str">
            <v/>
          </cell>
          <cell r="J41" t="str">
            <v/>
          </cell>
          <cell r="K41" t="str">
            <v/>
          </cell>
          <cell r="L41" t="str">
            <v/>
          </cell>
          <cell r="M41" t="str">
            <v/>
          </cell>
          <cell r="N41" t="str">
            <v/>
          </cell>
          <cell r="O41">
            <v>1.1833</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1.1879</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1.1901999999999999</v>
          </cell>
        </row>
        <row r="44">
          <cell r="A44" t="str">
            <v>A98105</v>
          </cell>
          <cell r="B44" t="str">
            <v>118/08/13</v>
          </cell>
          <cell r="C44">
            <v>2.125</v>
          </cell>
          <cell r="D44">
            <v>5.5</v>
          </cell>
          <cell r="E44">
            <v>5.86</v>
          </cell>
          <cell r="F44" t="str">
            <v/>
          </cell>
          <cell r="G44" t="str">
            <v/>
          </cell>
          <cell r="H44" t="str">
            <v/>
          </cell>
          <cell r="I44" t="str">
            <v/>
          </cell>
          <cell r="J44" t="str">
            <v/>
          </cell>
          <cell r="K44" t="str">
            <v/>
          </cell>
          <cell r="L44" t="str">
            <v/>
          </cell>
          <cell r="M44" t="str">
            <v/>
          </cell>
          <cell r="N44" t="str">
            <v/>
          </cell>
          <cell r="O44">
            <v>1.1957</v>
          </cell>
        </row>
        <row r="45">
          <cell r="A45" t="str">
            <v>A08106</v>
          </cell>
          <cell r="B45" t="str">
            <v>118/06/26</v>
          </cell>
          <cell r="C45">
            <v>0.625</v>
          </cell>
          <cell r="D45">
            <v>5.56</v>
          </cell>
          <cell r="E45">
            <v>5.73</v>
          </cell>
          <cell r="F45" t="str">
            <v/>
          </cell>
          <cell r="G45" t="str">
            <v/>
          </cell>
          <cell r="H45" t="str">
            <v/>
          </cell>
          <cell r="I45" t="str">
            <v/>
          </cell>
          <cell r="J45" t="str">
            <v/>
          </cell>
          <cell r="K45" t="str">
            <v/>
          </cell>
          <cell r="L45" t="str">
            <v/>
          </cell>
          <cell r="M45" t="str">
            <v/>
          </cell>
          <cell r="N45" t="str">
            <v/>
          </cell>
          <cell r="O45">
            <v>1.1964999999999999</v>
          </cell>
        </row>
        <row r="46">
          <cell r="A46" t="str">
            <v>A08109</v>
          </cell>
          <cell r="B46" t="str">
            <v>118/10/14</v>
          </cell>
          <cell r="C46">
            <v>0.625</v>
          </cell>
          <cell r="D46">
            <v>5.82</v>
          </cell>
          <cell r="E46">
            <v>6.03</v>
          </cell>
          <cell r="F46" t="str">
            <v/>
          </cell>
          <cell r="G46" t="str">
            <v/>
          </cell>
          <cell r="H46" t="str">
            <v/>
          </cell>
          <cell r="I46" t="str">
            <v/>
          </cell>
          <cell r="J46" t="str">
            <v/>
          </cell>
          <cell r="K46" t="str">
            <v/>
          </cell>
          <cell r="L46" t="str">
            <v/>
          </cell>
          <cell r="M46" t="str">
            <v/>
          </cell>
          <cell r="N46" t="str">
            <v/>
          </cell>
          <cell r="O46">
            <v>1.2008000000000001</v>
          </cell>
        </row>
        <row r="47">
          <cell r="A47" t="str">
            <v>A99104</v>
          </cell>
          <cell r="B47" t="str">
            <v>119/02/22</v>
          </cell>
          <cell r="C47">
            <v>1.875</v>
          </cell>
          <cell r="D47">
            <v>5.95</v>
          </cell>
          <cell r="E47">
            <v>6.39</v>
          </cell>
          <cell r="F47" t="str">
            <v/>
          </cell>
          <cell r="G47" t="str">
            <v/>
          </cell>
          <cell r="H47" t="str">
            <v/>
          </cell>
          <cell r="I47" t="str">
            <v/>
          </cell>
          <cell r="J47" t="str">
            <v/>
          </cell>
          <cell r="K47" t="str">
            <v/>
          </cell>
          <cell r="L47" t="str">
            <v/>
          </cell>
          <cell r="M47" t="str">
            <v/>
          </cell>
          <cell r="N47" t="str">
            <v/>
          </cell>
          <cell r="O47">
            <v>1.2029000000000001</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1.2055</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1.2088000000000001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1.2094</v>
          </cell>
        </row>
        <row r="51">
          <cell r="A51" t="str">
            <v>A00102</v>
          </cell>
          <cell r="B51" t="str">
            <v>120/01/13</v>
          </cell>
          <cell r="C51">
            <v>2.125</v>
          </cell>
          <cell r="D51">
            <v>6.66</v>
          </cell>
          <cell r="E51">
            <v>7.27</v>
          </cell>
          <cell r="F51" t="str">
            <v/>
          </cell>
          <cell r="G51" t="str">
            <v/>
          </cell>
          <cell r="H51" t="str">
            <v/>
          </cell>
          <cell r="I51" t="str">
            <v/>
          </cell>
          <cell r="J51" t="str">
            <v/>
          </cell>
          <cell r="K51" t="str">
            <v/>
          </cell>
          <cell r="L51" t="str">
            <v/>
          </cell>
          <cell r="M51" t="str">
            <v/>
          </cell>
          <cell r="N51" t="str">
            <v/>
          </cell>
          <cell r="O51">
            <v>1.2134</v>
          </cell>
        </row>
        <row r="52">
          <cell r="A52" t="str">
            <v>A09109</v>
          </cell>
          <cell r="B52" t="str">
            <v>119/10/14</v>
          </cell>
          <cell r="C52">
            <v>0.25</v>
          </cell>
          <cell r="D52">
            <v>6.87</v>
          </cell>
          <cell r="E52">
            <v>7.03</v>
          </cell>
          <cell r="F52" t="str">
            <v/>
          </cell>
          <cell r="G52" t="str">
            <v/>
          </cell>
          <cell r="H52" t="str">
            <v/>
          </cell>
          <cell r="I52" t="str">
            <v/>
          </cell>
          <cell r="J52" t="str">
            <v/>
          </cell>
          <cell r="K52" t="str">
            <v/>
          </cell>
          <cell r="L52" t="str">
            <v/>
          </cell>
          <cell r="M52" t="str">
            <v/>
          </cell>
          <cell r="N52" t="str">
            <v/>
          </cell>
          <cell r="O52">
            <v>1.2139</v>
          </cell>
        </row>
        <row r="53">
          <cell r="A53" t="str">
            <v>A90105</v>
          </cell>
          <cell r="B53" t="str">
            <v>120/07/17</v>
          </cell>
          <cell r="C53">
            <v>3.625</v>
          </cell>
          <cell r="D53">
            <v>6.87</v>
          </cell>
          <cell r="E53">
            <v>7.78</v>
          </cell>
          <cell r="F53" t="str">
            <v/>
          </cell>
          <cell r="G53" t="str">
            <v/>
          </cell>
          <cell r="H53" t="str">
            <v/>
          </cell>
          <cell r="I53" t="str">
            <v/>
          </cell>
          <cell r="J53" t="str">
            <v/>
          </cell>
          <cell r="K53" t="str">
            <v/>
          </cell>
          <cell r="L53" t="str">
            <v/>
          </cell>
          <cell r="M53" t="str">
            <v/>
          </cell>
          <cell r="N53" t="str">
            <v/>
          </cell>
          <cell r="O53">
            <v>1.2174</v>
          </cell>
        </row>
        <row r="54">
          <cell r="A54" t="str">
            <v>A00201</v>
          </cell>
          <cell r="B54" t="str">
            <v>120/05/26</v>
          </cell>
          <cell r="C54">
            <v>1.75</v>
          </cell>
          <cell r="D54">
            <v>7.1</v>
          </cell>
          <cell r="E54">
            <v>7.64</v>
          </cell>
          <cell r="F54" t="str">
            <v/>
          </cell>
          <cell r="G54" t="str">
            <v/>
          </cell>
          <cell r="H54" t="str">
            <v/>
          </cell>
          <cell r="I54" t="str">
            <v/>
          </cell>
          <cell r="J54" t="str">
            <v/>
          </cell>
          <cell r="K54" t="str">
            <v/>
          </cell>
          <cell r="L54" t="str">
            <v/>
          </cell>
          <cell r="M54" t="str">
            <v/>
          </cell>
          <cell r="N54" t="str">
            <v/>
          </cell>
          <cell r="O54">
            <v>1.2189000000000001</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1.2185999999999999</v>
          </cell>
        </row>
        <row r="56">
          <cell r="A56" t="str">
            <v>A00107</v>
          </cell>
          <cell r="B56" t="str">
            <v>120/08/02</v>
          </cell>
          <cell r="C56">
            <v>1.875</v>
          </cell>
          <cell r="D56">
            <v>7.25</v>
          </cell>
          <cell r="E56">
            <v>7.83</v>
          </cell>
          <cell r="F56" t="str">
            <v/>
          </cell>
          <cell r="G56" t="str">
            <v/>
          </cell>
          <cell r="H56" t="str">
            <v/>
          </cell>
          <cell r="I56" t="str">
            <v/>
          </cell>
          <cell r="J56" t="str">
            <v/>
          </cell>
          <cell r="K56" t="str">
            <v/>
          </cell>
          <cell r="L56" t="str">
            <v/>
          </cell>
          <cell r="M56" t="str">
            <v/>
          </cell>
          <cell r="N56" t="str">
            <v/>
          </cell>
          <cell r="O56">
            <v>1.2213000000000001</v>
          </cell>
        </row>
        <row r="57">
          <cell r="A57" t="str">
            <v>A10201</v>
          </cell>
          <cell r="B57" t="str">
            <v>120/05/07</v>
          </cell>
          <cell r="C57">
            <v>0.375</v>
          </cell>
          <cell r="D57">
            <v>7.39</v>
          </cell>
          <cell r="E57">
            <v>7.59</v>
          </cell>
          <cell r="F57" t="str">
            <v/>
          </cell>
          <cell r="G57" t="str">
            <v/>
          </cell>
          <cell r="H57" t="str">
            <v/>
          </cell>
          <cell r="I57" t="str">
            <v/>
          </cell>
          <cell r="J57" t="str">
            <v/>
          </cell>
          <cell r="K57" t="str">
            <v/>
          </cell>
          <cell r="L57" t="str">
            <v/>
          </cell>
          <cell r="M57" t="str">
            <v/>
          </cell>
          <cell r="N57" t="str">
            <v/>
          </cell>
          <cell r="O57">
            <v>1.2211000000000001</v>
          </cell>
        </row>
        <row r="58">
          <cell r="A58" t="str">
            <v>A10107</v>
          </cell>
          <cell r="B58" t="str">
            <v>120/06/23</v>
          </cell>
          <cell r="C58">
            <v>0.375</v>
          </cell>
          <cell r="D58">
            <v>7.52</v>
          </cell>
          <cell r="E58">
            <v>7.72</v>
          </cell>
          <cell r="F58" t="str">
            <v/>
          </cell>
          <cell r="G58" t="str">
            <v/>
          </cell>
          <cell r="H58" t="str">
            <v/>
          </cell>
          <cell r="I58" t="str">
            <v/>
          </cell>
          <cell r="J58" t="str">
            <v/>
          </cell>
          <cell r="K58" t="str">
            <v/>
          </cell>
          <cell r="L58" t="str">
            <v/>
          </cell>
          <cell r="M58" t="str">
            <v/>
          </cell>
          <cell r="N58" t="str">
            <v/>
          </cell>
          <cell r="O58">
            <v>1.2229000000000001</v>
          </cell>
        </row>
        <row r="59">
          <cell r="A59" t="str">
            <v>A01102</v>
          </cell>
          <cell r="B59" t="str">
            <v>121/01/20</v>
          </cell>
          <cell r="C59">
            <v>1.625</v>
          </cell>
          <cell r="D59">
            <v>7.66</v>
          </cell>
          <cell r="E59">
            <v>8.2899999999999991</v>
          </cell>
          <cell r="F59" t="str">
            <v/>
          </cell>
          <cell r="G59" t="str">
            <v/>
          </cell>
          <cell r="H59" t="str">
            <v/>
          </cell>
          <cell r="I59" t="str">
            <v/>
          </cell>
          <cell r="J59" t="str">
            <v/>
          </cell>
          <cell r="K59" t="str">
            <v/>
          </cell>
          <cell r="L59" t="str">
            <v/>
          </cell>
          <cell r="M59" t="str">
            <v/>
          </cell>
          <cell r="N59" t="str">
            <v/>
          </cell>
          <cell r="O59">
            <v>1.2283999999999999</v>
          </cell>
        </row>
        <row r="60">
          <cell r="A60" t="str">
            <v>A10111</v>
          </cell>
          <cell r="B60" t="str">
            <v>120/10/22</v>
          </cell>
          <cell r="C60">
            <v>0.5</v>
          </cell>
          <cell r="D60">
            <v>7.77</v>
          </cell>
          <cell r="E60">
            <v>8.0500000000000007</v>
          </cell>
          <cell r="F60" t="str">
            <v/>
          </cell>
          <cell r="G60" t="str">
            <v/>
          </cell>
          <cell r="H60" t="str">
            <v/>
          </cell>
          <cell r="I60" t="str">
            <v/>
          </cell>
          <cell r="J60" t="str">
            <v/>
          </cell>
          <cell r="K60" t="str">
            <v/>
          </cell>
          <cell r="L60" t="str">
            <v/>
          </cell>
          <cell r="M60" t="str">
            <v/>
          </cell>
          <cell r="N60" t="str">
            <v/>
          </cell>
          <cell r="O60">
            <v>1.2273000000000001</v>
          </cell>
        </row>
        <row r="61">
          <cell r="A61" t="str">
            <v>A01201</v>
          </cell>
          <cell r="B61" t="str">
            <v>121/03/16</v>
          </cell>
          <cell r="C61">
            <v>1.625</v>
          </cell>
          <cell r="D61">
            <v>7.81</v>
          </cell>
          <cell r="E61">
            <v>8.4499999999999993</v>
          </cell>
          <cell r="F61" t="str">
            <v/>
          </cell>
          <cell r="G61" t="str">
            <v/>
          </cell>
          <cell r="H61" t="str">
            <v/>
          </cell>
          <cell r="I61" t="str">
            <v/>
          </cell>
          <cell r="J61" t="str">
            <v/>
          </cell>
          <cell r="K61" t="str">
            <v/>
          </cell>
          <cell r="L61" t="str">
            <v/>
          </cell>
          <cell r="M61" t="str">
            <v/>
          </cell>
          <cell r="N61" t="str">
            <v/>
          </cell>
          <cell r="O61">
            <v>1.2306999999999999</v>
          </cell>
        </row>
        <row r="62">
          <cell r="A62" t="str">
            <v>A11201</v>
          </cell>
          <cell r="B62" t="str">
            <v>121/01/10</v>
          </cell>
          <cell r="C62">
            <v>0.75</v>
          </cell>
          <cell r="D62">
            <v>7.9</v>
          </cell>
          <cell r="E62">
            <v>8.27</v>
          </cell>
          <cell r="F62" t="str">
            <v/>
          </cell>
          <cell r="G62" t="str">
            <v/>
          </cell>
          <cell r="H62" t="str">
            <v/>
          </cell>
          <cell r="I62" t="str">
            <v/>
          </cell>
          <cell r="J62" t="str">
            <v/>
          </cell>
          <cell r="K62" t="str">
            <v/>
          </cell>
          <cell r="L62" t="str">
            <v/>
          </cell>
          <cell r="M62" t="str">
            <v/>
          </cell>
          <cell r="N62" t="str">
            <v/>
          </cell>
          <cell r="O62">
            <v>1.2299</v>
          </cell>
        </row>
        <row r="63">
          <cell r="A63" t="str">
            <v>A11102</v>
          </cell>
          <cell r="B63" t="str">
            <v>121/02/18</v>
          </cell>
          <cell r="C63">
            <v>0.625</v>
          </cell>
          <cell r="D63">
            <v>8.0500000000000007</v>
          </cell>
          <cell r="E63">
            <v>8.3699999999999992</v>
          </cell>
          <cell r="F63" t="str">
            <v/>
          </cell>
          <cell r="G63" t="str">
            <v/>
          </cell>
          <cell r="H63" t="str">
            <v/>
          </cell>
          <cell r="I63" t="str">
            <v/>
          </cell>
          <cell r="J63" t="str">
            <v/>
          </cell>
          <cell r="K63" t="str">
            <v/>
          </cell>
          <cell r="L63" t="str">
            <v/>
          </cell>
          <cell r="M63" t="str">
            <v/>
          </cell>
          <cell r="N63" t="str">
            <v/>
          </cell>
          <cell r="O63">
            <v>1.2319</v>
          </cell>
        </row>
        <row r="64">
          <cell r="A64" t="str">
            <v>A11107</v>
          </cell>
          <cell r="B64" t="str">
            <v>121/06/30</v>
          </cell>
          <cell r="C64">
            <v>1.25</v>
          </cell>
          <cell r="D64">
            <v>8.1999999999999993</v>
          </cell>
          <cell r="E64">
            <v>8.74</v>
          </cell>
          <cell r="F64">
            <v>1.25</v>
          </cell>
          <cell r="G64">
            <v>1.2490000000000001</v>
          </cell>
          <cell r="H64">
            <v>1.2495000000000001</v>
          </cell>
          <cell r="I64">
            <v>4</v>
          </cell>
          <cell r="J64" t="str">
            <v/>
          </cell>
          <cell r="K64" t="str">
            <v/>
          </cell>
          <cell r="L64" t="str">
            <v/>
          </cell>
          <cell r="M64" t="str">
            <v/>
          </cell>
          <cell r="N64" t="str">
            <v/>
          </cell>
          <cell r="O64">
            <v>1.2359</v>
          </cell>
        </row>
        <row r="65">
          <cell r="A65" t="str">
            <v>A11110</v>
          </cell>
          <cell r="B65" t="str">
            <v>121/10/17</v>
          </cell>
          <cell r="C65">
            <v>1.75</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1.2393000000000001</v>
          </cell>
        </row>
        <row r="66">
          <cell r="A66" t="str">
            <v>A01107</v>
          </cell>
          <cell r="B66" t="str">
            <v>121/08/10</v>
          </cell>
          <cell r="C66">
            <v>1.5</v>
          </cell>
          <cell r="D66">
            <v>8.24</v>
          </cell>
          <cell r="E66">
            <v>8.85</v>
          </cell>
          <cell r="F66" t="str">
            <v/>
          </cell>
          <cell r="G66" t="str">
            <v/>
          </cell>
          <cell r="H66" t="str">
            <v/>
          </cell>
          <cell r="I66" t="str">
            <v/>
          </cell>
          <cell r="J66" t="str">
            <v/>
          </cell>
          <cell r="K66" t="str">
            <v/>
          </cell>
          <cell r="L66" t="str">
            <v/>
          </cell>
          <cell r="M66" t="str">
            <v/>
          </cell>
          <cell r="N66" t="str">
            <v/>
          </cell>
          <cell r="O66">
            <v>1.2370000000000001</v>
          </cell>
        </row>
        <row r="67">
          <cell r="A67" t="str">
            <v>A02103</v>
          </cell>
          <cell r="B67" t="str">
            <v>122/01/28</v>
          </cell>
          <cell r="C67">
            <v>1.5</v>
          </cell>
          <cell r="D67">
            <v>8.58</v>
          </cell>
          <cell r="E67">
            <v>9.32</v>
          </cell>
          <cell r="F67" t="str">
            <v/>
          </cell>
          <cell r="G67" t="str">
            <v/>
          </cell>
          <cell r="H67" t="str">
            <v/>
          </cell>
          <cell r="I67" t="str">
            <v/>
          </cell>
          <cell r="J67" t="str">
            <v/>
          </cell>
          <cell r="K67" t="str">
            <v/>
          </cell>
          <cell r="L67" t="str">
            <v/>
          </cell>
          <cell r="M67" t="str">
            <v/>
          </cell>
          <cell r="N67" t="str">
            <v/>
          </cell>
          <cell r="O67">
            <v>1.2443</v>
          </cell>
        </row>
        <row r="68">
          <cell r="A68" t="str">
            <v>A12201</v>
          </cell>
          <cell r="B68" t="str">
            <v>122/01/10</v>
          </cell>
          <cell r="C68">
            <v>1.25</v>
          </cell>
          <cell r="D68">
            <v>8.6199999999999992</v>
          </cell>
          <cell r="E68">
            <v>9.27</v>
          </cell>
          <cell r="F68" t="str">
            <v/>
          </cell>
          <cell r="G68" t="str">
            <v/>
          </cell>
          <cell r="H68" t="str">
            <v/>
          </cell>
          <cell r="I68" t="str">
            <v/>
          </cell>
          <cell r="J68" t="str">
            <v/>
          </cell>
          <cell r="K68" t="str">
            <v/>
          </cell>
          <cell r="L68" t="str">
            <v/>
          </cell>
          <cell r="M68" t="str">
            <v/>
          </cell>
          <cell r="N68" t="str">
            <v/>
          </cell>
          <cell r="O68">
            <v>1.2442</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1.246</v>
          </cell>
        </row>
        <row r="70">
          <cell r="A70" t="str">
            <v>A12102</v>
          </cell>
          <cell r="B70" t="str">
            <v>122/02/17</v>
          </cell>
          <cell r="C70">
            <v>1.125</v>
          </cell>
          <cell r="D70">
            <v>8.77</v>
          </cell>
          <cell r="E70">
            <v>9.3699999999999992</v>
          </cell>
          <cell r="F70" t="str">
            <v/>
          </cell>
          <cell r="G70" t="str">
            <v/>
          </cell>
          <cell r="H70" t="str">
            <v/>
          </cell>
          <cell r="I70" t="str">
            <v/>
          </cell>
          <cell r="J70" t="str">
            <v/>
          </cell>
          <cell r="K70" t="str">
            <v/>
          </cell>
          <cell r="L70" t="str">
            <v/>
          </cell>
          <cell r="M70" t="str">
            <v/>
          </cell>
          <cell r="N70" t="str">
            <v/>
          </cell>
          <cell r="O70">
            <v>1.2462</v>
          </cell>
        </row>
        <row r="71">
          <cell r="A71" t="str">
            <v>A02108</v>
          </cell>
          <cell r="B71" t="str">
            <v>122/07/26</v>
          </cell>
          <cell r="C71">
            <v>2</v>
          </cell>
          <cell r="D71">
            <v>8.89</v>
          </cell>
          <cell r="E71">
            <v>9.81</v>
          </cell>
          <cell r="F71" t="str">
            <v/>
          </cell>
          <cell r="G71" t="str">
            <v/>
          </cell>
          <cell r="H71" t="str">
            <v/>
          </cell>
          <cell r="I71" t="str">
            <v/>
          </cell>
          <cell r="J71" t="str">
            <v/>
          </cell>
          <cell r="K71" t="str">
            <v/>
          </cell>
          <cell r="L71" t="str">
            <v/>
          </cell>
          <cell r="M71" t="str">
            <v/>
          </cell>
          <cell r="N71" t="str">
            <v/>
          </cell>
          <cell r="O71">
            <v>1.2509999999999999</v>
          </cell>
        </row>
        <row r="72">
          <cell r="A72" t="str">
            <v>A93106</v>
          </cell>
          <cell r="B72" t="str">
            <v>123/05/27</v>
          </cell>
          <cell r="C72">
            <v>3.875</v>
          </cell>
          <cell r="D72">
            <v>8.93</v>
          </cell>
          <cell r="E72">
            <v>10.64</v>
          </cell>
          <cell r="F72" t="str">
            <v/>
          </cell>
          <cell r="G72" t="str">
            <v/>
          </cell>
          <cell r="H72" t="str">
            <v/>
          </cell>
          <cell r="I72" t="str">
            <v/>
          </cell>
          <cell r="J72" t="str">
            <v/>
          </cell>
          <cell r="K72" t="str">
            <v/>
          </cell>
          <cell r="L72" t="str">
            <v/>
          </cell>
          <cell r="M72" t="str">
            <v/>
          </cell>
          <cell r="N72" t="str">
            <v/>
          </cell>
          <cell r="O72">
            <v>1.2598</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1.2513000000000001</v>
          </cell>
        </row>
        <row r="74">
          <cell r="A74" t="str">
            <v>A12110R</v>
          </cell>
          <cell r="B74" t="str">
            <v>122/10/05</v>
          </cell>
          <cell r="C74">
            <v>1.25</v>
          </cell>
          <cell r="D74">
            <v>9.16</v>
          </cell>
          <cell r="E74">
            <v>10</v>
          </cell>
          <cell r="F74" t="str">
            <v/>
          </cell>
          <cell r="G74" t="str">
            <v/>
          </cell>
          <cell r="H74" t="str">
            <v/>
          </cell>
          <cell r="I74" t="str">
            <v/>
          </cell>
          <cell r="J74" t="str">
            <v/>
          </cell>
          <cell r="K74" t="str">
            <v/>
          </cell>
          <cell r="L74" t="str">
            <v/>
          </cell>
          <cell r="M74" t="str">
            <v/>
          </cell>
          <cell r="N74" t="str">
            <v/>
          </cell>
          <cell r="O74">
            <v>1.2531000000000001</v>
          </cell>
        </row>
        <row r="75">
          <cell r="A75" t="str">
            <v>A03103</v>
          </cell>
          <cell r="B75" t="str">
            <v>123/01/29</v>
          </cell>
          <cell r="C75">
            <v>2</v>
          </cell>
          <cell r="D75">
            <v>9.23</v>
          </cell>
          <cell r="E75">
            <v>10.32</v>
          </cell>
          <cell r="F75" t="str">
            <v/>
          </cell>
          <cell r="G75" t="str">
            <v/>
          </cell>
          <cell r="H75" t="str">
            <v/>
          </cell>
          <cell r="I75" t="str">
            <v/>
          </cell>
          <cell r="J75" t="str">
            <v/>
          </cell>
          <cell r="K75" t="str">
            <v/>
          </cell>
          <cell r="L75" t="str">
            <v/>
          </cell>
          <cell r="M75" t="str">
            <v/>
          </cell>
          <cell r="N75" t="str">
            <v/>
          </cell>
          <cell r="O75">
            <v>1.2594000000000001</v>
          </cell>
        </row>
        <row r="76">
          <cell r="A76" t="str">
            <v>A12110</v>
          </cell>
          <cell r="B76" t="str">
            <v>122/10/05</v>
          </cell>
          <cell r="C76">
            <v>1.25</v>
          </cell>
          <cell r="D76">
            <v>9.34</v>
          </cell>
          <cell r="E76">
            <v>10</v>
          </cell>
          <cell r="F76" t="str">
            <v/>
          </cell>
          <cell r="G76" t="str">
            <v/>
          </cell>
          <cell r="H76" t="str">
            <v/>
          </cell>
          <cell r="I76" t="str">
            <v/>
          </cell>
          <cell r="J76" t="str">
            <v/>
          </cell>
          <cell r="K76" t="str">
            <v/>
          </cell>
          <cell r="L76" t="str">
            <v/>
          </cell>
          <cell r="M76" t="str">
            <v/>
          </cell>
          <cell r="N76" t="str">
            <v/>
          </cell>
          <cell r="O76">
            <v>1.2563</v>
          </cell>
        </row>
        <row r="77">
          <cell r="A77" t="str">
            <v>A03107</v>
          </cell>
          <cell r="B77" t="str">
            <v>123/04/25</v>
          </cell>
          <cell r="C77">
            <v>1.875</v>
          </cell>
          <cell r="D77">
            <v>9.51</v>
          </cell>
          <cell r="E77">
            <v>10.55</v>
          </cell>
          <cell r="F77" t="str">
            <v/>
          </cell>
          <cell r="G77" t="str">
            <v/>
          </cell>
          <cell r="H77" t="str">
            <v/>
          </cell>
          <cell r="I77" t="str">
            <v/>
          </cell>
          <cell r="J77" t="str">
            <v/>
          </cell>
          <cell r="K77" t="str">
            <v/>
          </cell>
          <cell r="L77" t="str">
            <v/>
          </cell>
          <cell r="M77" t="str">
            <v/>
          </cell>
          <cell r="N77" t="str">
            <v/>
          </cell>
          <cell r="O77">
            <v>1.2637</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1.2675000000000001</v>
          </cell>
        </row>
        <row r="79">
          <cell r="A79" t="str">
            <v>A03114</v>
          </cell>
          <cell r="B79" t="str">
            <v>123/10/02</v>
          </cell>
          <cell r="C79">
            <v>2.25</v>
          </cell>
          <cell r="D79">
            <v>9.8000000000000007</v>
          </cell>
          <cell r="E79">
            <v>10.99</v>
          </cell>
          <cell r="F79" t="str">
            <v/>
          </cell>
          <cell r="G79" t="str">
            <v/>
          </cell>
          <cell r="H79" t="str">
            <v/>
          </cell>
          <cell r="I79" t="str">
            <v/>
          </cell>
          <cell r="J79" t="str">
            <v/>
          </cell>
          <cell r="K79" t="str">
            <v/>
          </cell>
          <cell r="L79" t="str">
            <v/>
          </cell>
          <cell r="M79" t="str">
            <v/>
          </cell>
          <cell r="N79" t="str">
            <v/>
          </cell>
          <cell r="O79">
            <v>1.2701</v>
          </cell>
        </row>
        <row r="80">
          <cell r="A80" t="str">
            <v>A04102</v>
          </cell>
          <cell r="B80" t="str">
            <v>124/01/23</v>
          </cell>
          <cell r="C80">
            <v>2</v>
          </cell>
          <cell r="D80">
            <v>10.02</v>
          </cell>
          <cell r="E80">
            <v>11.3</v>
          </cell>
          <cell r="F80" t="str">
            <v/>
          </cell>
          <cell r="G80" t="str">
            <v/>
          </cell>
          <cell r="H80" t="str">
            <v/>
          </cell>
          <cell r="I80" t="str">
            <v/>
          </cell>
          <cell r="J80" t="str">
            <v/>
          </cell>
          <cell r="K80" t="str">
            <v/>
          </cell>
          <cell r="L80" t="str">
            <v/>
          </cell>
          <cell r="M80" t="str">
            <v/>
          </cell>
          <cell r="N80" t="str">
            <v/>
          </cell>
          <cell r="O80">
            <v>1.2761</v>
          </cell>
        </row>
        <row r="81">
          <cell r="A81" t="str">
            <v>A04107</v>
          </cell>
          <cell r="B81" t="str">
            <v>124/04/15</v>
          </cell>
          <cell r="C81">
            <v>2.125</v>
          </cell>
          <cell r="D81">
            <v>10.18</v>
          </cell>
          <cell r="E81">
            <v>11.53</v>
          </cell>
          <cell r="F81" t="str">
            <v/>
          </cell>
          <cell r="G81" t="str">
            <v/>
          </cell>
          <cell r="H81" t="str">
            <v/>
          </cell>
          <cell r="I81" t="str">
            <v/>
          </cell>
          <cell r="J81" t="str">
            <v/>
          </cell>
          <cell r="K81" t="str">
            <v/>
          </cell>
          <cell r="L81" t="str">
            <v/>
          </cell>
          <cell r="M81" t="str">
            <v/>
          </cell>
          <cell r="N81" t="str">
            <v/>
          </cell>
          <cell r="O81">
            <v>1.2796000000000001</v>
          </cell>
        </row>
        <row r="82">
          <cell r="A82" t="str">
            <v>A04114</v>
          </cell>
          <cell r="B82" t="str">
            <v>124/10/26</v>
          </cell>
          <cell r="C82">
            <v>1.75</v>
          </cell>
          <cell r="D82">
            <v>10.7</v>
          </cell>
          <cell r="E82">
            <v>12.06</v>
          </cell>
          <cell r="F82" t="str">
            <v/>
          </cell>
          <cell r="G82" t="str">
            <v/>
          </cell>
          <cell r="H82" t="str">
            <v/>
          </cell>
          <cell r="I82" t="str">
            <v/>
          </cell>
          <cell r="J82" t="str">
            <v/>
          </cell>
          <cell r="K82" t="str">
            <v/>
          </cell>
          <cell r="L82" t="str">
            <v/>
          </cell>
          <cell r="M82" t="str">
            <v/>
          </cell>
          <cell r="N82" t="str">
            <v/>
          </cell>
          <cell r="O82">
            <v>1.2904</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1.2962</v>
          </cell>
        </row>
        <row r="84">
          <cell r="A84" t="str">
            <v>A05106</v>
          </cell>
          <cell r="B84" t="str">
            <v>125/04/08</v>
          </cell>
          <cell r="C84">
            <v>1.25</v>
          </cell>
          <cell r="D84">
            <v>11.44</v>
          </cell>
          <cell r="E84">
            <v>12.51</v>
          </cell>
          <cell r="F84" t="str">
            <v/>
          </cell>
          <cell r="G84" t="str">
            <v/>
          </cell>
          <cell r="H84" t="str">
            <v/>
          </cell>
          <cell r="I84" t="str">
            <v/>
          </cell>
          <cell r="J84" t="str">
            <v/>
          </cell>
          <cell r="K84" t="str">
            <v/>
          </cell>
          <cell r="L84" t="str">
            <v/>
          </cell>
          <cell r="M84" t="str">
            <v/>
          </cell>
          <cell r="N84" t="str">
            <v/>
          </cell>
          <cell r="O84">
            <v>1.3005</v>
          </cell>
        </row>
        <row r="85">
          <cell r="A85" t="str">
            <v>A05109</v>
          </cell>
          <cell r="B85" t="str">
            <v>125/07/19</v>
          </cell>
          <cell r="C85">
            <v>1.125</v>
          </cell>
          <cell r="D85">
            <v>11.79</v>
          </cell>
          <cell r="E85">
            <v>12.79</v>
          </cell>
          <cell r="F85" t="str">
            <v/>
          </cell>
          <cell r="G85" t="str">
            <v/>
          </cell>
          <cell r="H85" t="str">
            <v/>
          </cell>
          <cell r="I85" t="str">
            <v/>
          </cell>
          <cell r="J85" t="str">
            <v/>
          </cell>
          <cell r="K85" t="str">
            <v/>
          </cell>
          <cell r="L85" t="str">
            <v/>
          </cell>
          <cell r="M85" t="str">
            <v/>
          </cell>
          <cell r="N85" t="str">
            <v/>
          </cell>
          <cell r="O85">
            <v>1.3061</v>
          </cell>
        </row>
        <row r="86">
          <cell r="A86" t="str">
            <v>A06103</v>
          </cell>
          <cell r="B86" t="str">
            <v>126/02/20</v>
          </cell>
          <cell r="C86">
            <v>1.75</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1.3239000000000001</v>
          </cell>
        </row>
        <row r="88">
          <cell r="A88" t="str">
            <v>A07103</v>
          </cell>
          <cell r="B88" t="str">
            <v>127/03/13</v>
          </cell>
          <cell r="C88">
            <v>1.375</v>
          </cell>
          <cell r="D88">
            <v>12.93</v>
          </cell>
          <cell r="E88">
            <v>14.44</v>
          </cell>
          <cell r="F88" t="str">
            <v/>
          </cell>
          <cell r="G88" t="str">
            <v/>
          </cell>
          <cell r="H88" t="str">
            <v/>
          </cell>
          <cell r="I88" t="str">
            <v/>
          </cell>
          <cell r="J88" t="str">
            <v/>
          </cell>
          <cell r="K88" t="str">
            <v/>
          </cell>
          <cell r="L88" t="str">
            <v/>
          </cell>
          <cell r="M88" t="str">
            <v/>
          </cell>
          <cell r="N88" t="str">
            <v/>
          </cell>
          <cell r="O88">
            <v>1.3348</v>
          </cell>
        </row>
        <row r="89">
          <cell r="A89" t="str">
            <v>A07108</v>
          </cell>
          <cell r="B89" t="str">
            <v>127/09/21</v>
          </cell>
          <cell r="C89">
            <v>1.125</v>
          </cell>
          <cell r="D89">
            <v>13.64</v>
          </cell>
          <cell r="E89">
            <v>14.96</v>
          </cell>
          <cell r="F89" t="str">
            <v/>
          </cell>
          <cell r="G89" t="str">
            <v/>
          </cell>
          <cell r="H89" t="str">
            <v/>
          </cell>
          <cell r="I89" t="str">
            <v/>
          </cell>
          <cell r="J89" t="str">
            <v/>
          </cell>
          <cell r="K89" t="str">
            <v/>
          </cell>
          <cell r="L89" t="str">
            <v/>
          </cell>
          <cell r="M89" t="str">
            <v/>
          </cell>
          <cell r="N89" t="str">
            <v/>
          </cell>
          <cell r="O89">
            <v>1.3460000000000001</v>
          </cell>
        </row>
        <row r="90">
          <cell r="A90" t="str">
            <v>A99102</v>
          </cell>
          <cell r="B90" t="str">
            <v>129/01/28</v>
          </cell>
          <cell r="C90">
            <v>2.25</v>
          </cell>
          <cell r="D90">
            <v>13.64</v>
          </cell>
          <cell r="E90">
            <v>16.32</v>
          </cell>
          <cell r="F90" t="str">
            <v/>
          </cell>
          <cell r="G90" t="str">
            <v/>
          </cell>
          <cell r="H90" t="str">
            <v/>
          </cell>
          <cell r="I90" t="str">
            <v/>
          </cell>
          <cell r="J90" t="str">
            <v/>
          </cell>
          <cell r="K90" t="str">
            <v/>
          </cell>
          <cell r="L90" t="str">
            <v/>
          </cell>
          <cell r="M90" t="str">
            <v/>
          </cell>
          <cell r="N90" t="str">
            <v/>
          </cell>
          <cell r="O90">
            <v>1.3624000000000001</v>
          </cell>
        </row>
        <row r="91">
          <cell r="A91" t="str">
            <v>A08102</v>
          </cell>
          <cell r="B91" t="str">
            <v>128/01/28</v>
          </cell>
          <cell r="C91">
            <v>1.125</v>
          </cell>
          <cell r="D91">
            <v>13.83</v>
          </cell>
          <cell r="E91">
            <v>15.32</v>
          </cell>
          <cell r="F91" t="str">
            <v/>
          </cell>
          <cell r="G91" t="str">
            <v/>
          </cell>
          <cell r="H91" t="str">
            <v/>
          </cell>
          <cell r="I91" t="str">
            <v/>
          </cell>
          <cell r="J91" t="str">
            <v/>
          </cell>
          <cell r="K91" t="str">
            <v/>
          </cell>
          <cell r="L91" t="str">
            <v/>
          </cell>
          <cell r="M91" t="str">
            <v/>
          </cell>
          <cell r="N91" t="str">
            <v/>
          </cell>
          <cell r="O91">
            <v>1.3524</v>
          </cell>
        </row>
        <row r="92">
          <cell r="A92" t="str">
            <v>A08104</v>
          </cell>
          <cell r="B92" t="str">
            <v>128/03/04</v>
          </cell>
          <cell r="C92">
            <v>1.125</v>
          </cell>
          <cell r="D92">
            <v>13.93</v>
          </cell>
          <cell r="E92">
            <v>15.41</v>
          </cell>
          <cell r="F92" t="str">
            <v/>
          </cell>
          <cell r="G92" t="str">
            <v/>
          </cell>
          <cell r="H92" t="str">
            <v/>
          </cell>
          <cell r="I92" t="str">
            <v/>
          </cell>
          <cell r="J92" t="str">
            <v/>
          </cell>
          <cell r="K92" t="str">
            <v/>
          </cell>
          <cell r="L92" t="str">
            <v/>
          </cell>
          <cell r="M92" t="str">
            <v/>
          </cell>
          <cell r="N92" t="str">
            <v/>
          </cell>
          <cell r="O92">
            <v>1.3542000000000001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1.3788</v>
          </cell>
        </row>
        <row r="94">
          <cell r="A94" t="str">
            <v>A00104</v>
          </cell>
          <cell r="B94" t="str">
            <v>130/02/22</v>
          </cell>
          <cell r="C94">
            <v>2</v>
          </cell>
          <cell r="D94">
            <v>14.62</v>
          </cell>
          <cell r="E94">
            <v>17.39</v>
          </cell>
          <cell r="F94" t="str">
            <v/>
          </cell>
          <cell r="G94" t="str">
            <v/>
          </cell>
          <cell r="H94" t="str">
            <v/>
          </cell>
          <cell r="I94" t="str">
            <v/>
          </cell>
          <cell r="J94" t="str">
            <v/>
          </cell>
          <cell r="K94" t="str">
            <v/>
          </cell>
          <cell r="L94" t="str">
            <v/>
          </cell>
          <cell r="M94" t="str">
            <v/>
          </cell>
          <cell r="N94" t="str">
            <v/>
          </cell>
          <cell r="O94">
            <v>1.3822000000000001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1.3662000000000001</v>
          </cell>
        </row>
        <row r="96">
          <cell r="A96" t="str">
            <v>A09102</v>
          </cell>
          <cell r="B96" t="str">
            <v>129/01/17</v>
          </cell>
          <cell r="C96">
            <v>0.75</v>
          </cell>
          <cell r="D96">
            <v>15.04</v>
          </cell>
          <cell r="E96">
            <v>16.29</v>
          </cell>
          <cell r="F96" t="str">
            <v/>
          </cell>
          <cell r="G96" t="str">
            <v/>
          </cell>
          <cell r="H96" t="str">
            <v/>
          </cell>
          <cell r="I96" t="str">
            <v/>
          </cell>
          <cell r="J96" t="str">
            <v/>
          </cell>
          <cell r="K96" t="str">
            <v/>
          </cell>
          <cell r="L96" t="str">
            <v/>
          </cell>
          <cell r="M96" t="str">
            <v/>
          </cell>
          <cell r="N96" t="str">
            <v/>
          </cell>
          <cell r="O96">
            <v>1.3729</v>
          </cell>
        </row>
        <row r="97">
          <cell r="A97" t="str">
            <v>A00108</v>
          </cell>
          <cell r="B97" t="str">
            <v>130/08/22</v>
          </cell>
          <cell r="C97">
            <v>1.875</v>
          </cell>
          <cell r="D97">
            <v>15.22</v>
          </cell>
          <cell r="E97">
            <v>17.88</v>
          </cell>
          <cell r="F97" t="str">
            <v/>
          </cell>
          <cell r="G97" t="str">
            <v/>
          </cell>
          <cell r="H97" t="str">
            <v/>
          </cell>
          <cell r="I97" t="str">
            <v/>
          </cell>
          <cell r="J97" t="str">
            <v/>
          </cell>
          <cell r="K97" t="str">
            <v/>
          </cell>
          <cell r="L97" t="str">
            <v/>
          </cell>
          <cell r="M97" t="str">
            <v/>
          </cell>
          <cell r="N97" t="str">
            <v/>
          </cell>
          <cell r="O97">
            <v>1.3915999999999999</v>
          </cell>
        </row>
        <row r="98">
          <cell r="A98" t="str">
            <v>A09104</v>
          </cell>
          <cell r="B98" t="str">
            <v>129/03/09</v>
          </cell>
          <cell r="C98">
            <v>0.5</v>
          </cell>
          <cell r="D98">
            <v>15.49</v>
          </cell>
          <cell r="E98">
            <v>16.43</v>
          </cell>
          <cell r="F98" t="str">
            <v/>
          </cell>
          <cell r="G98" t="str">
            <v/>
          </cell>
          <cell r="H98" t="str">
            <v/>
          </cell>
          <cell r="I98" t="str">
            <v/>
          </cell>
          <cell r="J98" t="str">
            <v/>
          </cell>
          <cell r="K98" t="str">
            <v/>
          </cell>
          <cell r="L98" t="str">
            <v/>
          </cell>
          <cell r="M98" t="str">
            <v/>
          </cell>
          <cell r="N98" t="str">
            <v/>
          </cell>
          <cell r="O98">
            <v>1.3775999999999999</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1.4005000000000001</v>
          </cell>
        </row>
        <row r="100">
          <cell r="A100" t="str">
            <v>A02109</v>
          </cell>
          <cell r="B100" t="str">
            <v>132/08/02</v>
          </cell>
          <cell r="C100">
            <v>2.5</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1.4174</v>
          </cell>
        </row>
        <row r="101">
          <cell r="A101" t="str">
            <v>A09108</v>
          </cell>
          <cell r="B101" t="str">
            <v>129/09/18</v>
          </cell>
          <cell r="C101">
            <v>0.5</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1.3874</v>
          </cell>
        </row>
        <row r="102">
          <cell r="A102" t="str">
            <v>A11109</v>
          </cell>
          <cell r="B102" t="str">
            <v>131/09/30</v>
          </cell>
          <cell r="C102">
            <v>1.875</v>
          </cell>
          <cell r="D102">
            <v>16.04</v>
          </cell>
          <cell r="E102">
            <v>18.989999999999998</v>
          </cell>
          <cell r="F102" t="str">
            <v/>
          </cell>
          <cell r="G102" t="str">
            <v/>
          </cell>
          <cell r="H102" t="str">
            <v/>
          </cell>
          <cell r="I102" t="str">
            <v/>
          </cell>
          <cell r="J102" t="str">
            <v/>
          </cell>
          <cell r="K102" t="str">
            <v/>
          </cell>
          <cell r="L102" t="str">
            <v/>
          </cell>
          <cell r="M102" t="str">
            <v/>
          </cell>
          <cell r="N102" t="str">
            <v/>
          </cell>
          <cell r="O102">
            <v>1.4097999999999999</v>
          </cell>
        </row>
        <row r="103">
          <cell r="A103" t="str">
            <v>A01108</v>
          </cell>
          <cell r="B103" t="str">
            <v>131/08/24</v>
          </cell>
          <cell r="C103">
            <v>1.625</v>
          </cell>
          <cell r="D103">
            <v>16.21</v>
          </cell>
          <cell r="E103">
            <v>18.89</v>
          </cell>
          <cell r="F103" t="str">
            <v/>
          </cell>
          <cell r="G103" t="str">
            <v/>
          </cell>
          <cell r="H103" t="str">
            <v/>
          </cell>
          <cell r="I103" t="str">
            <v/>
          </cell>
          <cell r="J103" t="str">
            <v/>
          </cell>
          <cell r="K103" t="str">
            <v/>
          </cell>
          <cell r="L103" t="str">
            <v/>
          </cell>
          <cell r="M103" t="str">
            <v/>
          </cell>
          <cell r="N103" t="str">
            <v/>
          </cell>
          <cell r="O103">
            <v>1.4104000000000001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1.3940999999999999</v>
          </cell>
        </row>
        <row r="105">
          <cell r="A105" t="str">
            <v>A02105</v>
          </cell>
          <cell r="B105" t="str">
            <v>132/02/26</v>
          </cell>
          <cell r="C105">
            <v>1.75</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1.4175</v>
          </cell>
        </row>
        <row r="106">
          <cell r="A106" t="str">
            <v>A09113</v>
          </cell>
          <cell r="B106" t="str">
            <v>129/12/29</v>
          </cell>
          <cell r="C106">
            <v>0.375</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1.3936999999999999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1.4063000000000001</v>
          </cell>
        </row>
        <row r="108">
          <cell r="A108" t="str">
            <v>A10105</v>
          </cell>
          <cell r="B108" t="str">
            <v>130/05/21</v>
          </cell>
          <cell r="C108">
            <v>0.625</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1.3984000000000001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1.4294</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1.4097</v>
          </cell>
        </row>
        <row r="111">
          <cell r="A111" t="str">
            <v>A10112</v>
          </cell>
          <cell r="B111" t="str">
            <v>130/11/12</v>
          </cell>
          <cell r="C111">
            <v>0.625</v>
          </cell>
          <cell r="D111">
            <v>16.75</v>
          </cell>
          <cell r="E111">
            <v>18.11</v>
          </cell>
          <cell r="F111" t="str">
            <v/>
          </cell>
          <cell r="G111" t="str">
            <v/>
          </cell>
          <cell r="H111" t="str">
            <v/>
          </cell>
          <cell r="I111" t="str">
            <v/>
          </cell>
          <cell r="J111" t="str">
            <v/>
          </cell>
          <cell r="K111" t="str">
            <v/>
          </cell>
          <cell r="L111" t="str">
            <v/>
          </cell>
          <cell r="M111" t="str">
            <v/>
          </cell>
          <cell r="N111" t="str">
            <v/>
          </cell>
          <cell r="O111">
            <v>1.4069</v>
          </cell>
        </row>
        <row r="112">
          <cell r="A112" t="str">
            <v>A12104</v>
          </cell>
          <cell r="B112" t="str">
            <v>132/03/03</v>
          </cell>
          <cell r="C112">
            <v>1.375</v>
          </cell>
          <cell r="D112">
            <v>16.78</v>
          </cell>
          <cell r="E112">
            <v>19.41</v>
          </cell>
          <cell r="F112" t="str">
            <v/>
          </cell>
          <cell r="G112" t="str">
            <v/>
          </cell>
          <cell r="H112" t="str">
            <v/>
          </cell>
          <cell r="I112" t="str">
            <v/>
          </cell>
          <cell r="J112" t="str">
            <v/>
          </cell>
          <cell r="K112" t="str">
            <v/>
          </cell>
          <cell r="L112" t="str">
            <v/>
          </cell>
          <cell r="M112" t="str">
            <v/>
          </cell>
          <cell r="N112" t="str">
            <v/>
          </cell>
          <cell r="O112">
            <v>1.4214</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1.4394</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1.4348000000000001</v>
          </cell>
        </row>
        <row r="115">
          <cell r="A115" t="str">
            <v>A04104</v>
          </cell>
          <cell r="B115" t="str">
            <v>134/02/13</v>
          </cell>
          <cell r="C115">
            <v>2.375</v>
          </cell>
          <cell r="D115">
            <v>16.920000000000002</v>
          </cell>
          <cell r="E115">
            <v>21.36</v>
          </cell>
          <cell r="F115" t="str">
            <v/>
          </cell>
          <cell r="G115" t="str">
            <v/>
          </cell>
          <cell r="H115" t="str">
            <v/>
          </cell>
          <cell r="I115" t="str">
            <v/>
          </cell>
          <cell r="J115" t="str">
            <v/>
          </cell>
          <cell r="K115" t="str">
            <v/>
          </cell>
          <cell r="L115" t="str">
            <v/>
          </cell>
          <cell r="M115" t="str">
            <v/>
          </cell>
          <cell r="N115" t="str">
            <v/>
          </cell>
          <cell r="O115">
            <v>1.4413</v>
          </cell>
        </row>
        <row r="116">
          <cell r="A116" t="str">
            <v>A10110</v>
          </cell>
          <cell r="B116" t="str">
            <v>130/09/29</v>
          </cell>
          <cell r="C116">
            <v>0.5</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1.4060999999999999</v>
          </cell>
        </row>
        <row r="117">
          <cell r="A117" t="str">
            <v>A03108</v>
          </cell>
          <cell r="B117" t="str">
            <v>133/05/28</v>
          </cell>
          <cell r="C117">
            <v>2</v>
          </cell>
          <cell r="D117">
            <v>16.96</v>
          </cell>
          <cell r="E117">
            <v>20.65</v>
          </cell>
          <cell r="F117" t="str">
            <v/>
          </cell>
          <cell r="G117" t="str">
            <v/>
          </cell>
          <cell r="H117" t="str">
            <v/>
          </cell>
          <cell r="I117" t="str">
            <v/>
          </cell>
          <cell r="J117" t="str">
            <v/>
          </cell>
          <cell r="K117" t="str">
            <v/>
          </cell>
          <cell r="L117" t="str">
            <v/>
          </cell>
          <cell r="M117" t="str">
            <v/>
          </cell>
          <cell r="N117" t="str">
            <v/>
          </cell>
          <cell r="O117">
            <v>1.4345000000000001</v>
          </cell>
        </row>
        <row r="118">
          <cell r="A118" t="str">
            <v>A04108</v>
          </cell>
          <cell r="B118" t="str">
            <v>134/05/15</v>
          </cell>
          <cell r="C118">
            <v>2.375</v>
          </cell>
          <cell r="D118">
            <v>17.16</v>
          </cell>
          <cell r="E118">
            <v>21.61</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1.4305000000000001</v>
          </cell>
        </row>
        <row r="120">
          <cell r="A120" t="str">
            <v>A04111</v>
          </cell>
          <cell r="B120" t="str">
            <v>134/08/10</v>
          </cell>
          <cell r="C120">
            <v>2.25</v>
          </cell>
          <cell r="D120">
            <v>17.53</v>
          </cell>
          <cell r="E120">
            <v>21.85</v>
          </cell>
          <cell r="F120" t="str">
            <v/>
          </cell>
          <cell r="G120" t="str">
            <v/>
          </cell>
          <cell r="H120" t="str">
            <v/>
          </cell>
          <cell r="I120" t="str">
            <v/>
          </cell>
          <cell r="J120" t="str">
            <v/>
          </cell>
          <cell r="K120" t="str">
            <v/>
          </cell>
          <cell r="L120" t="str">
            <v/>
          </cell>
          <cell r="M120" t="str">
            <v/>
          </cell>
          <cell r="N120" t="str">
            <v/>
          </cell>
          <cell r="O120">
            <v>1.4496</v>
          </cell>
        </row>
        <row r="121">
          <cell r="A121" t="str">
            <v>A05114</v>
          </cell>
          <cell r="B121" t="str">
            <v>135/11/25</v>
          </cell>
          <cell r="C121">
            <v>2</v>
          </cell>
          <cell r="D121">
            <v>18.440000000000001</v>
          </cell>
          <cell r="E121">
            <v>23.14</v>
          </cell>
          <cell r="F121" t="str">
            <v/>
          </cell>
          <cell r="G121" t="str">
            <v/>
          </cell>
          <cell r="H121" t="str">
            <v/>
          </cell>
          <cell r="I121" t="str">
            <v/>
          </cell>
          <cell r="J121" t="str">
            <v/>
          </cell>
          <cell r="K121" t="str">
            <v/>
          </cell>
          <cell r="L121" t="str">
            <v/>
          </cell>
          <cell r="M121" t="str">
            <v/>
          </cell>
          <cell r="N121" t="str">
            <v/>
          </cell>
          <cell r="O121">
            <v>1.4703999999999999</v>
          </cell>
        </row>
        <row r="122">
          <cell r="A122" t="str">
            <v>A05107</v>
          </cell>
          <cell r="B122" t="str">
            <v>135/05/20</v>
          </cell>
          <cell r="C122">
            <v>1.625</v>
          </cell>
          <cell r="D122">
            <v>18.79</v>
          </cell>
          <cell r="E122">
            <v>22.62</v>
          </cell>
          <cell r="F122" t="str">
            <v/>
          </cell>
          <cell r="G122" t="str">
            <v/>
          </cell>
          <cell r="H122" t="str">
            <v/>
          </cell>
          <cell r="I122" t="str">
            <v/>
          </cell>
          <cell r="J122" t="str">
            <v/>
          </cell>
          <cell r="K122" t="str">
            <v/>
          </cell>
          <cell r="L122" t="str">
            <v/>
          </cell>
          <cell r="M122" t="str">
            <v/>
          </cell>
          <cell r="N122" t="str">
            <v/>
          </cell>
          <cell r="O122">
            <v>1.4678</v>
          </cell>
        </row>
        <row r="123">
          <cell r="A123" t="str">
            <v>A06106</v>
          </cell>
          <cell r="B123" t="str">
            <v>136/05/26</v>
          </cell>
          <cell r="C123">
            <v>1.875</v>
          </cell>
          <cell r="D123">
            <v>19.100000000000001</v>
          </cell>
          <cell r="E123">
            <v>23.64</v>
          </cell>
          <cell r="F123" t="str">
            <v/>
          </cell>
          <cell r="G123" t="str">
            <v/>
          </cell>
          <cell r="H123" t="str">
            <v/>
          </cell>
          <cell r="I123" t="str">
            <v/>
          </cell>
          <cell r="J123" t="str">
            <v/>
          </cell>
          <cell r="K123" t="str">
            <v/>
          </cell>
          <cell r="L123" t="str">
            <v/>
          </cell>
          <cell r="M123" t="str">
            <v/>
          </cell>
          <cell r="N123" t="str">
            <v/>
          </cell>
          <cell r="O123">
            <v>1.4784999999999999</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1.474</v>
          </cell>
        </row>
        <row r="125">
          <cell r="A125" t="str">
            <v>A06111</v>
          </cell>
          <cell r="B125" t="str">
            <v>136/11/24</v>
          </cell>
          <cell r="C125">
            <v>1.625</v>
          </cell>
          <cell r="D125">
            <v>19.66</v>
          </cell>
          <cell r="E125">
            <v>24.14</v>
          </cell>
          <cell r="F125" t="str">
            <v/>
          </cell>
          <cell r="G125" t="str">
            <v/>
          </cell>
          <cell r="H125" t="str">
            <v/>
          </cell>
          <cell r="I125" t="str">
            <v/>
          </cell>
          <cell r="J125" t="str">
            <v/>
          </cell>
          <cell r="K125" t="str">
            <v/>
          </cell>
          <cell r="L125" t="str">
            <v/>
          </cell>
          <cell r="M125" t="str">
            <v/>
          </cell>
          <cell r="N125" t="str">
            <v/>
          </cell>
          <cell r="O125">
            <v>1.4883</v>
          </cell>
        </row>
        <row r="126">
          <cell r="A126" t="str">
            <v>A07104</v>
          </cell>
          <cell r="B126" t="str">
            <v>137/05/18</v>
          </cell>
          <cell r="C126">
            <v>1.5</v>
          </cell>
          <cell r="D126">
            <v>20.350000000000001</v>
          </cell>
          <cell r="E126">
            <v>24.62</v>
          </cell>
          <cell r="F126" t="str">
            <v/>
          </cell>
          <cell r="G126" t="str">
            <v/>
          </cell>
          <cell r="H126" t="str">
            <v/>
          </cell>
          <cell r="I126" t="str">
            <v/>
          </cell>
          <cell r="J126" t="str">
            <v/>
          </cell>
          <cell r="K126" t="str">
            <v/>
          </cell>
          <cell r="L126" t="str">
            <v/>
          </cell>
          <cell r="M126" t="str">
            <v/>
          </cell>
          <cell r="N126" t="str">
            <v/>
          </cell>
          <cell r="O126">
            <v>1.4963</v>
          </cell>
        </row>
        <row r="127">
          <cell r="A127" t="str">
            <v>A07110</v>
          </cell>
          <cell r="B127" t="str">
            <v>137/11/09</v>
          </cell>
          <cell r="C127">
            <v>1.375</v>
          </cell>
          <cell r="D127">
            <v>20.75</v>
          </cell>
          <cell r="E127">
            <v>25.1</v>
          </cell>
          <cell r="F127" t="str">
            <v/>
          </cell>
          <cell r="G127" t="str">
            <v/>
          </cell>
          <cell r="H127" t="str">
            <v/>
          </cell>
          <cell r="I127" t="str">
            <v/>
          </cell>
          <cell r="J127" t="str">
            <v/>
          </cell>
          <cell r="K127" t="str">
            <v/>
          </cell>
          <cell r="L127" t="str">
            <v/>
          </cell>
          <cell r="M127" t="str">
            <v/>
          </cell>
          <cell r="N127" t="str">
            <v/>
          </cell>
          <cell r="O127">
            <v>1.5043</v>
          </cell>
        </row>
        <row r="128">
          <cell r="A128" t="str">
            <v>A11111</v>
          </cell>
          <cell r="B128" t="str">
            <v>141/11/11</v>
          </cell>
          <cell r="C128">
            <v>2.375</v>
          </cell>
          <cell r="D128">
            <v>21.39</v>
          </cell>
          <cell r="E128">
            <v>29.1</v>
          </cell>
          <cell r="F128" t="str">
            <v/>
          </cell>
          <cell r="G128" t="str">
            <v/>
          </cell>
          <cell r="H128" t="str">
            <v/>
          </cell>
          <cell r="I128" t="str">
            <v/>
          </cell>
          <cell r="J128" t="str">
            <v/>
          </cell>
          <cell r="K128" t="str">
            <v/>
          </cell>
          <cell r="L128" t="str">
            <v/>
          </cell>
          <cell r="M128" t="str">
            <v/>
          </cell>
          <cell r="N128" t="str">
            <v/>
          </cell>
          <cell r="O128">
            <v>1.5309999999999999</v>
          </cell>
        </row>
        <row r="129">
          <cell r="A129" t="str">
            <v>A08105</v>
          </cell>
          <cell r="B129" t="str">
            <v>138/05/17</v>
          </cell>
          <cell r="C129">
            <v>1.125</v>
          </cell>
          <cell r="D129">
            <v>21.79</v>
          </cell>
          <cell r="E129">
            <v>25.62</v>
          </cell>
          <cell r="F129" t="str">
            <v/>
          </cell>
          <cell r="G129" t="str">
            <v/>
          </cell>
          <cell r="H129" t="str">
            <v/>
          </cell>
          <cell r="I129" t="str">
            <v/>
          </cell>
          <cell r="J129" t="str">
            <v/>
          </cell>
          <cell r="K129" t="str">
            <v/>
          </cell>
          <cell r="L129" t="str">
            <v/>
          </cell>
          <cell r="M129" t="str">
            <v/>
          </cell>
          <cell r="N129" t="str">
            <v/>
          </cell>
          <cell r="O129">
            <v>1.5145999999999999</v>
          </cell>
        </row>
        <row r="130">
          <cell r="A130" t="str">
            <v>A11105</v>
          </cell>
          <cell r="B130" t="str">
            <v>141/05/20</v>
          </cell>
          <cell r="C130">
            <v>2</v>
          </cell>
          <cell r="D130">
            <v>21.96</v>
          </cell>
          <cell r="E130">
            <v>28.62</v>
          </cell>
          <cell r="F130" t="str">
            <v/>
          </cell>
          <cell r="G130" t="str">
            <v/>
          </cell>
          <cell r="H130" t="str">
            <v/>
          </cell>
          <cell r="I130" t="str">
            <v/>
          </cell>
          <cell r="J130" t="str">
            <v/>
          </cell>
          <cell r="K130" t="str">
            <v/>
          </cell>
          <cell r="L130" t="str">
            <v/>
          </cell>
          <cell r="M130" t="str">
            <v/>
          </cell>
          <cell r="N130" t="str">
            <v/>
          </cell>
          <cell r="O130">
            <v>1.5322</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1.5226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1.5333000000000001</v>
          </cell>
        </row>
        <row r="133">
          <cell r="A133" t="str">
            <v>A10113</v>
          </cell>
          <cell r="B133" t="str">
            <v>140/12/23</v>
          </cell>
          <cell r="C133">
            <v>1.125</v>
          </cell>
          <cell r="D133">
            <v>23.49</v>
          </cell>
          <cell r="E133">
            <v>28.22</v>
          </cell>
          <cell r="F133" t="str">
            <v/>
          </cell>
          <cell r="G133" t="str">
            <v/>
          </cell>
          <cell r="H133" t="str">
            <v/>
          </cell>
          <cell r="I133" t="str">
            <v/>
          </cell>
          <cell r="J133" t="str">
            <v/>
          </cell>
          <cell r="K133" t="str">
            <v/>
          </cell>
          <cell r="L133" t="str">
            <v/>
          </cell>
          <cell r="M133" t="str">
            <v/>
          </cell>
          <cell r="N133" t="str">
            <v/>
          </cell>
          <cell r="O133">
            <v>1.5431999999999999</v>
          </cell>
        </row>
        <row r="134">
          <cell r="A134" t="str">
            <v>A12105</v>
          </cell>
          <cell r="B134" t="str">
            <v>142/05/12</v>
          </cell>
          <cell r="C134">
            <v>1.5</v>
          </cell>
          <cell r="D134">
            <v>23.57</v>
          </cell>
          <cell r="E134">
            <v>29.6</v>
          </cell>
          <cell r="F134" t="str">
            <v/>
          </cell>
          <cell r="G134" t="str">
            <v/>
          </cell>
          <cell r="H134" t="str">
            <v/>
          </cell>
          <cell r="I134" t="str">
            <v/>
          </cell>
          <cell r="J134" t="str">
            <v/>
          </cell>
          <cell r="K134" t="str">
            <v/>
          </cell>
          <cell r="L134" t="str">
            <v/>
          </cell>
          <cell r="M134" t="str">
            <v/>
          </cell>
          <cell r="N134" t="str">
            <v/>
          </cell>
          <cell r="O134">
            <v>1.5487</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1.5448</v>
          </cell>
        </row>
        <row r="137">
          <cell r="A137" t="str">
            <v>A09111</v>
          </cell>
          <cell r="B137" t="str">
            <v>139/11/27</v>
          </cell>
          <cell r="C137">
            <v>0.375</v>
          </cell>
          <cell r="D137">
            <v>25.09</v>
          </cell>
          <cell r="E137">
            <v>27.15</v>
          </cell>
          <cell r="F137" t="str">
            <v/>
          </cell>
          <cell r="G137" t="str">
            <v/>
          </cell>
          <cell r="H137" t="str">
            <v/>
          </cell>
          <cell r="I137" t="str">
            <v/>
          </cell>
          <cell r="J137" t="str">
            <v/>
          </cell>
          <cell r="K137" t="str">
            <v/>
          </cell>
          <cell r="L137" t="str">
            <v/>
          </cell>
          <cell r="M137" t="str">
            <v/>
          </cell>
          <cell r="N137" t="str">
            <v/>
          </cell>
          <cell r="O137">
            <v>1.5474000000000001</v>
          </cell>
        </row>
        <row r="138">
          <cell r="A138" t="str">
            <v>B618BT</v>
          </cell>
          <cell r="B138" t="str">
            <v>P09台積3A</v>
          </cell>
          <cell r="C138">
            <v>1.62</v>
          </cell>
          <cell r="D138">
            <v>1.65</v>
          </cell>
          <cell r="E138">
            <v>0</v>
          </cell>
          <cell r="F138">
            <v>1.52</v>
          </cell>
          <cell r="G138">
            <v>1.52</v>
          </cell>
          <cell r="H138">
            <v>1.52</v>
          </cell>
          <cell r="I138">
            <v>2</v>
          </cell>
          <cell r="J138" t="str">
            <v/>
          </cell>
          <cell r="K138" t="str">
            <v/>
          </cell>
          <cell r="L138" t="str">
            <v/>
          </cell>
          <cell r="M138" t="str">
            <v/>
          </cell>
          <cell r="N138" t="str">
            <v/>
          </cell>
          <cell r="O138" t="e">
            <v>#N/A</v>
          </cell>
        </row>
        <row r="139">
          <cell r="A139" t="str">
            <v>B903YX</v>
          </cell>
          <cell r="B139" t="str">
            <v>P12台電2B</v>
          </cell>
          <cell r="C139">
            <v>4.32</v>
          </cell>
          <cell r="D139">
            <v>4.54</v>
          </cell>
          <cell r="E139">
            <v>0</v>
          </cell>
          <cell r="F139">
            <v>1.57</v>
          </cell>
          <cell r="G139">
            <v>1.57</v>
          </cell>
          <cell r="H139">
            <v>1.57</v>
          </cell>
          <cell r="I139">
            <v>8.5</v>
          </cell>
          <cell r="J139" t="str">
            <v/>
          </cell>
          <cell r="K139" t="str">
            <v/>
          </cell>
          <cell r="L139" t="str">
            <v/>
          </cell>
          <cell r="M139" t="str">
            <v/>
          </cell>
          <cell r="N139" t="str">
            <v/>
          </cell>
          <cell r="O139" t="e">
            <v>#N/A</v>
          </cell>
        </row>
        <row r="140">
          <cell r="A140" t="str">
            <v>B92353</v>
          </cell>
          <cell r="B140" t="str">
            <v>P08遠鼎1</v>
          </cell>
          <cell r="C140">
            <v>0.98</v>
          </cell>
          <cell r="D140">
            <v>1</v>
          </cell>
          <cell r="E140">
            <v>0</v>
          </cell>
          <cell r="F140">
            <v>1.5149999999999999</v>
          </cell>
          <cell r="G140">
            <v>1.5149999999999999</v>
          </cell>
          <cell r="H140">
            <v>1.5149999999999999</v>
          </cell>
          <cell r="I140">
            <v>1</v>
          </cell>
          <cell r="J140">
            <v>1.5249999999999999</v>
          </cell>
          <cell r="K140">
            <v>1.5249999999999999</v>
          </cell>
          <cell r="L140">
            <v>1.5249999999999999</v>
          </cell>
          <cell r="M140">
            <v>1</v>
          </cell>
          <cell r="N140">
            <v>1</v>
          </cell>
          <cell r="O140" t="e">
            <v>#N/A</v>
          </cell>
        </row>
        <row r="141">
          <cell r="A141" t="str">
            <v>B98903</v>
          </cell>
          <cell r="B141" t="str">
            <v>P08國泰金1</v>
          </cell>
          <cell r="C141">
            <v>0.57999999999999996</v>
          </cell>
          <cell r="D141">
            <v>0.59</v>
          </cell>
          <cell r="E141">
            <v>0</v>
          </cell>
          <cell r="F141">
            <v>1.5</v>
          </cell>
          <cell r="G141">
            <v>1.5</v>
          </cell>
          <cell r="H141">
            <v>1.5</v>
          </cell>
          <cell r="I141">
            <v>2</v>
          </cell>
          <cell r="J141">
            <v>1.51</v>
          </cell>
          <cell r="K141">
            <v>1.51</v>
          </cell>
          <cell r="L141">
            <v>1.51</v>
          </cell>
          <cell r="M141">
            <v>1</v>
          </cell>
          <cell r="N141">
            <v>2</v>
          </cell>
          <cell r="O141" t="e">
            <v>#N/A</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A07111</v>
          </cell>
          <cell r="B4" t="str">
            <v>107央甲11</v>
          </cell>
          <cell r="C4" t="str">
            <v>112/11/23</v>
          </cell>
          <cell r="D4">
            <v>0.14000000000000001</v>
          </cell>
          <cell r="E4">
            <v>0.14000000000000001</v>
          </cell>
          <cell r="F4" t="str">
            <v/>
          </cell>
          <cell r="G4" t="str">
            <v/>
          </cell>
          <cell r="H4" t="str">
            <v/>
          </cell>
          <cell r="I4" t="str">
            <v/>
          </cell>
          <cell r="J4" t="str">
            <v/>
          </cell>
          <cell r="K4" t="str">
            <v/>
          </cell>
          <cell r="L4" t="str">
            <v/>
          </cell>
          <cell r="M4" t="str">
            <v/>
          </cell>
          <cell r="N4" t="str">
            <v/>
          </cell>
          <cell r="O4">
            <v>0.99260000000000004</v>
          </cell>
        </row>
        <row r="5">
          <cell r="A5" t="str">
            <v>A08101</v>
          </cell>
          <cell r="B5" t="str">
            <v>108央債甲1</v>
          </cell>
          <cell r="C5" t="str">
            <v>113/01/14</v>
          </cell>
          <cell r="D5">
            <v>0.28000000000000003</v>
          </cell>
          <cell r="E5">
            <v>0.28000000000000003</v>
          </cell>
          <cell r="F5" t="str">
            <v/>
          </cell>
          <cell r="G5" t="str">
            <v/>
          </cell>
          <cell r="H5" t="str">
            <v/>
          </cell>
          <cell r="I5" t="str">
            <v/>
          </cell>
          <cell r="J5" t="str">
            <v/>
          </cell>
          <cell r="K5" t="str">
            <v/>
          </cell>
          <cell r="L5" t="str">
            <v/>
          </cell>
          <cell r="M5" t="str">
            <v/>
          </cell>
          <cell r="N5" t="str">
            <v/>
          </cell>
          <cell r="O5">
            <v>0.99309999999999998</v>
          </cell>
        </row>
        <row r="6">
          <cell r="A6" t="str">
            <v>A93103</v>
          </cell>
          <cell r="B6" t="str">
            <v>93央債甲三</v>
          </cell>
          <cell r="C6" t="str">
            <v>113/02/10</v>
          </cell>
          <cell r="D6">
            <v>0.35</v>
          </cell>
          <cell r="E6">
            <v>0.35</v>
          </cell>
          <cell r="F6" t="str">
            <v/>
          </cell>
          <cell r="G6" t="str">
            <v/>
          </cell>
          <cell r="H6" t="str">
            <v/>
          </cell>
          <cell r="I6" t="str">
            <v/>
          </cell>
          <cell r="J6" t="str">
            <v/>
          </cell>
          <cell r="K6" t="str">
            <v/>
          </cell>
          <cell r="L6" t="str">
            <v/>
          </cell>
          <cell r="M6" t="str">
            <v/>
          </cell>
          <cell r="N6" t="str">
            <v/>
          </cell>
          <cell r="O6">
            <v>0.99470000000000003</v>
          </cell>
        </row>
        <row r="7">
          <cell r="A7" t="str">
            <v>A03106</v>
          </cell>
          <cell r="B7" t="str">
            <v>103央債甲6</v>
          </cell>
          <cell r="C7" t="str">
            <v>113/03/03</v>
          </cell>
          <cell r="D7">
            <v>0.41</v>
          </cell>
          <cell r="E7">
            <v>0.41</v>
          </cell>
          <cell r="F7">
            <v>0.91500000000000004</v>
          </cell>
          <cell r="G7">
            <v>0.91500000000000004</v>
          </cell>
          <cell r="H7">
            <v>0.91500000000000004</v>
          </cell>
          <cell r="I7">
            <v>4</v>
          </cell>
          <cell r="J7">
            <v>0.90500000000000003</v>
          </cell>
          <cell r="K7">
            <v>0.90500000000000003</v>
          </cell>
          <cell r="L7">
            <v>0.90500000000000003</v>
          </cell>
          <cell r="M7">
            <v>1</v>
          </cell>
          <cell r="N7">
            <v>4</v>
          </cell>
          <cell r="O7">
            <v>0.99619999999999997</v>
          </cell>
        </row>
        <row r="8">
          <cell r="A8" t="str">
            <v>A11202</v>
          </cell>
          <cell r="B8" t="str">
            <v>111央債乙2</v>
          </cell>
          <cell r="C8" t="str">
            <v>113/03/31</v>
          </cell>
          <cell r="D8">
            <v>0.48</v>
          </cell>
          <cell r="E8">
            <v>0.49</v>
          </cell>
          <cell r="F8" t="str">
            <v/>
          </cell>
          <cell r="G8" t="str">
            <v/>
          </cell>
          <cell r="H8" t="str">
            <v/>
          </cell>
          <cell r="I8" t="str">
            <v/>
          </cell>
          <cell r="J8" t="str">
            <v/>
          </cell>
          <cell r="K8" t="str">
            <v/>
          </cell>
          <cell r="L8" t="str">
            <v/>
          </cell>
          <cell r="M8" t="str">
            <v/>
          </cell>
          <cell r="N8" t="str">
            <v/>
          </cell>
          <cell r="O8">
            <v>0.99819999999999998</v>
          </cell>
        </row>
        <row r="9">
          <cell r="A9" t="str">
            <v>A08107</v>
          </cell>
          <cell r="B9" t="str">
            <v>108央債甲7</v>
          </cell>
          <cell r="C9" t="str">
            <v>113/07/17</v>
          </cell>
          <cell r="D9">
            <v>0.78</v>
          </cell>
          <cell r="E9">
            <v>0.79</v>
          </cell>
          <cell r="F9" t="str">
            <v/>
          </cell>
          <cell r="G9" t="str">
            <v/>
          </cell>
          <cell r="H9" t="str">
            <v/>
          </cell>
          <cell r="I9" t="str">
            <v/>
          </cell>
          <cell r="J9" t="str">
            <v/>
          </cell>
          <cell r="K9" t="str">
            <v/>
          </cell>
          <cell r="L9" t="str">
            <v/>
          </cell>
          <cell r="M9" t="str">
            <v/>
          </cell>
          <cell r="N9" t="str">
            <v/>
          </cell>
          <cell r="O9">
            <v>1.006</v>
          </cell>
        </row>
        <row r="10">
          <cell r="A10" t="str">
            <v>A03113</v>
          </cell>
          <cell r="B10" t="str">
            <v>103央甲13</v>
          </cell>
          <cell r="C10" t="str">
            <v>113/09/26</v>
          </cell>
          <cell r="D10">
            <v>0.97</v>
          </cell>
          <cell r="E10">
            <v>0.98</v>
          </cell>
          <cell r="F10" t="str">
            <v/>
          </cell>
          <cell r="G10" t="str">
            <v/>
          </cell>
          <cell r="H10" t="str">
            <v/>
          </cell>
          <cell r="I10" t="str">
            <v/>
          </cell>
          <cell r="J10" t="str">
            <v/>
          </cell>
          <cell r="K10" t="str">
            <v/>
          </cell>
          <cell r="L10" t="str">
            <v/>
          </cell>
          <cell r="M10" t="str">
            <v/>
          </cell>
          <cell r="N10" t="str">
            <v/>
          </cell>
          <cell r="O10">
            <v>1.0105999999999999</v>
          </cell>
        </row>
        <row r="11">
          <cell r="A11" t="str">
            <v>A93109</v>
          </cell>
          <cell r="B11" t="str">
            <v>93央債甲九</v>
          </cell>
          <cell r="C11" t="str">
            <v>113/11/18</v>
          </cell>
          <cell r="D11">
            <v>1.08</v>
          </cell>
          <cell r="E11">
            <v>1.1299999999999999</v>
          </cell>
          <cell r="F11" t="str">
            <v/>
          </cell>
          <cell r="G11" t="str">
            <v/>
          </cell>
          <cell r="H11" t="str">
            <v/>
          </cell>
          <cell r="I11" t="str">
            <v/>
          </cell>
          <cell r="J11" t="str">
            <v/>
          </cell>
          <cell r="K11" t="str">
            <v/>
          </cell>
          <cell r="L11" t="str">
            <v/>
          </cell>
          <cell r="M11" t="str">
            <v/>
          </cell>
          <cell r="N11" t="str">
            <v/>
          </cell>
          <cell r="O11">
            <v>1.0136000000000001</v>
          </cell>
        </row>
        <row r="12">
          <cell r="A12" t="str">
            <v>A09101</v>
          </cell>
          <cell r="B12" t="str">
            <v>109央債甲1</v>
          </cell>
          <cell r="C12" t="str">
            <v>114/01/10</v>
          </cell>
          <cell r="D12">
            <v>1.25</v>
          </cell>
          <cell r="E12">
            <v>1.27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94央債甲三</v>
          </cell>
          <cell r="C13" t="str">
            <v>114/02/25</v>
          </cell>
          <cell r="D13">
            <v>1.36</v>
          </cell>
          <cell r="E13">
            <v>1.4</v>
          </cell>
          <cell r="F13" t="str">
            <v/>
          </cell>
          <cell r="G13" t="str">
            <v/>
          </cell>
          <cell r="H13" t="str">
            <v/>
          </cell>
          <cell r="I13" t="str">
            <v/>
          </cell>
          <cell r="J13" t="str">
            <v/>
          </cell>
          <cell r="K13" t="str">
            <v/>
          </cell>
          <cell r="L13" t="str">
            <v/>
          </cell>
          <cell r="M13" t="str">
            <v/>
          </cell>
          <cell r="N13" t="str">
            <v/>
          </cell>
          <cell r="O13">
            <v>1.0196000000000001</v>
          </cell>
        </row>
        <row r="14">
          <cell r="A14" t="str">
            <v>A12103</v>
          </cell>
          <cell r="B14" t="str">
            <v>112央債甲3</v>
          </cell>
          <cell r="C14" t="str">
            <v>114/02/23</v>
          </cell>
          <cell r="D14">
            <v>1.37</v>
          </cell>
          <cell r="E14">
            <v>1.39</v>
          </cell>
          <cell r="F14" t="str">
            <v/>
          </cell>
          <cell r="G14" t="str">
            <v/>
          </cell>
          <cell r="H14" t="str">
            <v/>
          </cell>
          <cell r="I14" t="str">
            <v/>
          </cell>
          <cell r="J14" t="str">
            <v/>
          </cell>
          <cell r="K14" t="str">
            <v/>
          </cell>
          <cell r="L14" t="str">
            <v/>
          </cell>
          <cell r="M14" t="str">
            <v/>
          </cell>
          <cell r="N14" t="str">
            <v/>
          </cell>
          <cell r="O14">
            <v>1.0195000000000001</v>
          </cell>
        </row>
        <row r="15">
          <cell r="A15" t="str">
            <v>A04105</v>
          </cell>
          <cell r="B15" t="str">
            <v>104央債甲5</v>
          </cell>
          <cell r="C15" t="str">
            <v>114/03/13</v>
          </cell>
          <cell r="D15">
            <v>1.41</v>
          </cell>
          <cell r="E15">
            <v>1.44</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109央債甲7</v>
          </cell>
          <cell r="C16" t="str">
            <v>114/07/17</v>
          </cell>
          <cell r="D16">
            <v>1.76</v>
          </cell>
          <cell r="E16">
            <v>1.79</v>
          </cell>
          <cell r="F16" t="str">
            <v/>
          </cell>
          <cell r="G16" t="str">
            <v/>
          </cell>
          <cell r="H16" t="str">
            <v/>
          </cell>
          <cell r="I16" t="str">
            <v/>
          </cell>
          <cell r="J16" t="str">
            <v/>
          </cell>
          <cell r="K16" t="str">
            <v/>
          </cell>
          <cell r="L16" t="str">
            <v/>
          </cell>
          <cell r="M16" t="str">
            <v/>
          </cell>
          <cell r="N16" t="str">
            <v/>
          </cell>
          <cell r="O16">
            <v>1.0308999999999999</v>
          </cell>
        </row>
        <row r="17">
          <cell r="A17" t="str">
            <v>A04112</v>
          </cell>
          <cell r="B17" t="str">
            <v>104央甲12</v>
          </cell>
          <cell r="C17" t="str">
            <v>114/09/11</v>
          </cell>
          <cell r="D17">
            <v>1.91</v>
          </cell>
          <cell r="E17">
            <v>1.94</v>
          </cell>
          <cell r="F17" t="str">
            <v/>
          </cell>
          <cell r="G17" t="str">
            <v/>
          </cell>
          <cell r="H17" t="str">
            <v/>
          </cell>
          <cell r="I17" t="str">
            <v/>
          </cell>
          <cell r="J17" t="str">
            <v/>
          </cell>
          <cell r="K17" t="str">
            <v/>
          </cell>
          <cell r="L17" t="str">
            <v/>
          </cell>
          <cell r="M17" t="str">
            <v/>
          </cell>
          <cell r="N17" t="str">
            <v/>
          </cell>
          <cell r="O17">
            <v>1.0363</v>
          </cell>
        </row>
        <row r="18">
          <cell r="A18" t="str">
            <v>A09112</v>
          </cell>
          <cell r="B18" t="str">
            <v>109央甲12</v>
          </cell>
          <cell r="C18" t="str">
            <v>114/12/08</v>
          </cell>
          <cell r="D18">
            <v>2.15</v>
          </cell>
          <cell r="E18">
            <v>2.1800000000000002</v>
          </cell>
          <cell r="F18" t="str">
            <v/>
          </cell>
          <cell r="G18" t="str">
            <v/>
          </cell>
          <cell r="H18" t="str">
            <v/>
          </cell>
          <cell r="I18" t="str">
            <v/>
          </cell>
          <cell r="J18" t="str">
            <v/>
          </cell>
          <cell r="K18" t="str">
            <v/>
          </cell>
          <cell r="L18" t="str">
            <v/>
          </cell>
          <cell r="M18" t="str">
            <v/>
          </cell>
          <cell r="N18" t="str">
            <v/>
          </cell>
          <cell r="O18">
            <v>1.0465</v>
          </cell>
        </row>
        <row r="19">
          <cell r="A19" t="str">
            <v>A10101</v>
          </cell>
          <cell r="B19" t="str">
            <v>110央債甲1</v>
          </cell>
          <cell r="C19" t="str">
            <v>115/01/13</v>
          </cell>
          <cell r="D19">
            <v>2.25</v>
          </cell>
          <cell r="E19">
            <v>2.2799999999999998</v>
          </cell>
          <cell r="F19" t="str">
            <v/>
          </cell>
          <cell r="G19" t="str">
            <v/>
          </cell>
          <cell r="H19" t="str">
            <v/>
          </cell>
          <cell r="I19" t="str">
            <v/>
          </cell>
          <cell r="J19" t="str">
            <v/>
          </cell>
          <cell r="K19" t="str">
            <v/>
          </cell>
          <cell r="L19" t="str">
            <v/>
          </cell>
          <cell r="M19" t="str">
            <v/>
          </cell>
          <cell r="N19" t="str">
            <v/>
          </cell>
          <cell r="O19">
            <v>1.0511999999999999</v>
          </cell>
        </row>
        <row r="20">
          <cell r="A20" t="str">
            <v>A95102</v>
          </cell>
          <cell r="B20" t="str">
            <v>95央債甲二</v>
          </cell>
          <cell r="C20" t="str">
            <v>115/02/24</v>
          </cell>
          <cell r="D20">
            <v>2.31</v>
          </cell>
          <cell r="E20">
            <v>2.39</v>
          </cell>
          <cell r="F20" t="str">
            <v/>
          </cell>
          <cell r="G20" t="str">
            <v/>
          </cell>
          <cell r="H20" t="str">
            <v/>
          </cell>
          <cell r="I20" t="str">
            <v/>
          </cell>
          <cell r="J20" t="str">
            <v/>
          </cell>
          <cell r="K20" t="str">
            <v/>
          </cell>
          <cell r="L20" t="str">
            <v/>
          </cell>
          <cell r="M20" t="str">
            <v/>
          </cell>
          <cell r="N20" t="str">
            <v/>
          </cell>
          <cell r="O20">
            <v>1.0566</v>
          </cell>
        </row>
        <row r="21">
          <cell r="A21" t="str">
            <v>A05104</v>
          </cell>
          <cell r="B21" t="str">
            <v>105央債甲4</v>
          </cell>
          <cell r="C21" t="str">
            <v>115/03/04</v>
          </cell>
          <cell r="D21">
            <v>2.37</v>
          </cell>
          <cell r="E21">
            <v>2.42</v>
          </cell>
          <cell r="F21" t="str">
            <v/>
          </cell>
          <cell r="G21" t="str">
            <v/>
          </cell>
          <cell r="H21" t="str">
            <v/>
          </cell>
          <cell r="I21" t="str">
            <v/>
          </cell>
          <cell r="J21" t="str">
            <v/>
          </cell>
          <cell r="K21" t="str">
            <v/>
          </cell>
          <cell r="L21" t="str">
            <v/>
          </cell>
          <cell r="M21" t="str">
            <v/>
          </cell>
          <cell r="N21" t="str">
            <v/>
          </cell>
          <cell r="O21">
            <v>1.0582</v>
          </cell>
        </row>
        <row r="22">
          <cell r="A22" t="str">
            <v>A10108</v>
          </cell>
          <cell r="B22" t="str">
            <v>110央債甲8</v>
          </cell>
          <cell r="C22" t="str">
            <v>115/07/29</v>
          </cell>
          <cell r="D22">
            <v>2.78</v>
          </cell>
          <cell r="E22">
            <v>2.82</v>
          </cell>
          <cell r="F22" t="str">
            <v/>
          </cell>
          <cell r="G22" t="str">
            <v/>
          </cell>
          <cell r="H22" t="str">
            <v/>
          </cell>
          <cell r="I22" t="str">
            <v/>
          </cell>
          <cell r="J22" t="str">
            <v/>
          </cell>
          <cell r="K22" t="str">
            <v/>
          </cell>
          <cell r="L22" t="str">
            <v/>
          </cell>
          <cell r="M22" t="str">
            <v/>
          </cell>
          <cell r="N22" t="str">
            <v/>
          </cell>
          <cell r="O22">
            <v>1.0818000000000001</v>
          </cell>
        </row>
        <row r="23">
          <cell r="A23" t="str">
            <v>A05111</v>
          </cell>
          <cell r="B23" t="str">
            <v>105央甲11</v>
          </cell>
          <cell r="C23" t="str">
            <v>115/09/07</v>
          </cell>
          <cell r="D23">
            <v>2.88</v>
          </cell>
          <cell r="E23">
            <v>2.93</v>
          </cell>
          <cell r="F23" t="str">
            <v/>
          </cell>
          <cell r="G23" t="str">
            <v/>
          </cell>
          <cell r="H23" t="str">
            <v/>
          </cell>
          <cell r="I23" t="str">
            <v/>
          </cell>
          <cell r="J23" t="str">
            <v/>
          </cell>
          <cell r="K23" t="str">
            <v/>
          </cell>
          <cell r="L23" t="str">
            <v/>
          </cell>
          <cell r="M23" t="str">
            <v/>
          </cell>
          <cell r="N23" t="str">
            <v/>
          </cell>
          <cell r="O23">
            <v>1.0882000000000001</v>
          </cell>
        </row>
        <row r="24">
          <cell r="A24" t="str">
            <v>A95107</v>
          </cell>
          <cell r="B24" t="str">
            <v>95央債甲7</v>
          </cell>
          <cell r="C24" t="str">
            <v>115/11/10</v>
          </cell>
          <cell r="D24">
            <v>2.95</v>
          </cell>
          <cell r="E24">
            <v>3.1</v>
          </cell>
          <cell r="F24" t="str">
            <v/>
          </cell>
          <cell r="G24" t="str">
            <v/>
          </cell>
          <cell r="H24" t="str">
            <v/>
          </cell>
          <cell r="I24" t="str">
            <v/>
          </cell>
          <cell r="J24" t="str">
            <v/>
          </cell>
          <cell r="K24" t="str">
            <v/>
          </cell>
          <cell r="L24" t="str">
            <v/>
          </cell>
          <cell r="M24" t="str">
            <v/>
          </cell>
          <cell r="N24" t="str">
            <v/>
          </cell>
          <cell r="O24">
            <v>1.0976999999999999</v>
          </cell>
        </row>
        <row r="25">
          <cell r="A25" t="str">
            <v>A96102</v>
          </cell>
          <cell r="B25" t="str">
            <v>96央債甲2</v>
          </cell>
          <cell r="C25" t="str">
            <v>116/02/14</v>
          </cell>
          <cell r="D25">
            <v>3.21</v>
          </cell>
          <cell r="E25">
            <v>3.37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106央債甲4</v>
          </cell>
          <cell r="C26" t="str">
            <v>116/03/01</v>
          </cell>
          <cell r="D26">
            <v>3.3</v>
          </cell>
          <cell r="E26">
            <v>3.41</v>
          </cell>
          <cell r="F26" t="str">
            <v/>
          </cell>
          <cell r="G26" t="str">
            <v/>
          </cell>
          <cell r="H26" t="str">
            <v/>
          </cell>
          <cell r="I26" t="str">
            <v/>
          </cell>
          <cell r="J26" t="str">
            <v/>
          </cell>
          <cell r="K26" t="str">
            <v/>
          </cell>
          <cell r="L26" t="str">
            <v/>
          </cell>
          <cell r="M26" t="str">
            <v/>
          </cell>
          <cell r="N26" t="str">
            <v/>
          </cell>
          <cell r="O26">
            <v>1.1160000000000001</v>
          </cell>
        </row>
        <row r="27">
          <cell r="A27" t="str">
            <v>A11103</v>
          </cell>
          <cell r="B27" t="str">
            <v>111央債甲3</v>
          </cell>
          <cell r="C27" t="str">
            <v>116/02/24</v>
          </cell>
          <cell r="D27">
            <v>3.32</v>
          </cell>
          <cell r="E27">
            <v>3.39</v>
          </cell>
          <cell r="F27" t="str">
            <v/>
          </cell>
          <cell r="G27" t="str">
            <v/>
          </cell>
          <cell r="H27" t="str">
            <v/>
          </cell>
          <cell r="I27" t="str">
            <v/>
          </cell>
          <cell r="J27" t="str">
            <v/>
          </cell>
          <cell r="K27" t="str">
            <v/>
          </cell>
          <cell r="L27" t="str">
            <v/>
          </cell>
          <cell r="M27" t="str">
            <v/>
          </cell>
          <cell r="N27" t="str">
            <v/>
          </cell>
          <cell r="O27">
            <v>1.1157999999999999</v>
          </cell>
        </row>
        <row r="28">
          <cell r="A28" t="str">
            <v>A11106</v>
          </cell>
          <cell r="B28" t="str">
            <v>111央債甲6</v>
          </cell>
          <cell r="C28" t="str">
            <v>116/06/23</v>
          </cell>
          <cell r="D28">
            <v>3.62</v>
          </cell>
          <cell r="E28">
            <v>3.72</v>
          </cell>
          <cell r="F28" t="str">
            <v/>
          </cell>
          <cell r="G28" t="str">
            <v/>
          </cell>
          <cell r="H28" t="str">
            <v/>
          </cell>
          <cell r="I28" t="str">
            <v/>
          </cell>
          <cell r="J28" t="str">
            <v/>
          </cell>
          <cell r="K28" t="str">
            <v/>
          </cell>
          <cell r="L28" t="str">
            <v/>
          </cell>
          <cell r="M28" t="str">
            <v/>
          </cell>
          <cell r="N28" t="str">
            <v/>
          </cell>
          <cell r="O28">
            <v>1.1324000000000001</v>
          </cell>
        </row>
        <row r="29">
          <cell r="A29" t="str">
            <v>A96107</v>
          </cell>
          <cell r="B29" t="str">
            <v>96央債甲7</v>
          </cell>
          <cell r="C29" t="str">
            <v>116/11/16</v>
          </cell>
          <cell r="D29">
            <v>3.81</v>
          </cell>
          <cell r="E29">
            <v>4.12</v>
          </cell>
          <cell r="F29" t="str">
            <v/>
          </cell>
          <cell r="G29" t="str">
            <v/>
          </cell>
          <cell r="H29" t="str">
            <v/>
          </cell>
          <cell r="I29" t="str">
            <v/>
          </cell>
          <cell r="J29" t="str">
            <v/>
          </cell>
          <cell r="K29" t="str">
            <v/>
          </cell>
          <cell r="L29" t="str">
            <v/>
          </cell>
          <cell r="M29" t="str">
            <v/>
          </cell>
          <cell r="N29" t="str">
            <v/>
          </cell>
          <cell r="O29">
            <v>1.1474</v>
          </cell>
        </row>
        <row r="30">
          <cell r="A30" t="str">
            <v>A11108</v>
          </cell>
          <cell r="B30" t="str">
            <v>111央債甲8</v>
          </cell>
          <cell r="C30" t="str">
            <v>116/09/23</v>
          </cell>
          <cell r="D30">
            <v>3.85</v>
          </cell>
          <cell r="E30">
            <v>3.97</v>
          </cell>
          <cell r="F30" t="str">
            <v/>
          </cell>
          <cell r="G30" t="str">
            <v/>
          </cell>
          <cell r="H30" t="str">
            <v/>
          </cell>
          <cell r="I30" t="str">
            <v/>
          </cell>
          <cell r="J30" t="str">
            <v/>
          </cell>
          <cell r="K30" t="str">
            <v/>
          </cell>
          <cell r="L30" t="str">
            <v/>
          </cell>
          <cell r="M30" t="str">
            <v/>
          </cell>
          <cell r="N30" t="str">
            <v/>
          </cell>
          <cell r="O30">
            <v>1.1436999999999999</v>
          </cell>
        </row>
        <row r="31">
          <cell r="A31" t="str">
            <v>A06109</v>
          </cell>
          <cell r="B31" t="str">
            <v>106央債甲9</v>
          </cell>
          <cell r="C31" t="str">
            <v>116/09/20</v>
          </cell>
          <cell r="D31">
            <v>3.86</v>
          </cell>
          <cell r="E31">
            <v>3.96</v>
          </cell>
          <cell r="F31" t="str">
            <v/>
          </cell>
          <cell r="G31" t="str">
            <v/>
          </cell>
          <cell r="H31" t="str">
            <v/>
          </cell>
          <cell r="I31" t="str">
            <v/>
          </cell>
          <cell r="J31" t="str">
            <v/>
          </cell>
          <cell r="K31" t="str">
            <v/>
          </cell>
          <cell r="L31" t="str">
            <v/>
          </cell>
          <cell r="M31" t="str">
            <v/>
          </cell>
          <cell r="N31" t="str">
            <v/>
          </cell>
          <cell r="O31">
            <v>1.1435999999999999</v>
          </cell>
        </row>
        <row r="32">
          <cell r="A32" t="str">
            <v>A02101</v>
          </cell>
          <cell r="B32" t="str">
            <v>102央債甲1</v>
          </cell>
          <cell r="C32" t="str">
            <v>117/01/09</v>
          </cell>
          <cell r="D32">
            <v>4.09</v>
          </cell>
          <cell r="E32">
            <v>4.2699999999999996</v>
          </cell>
          <cell r="F32" t="str">
            <v/>
          </cell>
          <cell r="G32" t="str">
            <v/>
          </cell>
          <cell r="H32" t="str">
            <v/>
          </cell>
          <cell r="I32" t="str">
            <v/>
          </cell>
          <cell r="J32" t="str">
            <v/>
          </cell>
          <cell r="K32" t="str">
            <v/>
          </cell>
          <cell r="L32" t="str">
            <v/>
          </cell>
          <cell r="M32" t="str">
            <v/>
          </cell>
          <cell r="N32" t="str">
            <v/>
          </cell>
          <cell r="O32">
            <v>1.1547000000000001</v>
          </cell>
        </row>
        <row r="33">
          <cell r="A33" t="str">
            <v>A97102</v>
          </cell>
          <cell r="B33" t="str">
            <v>97央債甲2</v>
          </cell>
          <cell r="C33" t="str">
            <v>117/02/14</v>
          </cell>
          <cell r="D33">
            <v>4.09</v>
          </cell>
          <cell r="E33">
            <v>4.3600000000000003</v>
          </cell>
          <cell r="F33" t="str">
            <v/>
          </cell>
          <cell r="G33" t="str">
            <v/>
          </cell>
          <cell r="H33" t="str">
            <v/>
          </cell>
          <cell r="I33" t="str">
            <v/>
          </cell>
          <cell r="J33" t="str">
            <v/>
          </cell>
          <cell r="K33" t="str">
            <v/>
          </cell>
          <cell r="L33" t="str">
            <v/>
          </cell>
          <cell r="M33" t="str">
            <v/>
          </cell>
          <cell r="N33" t="str">
            <v/>
          </cell>
          <cell r="O33">
            <v>1.1564000000000001</v>
          </cell>
        </row>
        <row r="34">
          <cell r="A34" t="str">
            <v>A12101</v>
          </cell>
          <cell r="B34" t="str">
            <v>112央債甲1</v>
          </cell>
          <cell r="C34" t="str">
            <v>117/01/17</v>
          </cell>
          <cell r="D34">
            <v>4.1399999999999997</v>
          </cell>
          <cell r="E34">
            <v>4.29</v>
          </cell>
          <cell r="F34" t="str">
            <v/>
          </cell>
          <cell r="G34" t="str">
            <v/>
          </cell>
          <cell r="H34" t="str">
            <v/>
          </cell>
          <cell r="I34" t="str">
            <v/>
          </cell>
          <cell r="J34" t="str">
            <v/>
          </cell>
          <cell r="K34" t="str">
            <v/>
          </cell>
          <cell r="L34" t="str">
            <v/>
          </cell>
          <cell r="M34" t="str">
            <v/>
          </cell>
          <cell r="N34" t="str">
            <v/>
          </cell>
          <cell r="O34">
            <v>1.1558999999999999</v>
          </cell>
        </row>
        <row r="35">
          <cell r="A35" t="str">
            <v>A07102</v>
          </cell>
          <cell r="B35" t="str">
            <v>107央債甲2</v>
          </cell>
          <cell r="C35" t="str">
            <v>117/02/08</v>
          </cell>
          <cell r="D35">
            <v>4.2</v>
          </cell>
          <cell r="E35">
            <v>4.3499999999999996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112央債甲6</v>
          </cell>
          <cell r="C36" t="str">
            <v>117/05/26</v>
          </cell>
          <cell r="D36">
            <v>4.49</v>
          </cell>
          <cell r="E36">
            <v>4.6399999999999997</v>
          </cell>
          <cell r="F36">
            <v>1.171</v>
          </cell>
          <cell r="G36">
            <v>1.165</v>
          </cell>
          <cell r="H36">
            <v>1.1697</v>
          </cell>
          <cell r="I36">
            <v>7</v>
          </cell>
          <cell r="J36" t="str">
            <v/>
          </cell>
          <cell r="K36" t="str">
            <v/>
          </cell>
          <cell r="L36" t="str">
            <v/>
          </cell>
          <cell r="M36" t="str">
            <v/>
          </cell>
          <cell r="N36" t="str">
            <v/>
          </cell>
          <cell r="O36">
            <v>1.1666000000000001</v>
          </cell>
        </row>
        <row r="37">
          <cell r="A37" t="str">
            <v>A07105</v>
          </cell>
          <cell r="B37" t="str">
            <v>107央債甲5</v>
          </cell>
          <cell r="C37" t="str">
            <v>117/06/08</v>
          </cell>
          <cell r="D37">
            <v>4.54</v>
          </cell>
          <cell r="E37">
            <v>4.68</v>
          </cell>
          <cell r="F37" t="str">
            <v/>
          </cell>
          <cell r="G37" t="str">
            <v/>
          </cell>
          <cell r="H37" t="str">
            <v/>
          </cell>
          <cell r="I37" t="str">
            <v/>
          </cell>
          <cell r="J37" t="str">
            <v/>
          </cell>
          <cell r="K37" t="str">
            <v/>
          </cell>
          <cell r="L37" t="str">
            <v/>
          </cell>
          <cell r="M37" t="str">
            <v/>
          </cell>
          <cell r="N37" t="str">
            <v/>
          </cell>
          <cell r="O37">
            <v>1.1677999999999999</v>
          </cell>
        </row>
        <row r="38">
          <cell r="A38" t="str">
            <v>A97105</v>
          </cell>
          <cell r="B38" t="str">
            <v>97央債甲5</v>
          </cell>
          <cell r="C38" t="str">
            <v>117/08/14</v>
          </cell>
          <cell r="D38">
            <v>4.57</v>
          </cell>
          <cell r="E38">
            <v>4.8600000000000003</v>
          </cell>
          <cell r="F38" t="str">
            <v/>
          </cell>
          <cell r="G38" t="str">
            <v/>
          </cell>
          <cell r="H38" t="str">
            <v/>
          </cell>
          <cell r="I38" t="str">
            <v/>
          </cell>
          <cell r="J38" t="str">
            <v/>
          </cell>
          <cell r="K38" t="str">
            <v/>
          </cell>
          <cell r="L38" t="str">
            <v/>
          </cell>
          <cell r="M38" t="str">
            <v/>
          </cell>
          <cell r="N38" t="str">
            <v/>
          </cell>
          <cell r="O38">
            <v>1.1697</v>
          </cell>
        </row>
        <row r="39">
          <cell r="A39" t="str">
            <v>A12108</v>
          </cell>
          <cell r="B39" t="str">
            <v>112央債甲8</v>
          </cell>
          <cell r="C39" t="str">
            <v>117/09/15</v>
          </cell>
          <cell r="D39">
            <v>4.78</v>
          </cell>
          <cell r="E39">
            <v>4.95</v>
          </cell>
          <cell r="F39" t="str">
            <v/>
          </cell>
          <cell r="G39" t="str">
            <v/>
          </cell>
          <cell r="H39" t="str">
            <v/>
          </cell>
          <cell r="I39" t="str">
            <v/>
          </cell>
          <cell r="J39" t="str">
            <v/>
          </cell>
          <cell r="K39" t="str">
            <v/>
          </cell>
          <cell r="L39" t="str">
            <v/>
          </cell>
          <cell r="M39" t="str">
            <v/>
          </cell>
          <cell r="N39" t="str">
            <v/>
          </cell>
          <cell r="O39">
            <v>1.1739999999999999</v>
          </cell>
        </row>
        <row r="40">
          <cell r="A40" t="str">
            <v>A10202</v>
          </cell>
          <cell r="B40" t="str">
            <v>110央債乙2</v>
          </cell>
          <cell r="C40" t="str">
            <v>117/08/20</v>
          </cell>
          <cell r="D40">
            <v>4.8</v>
          </cell>
          <cell r="E40">
            <v>4.88</v>
          </cell>
          <cell r="F40" t="str">
            <v/>
          </cell>
          <cell r="G40" t="str">
            <v/>
          </cell>
          <cell r="H40" t="str">
            <v/>
          </cell>
          <cell r="I40" t="str">
            <v/>
          </cell>
          <cell r="J40" t="str">
            <v/>
          </cell>
          <cell r="K40" t="str">
            <v/>
          </cell>
          <cell r="L40" t="str">
            <v/>
          </cell>
          <cell r="M40" t="str">
            <v/>
          </cell>
          <cell r="N40" t="str">
            <v/>
          </cell>
          <cell r="O40">
            <v>1.1738</v>
          </cell>
        </row>
        <row r="41">
          <cell r="A41" t="str">
            <v>A07109</v>
          </cell>
          <cell r="B41" t="str">
            <v>107央債甲9</v>
          </cell>
          <cell r="C41" t="str">
            <v>117/10/17</v>
          </cell>
          <cell r="D41">
            <v>4.8499999999999996</v>
          </cell>
          <cell r="E41">
            <v>5.04</v>
          </cell>
          <cell r="F41" t="str">
            <v/>
          </cell>
          <cell r="G41" t="str">
            <v/>
          </cell>
          <cell r="H41" t="str">
            <v/>
          </cell>
          <cell r="I41" t="str">
            <v/>
          </cell>
          <cell r="J41" t="str">
            <v/>
          </cell>
          <cell r="K41" t="str">
            <v/>
          </cell>
          <cell r="L41" t="str">
            <v/>
          </cell>
          <cell r="M41" t="str">
            <v/>
          </cell>
          <cell r="N41" t="str">
            <v/>
          </cell>
          <cell r="O41">
            <v>1.1763999999999999</v>
          </cell>
        </row>
        <row r="42">
          <cell r="A42" t="str">
            <v>A98102</v>
          </cell>
          <cell r="B42" t="str">
            <v>98央債甲2</v>
          </cell>
          <cell r="C42" t="str">
            <v>118/02/16</v>
          </cell>
          <cell r="D42">
            <v>5.0199999999999996</v>
          </cell>
          <cell r="E42">
            <v>5.37</v>
          </cell>
          <cell r="F42" t="str">
            <v/>
          </cell>
          <cell r="G42" t="str">
            <v/>
          </cell>
          <cell r="H42" t="str">
            <v/>
          </cell>
          <cell r="I42" t="str">
            <v/>
          </cell>
          <cell r="J42" t="str">
            <v/>
          </cell>
          <cell r="K42" t="str">
            <v/>
          </cell>
          <cell r="L42" t="str">
            <v/>
          </cell>
          <cell r="M42" t="str">
            <v/>
          </cell>
          <cell r="N42" t="str">
            <v/>
          </cell>
          <cell r="O42">
            <v>1.1809000000000001</v>
          </cell>
        </row>
        <row r="43">
          <cell r="A43" t="str">
            <v>A08103</v>
          </cell>
          <cell r="B43" t="str">
            <v>108央債甲3</v>
          </cell>
          <cell r="C43" t="str">
            <v>118/02/13</v>
          </cell>
          <cell r="D43">
            <v>5.19</v>
          </cell>
          <cell r="E43">
            <v>5.36</v>
          </cell>
          <cell r="F43" t="str">
            <v/>
          </cell>
          <cell r="G43" t="str">
            <v/>
          </cell>
          <cell r="H43" t="str">
            <v/>
          </cell>
          <cell r="I43" t="str">
            <v/>
          </cell>
          <cell r="J43" t="str">
            <v/>
          </cell>
          <cell r="K43" t="str">
            <v/>
          </cell>
          <cell r="L43" t="str">
            <v/>
          </cell>
          <cell r="M43" t="str">
            <v/>
          </cell>
          <cell r="N43" t="str">
            <v/>
          </cell>
          <cell r="O43">
            <v>1.1830000000000001</v>
          </cell>
        </row>
        <row r="44">
          <cell r="A44" t="str">
            <v>A98105</v>
          </cell>
          <cell r="B44" t="str">
            <v>98央債甲5</v>
          </cell>
          <cell r="C44" t="str">
            <v>118/08/13</v>
          </cell>
          <cell r="D44">
            <v>5.5</v>
          </cell>
          <cell r="E44">
            <v>5.86</v>
          </cell>
          <cell r="F44" t="str">
            <v/>
          </cell>
          <cell r="G44" t="str">
            <v/>
          </cell>
          <cell r="H44" t="str">
            <v/>
          </cell>
          <cell r="I44" t="str">
            <v/>
          </cell>
          <cell r="J44" t="str">
            <v/>
          </cell>
          <cell r="K44" t="str">
            <v/>
          </cell>
          <cell r="L44" t="str">
            <v/>
          </cell>
          <cell r="M44" t="str">
            <v/>
          </cell>
          <cell r="N44" t="str">
            <v/>
          </cell>
          <cell r="O44">
            <v>1.1891</v>
          </cell>
        </row>
        <row r="45">
          <cell r="A45" t="str">
            <v>A08106</v>
          </cell>
          <cell r="B45" t="str">
            <v>108央債甲6</v>
          </cell>
          <cell r="C45" t="str">
            <v>118/06/26</v>
          </cell>
          <cell r="D45">
            <v>5.57</v>
          </cell>
          <cell r="E45">
            <v>5.73</v>
          </cell>
          <cell r="F45" t="str">
            <v/>
          </cell>
          <cell r="G45" t="str">
            <v/>
          </cell>
          <cell r="H45" t="str">
            <v/>
          </cell>
          <cell r="I45" t="str">
            <v/>
          </cell>
          <cell r="J45" t="str">
            <v/>
          </cell>
          <cell r="K45" t="str">
            <v/>
          </cell>
          <cell r="L45" t="str">
            <v/>
          </cell>
          <cell r="M45" t="str">
            <v/>
          </cell>
          <cell r="N45" t="str">
            <v xml:space="preserve">  </v>
          </cell>
          <cell r="O45">
            <v>1.1896</v>
          </cell>
        </row>
        <row r="46">
          <cell r="A46" t="str">
            <v>A08109</v>
          </cell>
          <cell r="B46" t="str">
            <v>108央債甲9</v>
          </cell>
          <cell r="C46" t="str">
            <v>118/10/14</v>
          </cell>
          <cell r="D46">
            <v>5.83</v>
          </cell>
          <cell r="E46">
            <v>6.03</v>
          </cell>
          <cell r="F46" t="str">
            <v/>
          </cell>
          <cell r="G46" t="str">
            <v/>
          </cell>
          <cell r="H46" t="str">
            <v/>
          </cell>
          <cell r="I46" t="str">
            <v/>
          </cell>
          <cell r="J46" t="str">
            <v/>
          </cell>
          <cell r="K46" t="str">
            <v/>
          </cell>
          <cell r="L46" t="str">
            <v/>
          </cell>
          <cell r="M46" t="str">
            <v/>
          </cell>
          <cell r="N46" t="str">
            <v/>
          </cell>
          <cell r="O46">
            <v>1.1942999999999999</v>
          </cell>
        </row>
        <row r="47">
          <cell r="A47" t="str">
            <v>A99104</v>
          </cell>
          <cell r="B47" t="str">
            <v>99央債甲4</v>
          </cell>
          <cell r="C47" t="str">
            <v>119/02/22</v>
          </cell>
          <cell r="D47">
            <v>5.95</v>
          </cell>
          <cell r="E47">
            <v>6.39</v>
          </cell>
          <cell r="F47" t="str">
            <v/>
          </cell>
          <cell r="G47" t="str">
            <v/>
          </cell>
          <cell r="H47" t="str">
            <v/>
          </cell>
          <cell r="I47" t="str">
            <v/>
          </cell>
          <cell r="J47" t="str">
            <v/>
          </cell>
          <cell r="K47" t="str">
            <v/>
          </cell>
          <cell r="L47" t="str">
            <v/>
          </cell>
          <cell r="M47" t="str">
            <v/>
          </cell>
          <cell r="N47" t="str">
            <v/>
          </cell>
          <cell r="O47">
            <v>1.1975</v>
          </cell>
        </row>
        <row r="48">
          <cell r="A48" t="str">
            <v>A09103</v>
          </cell>
          <cell r="B48" t="str">
            <v>109央債甲3</v>
          </cell>
          <cell r="C48" t="str">
            <v>119/02/21</v>
          </cell>
          <cell r="D48">
            <v>6.2</v>
          </cell>
          <cell r="E48">
            <v>6.39</v>
          </cell>
          <cell r="F48" t="str">
            <v/>
          </cell>
          <cell r="G48" t="str">
            <v/>
          </cell>
          <cell r="H48" t="str">
            <v/>
          </cell>
          <cell r="I48" t="str">
            <v/>
          </cell>
          <cell r="J48" t="str">
            <v/>
          </cell>
          <cell r="K48" t="str">
            <v/>
          </cell>
          <cell r="L48" t="str">
            <v/>
          </cell>
          <cell r="M48" t="str">
            <v/>
          </cell>
          <cell r="N48" t="str">
            <v/>
          </cell>
          <cell r="O48">
            <v>1.2</v>
          </cell>
        </row>
        <row r="49">
          <cell r="A49" t="str">
            <v>A99107</v>
          </cell>
          <cell r="B49" t="str">
            <v>99央債甲7</v>
          </cell>
          <cell r="C49" t="str">
            <v>119/08/12</v>
          </cell>
          <cell r="D49">
            <v>6.43</v>
          </cell>
          <cell r="E49">
            <v>6.86</v>
          </cell>
          <cell r="F49" t="str">
            <v/>
          </cell>
          <cell r="G49" t="str">
            <v/>
          </cell>
          <cell r="H49" t="str">
            <v/>
          </cell>
          <cell r="I49" t="str">
            <v/>
          </cell>
          <cell r="J49" t="str">
            <v/>
          </cell>
          <cell r="K49" t="str">
            <v/>
          </cell>
          <cell r="L49" t="str">
            <v/>
          </cell>
          <cell r="M49" t="str">
            <v/>
          </cell>
          <cell r="N49" t="str">
            <v/>
          </cell>
          <cell r="O49">
            <v>1.2049000000000001</v>
          </cell>
        </row>
        <row r="50">
          <cell r="A50" t="str">
            <v>A09106</v>
          </cell>
          <cell r="B50" t="str">
            <v>109央債甲6</v>
          </cell>
          <cell r="C50" t="str">
            <v>119/06/11</v>
          </cell>
          <cell r="D50">
            <v>6.53</v>
          </cell>
          <cell r="E50">
            <v>6.69</v>
          </cell>
          <cell r="F50" t="str">
            <v/>
          </cell>
          <cell r="G50" t="str">
            <v/>
          </cell>
          <cell r="H50" t="str">
            <v/>
          </cell>
          <cell r="I50" t="str">
            <v/>
          </cell>
          <cell r="J50" t="str">
            <v/>
          </cell>
          <cell r="K50" t="str">
            <v/>
          </cell>
          <cell r="L50" t="str">
            <v/>
          </cell>
          <cell r="M50" t="str">
            <v/>
          </cell>
          <cell r="N50" t="str">
            <v/>
          </cell>
          <cell r="O50">
            <v>1.2048000000000001</v>
          </cell>
        </row>
        <row r="51">
          <cell r="A51" t="str">
            <v>A00102</v>
          </cell>
          <cell r="B51" t="str">
            <v>100央債甲2</v>
          </cell>
          <cell r="C51" t="str">
            <v>120/01/13</v>
          </cell>
          <cell r="D51">
            <v>6.66</v>
          </cell>
          <cell r="E51">
            <v>7.28</v>
          </cell>
          <cell r="F51" t="str">
            <v/>
          </cell>
          <cell r="G51" t="str">
            <v/>
          </cell>
          <cell r="H51" t="str">
            <v/>
          </cell>
          <cell r="I51" t="str">
            <v/>
          </cell>
          <cell r="J51" t="str">
            <v/>
          </cell>
          <cell r="K51" t="str">
            <v/>
          </cell>
          <cell r="L51" t="str">
            <v/>
          </cell>
          <cell r="M51" t="str">
            <v/>
          </cell>
          <cell r="N51" t="str">
            <v/>
          </cell>
          <cell r="O51">
            <v>1.2108000000000001</v>
          </cell>
        </row>
        <row r="52">
          <cell r="A52" t="str">
            <v>A09109</v>
          </cell>
          <cell r="B52" t="str">
            <v>109央債甲9</v>
          </cell>
          <cell r="C52" t="str">
            <v>119/10/14</v>
          </cell>
          <cell r="D52">
            <v>6.87</v>
          </cell>
          <cell r="E52">
            <v>7.03</v>
          </cell>
          <cell r="F52" t="str">
            <v/>
          </cell>
          <cell r="G52" t="str">
            <v/>
          </cell>
          <cell r="H52" t="str">
            <v/>
          </cell>
          <cell r="I52" t="str">
            <v/>
          </cell>
          <cell r="J52" t="str">
            <v/>
          </cell>
          <cell r="K52" t="str">
            <v/>
          </cell>
          <cell r="L52" t="str">
            <v/>
          </cell>
          <cell r="M52" t="str">
            <v/>
          </cell>
          <cell r="N52" t="str">
            <v/>
          </cell>
          <cell r="O52">
            <v>1.2104999999999999</v>
          </cell>
        </row>
        <row r="53">
          <cell r="A53" t="str">
            <v>A90105</v>
          </cell>
          <cell r="B53" t="str">
            <v>90央債甲五</v>
          </cell>
          <cell r="C53" t="str">
            <v>120/07/17</v>
          </cell>
          <cell r="D53">
            <v>6.87</v>
          </cell>
          <cell r="E53">
            <v>7.78</v>
          </cell>
          <cell r="F53" t="str">
            <v/>
          </cell>
          <cell r="G53" t="str">
            <v/>
          </cell>
          <cell r="H53" t="str">
            <v/>
          </cell>
          <cell r="I53" t="str">
            <v/>
          </cell>
          <cell r="J53" t="str">
            <v/>
          </cell>
          <cell r="K53" t="str">
            <v/>
          </cell>
          <cell r="L53" t="str">
            <v/>
          </cell>
          <cell r="M53" t="str">
            <v/>
          </cell>
          <cell r="N53" t="str">
            <v/>
          </cell>
          <cell r="O53">
            <v>1.2162999999999999</v>
          </cell>
        </row>
        <row r="54">
          <cell r="A54" t="str">
            <v>A00201</v>
          </cell>
          <cell r="B54" t="str">
            <v>100央債乙1</v>
          </cell>
          <cell r="C54" t="str">
            <v>120/05/26</v>
          </cell>
          <cell r="D54">
            <v>7.1</v>
          </cell>
          <cell r="E54">
            <v>7.64</v>
          </cell>
          <cell r="F54" t="str">
            <v/>
          </cell>
          <cell r="G54" t="str">
            <v/>
          </cell>
          <cell r="H54" t="str">
            <v/>
          </cell>
          <cell r="I54" t="str">
            <v/>
          </cell>
          <cell r="J54" t="str">
            <v/>
          </cell>
          <cell r="K54" t="str">
            <v/>
          </cell>
          <cell r="L54" t="str">
            <v/>
          </cell>
          <cell r="M54" t="str">
            <v/>
          </cell>
          <cell r="N54" t="str">
            <v/>
          </cell>
          <cell r="O54">
            <v>1.2175</v>
          </cell>
        </row>
        <row r="55">
          <cell r="A55" t="str">
            <v>A10103</v>
          </cell>
          <cell r="B55" t="str">
            <v>110央債甲3</v>
          </cell>
          <cell r="C55" t="str">
            <v>120/02/22</v>
          </cell>
          <cell r="D55">
            <v>7.23</v>
          </cell>
          <cell r="E55">
            <v>7.39</v>
          </cell>
          <cell r="F55" t="str">
            <v/>
          </cell>
          <cell r="G55" t="str">
            <v/>
          </cell>
          <cell r="H55" t="str">
            <v/>
          </cell>
          <cell r="I55" t="str">
            <v/>
          </cell>
          <cell r="J55" t="str">
            <v/>
          </cell>
          <cell r="K55" t="str">
            <v/>
          </cell>
          <cell r="L55" t="str">
            <v/>
          </cell>
          <cell r="M55" t="str">
            <v/>
          </cell>
          <cell r="N55" t="str">
            <v/>
          </cell>
          <cell r="O55">
            <v>1.2163999999999999</v>
          </cell>
        </row>
        <row r="56">
          <cell r="A56" t="str">
            <v>A00107</v>
          </cell>
          <cell r="B56" t="str">
            <v>100央債甲7</v>
          </cell>
          <cell r="C56" t="str">
            <v>120/08/02</v>
          </cell>
          <cell r="D56">
            <v>7.26</v>
          </cell>
          <cell r="E56">
            <v>7.83</v>
          </cell>
          <cell r="F56" t="str">
            <v/>
          </cell>
          <cell r="G56" t="str">
            <v/>
          </cell>
          <cell r="H56" t="str">
            <v/>
          </cell>
          <cell r="I56" t="str">
            <v/>
          </cell>
          <cell r="J56" t="str">
            <v/>
          </cell>
          <cell r="K56" t="str">
            <v/>
          </cell>
          <cell r="L56" t="str">
            <v/>
          </cell>
          <cell r="M56" t="str">
            <v/>
          </cell>
          <cell r="N56" t="str">
            <v/>
          </cell>
          <cell r="O56">
            <v>1.2204999999999999</v>
          </cell>
        </row>
        <row r="57">
          <cell r="A57" t="str">
            <v>A10201</v>
          </cell>
          <cell r="B57" t="str">
            <v>110央債乙1</v>
          </cell>
          <cell r="C57" t="str">
            <v>120/05/07</v>
          </cell>
          <cell r="D57">
            <v>7.39</v>
          </cell>
          <cell r="E57">
            <v>7.59</v>
          </cell>
          <cell r="F57" t="str">
            <v/>
          </cell>
          <cell r="G57" t="str">
            <v/>
          </cell>
          <cell r="H57" t="str">
            <v/>
          </cell>
          <cell r="I57" t="str">
            <v/>
          </cell>
          <cell r="J57" t="str">
            <v/>
          </cell>
          <cell r="K57" t="str">
            <v/>
          </cell>
          <cell r="L57" t="str">
            <v/>
          </cell>
          <cell r="M57" t="str">
            <v/>
          </cell>
          <cell r="N57" t="str">
            <v/>
          </cell>
          <cell r="O57">
            <v>1.2196</v>
          </cell>
        </row>
        <row r="58">
          <cell r="A58" t="str">
            <v>A10107</v>
          </cell>
          <cell r="B58" t="str">
            <v>110央債甲7</v>
          </cell>
          <cell r="C58" t="str">
            <v>120/06/23</v>
          </cell>
          <cell r="D58">
            <v>7.52</v>
          </cell>
          <cell r="E58">
            <v>7.72</v>
          </cell>
          <cell r="F58" t="str">
            <v/>
          </cell>
          <cell r="G58" t="str">
            <v/>
          </cell>
          <cell r="H58" t="str">
            <v/>
          </cell>
          <cell r="I58" t="str">
            <v/>
          </cell>
          <cell r="J58" t="str">
            <v/>
          </cell>
          <cell r="K58" t="str">
            <v/>
          </cell>
          <cell r="L58" t="str">
            <v/>
          </cell>
          <cell r="M58" t="str">
            <v/>
          </cell>
          <cell r="N58" t="str">
            <v/>
          </cell>
          <cell r="O58">
            <v>1.2219</v>
          </cell>
        </row>
        <row r="59">
          <cell r="A59" t="str">
            <v>A01102</v>
          </cell>
          <cell r="B59" t="str">
            <v>101央債甲2</v>
          </cell>
          <cell r="C59" t="str">
            <v>121/01/20</v>
          </cell>
          <cell r="D59">
            <v>7.66</v>
          </cell>
          <cell r="E59">
            <v>8.3000000000000007</v>
          </cell>
          <cell r="F59" t="str">
            <v/>
          </cell>
          <cell r="G59" t="str">
            <v/>
          </cell>
          <cell r="H59" t="str">
            <v/>
          </cell>
          <cell r="I59" t="str">
            <v/>
          </cell>
          <cell r="J59" t="str">
            <v/>
          </cell>
          <cell r="K59" t="str">
            <v/>
          </cell>
          <cell r="L59" t="str">
            <v/>
          </cell>
          <cell r="M59" t="str">
            <v/>
          </cell>
          <cell r="N59" t="str">
            <v/>
          </cell>
          <cell r="O59">
            <v>1.2289000000000001</v>
          </cell>
        </row>
        <row r="60">
          <cell r="A60" t="str">
            <v>A10111</v>
          </cell>
          <cell r="B60" t="str">
            <v>110央甲11</v>
          </cell>
          <cell r="C60" t="str">
            <v>120/10/22</v>
          </cell>
          <cell r="D60">
            <v>7.77</v>
          </cell>
          <cell r="E60">
            <v>8.0500000000000007</v>
          </cell>
          <cell r="F60" t="str">
            <v/>
          </cell>
          <cell r="G60" t="str">
            <v/>
          </cell>
          <cell r="H60" t="str">
            <v/>
          </cell>
          <cell r="I60" t="str">
            <v/>
          </cell>
          <cell r="J60" t="str">
            <v/>
          </cell>
          <cell r="K60" t="str">
            <v/>
          </cell>
          <cell r="L60" t="str">
            <v/>
          </cell>
          <cell r="M60" t="str">
            <v/>
          </cell>
          <cell r="N60" t="str">
            <v/>
          </cell>
          <cell r="O60">
            <v>1.2274</v>
          </cell>
        </row>
        <row r="61">
          <cell r="A61" t="str">
            <v>A01201</v>
          </cell>
          <cell r="B61" t="str">
            <v>101央債乙1</v>
          </cell>
          <cell r="C61" t="str">
            <v>121/03/16</v>
          </cell>
          <cell r="D61">
            <v>7.81</v>
          </cell>
          <cell r="E61">
            <v>8.4499999999999993</v>
          </cell>
          <cell r="F61" t="str">
            <v/>
          </cell>
          <cell r="G61" t="str">
            <v/>
          </cell>
          <cell r="H61" t="str">
            <v/>
          </cell>
          <cell r="I61" t="str">
            <v/>
          </cell>
          <cell r="J61" t="str">
            <v/>
          </cell>
          <cell r="K61" t="str">
            <v/>
          </cell>
          <cell r="L61" t="str">
            <v/>
          </cell>
          <cell r="M61" t="str">
            <v/>
          </cell>
          <cell r="N61" t="str">
            <v/>
          </cell>
          <cell r="O61">
            <v>1.2314000000000001</v>
          </cell>
        </row>
        <row r="62">
          <cell r="A62" t="str">
            <v>A11201</v>
          </cell>
          <cell r="B62" t="str">
            <v>111央債乙1</v>
          </cell>
          <cell r="C62" t="str">
            <v>121/01/10</v>
          </cell>
          <cell r="D62">
            <v>7.9</v>
          </cell>
          <cell r="E62">
            <v>8.27</v>
          </cell>
          <cell r="F62" t="str">
            <v/>
          </cell>
          <cell r="G62" t="str">
            <v/>
          </cell>
          <cell r="H62" t="str">
            <v/>
          </cell>
          <cell r="I62" t="str">
            <v/>
          </cell>
          <cell r="J62" t="str">
            <v/>
          </cell>
          <cell r="K62" t="str">
            <v/>
          </cell>
          <cell r="L62" t="str">
            <v/>
          </cell>
          <cell r="M62" t="str">
            <v/>
          </cell>
          <cell r="N62" t="str">
            <v/>
          </cell>
          <cell r="O62">
            <v>1.2304999999999999</v>
          </cell>
        </row>
        <row r="63">
          <cell r="A63" t="str">
            <v>A11102</v>
          </cell>
          <cell r="B63" t="str">
            <v>111央債甲2</v>
          </cell>
          <cell r="C63" t="str">
            <v>121/02/18</v>
          </cell>
          <cell r="D63">
            <v>8.0500000000000007</v>
          </cell>
          <cell r="E63">
            <v>8.3800000000000008</v>
          </cell>
          <cell r="F63" t="str">
            <v/>
          </cell>
          <cell r="G63" t="str">
            <v/>
          </cell>
          <cell r="H63" t="str">
            <v/>
          </cell>
          <cell r="I63" t="str">
            <v/>
          </cell>
          <cell r="J63" t="str">
            <v/>
          </cell>
          <cell r="K63" t="str">
            <v/>
          </cell>
          <cell r="L63" t="str">
            <v/>
          </cell>
          <cell r="M63" t="str">
            <v/>
          </cell>
          <cell r="N63" t="str">
            <v/>
          </cell>
          <cell r="O63">
            <v>1.2325999999999999</v>
          </cell>
        </row>
        <row r="64">
          <cell r="A64" t="str">
            <v>A11107</v>
          </cell>
          <cell r="B64" t="str">
            <v>111央債甲7</v>
          </cell>
          <cell r="C64" t="str">
            <v>121/06/30</v>
          </cell>
          <cell r="D64">
            <v>8.1999999999999993</v>
          </cell>
          <cell r="E64">
            <v>8.74</v>
          </cell>
          <cell r="F64" t="str">
            <v/>
          </cell>
          <cell r="G64" t="str">
            <v/>
          </cell>
          <cell r="H64" t="str">
            <v/>
          </cell>
          <cell r="I64" t="str">
            <v/>
          </cell>
          <cell r="J64" t="str">
            <v/>
          </cell>
          <cell r="K64" t="str">
            <v/>
          </cell>
          <cell r="L64" t="str">
            <v/>
          </cell>
          <cell r="M64" t="str">
            <v/>
          </cell>
          <cell r="N64" t="str">
            <v/>
          </cell>
          <cell r="O64">
            <v>1.2371000000000001</v>
          </cell>
        </row>
        <row r="65">
          <cell r="A65" t="str">
            <v>A11110</v>
          </cell>
          <cell r="B65" t="str">
            <v>111央甲10</v>
          </cell>
          <cell r="C65" t="str">
            <v>121/10/17</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1.2407999999999999</v>
          </cell>
        </row>
        <row r="66">
          <cell r="A66" t="str">
            <v>A01107</v>
          </cell>
          <cell r="B66" t="str">
            <v>101央債甲7</v>
          </cell>
          <cell r="C66" t="str">
            <v>121/08/10</v>
          </cell>
          <cell r="D66">
            <v>8.24</v>
          </cell>
          <cell r="E66">
            <v>8.85</v>
          </cell>
          <cell r="F66" t="str">
            <v/>
          </cell>
          <cell r="G66" t="str">
            <v/>
          </cell>
          <cell r="H66" t="str">
            <v/>
          </cell>
          <cell r="I66" t="str">
            <v/>
          </cell>
          <cell r="J66" t="str">
            <v/>
          </cell>
          <cell r="K66" t="str">
            <v/>
          </cell>
          <cell r="L66" t="str">
            <v/>
          </cell>
          <cell r="M66" t="str">
            <v/>
          </cell>
          <cell r="N66" t="str">
            <v/>
          </cell>
          <cell r="O66">
            <v>1.2383</v>
          </cell>
        </row>
        <row r="67">
          <cell r="A67" t="str">
            <v>A02103</v>
          </cell>
          <cell r="B67" t="str">
            <v>102央債甲3</v>
          </cell>
          <cell r="C67" t="str">
            <v>122/01/28</v>
          </cell>
          <cell r="D67">
            <v>8.58</v>
          </cell>
          <cell r="E67">
            <v>9.32</v>
          </cell>
          <cell r="F67" t="str">
            <v/>
          </cell>
          <cell r="G67" t="str">
            <v/>
          </cell>
          <cell r="H67" t="str">
            <v/>
          </cell>
          <cell r="I67" t="str">
            <v/>
          </cell>
          <cell r="J67" t="str">
            <v/>
          </cell>
          <cell r="K67" t="str">
            <v/>
          </cell>
          <cell r="L67" t="str">
            <v/>
          </cell>
          <cell r="M67" t="str">
            <v/>
          </cell>
          <cell r="N67" t="str">
            <v/>
          </cell>
          <cell r="O67">
            <v>1.2461</v>
          </cell>
        </row>
        <row r="68">
          <cell r="A68" t="str">
            <v>A12201</v>
          </cell>
          <cell r="B68" t="str">
            <v>112央債乙1</v>
          </cell>
          <cell r="C68" t="str">
            <v>122/01/10</v>
          </cell>
          <cell r="D68">
            <v>8.6199999999999992</v>
          </cell>
          <cell r="E68">
            <v>9.27</v>
          </cell>
          <cell r="F68" t="str">
            <v/>
          </cell>
          <cell r="G68" t="str">
            <v/>
          </cell>
          <cell r="H68" t="str">
            <v/>
          </cell>
          <cell r="I68" t="str">
            <v/>
          </cell>
          <cell r="J68" t="str">
            <v/>
          </cell>
          <cell r="K68" t="str">
            <v/>
          </cell>
          <cell r="L68" t="str">
            <v/>
          </cell>
          <cell r="M68" t="str">
            <v/>
          </cell>
          <cell r="N68" t="str">
            <v/>
          </cell>
          <cell r="O68">
            <v>1.2459</v>
          </cell>
        </row>
        <row r="69">
          <cell r="A69" t="str">
            <v>A02201</v>
          </cell>
          <cell r="B69" t="str">
            <v>102央債乙1</v>
          </cell>
          <cell r="C69" t="str">
            <v>122/03/21</v>
          </cell>
          <cell r="D69">
            <v>8.64</v>
          </cell>
          <cell r="E69">
            <v>9.4600000000000009</v>
          </cell>
          <cell r="F69" t="str">
            <v/>
          </cell>
          <cell r="G69" t="str">
            <v/>
          </cell>
          <cell r="H69" t="str">
            <v/>
          </cell>
          <cell r="I69" t="str">
            <v/>
          </cell>
          <cell r="J69" t="str">
            <v/>
          </cell>
          <cell r="K69" t="str">
            <v/>
          </cell>
          <cell r="L69" t="str">
            <v/>
          </cell>
          <cell r="M69" t="str">
            <v/>
          </cell>
          <cell r="N69" t="str">
            <v/>
          </cell>
          <cell r="O69">
            <v>1.2478</v>
          </cell>
        </row>
        <row r="70">
          <cell r="A70" t="str">
            <v>A12102</v>
          </cell>
          <cell r="B70" t="str">
            <v>112央債甲2</v>
          </cell>
          <cell r="C70" t="str">
            <v>122/02/17</v>
          </cell>
          <cell r="D70">
            <v>8.77</v>
          </cell>
          <cell r="E70">
            <v>9.3699999999999992</v>
          </cell>
          <cell r="F70" t="str">
            <v/>
          </cell>
          <cell r="G70" t="str">
            <v/>
          </cell>
          <cell r="H70" t="str">
            <v/>
          </cell>
          <cell r="I70" t="str">
            <v/>
          </cell>
          <cell r="J70" t="str">
            <v/>
          </cell>
          <cell r="K70" t="str">
            <v/>
          </cell>
          <cell r="L70" t="str">
            <v/>
          </cell>
          <cell r="M70" t="str">
            <v/>
          </cell>
          <cell r="N70" t="str">
            <v/>
          </cell>
          <cell r="O70">
            <v>1.248</v>
          </cell>
        </row>
        <row r="71">
          <cell r="A71" t="str">
            <v>A02108</v>
          </cell>
          <cell r="B71" t="str">
            <v>102央債甲8</v>
          </cell>
          <cell r="C71" t="str">
            <v>122/07/26</v>
          </cell>
          <cell r="D71">
            <v>8.89</v>
          </cell>
          <cell r="E71">
            <v>9.81</v>
          </cell>
          <cell r="F71" t="str">
            <v/>
          </cell>
          <cell r="G71" t="str">
            <v/>
          </cell>
          <cell r="H71" t="str">
            <v/>
          </cell>
          <cell r="I71" t="str">
            <v/>
          </cell>
          <cell r="J71" t="str">
            <v/>
          </cell>
          <cell r="K71" t="str">
            <v/>
          </cell>
          <cell r="L71" t="str">
            <v/>
          </cell>
          <cell r="M71" t="str">
            <v/>
          </cell>
          <cell r="N71" t="str">
            <v/>
          </cell>
          <cell r="O71">
            <v>1.2527999999999999</v>
          </cell>
        </row>
        <row r="72">
          <cell r="A72" t="str">
            <v>A93106</v>
          </cell>
          <cell r="B72" t="str">
            <v>93央債甲六</v>
          </cell>
          <cell r="C72" t="str">
            <v>123/05/27</v>
          </cell>
          <cell r="D72">
            <v>8.93</v>
          </cell>
          <cell r="E72">
            <v>10.65</v>
          </cell>
          <cell r="F72" t="str">
            <v/>
          </cell>
          <cell r="G72" t="str">
            <v/>
          </cell>
          <cell r="H72" t="str">
            <v/>
          </cell>
          <cell r="I72" t="str">
            <v/>
          </cell>
          <cell r="J72" t="str">
            <v/>
          </cell>
          <cell r="K72" t="str">
            <v/>
          </cell>
          <cell r="L72" t="str">
            <v/>
          </cell>
          <cell r="M72" t="str">
            <v/>
          </cell>
          <cell r="N72" t="str">
            <v/>
          </cell>
          <cell r="O72">
            <v>1.2612000000000001</v>
          </cell>
        </row>
        <row r="73">
          <cell r="A73" t="str">
            <v>A12107</v>
          </cell>
          <cell r="B73" t="str">
            <v>112央債甲7</v>
          </cell>
          <cell r="C73" t="str">
            <v>122/06/09</v>
          </cell>
          <cell r="D73">
            <v>9.08</v>
          </cell>
          <cell r="E73">
            <v>9.68</v>
          </cell>
          <cell r="F73" t="str">
            <v/>
          </cell>
          <cell r="G73" t="str">
            <v/>
          </cell>
          <cell r="H73" t="str">
            <v/>
          </cell>
          <cell r="I73" t="str">
            <v/>
          </cell>
          <cell r="J73" t="str">
            <v/>
          </cell>
          <cell r="K73" t="str">
            <v/>
          </cell>
          <cell r="L73" t="str">
            <v/>
          </cell>
          <cell r="M73" t="str">
            <v/>
          </cell>
          <cell r="N73" t="str">
            <v/>
          </cell>
          <cell r="O73">
            <v>1.2531000000000001</v>
          </cell>
        </row>
        <row r="74">
          <cell r="A74" t="str">
            <v>A12110R</v>
          </cell>
          <cell r="B74" t="str">
            <v>112央甲10</v>
          </cell>
          <cell r="C74" t="str">
            <v>122/10/05</v>
          </cell>
          <cell r="D74">
            <v>9.2100000000000009</v>
          </cell>
          <cell r="E74">
            <v>10</v>
          </cell>
          <cell r="F74" t="str">
            <v/>
          </cell>
          <cell r="G74" t="str">
            <v/>
          </cell>
          <cell r="H74" t="str">
            <v/>
          </cell>
          <cell r="I74" t="str">
            <v/>
          </cell>
          <cell r="J74" t="str">
            <v/>
          </cell>
          <cell r="K74" t="str">
            <v/>
          </cell>
          <cell r="L74" t="str">
            <v/>
          </cell>
          <cell r="M74" t="str">
            <v/>
          </cell>
          <cell r="N74" t="str">
            <v/>
          </cell>
          <cell r="O74">
            <v>1.2554000000000001</v>
          </cell>
        </row>
        <row r="75">
          <cell r="A75" t="str">
            <v>A03103</v>
          </cell>
          <cell r="B75" t="str">
            <v>103央債甲3</v>
          </cell>
          <cell r="C75" t="str">
            <v>123/01/29</v>
          </cell>
          <cell r="D75">
            <v>9.23</v>
          </cell>
          <cell r="E75">
            <v>10.32</v>
          </cell>
          <cell r="F75" t="str">
            <v/>
          </cell>
          <cell r="G75" t="str">
            <v/>
          </cell>
          <cell r="H75" t="str">
            <v/>
          </cell>
          <cell r="I75" t="str">
            <v/>
          </cell>
          <cell r="J75" t="str">
            <v/>
          </cell>
          <cell r="K75" t="str">
            <v/>
          </cell>
          <cell r="L75" t="str">
            <v/>
          </cell>
          <cell r="M75" t="str">
            <v/>
          </cell>
          <cell r="N75" t="str">
            <v/>
          </cell>
          <cell r="O75">
            <v>1.2613000000000001</v>
          </cell>
        </row>
        <row r="76">
          <cell r="A76" t="str">
            <v>A12110</v>
          </cell>
          <cell r="B76" t="str">
            <v>112央甲10</v>
          </cell>
          <cell r="C76" t="str">
            <v>122/10/05</v>
          </cell>
          <cell r="D76">
            <v>9.34</v>
          </cell>
          <cell r="E76">
            <v>10</v>
          </cell>
          <cell r="F76">
            <v>1.2569999999999999</v>
          </cell>
          <cell r="G76">
            <v>1.2569999999999999</v>
          </cell>
          <cell r="H76">
            <v>1.2569999999999999</v>
          </cell>
          <cell r="I76">
            <v>60</v>
          </cell>
          <cell r="J76">
            <v>1.2569999999999999</v>
          </cell>
          <cell r="K76">
            <v>1.2569999999999999</v>
          </cell>
          <cell r="L76">
            <v>1.2569999999999999</v>
          </cell>
          <cell r="M76">
            <v>4</v>
          </cell>
          <cell r="N76">
            <v>23</v>
          </cell>
          <cell r="O76">
            <v>1.2582</v>
          </cell>
        </row>
        <row r="77">
          <cell r="A77" t="str">
            <v>A03107</v>
          </cell>
          <cell r="B77" t="str">
            <v>103央債甲7</v>
          </cell>
          <cell r="C77" t="str">
            <v>123/04/25</v>
          </cell>
          <cell r="D77">
            <v>9.51</v>
          </cell>
          <cell r="E77">
            <v>10.56</v>
          </cell>
          <cell r="F77" t="str">
            <v/>
          </cell>
          <cell r="G77" t="str">
            <v/>
          </cell>
          <cell r="H77" t="str">
            <v/>
          </cell>
          <cell r="I77" t="str">
            <v/>
          </cell>
          <cell r="J77" t="str">
            <v/>
          </cell>
          <cell r="K77" t="str">
            <v/>
          </cell>
          <cell r="L77" t="str">
            <v/>
          </cell>
          <cell r="M77" t="str">
            <v/>
          </cell>
          <cell r="N77" t="str">
            <v/>
          </cell>
          <cell r="O77">
            <v>1.2656000000000001</v>
          </cell>
        </row>
        <row r="78">
          <cell r="A78" t="str">
            <v>A03111</v>
          </cell>
          <cell r="B78" t="str">
            <v>103央甲11</v>
          </cell>
          <cell r="C78" t="str">
            <v>123/07/31</v>
          </cell>
          <cell r="D78">
            <v>9.68</v>
          </cell>
          <cell r="E78">
            <v>10.82</v>
          </cell>
          <cell r="F78" t="str">
            <v/>
          </cell>
          <cell r="G78" t="str">
            <v/>
          </cell>
          <cell r="H78" t="str">
            <v/>
          </cell>
          <cell r="I78" t="str">
            <v/>
          </cell>
          <cell r="J78" t="str">
            <v/>
          </cell>
          <cell r="K78" t="str">
            <v/>
          </cell>
          <cell r="L78" t="str">
            <v/>
          </cell>
          <cell r="M78" t="str">
            <v/>
          </cell>
          <cell r="N78" t="str">
            <v/>
          </cell>
          <cell r="O78">
            <v>1.2692000000000001</v>
          </cell>
        </row>
        <row r="79">
          <cell r="A79" t="str">
            <v>A03114</v>
          </cell>
          <cell r="B79" t="str">
            <v>103央甲14</v>
          </cell>
          <cell r="C79" t="str">
            <v>123/10/02</v>
          </cell>
          <cell r="D79">
            <v>9.8000000000000007</v>
          </cell>
          <cell r="E79">
            <v>11</v>
          </cell>
          <cell r="F79" t="str">
            <v/>
          </cell>
          <cell r="G79" t="str">
            <v/>
          </cell>
          <cell r="H79" t="str">
            <v/>
          </cell>
          <cell r="I79" t="str">
            <v/>
          </cell>
          <cell r="J79" t="str">
            <v/>
          </cell>
          <cell r="K79" t="str">
            <v/>
          </cell>
          <cell r="L79" t="str">
            <v/>
          </cell>
          <cell r="M79" t="str">
            <v/>
          </cell>
          <cell r="N79" t="str">
            <v/>
          </cell>
          <cell r="O79">
            <v>1.2717000000000001</v>
          </cell>
        </row>
        <row r="80">
          <cell r="A80" t="str">
            <v>A04102</v>
          </cell>
          <cell r="B80" t="str">
            <v>104央債甲2</v>
          </cell>
          <cell r="C80" t="str">
            <v>124/01/23</v>
          </cell>
          <cell r="D80">
            <v>10.02</v>
          </cell>
          <cell r="E80">
            <v>11.31</v>
          </cell>
          <cell r="F80" t="str">
            <v/>
          </cell>
          <cell r="G80" t="str">
            <v/>
          </cell>
          <cell r="H80" t="str">
            <v/>
          </cell>
          <cell r="I80" t="str">
            <v/>
          </cell>
          <cell r="J80" t="str">
            <v/>
          </cell>
          <cell r="K80" t="str">
            <v/>
          </cell>
          <cell r="L80" t="str">
            <v/>
          </cell>
          <cell r="M80" t="str">
            <v/>
          </cell>
          <cell r="N80" t="str">
            <v/>
          </cell>
          <cell r="O80">
            <v>1.2777000000000001</v>
          </cell>
        </row>
        <row r="81">
          <cell r="A81" t="str">
            <v>A04107</v>
          </cell>
          <cell r="B81" t="str">
            <v>104央債甲7</v>
          </cell>
          <cell r="C81" t="str">
            <v>124/04/15</v>
          </cell>
          <cell r="D81">
            <v>10.18</v>
          </cell>
          <cell r="E81">
            <v>11.53</v>
          </cell>
          <cell r="F81" t="str">
            <v/>
          </cell>
          <cell r="G81" t="str">
            <v/>
          </cell>
          <cell r="H81" t="str">
            <v/>
          </cell>
          <cell r="I81" t="str">
            <v/>
          </cell>
          <cell r="J81" t="str">
            <v/>
          </cell>
          <cell r="K81" t="str">
            <v/>
          </cell>
          <cell r="L81" t="str">
            <v/>
          </cell>
          <cell r="M81" t="str">
            <v/>
          </cell>
          <cell r="N81" t="str">
            <v/>
          </cell>
          <cell r="O81">
            <v>1.2809999999999999</v>
          </cell>
        </row>
        <row r="82">
          <cell r="A82" t="str">
            <v>A04114</v>
          </cell>
          <cell r="B82" t="str">
            <v>104央甲14</v>
          </cell>
          <cell r="C82" t="str">
            <v>124/10/26</v>
          </cell>
          <cell r="D82">
            <v>10.7</v>
          </cell>
          <cell r="E82">
            <v>12.06</v>
          </cell>
          <cell r="F82" t="str">
            <v/>
          </cell>
          <cell r="G82" t="str">
            <v/>
          </cell>
          <cell r="H82" t="str">
            <v/>
          </cell>
          <cell r="I82" t="str">
            <v/>
          </cell>
          <cell r="J82" t="str">
            <v/>
          </cell>
          <cell r="K82" t="str">
            <v/>
          </cell>
          <cell r="L82" t="str">
            <v/>
          </cell>
          <cell r="M82" t="str">
            <v/>
          </cell>
          <cell r="N82" t="str">
            <v/>
          </cell>
          <cell r="O82">
            <v>1.2915000000000001</v>
          </cell>
        </row>
        <row r="83">
          <cell r="A83" t="str">
            <v>A05102</v>
          </cell>
          <cell r="B83" t="str">
            <v>105央債甲2</v>
          </cell>
          <cell r="C83" t="str">
            <v>125/01/22</v>
          </cell>
          <cell r="D83">
            <v>11.16</v>
          </cell>
          <cell r="E83">
            <v>12.3</v>
          </cell>
          <cell r="F83" t="str">
            <v/>
          </cell>
          <cell r="G83" t="str">
            <v/>
          </cell>
          <cell r="H83" t="str">
            <v/>
          </cell>
          <cell r="I83" t="str">
            <v/>
          </cell>
          <cell r="J83" t="str">
            <v/>
          </cell>
          <cell r="K83" t="str">
            <v/>
          </cell>
          <cell r="L83" t="str">
            <v/>
          </cell>
          <cell r="M83" t="str">
            <v/>
          </cell>
          <cell r="N83" t="str">
            <v/>
          </cell>
          <cell r="O83">
            <v>1.2970999999999999</v>
          </cell>
        </row>
        <row r="84">
          <cell r="A84" t="str">
            <v>A05106</v>
          </cell>
          <cell r="B84" t="str">
            <v>105央債甲6</v>
          </cell>
          <cell r="C84" t="str">
            <v>125/04/08</v>
          </cell>
          <cell r="D84">
            <v>11.44</v>
          </cell>
          <cell r="E84">
            <v>12.51</v>
          </cell>
          <cell r="F84" t="str">
            <v/>
          </cell>
          <cell r="G84" t="str">
            <v/>
          </cell>
          <cell r="H84" t="str">
            <v/>
          </cell>
          <cell r="I84" t="str">
            <v/>
          </cell>
          <cell r="J84" t="str">
            <v/>
          </cell>
          <cell r="K84" t="str">
            <v/>
          </cell>
          <cell r="L84" t="str">
            <v/>
          </cell>
          <cell r="M84" t="str">
            <v/>
          </cell>
          <cell r="N84" t="str">
            <v/>
          </cell>
          <cell r="O84">
            <v>1.3012999999999999</v>
          </cell>
        </row>
        <row r="85">
          <cell r="A85" t="str">
            <v>A05109</v>
          </cell>
          <cell r="B85" t="str">
            <v>105央債甲9</v>
          </cell>
          <cell r="C85" t="str">
            <v>125/07/19</v>
          </cell>
          <cell r="D85">
            <v>11.79</v>
          </cell>
          <cell r="E85">
            <v>12.79</v>
          </cell>
          <cell r="F85" t="str">
            <v/>
          </cell>
          <cell r="G85" t="str">
            <v/>
          </cell>
          <cell r="H85" t="str">
            <v/>
          </cell>
          <cell r="I85" t="str">
            <v/>
          </cell>
          <cell r="J85" t="str">
            <v/>
          </cell>
          <cell r="K85" t="str">
            <v/>
          </cell>
          <cell r="L85" t="str">
            <v/>
          </cell>
          <cell r="M85" t="str">
            <v/>
          </cell>
          <cell r="N85" t="str">
            <v/>
          </cell>
          <cell r="O85">
            <v>1.3067</v>
          </cell>
        </row>
        <row r="86">
          <cell r="A86" t="str">
            <v>A06103</v>
          </cell>
          <cell r="B86" t="str">
            <v>106央債甲3</v>
          </cell>
          <cell r="C86" t="str">
            <v>126/02/20</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106央債甲8</v>
          </cell>
          <cell r="C87" t="str">
            <v>126/08/18</v>
          </cell>
          <cell r="D87">
            <v>12.46</v>
          </cell>
          <cell r="E87">
            <v>13.87</v>
          </cell>
          <cell r="F87" t="str">
            <v/>
          </cell>
          <cell r="G87" t="str">
            <v/>
          </cell>
          <cell r="H87" t="str">
            <v/>
          </cell>
          <cell r="I87" t="str">
            <v/>
          </cell>
          <cell r="J87" t="str">
            <v/>
          </cell>
          <cell r="K87" t="str">
            <v/>
          </cell>
          <cell r="L87" t="str">
            <v/>
          </cell>
          <cell r="M87" t="str">
            <v/>
          </cell>
          <cell r="N87" t="str">
            <v/>
          </cell>
          <cell r="O87">
            <v>1.3233999999999999</v>
          </cell>
        </row>
        <row r="88">
          <cell r="A88" t="str">
            <v>A07103</v>
          </cell>
          <cell r="B88" t="str">
            <v>107央債甲3</v>
          </cell>
          <cell r="C88" t="str">
            <v>127/03/13</v>
          </cell>
          <cell r="D88">
            <v>12.93</v>
          </cell>
          <cell r="E88">
            <v>14.44</v>
          </cell>
          <cell r="F88" t="str">
            <v/>
          </cell>
          <cell r="G88" t="str">
            <v/>
          </cell>
          <cell r="H88" t="str">
            <v/>
          </cell>
          <cell r="I88" t="str">
            <v/>
          </cell>
          <cell r="J88" t="str">
            <v/>
          </cell>
          <cell r="K88" t="str">
            <v/>
          </cell>
          <cell r="L88" t="str">
            <v/>
          </cell>
          <cell r="M88" t="str">
            <v/>
          </cell>
          <cell r="N88" t="str">
            <v/>
          </cell>
          <cell r="O88">
            <v>1.3338000000000001</v>
          </cell>
        </row>
        <row r="89">
          <cell r="A89" t="str">
            <v>A99102</v>
          </cell>
          <cell r="B89" t="str">
            <v>99央債甲2</v>
          </cell>
          <cell r="C89" t="str">
            <v>129/01/28</v>
          </cell>
          <cell r="D89">
            <v>13.64</v>
          </cell>
          <cell r="E89">
            <v>16.32</v>
          </cell>
          <cell r="F89" t="str">
            <v/>
          </cell>
          <cell r="G89" t="str">
            <v/>
          </cell>
          <cell r="H89" t="str">
            <v/>
          </cell>
          <cell r="I89" t="str">
            <v/>
          </cell>
          <cell r="J89" t="str">
            <v/>
          </cell>
          <cell r="K89" t="str">
            <v/>
          </cell>
          <cell r="L89" t="str">
            <v/>
          </cell>
          <cell r="M89" t="str">
            <v/>
          </cell>
          <cell r="N89" t="str">
            <v/>
          </cell>
          <cell r="O89">
            <v>1.3592</v>
          </cell>
        </row>
        <row r="90">
          <cell r="A90" t="str">
            <v>A07108</v>
          </cell>
          <cell r="B90" t="str">
            <v>107央債甲8</v>
          </cell>
          <cell r="C90" t="str">
            <v>127/09/21</v>
          </cell>
          <cell r="D90">
            <v>13.65</v>
          </cell>
          <cell r="E90">
            <v>14.97</v>
          </cell>
          <cell r="F90" t="str">
            <v/>
          </cell>
          <cell r="G90" t="str">
            <v/>
          </cell>
          <cell r="H90" t="str">
            <v/>
          </cell>
          <cell r="I90" t="str">
            <v/>
          </cell>
          <cell r="J90" t="str">
            <v/>
          </cell>
          <cell r="K90" t="str">
            <v/>
          </cell>
          <cell r="L90" t="str">
            <v/>
          </cell>
          <cell r="M90" t="str">
            <v/>
          </cell>
          <cell r="N90" t="str">
            <v/>
          </cell>
          <cell r="O90">
            <v>1.3443000000000001</v>
          </cell>
        </row>
        <row r="91">
          <cell r="A91" t="str">
            <v>A08102</v>
          </cell>
          <cell r="B91" t="str">
            <v>108央債甲2</v>
          </cell>
          <cell r="C91" t="str">
            <v>128/01/28</v>
          </cell>
          <cell r="D91">
            <v>13.84</v>
          </cell>
          <cell r="E91">
            <v>15.32</v>
          </cell>
          <cell r="F91" t="str">
            <v/>
          </cell>
          <cell r="G91" t="str">
            <v/>
          </cell>
          <cell r="H91" t="str">
            <v/>
          </cell>
          <cell r="I91" t="str">
            <v/>
          </cell>
          <cell r="J91" t="str">
            <v/>
          </cell>
          <cell r="K91" t="str">
            <v/>
          </cell>
          <cell r="L91" t="str">
            <v/>
          </cell>
          <cell r="M91" t="str">
            <v/>
          </cell>
          <cell r="N91" t="str">
            <v/>
          </cell>
          <cell r="O91">
            <v>1.3502000000000001</v>
          </cell>
        </row>
        <row r="92">
          <cell r="A92" t="str">
            <v>A08104</v>
          </cell>
          <cell r="B92" t="str">
            <v>108央債甲4</v>
          </cell>
          <cell r="C92" t="str">
            <v>128/03/04</v>
          </cell>
          <cell r="D92">
            <v>13.93</v>
          </cell>
          <cell r="E92">
            <v>15.41</v>
          </cell>
          <cell r="F92" t="str">
            <v/>
          </cell>
          <cell r="G92" t="str">
            <v/>
          </cell>
          <cell r="H92" t="str">
            <v/>
          </cell>
          <cell r="I92" t="str">
            <v/>
          </cell>
          <cell r="J92" t="str">
            <v/>
          </cell>
          <cell r="K92" t="str">
            <v/>
          </cell>
          <cell r="L92" t="str">
            <v/>
          </cell>
          <cell r="M92" t="str">
            <v/>
          </cell>
          <cell r="N92" t="str">
            <v/>
          </cell>
          <cell r="O92">
            <v>1.3519000000000001</v>
          </cell>
        </row>
        <row r="93">
          <cell r="A93" t="str">
            <v>A99109</v>
          </cell>
          <cell r="B93" t="str">
            <v>99央債甲9</v>
          </cell>
          <cell r="C93" t="str">
            <v>129/12/28</v>
          </cell>
          <cell r="D93">
            <v>14.37</v>
          </cell>
          <cell r="E93">
            <v>17.239999999999998</v>
          </cell>
          <cell r="F93" t="str">
            <v/>
          </cell>
          <cell r="G93" t="str">
            <v/>
          </cell>
          <cell r="H93" t="str">
            <v/>
          </cell>
          <cell r="I93" t="str">
            <v/>
          </cell>
          <cell r="J93" t="str">
            <v/>
          </cell>
          <cell r="K93" t="str">
            <v/>
          </cell>
          <cell r="L93" t="str">
            <v/>
          </cell>
          <cell r="M93" t="str">
            <v/>
          </cell>
          <cell r="N93" t="str">
            <v/>
          </cell>
          <cell r="O93">
            <v>1.3744000000000001</v>
          </cell>
        </row>
        <row r="94">
          <cell r="A94" t="str">
            <v>A00104</v>
          </cell>
          <cell r="B94" t="str">
            <v>100央債甲4</v>
          </cell>
          <cell r="C94" t="str">
            <v>130/02/22</v>
          </cell>
          <cell r="D94">
            <v>14.63</v>
          </cell>
          <cell r="E94">
            <v>17.39</v>
          </cell>
          <cell r="F94" t="str">
            <v/>
          </cell>
          <cell r="G94" t="str">
            <v/>
          </cell>
          <cell r="H94" t="str">
            <v/>
          </cell>
          <cell r="I94" t="str">
            <v/>
          </cell>
          <cell r="J94" t="str">
            <v/>
          </cell>
          <cell r="K94" t="str">
            <v/>
          </cell>
          <cell r="L94" t="str">
            <v/>
          </cell>
          <cell r="M94" t="str">
            <v/>
          </cell>
          <cell r="N94" t="str">
            <v/>
          </cell>
          <cell r="O94">
            <v>1.3776999999999999</v>
          </cell>
        </row>
        <row r="95">
          <cell r="A95" t="str">
            <v>A08108</v>
          </cell>
          <cell r="B95" t="str">
            <v>108央債甲8</v>
          </cell>
          <cell r="C95" t="str">
            <v>128/09/06</v>
          </cell>
          <cell r="D95">
            <v>14.81</v>
          </cell>
          <cell r="E95">
            <v>15.92</v>
          </cell>
          <cell r="F95" t="str">
            <v/>
          </cell>
          <cell r="G95" t="str">
            <v/>
          </cell>
          <cell r="H95" t="str">
            <v/>
          </cell>
          <cell r="I95" t="str">
            <v/>
          </cell>
          <cell r="J95" t="str">
            <v/>
          </cell>
          <cell r="K95" t="str">
            <v/>
          </cell>
          <cell r="L95" t="str">
            <v/>
          </cell>
          <cell r="M95" t="str">
            <v/>
          </cell>
          <cell r="N95" t="str">
            <v/>
          </cell>
          <cell r="O95">
            <v>1.3632</v>
          </cell>
        </row>
        <row r="96">
          <cell r="A96" t="str">
            <v>A09102</v>
          </cell>
          <cell r="B96" t="str">
            <v>109央債甲2</v>
          </cell>
          <cell r="C96" t="str">
            <v>129/01/17</v>
          </cell>
          <cell r="D96">
            <v>15.04</v>
          </cell>
          <cell r="E96">
            <v>16.29</v>
          </cell>
          <cell r="F96" t="str">
            <v/>
          </cell>
          <cell r="G96" t="str">
            <v/>
          </cell>
          <cell r="H96" t="str">
            <v/>
          </cell>
          <cell r="I96" t="str">
            <v/>
          </cell>
          <cell r="J96" t="str">
            <v/>
          </cell>
          <cell r="K96" t="str">
            <v/>
          </cell>
          <cell r="L96" t="str">
            <v/>
          </cell>
          <cell r="M96" t="str">
            <v/>
          </cell>
          <cell r="N96" t="str">
            <v/>
          </cell>
          <cell r="O96">
            <v>1.3694</v>
          </cell>
        </row>
        <row r="97">
          <cell r="A97" t="str">
            <v>A00108</v>
          </cell>
          <cell r="B97" t="str">
            <v>100央債甲8</v>
          </cell>
          <cell r="C97" t="str">
            <v>130/08/22</v>
          </cell>
          <cell r="D97">
            <v>15.23</v>
          </cell>
          <cell r="E97">
            <v>17.88</v>
          </cell>
          <cell r="F97">
            <v>1.3925000000000001</v>
          </cell>
          <cell r="G97">
            <v>1.3925000000000001</v>
          </cell>
          <cell r="H97">
            <v>1.3925000000000001</v>
          </cell>
          <cell r="I97">
            <v>6</v>
          </cell>
          <cell r="J97" t="str">
            <v/>
          </cell>
          <cell r="K97" t="str">
            <v/>
          </cell>
          <cell r="L97" t="str">
            <v/>
          </cell>
          <cell r="M97" t="str">
            <v/>
          </cell>
          <cell r="N97" t="str">
            <v/>
          </cell>
          <cell r="O97">
            <v>1.3863000000000001</v>
          </cell>
        </row>
        <row r="98">
          <cell r="A98" t="str">
            <v>A09104</v>
          </cell>
          <cell r="B98" t="str">
            <v>109央債甲4</v>
          </cell>
          <cell r="C98" t="str">
            <v>129/03/09</v>
          </cell>
          <cell r="D98">
            <v>15.49</v>
          </cell>
          <cell r="E98">
            <v>16.43</v>
          </cell>
          <cell r="F98" t="str">
            <v/>
          </cell>
          <cell r="G98" t="str">
            <v/>
          </cell>
          <cell r="H98" t="str">
            <v/>
          </cell>
          <cell r="I98" t="str">
            <v/>
          </cell>
          <cell r="J98" t="str">
            <v/>
          </cell>
          <cell r="K98" t="str">
            <v/>
          </cell>
          <cell r="L98" t="str">
            <v/>
          </cell>
          <cell r="M98" t="str">
            <v/>
          </cell>
          <cell r="N98" t="str">
            <v/>
          </cell>
          <cell r="O98">
            <v>1.3738999999999999</v>
          </cell>
        </row>
        <row r="99">
          <cell r="A99" t="str">
            <v>A01104</v>
          </cell>
          <cell r="B99" t="str">
            <v>101央債甲4</v>
          </cell>
          <cell r="C99" t="str">
            <v>131/02/13</v>
          </cell>
          <cell r="D99">
            <v>15.56</v>
          </cell>
          <cell r="E99">
            <v>18.36</v>
          </cell>
          <cell r="F99" t="str">
            <v/>
          </cell>
          <cell r="G99" t="str">
            <v/>
          </cell>
          <cell r="H99" t="str">
            <v/>
          </cell>
          <cell r="I99" t="str">
            <v/>
          </cell>
          <cell r="J99" t="str">
            <v/>
          </cell>
          <cell r="K99" t="str">
            <v/>
          </cell>
          <cell r="L99" t="str">
            <v/>
          </cell>
          <cell r="M99" t="str">
            <v/>
          </cell>
          <cell r="N99" t="str">
            <v/>
          </cell>
          <cell r="O99">
            <v>1.3946000000000001</v>
          </cell>
        </row>
        <row r="100">
          <cell r="A100" t="str">
            <v>A02109</v>
          </cell>
          <cell r="B100" t="str">
            <v>102央債甲9</v>
          </cell>
          <cell r="C100" t="str">
            <v>132/08/02</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v>
          </cell>
        </row>
        <row r="101">
          <cell r="A101" t="str">
            <v>A09108</v>
          </cell>
          <cell r="B101" t="str">
            <v>109央債甲8</v>
          </cell>
          <cell r="C101" t="str">
            <v>129/09/18</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1.3829</v>
          </cell>
        </row>
        <row r="102">
          <cell r="A102" t="str">
            <v>A11109</v>
          </cell>
          <cell r="B102" t="str">
            <v>111央債甲9</v>
          </cell>
          <cell r="C102" t="str">
            <v>131/09/30</v>
          </cell>
          <cell r="D102">
            <v>16.05</v>
          </cell>
          <cell r="E102">
            <v>18.989999999999998</v>
          </cell>
          <cell r="F102" t="str">
            <v/>
          </cell>
          <cell r="G102" t="str">
            <v/>
          </cell>
          <cell r="H102" t="str">
            <v/>
          </cell>
          <cell r="I102" t="str">
            <v/>
          </cell>
          <cell r="J102" t="str">
            <v/>
          </cell>
          <cell r="K102" t="str">
            <v/>
          </cell>
          <cell r="L102" t="str">
            <v/>
          </cell>
          <cell r="M102" t="str">
            <v/>
          </cell>
          <cell r="N102" t="str">
            <v/>
          </cell>
          <cell r="O102">
            <v>1.4031</v>
          </cell>
        </row>
        <row r="103">
          <cell r="A103" t="str">
            <v>A01108</v>
          </cell>
          <cell r="B103" t="str">
            <v>101央債甲8</v>
          </cell>
          <cell r="C103" t="str">
            <v>131/08/24</v>
          </cell>
          <cell r="D103">
            <v>16.21</v>
          </cell>
          <cell r="E103">
            <v>18.89</v>
          </cell>
          <cell r="F103" t="str">
            <v/>
          </cell>
          <cell r="G103" t="str">
            <v/>
          </cell>
          <cell r="H103" t="str">
            <v/>
          </cell>
          <cell r="I103" t="str">
            <v/>
          </cell>
          <cell r="J103" t="str">
            <v/>
          </cell>
          <cell r="K103" t="str">
            <v/>
          </cell>
          <cell r="L103" t="str">
            <v/>
          </cell>
          <cell r="M103" t="str">
            <v/>
          </cell>
          <cell r="N103" t="str">
            <v/>
          </cell>
          <cell r="O103">
            <v>1.4036999999999999</v>
          </cell>
        </row>
        <row r="104">
          <cell r="A104" t="str">
            <v>A10102</v>
          </cell>
          <cell r="B104" t="str">
            <v>110央債甲2</v>
          </cell>
          <cell r="C104" t="str">
            <v>130/01/29</v>
          </cell>
          <cell r="D104">
            <v>16.28</v>
          </cell>
          <cell r="E104">
            <v>17.32</v>
          </cell>
          <cell r="F104" t="str">
            <v/>
          </cell>
          <cell r="G104" t="str">
            <v/>
          </cell>
          <cell r="H104" t="str">
            <v/>
          </cell>
          <cell r="I104" t="str">
            <v/>
          </cell>
          <cell r="J104" t="str">
            <v/>
          </cell>
          <cell r="K104" t="str">
            <v/>
          </cell>
          <cell r="L104" t="str">
            <v/>
          </cell>
          <cell r="M104" t="str">
            <v/>
          </cell>
          <cell r="N104" t="str">
            <v/>
          </cell>
          <cell r="O104">
            <v>1.389</v>
          </cell>
        </row>
        <row r="105">
          <cell r="A105" t="str">
            <v>A02105</v>
          </cell>
          <cell r="B105" t="str">
            <v>102央債甲5</v>
          </cell>
          <cell r="C105" t="str">
            <v>132/02/26</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1.4101999999999999</v>
          </cell>
        </row>
        <row r="106">
          <cell r="A106" t="str">
            <v>A09113</v>
          </cell>
          <cell r="B106" t="str">
            <v>109央甲13</v>
          </cell>
          <cell r="C106" t="str">
            <v>129/12/29</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1.3889</v>
          </cell>
        </row>
        <row r="107">
          <cell r="A107" t="str">
            <v>A11101</v>
          </cell>
          <cell r="B107" t="str">
            <v>111央債甲1</v>
          </cell>
          <cell r="C107" t="str">
            <v>131/01/18</v>
          </cell>
          <cell r="D107">
            <v>16.39</v>
          </cell>
          <cell r="E107">
            <v>18.29</v>
          </cell>
          <cell r="F107" t="str">
            <v/>
          </cell>
          <cell r="G107" t="str">
            <v/>
          </cell>
          <cell r="H107" t="str">
            <v/>
          </cell>
          <cell r="I107" t="str">
            <v/>
          </cell>
          <cell r="J107" t="str">
            <v/>
          </cell>
          <cell r="K107" t="str">
            <v/>
          </cell>
          <cell r="L107" t="str">
            <v/>
          </cell>
          <cell r="M107" t="str">
            <v/>
          </cell>
          <cell r="N107" t="str">
            <v/>
          </cell>
          <cell r="O107">
            <v>1.4001999999999999</v>
          </cell>
        </row>
        <row r="108">
          <cell r="A108" t="str">
            <v>A10105</v>
          </cell>
          <cell r="B108" t="str">
            <v>110央債甲5</v>
          </cell>
          <cell r="C108" t="str">
            <v>130/05/21</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1.393</v>
          </cell>
        </row>
        <row r="109">
          <cell r="A109" t="str">
            <v>A03105</v>
          </cell>
          <cell r="B109" t="str">
            <v>103央債甲5</v>
          </cell>
          <cell r="C109" t="str">
            <v>133/02/26</v>
          </cell>
          <cell r="D109">
            <v>16.579999999999998</v>
          </cell>
          <cell r="E109">
            <v>20.399999999999999</v>
          </cell>
          <cell r="F109" t="str">
            <v/>
          </cell>
          <cell r="G109" t="str">
            <v/>
          </cell>
          <cell r="H109" t="str">
            <v/>
          </cell>
          <cell r="I109" t="str">
            <v/>
          </cell>
          <cell r="J109" t="str">
            <v/>
          </cell>
          <cell r="K109" t="str">
            <v/>
          </cell>
          <cell r="L109" t="str">
            <v/>
          </cell>
          <cell r="M109" t="str">
            <v/>
          </cell>
          <cell r="N109" t="str">
            <v/>
          </cell>
          <cell r="O109">
            <v>1.4212</v>
          </cell>
        </row>
        <row r="110">
          <cell r="A110" t="str">
            <v>A11104</v>
          </cell>
          <cell r="B110" t="str">
            <v>111央債甲4</v>
          </cell>
          <cell r="C110" t="str">
            <v>131/03/04</v>
          </cell>
          <cell r="D110">
            <v>16.68</v>
          </cell>
          <cell r="E110">
            <v>18.420000000000002</v>
          </cell>
          <cell r="F110" t="str">
            <v/>
          </cell>
          <cell r="G110" t="str">
            <v/>
          </cell>
          <cell r="H110" t="str">
            <v/>
          </cell>
          <cell r="I110" t="str">
            <v/>
          </cell>
          <cell r="J110" t="str">
            <v/>
          </cell>
          <cell r="K110" t="str">
            <v/>
          </cell>
          <cell r="L110" t="str">
            <v/>
          </cell>
          <cell r="M110" t="str">
            <v/>
          </cell>
          <cell r="N110" t="str">
            <v/>
          </cell>
          <cell r="O110">
            <v>1.4034</v>
          </cell>
        </row>
        <row r="111">
          <cell r="A111" t="str">
            <v>A10112</v>
          </cell>
          <cell r="B111" t="str">
            <v>110央甲12</v>
          </cell>
          <cell r="C111" t="str">
            <v>130/11/12</v>
          </cell>
          <cell r="D111">
            <v>16.75</v>
          </cell>
          <cell r="E111">
            <v>18.11</v>
          </cell>
          <cell r="F111" t="str">
            <v/>
          </cell>
          <cell r="G111" t="str">
            <v/>
          </cell>
          <cell r="H111" t="str">
            <v/>
          </cell>
          <cell r="I111" t="str">
            <v/>
          </cell>
          <cell r="J111" t="str">
            <v/>
          </cell>
          <cell r="K111" t="str">
            <v/>
          </cell>
          <cell r="L111" t="str">
            <v/>
          </cell>
          <cell r="M111" t="str">
            <v/>
          </cell>
          <cell r="N111" t="str">
            <v/>
          </cell>
          <cell r="O111">
            <v>1.4009</v>
          </cell>
        </row>
        <row r="112">
          <cell r="A112" t="str">
            <v>A12104</v>
          </cell>
          <cell r="B112" t="str">
            <v>112央債甲4</v>
          </cell>
          <cell r="C112" t="str">
            <v>132/03/03</v>
          </cell>
          <cell r="D112">
            <v>16.79</v>
          </cell>
          <cell r="E112">
            <v>19.41</v>
          </cell>
          <cell r="F112" t="str">
            <v/>
          </cell>
          <cell r="G112" t="str">
            <v/>
          </cell>
          <cell r="H112" t="str">
            <v/>
          </cell>
          <cell r="I112" t="str">
            <v/>
          </cell>
          <cell r="J112" t="str">
            <v/>
          </cell>
          <cell r="K112" t="str">
            <v/>
          </cell>
          <cell r="L112" t="str">
            <v/>
          </cell>
          <cell r="M112" t="str">
            <v/>
          </cell>
          <cell r="N112" t="str">
            <v/>
          </cell>
          <cell r="O112">
            <v>1.4139999999999999</v>
          </cell>
        </row>
        <row r="113">
          <cell r="A113" t="str">
            <v>A03116</v>
          </cell>
          <cell r="B113" t="str">
            <v>103央甲16</v>
          </cell>
          <cell r="C113" t="str">
            <v>133/11/26</v>
          </cell>
          <cell r="D113">
            <v>16.850000000000001</v>
          </cell>
          <cell r="E113">
            <v>21.15</v>
          </cell>
          <cell r="F113" t="str">
            <v/>
          </cell>
          <cell r="G113" t="str">
            <v/>
          </cell>
          <cell r="H113" t="str">
            <v/>
          </cell>
          <cell r="I113" t="str">
            <v/>
          </cell>
          <cell r="J113" t="str">
            <v/>
          </cell>
          <cell r="K113" t="str">
            <v/>
          </cell>
          <cell r="L113" t="str">
            <v/>
          </cell>
          <cell r="M113" t="str">
            <v/>
          </cell>
          <cell r="N113" t="str">
            <v/>
          </cell>
          <cell r="O113">
            <v>1.4302999999999999</v>
          </cell>
        </row>
        <row r="114">
          <cell r="A114" t="str">
            <v>A03112</v>
          </cell>
          <cell r="B114" t="str">
            <v>103央甲12</v>
          </cell>
          <cell r="C114" t="str">
            <v>133/08/04</v>
          </cell>
          <cell r="D114">
            <v>16.88</v>
          </cell>
          <cell r="E114">
            <v>20.84</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104央債甲4</v>
          </cell>
          <cell r="C115" t="str">
            <v>134/02/13</v>
          </cell>
          <cell r="D115">
            <v>16.93</v>
          </cell>
          <cell r="E115">
            <v>21.36</v>
          </cell>
          <cell r="F115" t="str">
            <v/>
          </cell>
          <cell r="G115" t="str">
            <v/>
          </cell>
          <cell r="H115" t="str">
            <v/>
          </cell>
          <cell r="I115" t="str">
            <v/>
          </cell>
          <cell r="J115" t="str">
            <v/>
          </cell>
          <cell r="K115" t="str">
            <v/>
          </cell>
          <cell r="L115" t="str">
            <v/>
          </cell>
          <cell r="M115" t="str">
            <v/>
          </cell>
          <cell r="N115" t="str">
            <v/>
          </cell>
          <cell r="O115">
            <v>1.4319999999999999</v>
          </cell>
        </row>
        <row r="116">
          <cell r="A116" t="str">
            <v>A10110</v>
          </cell>
          <cell r="B116" t="str">
            <v>110央甲10</v>
          </cell>
          <cell r="C116" t="str">
            <v>130/09/29</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1.4001999999999999</v>
          </cell>
        </row>
        <row r="117">
          <cell r="A117" t="str">
            <v>A03108</v>
          </cell>
          <cell r="B117" t="str">
            <v>103央債甲8</v>
          </cell>
          <cell r="C117" t="str">
            <v>133/05/28</v>
          </cell>
          <cell r="D117">
            <v>16.97</v>
          </cell>
          <cell r="E117">
            <v>20.65</v>
          </cell>
          <cell r="F117" t="str">
            <v/>
          </cell>
          <cell r="G117" t="str">
            <v/>
          </cell>
          <cell r="H117" t="str">
            <v/>
          </cell>
          <cell r="I117" t="str">
            <v/>
          </cell>
          <cell r="J117" t="str">
            <v/>
          </cell>
          <cell r="K117" t="str">
            <v/>
          </cell>
          <cell r="L117" t="str">
            <v/>
          </cell>
          <cell r="M117" t="str">
            <v/>
          </cell>
          <cell r="N117" t="str">
            <v/>
          </cell>
          <cell r="O117">
            <v>1.4258</v>
          </cell>
        </row>
        <row r="118">
          <cell r="A118" t="str">
            <v>A04108</v>
          </cell>
          <cell r="B118" t="str">
            <v>104央債甲8</v>
          </cell>
          <cell r="C118" t="str">
            <v>134/05/15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1.4353</v>
          </cell>
        </row>
        <row r="119">
          <cell r="A119" t="str">
            <v>A12109</v>
          </cell>
          <cell r="B119" t="str">
            <v>112央債甲9</v>
          </cell>
          <cell r="C119" t="str">
            <v>132/09/22</v>
          </cell>
          <cell r="D119">
            <v>17.329999999999998</v>
          </cell>
          <cell r="E119">
            <v>19.97</v>
          </cell>
          <cell r="F119" t="str">
            <v/>
          </cell>
          <cell r="G119" t="str">
            <v/>
          </cell>
          <cell r="H119" t="str">
            <v/>
          </cell>
          <cell r="I119" t="str">
            <v/>
          </cell>
          <cell r="J119" t="str">
            <v/>
          </cell>
          <cell r="K119" t="str">
            <v/>
          </cell>
          <cell r="L119" t="str">
            <v/>
          </cell>
          <cell r="M119" t="str">
            <v/>
          </cell>
          <cell r="N119" t="str">
            <v/>
          </cell>
          <cell r="O119">
            <v>1.4222999999999999</v>
          </cell>
        </row>
        <row r="120">
          <cell r="A120" t="str">
            <v>A04111</v>
          </cell>
          <cell r="B120" t="str">
            <v>104央甲11</v>
          </cell>
          <cell r="C120" t="str">
            <v>134/08/10</v>
          </cell>
          <cell r="D120">
            <v>17.54</v>
          </cell>
          <cell r="E120">
            <v>21.85</v>
          </cell>
          <cell r="F120" t="str">
            <v/>
          </cell>
          <cell r="G120" t="str">
            <v/>
          </cell>
          <cell r="H120" t="str">
            <v/>
          </cell>
          <cell r="I120" t="str">
            <v/>
          </cell>
          <cell r="J120" t="str">
            <v/>
          </cell>
          <cell r="K120" t="str">
            <v/>
          </cell>
          <cell r="L120" t="str">
            <v/>
          </cell>
          <cell r="M120" t="str">
            <v/>
          </cell>
          <cell r="N120" t="str">
            <v/>
          </cell>
          <cell r="O120">
            <v>1.4397</v>
          </cell>
        </row>
        <row r="121">
          <cell r="A121" t="str">
            <v>A05114</v>
          </cell>
          <cell r="B121" t="str">
            <v>105央甲14</v>
          </cell>
          <cell r="C121" t="str">
            <v>135/11/25</v>
          </cell>
          <cell r="D121">
            <v>18.45</v>
          </cell>
          <cell r="E121">
            <v>23.14</v>
          </cell>
          <cell r="F121" t="str">
            <v/>
          </cell>
          <cell r="G121" t="str">
            <v/>
          </cell>
          <cell r="H121" t="str">
            <v/>
          </cell>
          <cell r="I121" t="str">
            <v/>
          </cell>
          <cell r="J121" t="str">
            <v/>
          </cell>
          <cell r="K121" t="str">
            <v/>
          </cell>
          <cell r="L121" t="str">
            <v/>
          </cell>
          <cell r="M121" t="str">
            <v/>
          </cell>
          <cell r="N121" t="str">
            <v/>
          </cell>
          <cell r="O121">
            <v>1.4588000000000001</v>
          </cell>
        </row>
        <row r="122">
          <cell r="A122" t="str">
            <v>A05107</v>
          </cell>
          <cell r="B122" t="str">
            <v>105央債甲7</v>
          </cell>
          <cell r="C122" t="str">
            <v>135/05/20</v>
          </cell>
          <cell r="D122">
            <v>18.8</v>
          </cell>
          <cell r="E122">
            <v>22.63</v>
          </cell>
          <cell r="F122" t="str">
            <v/>
          </cell>
          <cell r="G122" t="str">
            <v/>
          </cell>
          <cell r="H122" t="str">
            <v/>
          </cell>
          <cell r="I122" t="str">
            <v/>
          </cell>
          <cell r="J122" t="str">
            <v/>
          </cell>
          <cell r="K122" t="str">
            <v/>
          </cell>
          <cell r="L122" t="str">
            <v/>
          </cell>
          <cell r="M122" t="str">
            <v/>
          </cell>
          <cell r="N122" t="str">
            <v/>
          </cell>
          <cell r="O122">
            <v>1.4564999999999999</v>
          </cell>
        </row>
        <row r="123">
          <cell r="A123" t="str">
            <v>A06106</v>
          </cell>
          <cell r="B123" t="str">
            <v>106央債甲6</v>
          </cell>
          <cell r="C123" t="str">
            <v>136/05/26</v>
          </cell>
          <cell r="D123">
            <v>19.11</v>
          </cell>
          <cell r="E123">
            <v>23.64</v>
          </cell>
          <cell r="F123" t="str">
            <v/>
          </cell>
          <cell r="G123" t="str">
            <v/>
          </cell>
          <cell r="H123" t="str">
            <v/>
          </cell>
          <cell r="I123" t="str">
            <v/>
          </cell>
          <cell r="J123" t="str">
            <v/>
          </cell>
          <cell r="K123" t="str">
            <v/>
          </cell>
          <cell r="L123" t="str">
            <v/>
          </cell>
          <cell r="M123" t="str">
            <v/>
          </cell>
          <cell r="N123" t="str">
            <v/>
          </cell>
          <cell r="O123">
            <v>1.4663999999999999</v>
          </cell>
        </row>
        <row r="124">
          <cell r="A124" t="str">
            <v>A05110</v>
          </cell>
          <cell r="B124" t="str">
            <v>105央甲10</v>
          </cell>
          <cell r="C124" t="str">
            <v>135/08/05</v>
          </cell>
          <cell r="D124">
            <v>19.39</v>
          </cell>
          <cell r="E124">
            <v>22.84</v>
          </cell>
          <cell r="F124" t="str">
            <v/>
          </cell>
          <cell r="G124" t="str">
            <v/>
          </cell>
          <cell r="H124" t="str">
            <v/>
          </cell>
          <cell r="I124" t="str">
            <v/>
          </cell>
          <cell r="J124" t="str">
            <v/>
          </cell>
          <cell r="K124" t="str">
            <v/>
          </cell>
          <cell r="L124" t="str">
            <v/>
          </cell>
          <cell r="M124" t="str">
            <v/>
          </cell>
          <cell r="N124" t="str">
            <v/>
          </cell>
          <cell r="O124">
            <v>1.4623999999999999</v>
          </cell>
        </row>
        <row r="125">
          <cell r="A125" t="str">
            <v>A06111</v>
          </cell>
          <cell r="B125" t="str">
            <v>106央甲11</v>
          </cell>
          <cell r="C125" t="str">
            <v>136/11/24</v>
          </cell>
          <cell r="D125">
            <v>19.670000000000002</v>
          </cell>
          <cell r="E125">
            <v>24.14</v>
          </cell>
          <cell r="F125" t="str">
            <v/>
          </cell>
          <cell r="G125" t="str">
            <v/>
          </cell>
          <cell r="H125" t="str">
            <v/>
          </cell>
          <cell r="I125" t="str">
            <v/>
          </cell>
          <cell r="J125" t="str">
            <v/>
          </cell>
          <cell r="K125" t="str">
            <v/>
          </cell>
          <cell r="L125" t="str">
            <v/>
          </cell>
          <cell r="M125" t="str">
            <v/>
          </cell>
          <cell r="N125" t="str">
            <v/>
          </cell>
          <cell r="O125">
            <v>1.4756</v>
          </cell>
        </row>
        <row r="126">
          <cell r="A126" t="str">
            <v>A07104</v>
          </cell>
          <cell r="B126" t="str">
            <v>107央債甲4</v>
          </cell>
          <cell r="C126" t="str">
            <v>137/05/18</v>
          </cell>
          <cell r="D126">
            <v>20.36</v>
          </cell>
          <cell r="E126">
            <v>24.62</v>
          </cell>
          <cell r="F126" t="str">
            <v/>
          </cell>
          <cell r="G126" t="str">
            <v/>
          </cell>
          <cell r="H126" t="str">
            <v/>
          </cell>
          <cell r="I126" t="str">
            <v/>
          </cell>
          <cell r="J126" t="str">
            <v/>
          </cell>
          <cell r="K126" t="str">
            <v/>
          </cell>
          <cell r="L126" t="str">
            <v/>
          </cell>
          <cell r="M126" t="str">
            <v/>
          </cell>
          <cell r="N126" t="str">
            <v/>
          </cell>
          <cell r="O126">
            <v>1.4829000000000001</v>
          </cell>
        </row>
        <row r="127">
          <cell r="A127" t="str">
            <v>A07110</v>
          </cell>
          <cell r="B127" t="str">
            <v>107央甲10</v>
          </cell>
          <cell r="C127" t="str">
            <v>137/11/09</v>
          </cell>
          <cell r="D127">
            <v>20.76</v>
          </cell>
          <cell r="E127">
            <v>25.1</v>
          </cell>
          <cell r="F127" t="str">
            <v/>
          </cell>
          <cell r="G127" t="str">
            <v/>
          </cell>
          <cell r="H127" t="str">
            <v/>
          </cell>
          <cell r="I127" t="str">
            <v/>
          </cell>
          <cell r="J127" t="str">
            <v/>
          </cell>
          <cell r="K127" t="str">
            <v/>
          </cell>
          <cell r="L127" t="str">
            <v/>
          </cell>
          <cell r="M127" t="str">
            <v/>
          </cell>
          <cell r="N127" t="str">
            <v/>
          </cell>
          <cell r="O127">
            <v>1.4902</v>
          </cell>
        </row>
        <row r="128">
          <cell r="A128" t="str">
            <v>A11111</v>
          </cell>
          <cell r="B128" t="str">
            <v>111央甲11</v>
          </cell>
          <cell r="C128" t="str">
            <v>141/11/11</v>
          </cell>
          <cell r="D128">
            <v>21.41</v>
          </cell>
          <cell r="E128">
            <v>29.11</v>
          </cell>
          <cell r="F128" t="str">
            <v/>
          </cell>
          <cell r="G128" t="str">
            <v/>
          </cell>
          <cell r="H128" t="str">
            <v/>
          </cell>
          <cell r="I128" t="str">
            <v/>
          </cell>
          <cell r="J128" t="str">
            <v/>
          </cell>
          <cell r="K128" t="str">
            <v/>
          </cell>
          <cell r="L128" t="str">
            <v/>
          </cell>
          <cell r="M128" t="str">
            <v/>
          </cell>
          <cell r="N128" t="str">
            <v/>
          </cell>
          <cell r="O128">
            <v>1.5152000000000001</v>
          </cell>
        </row>
        <row r="129">
          <cell r="A129" t="str">
            <v>A08105</v>
          </cell>
          <cell r="B129" t="str">
            <v>108央債甲5</v>
          </cell>
          <cell r="C129" t="str">
            <v>138/05/17</v>
          </cell>
          <cell r="D129">
            <v>21.8</v>
          </cell>
          <cell r="E129">
            <v>25.62</v>
          </cell>
          <cell r="F129" t="str">
            <v/>
          </cell>
          <cell r="G129" t="str">
            <v/>
          </cell>
          <cell r="H129" t="str">
            <v/>
          </cell>
          <cell r="I129" t="str">
            <v/>
          </cell>
          <cell r="J129" t="str">
            <v/>
          </cell>
          <cell r="K129" t="str">
            <v/>
          </cell>
          <cell r="L129" t="str">
            <v/>
          </cell>
          <cell r="M129" t="str">
            <v/>
          </cell>
          <cell r="N129" t="str">
            <v/>
          </cell>
          <cell r="O129">
            <v>1.4999</v>
          </cell>
        </row>
        <row r="130">
          <cell r="A130" t="str">
            <v>A11105</v>
          </cell>
          <cell r="B130" t="str">
            <v>111央債甲5</v>
          </cell>
          <cell r="C130" t="str">
            <v>141/05/20</v>
          </cell>
          <cell r="D130">
            <v>21.98</v>
          </cell>
          <cell r="E130">
            <v>28.63</v>
          </cell>
          <cell r="F130" t="str">
            <v/>
          </cell>
          <cell r="G130" t="str">
            <v/>
          </cell>
          <cell r="H130" t="str">
            <v/>
          </cell>
          <cell r="I130" t="str">
            <v/>
          </cell>
          <cell r="J130" t="str">
            <v/>
          </cell>
          <cell r="K130" t="str">
            <v/>
          </cell>
          <cell r="L130" t="str">
            <v/>
          </cell>
          <cell r="M130" t="str">
            <v/>
          </cell>
          <cell r="N130" t="str">
            <v/>
          </cell>
          <cell r="O130">
            <v>1.5163</v>
          </cell>
        </row>
        <row r="131">
          <cell r="A131" t="str">
            <v>A08110</v>
          </cell>
          <cell r="B131" t="str">
            <v>108央甲10</v>
          </cell>
          <cell r="C131" t="str">
            <v>138/11/08</v>
          </cell>
          <cell r="D131">
            <v>22.31</v>
          </cell>
          <cell r="E131">
            <v>26.1</v>
          </cell>
          <cell r="F131" t="str">
            <v/>
          </cell>
          <cell r="G131" t="str">
            <v/>
          </cell>
          <cell r="H131" t="str">
            <v/>
          </cell>
          <cell r="I131" t="str">
            <v/>
          </cell>
          <cell r="J131" t="str">
            <v/>
          </cell>
          <cell r="K131" t="str">
            <v/>
          </cell>
          <cell r="L131" t="str">
            <v/>
          </cell>
          <cell r="M131" t="str">
            <v/>
          </cell>
          <cell r="N131" t="str">
            <v/>
          </cell>
          <cell r="O131">
            <v>1.5073000000000001</v>
          </cell>
        </row>
        <row r="132">
          <cell r="A132" t="str">
            <v>A09105</v>
          </cell>
          <cell r="B132" t="str">
            <v>109央債甲5</v>
          </cell>
          <cell r="C132" t="str">
            <v>139/05/12</v>
          </cell>
          <cell r="D132">
            <v>23.48</v>
          </cell>
          <cell r="E132">
            <v>26.6</v>
          </cell>
          <cell r="F132" t="str">
            <v/>
          </cell>
          <cell r="G132" t="str">
            <v/>
          </cell>
          <cell r="H132" t="str">
            <v/>
          </cell>
          <cell r="I132" t="str">
            <v/>
          </cell>
          <cell r="J132" t="str">
            <v/>
          </cell>
          <cell r="K132" t="str">
            <v/>
          </cell>
          <cell r="L132" t="str">
            <v/>
          </cell>
          <cell r="M132" t="str">
            <v/>
          </cell>
          <cell r="N132" t="str">
            <v/>
          </cell>
          <cell r="O132">
            <v>1.5173000000000001</v>
          </cell>
        </row>
        <row r="133">
          <cell r="A133" t="str">
            <v>A10113</v>
          </cell>
          <cell r="B133" t="str">
            <v>110央甲13</v>
          </cell>
          <cell r="C133" t="str">
            <v>140/12/23</v>
          </cell>
          <cell r="D133">
            <v>23.51</v>
          </cell>
          <cell r="E133">
            <v>28.22</v>
          </cell>
          <cell r="F133" t="str">
            <v/>
          </cell>
          <cell r="G133" t="str">
            <v/>
          </cell>
          <cell r="H133" t="str">
            <v/>
          </cell>
          <cell r="I133" t="str">
            <v/>
          </cell>
          <cell r="J133" t="str">
            <v/>
          </cell>
          <cell r="K133" t="str">
            <v/>
          </cell>
          <cell r="L133" t="str">
            <v/>
          </cell>
          <cell r="M133" t="str">
            <v/>
          </cell>
          <cell r="N133" t="str">
            <v/>
          </cell>
          <cell r="O133">
            <v>1.5266</v>
          </cell>
        </row>
        <row r="134">
          <cell r="A134" t="str">
            <v>A12105</v>
          </cell>
          <cell r="B134" t="str">
            <v>112央債甲5</v>
          </cell>
          <cell r="C134" t="str">
            <v>142/05/12</v>
          </cell>
          <cell r="D134">
            <v>23.59</v>
          </cell>
          <cell r="E134">
            <v>29.6</v>
          </cell>
          <cell r="F134" t="str">
            <v/>
          </cell>
          <cell r="G134" t="str">
            <v/>
          </cell>
          <cell r="H134" t="str">
            <v/>
          </cell>
          <cell r="I134" t="str">
            <v/>
          </cell>
          <cell r="J134" t="str">
            <v/>
          </cell>
          <cell r="K134" t="str">
            <v/>
          </cell>
          <cell r="L134" t="str">
            <v/>
          </cell>
          <cell r="M134" t="str">
            <v/>
          </cell>
          <cell r="N134" t="str">
            <v/>
          </cell>
          <cell r="O134">
            <v>1.5318000000000001</v>
          </cell>
        </row>
        <row r="135">
          <cell r="A135" t="str">
            <v>A12111</v>
          </cell>
          <cell r="B135" t="str">
            <v>112央甲11</v>
          </cell>
          <cell r="C135" t="str">
            <v>142/11/22</v>
          </cell>
          <cell r="D135">
            <v>23.98</v>
          </cell>
          <cell r="E135">
            <v>30</v>
          </cell>
          <cell r="F135" t="str">
            <v/>
          </cell>
          <cell r="G135" t="str">
            <v/>
          </cell>
          <cell r="H135" t="str">
            <v/>
          </cell>
          <cell r="I135" t="str">
            <v/>
          </cell>
          <cell r="J135" t="str">
            <v/>
          </cell>
          <cell r="K135" t="str">
            <v/>
          </cell>
          <cell r="L135" t="str">
            <v/>
          </cell>
          <cell r="M135" t="str">
            <v/>
          </cell>
          <cell r="N135" t="str">
            <v/>
          </cell>
          <cell r="O135">
            <v>1.5347999999999999</v>
          </cell>
        </row>
        <row r="136">
          <cell r="A136" t="str">
            <v>A10104</v>
          </cell>
          <cell r="B136" t="str">
            <v>110央債甲4</v>
          </cell>
          <cell r="C136" t="str">
            <v>140/02/25</v>
          </cell>
          <cell r="D136">
            <v>24.44</v>
          </cell>
          <cell r="E136">
            <v>27.4</v>
          </cell>
          <cell r="F136" t="str">
            <v/>
          </cell>
          <cell r="G136" t="str">
            <v/>
          </cell>
          <cell r="H136" t="str">
            <v/>
          </cell>
          <cell r="I136" t="str">
            <v/>
          </cell>
          <cell r="J136" t="str">
            <v/>
          </cell>
          <cell r="K136" t="str">
            <v/>
          </cell>
          <cell r="L136" t="str">
            <v/>
          </cell>
          <cell r="M136" t="str">
            <v/>
          </cell>
          <cell r="N136" t="str">
            <v/>
          </cell>
          <cell r="O136">
            <v>1.528</v>
          </cell>
        </row>
        <row r="137">
          <cell r="A137" t="str">
            <v>A09111</v>
          </cell>
          <cell r="B137" t="str">
            <v>109央甲11</v>
          </cell>
          <cell r="C137" t="str">
            <v>139/11/27</v>
          </cell>
          <cell r="D137">
            <v>25.1</v>
          </cell>
          <cell r="E137">
            <v>27.15</v>
          </cell>
          <cell r="F137" t="str">
            <v/>
          </cell>
          <cell r="G137" t="str">
            <v/>
          </cell>
          <cell r="H137" t="str">
            <v/>
          </cell>
          <cell r="I137" t="str">
            <v/>
          </cell>
          <cell r="J137" t="str">
            <v/>
          </cell>
          <cell r="K137" t="str">
            <v/>
          </cell>
          <cell r="L137" t="str">
            <v/>
          </cell>
          <cell r="M137" t="str">
            <v/>
          </cell>
          <cell r="N137" t="str">
            <v/>
          </cell>
          <cell r="O137">
            <v>1.5305</v>
          </cell>
        </row>
        <row r="138">
          <cell r="A138" t="str">
            <v>B618BT</v>
          </cell>
          <cell r="B138" t="str">
            <v>P09台積3A</v>
          </cell>
          <cell r="C138">
            <v>1.62</v>
          </cell>
          <cell r="D138">
            <v>1.65</v>
          </cell>
          <cell r="E138">
            <v>0</v>
          </cell>
          <cell r="F138">
            <v>1.5</v>
          </cell>
          <cell r="G138">
            <v>1.5</v>
          </cell>
          <cell r="H138">
            <v>1.5</v>
          </cell>
          <cell r="I138">
            <v>1</v>
          </cell>
          <cell r="J138" t="str">
            <v/>
          </cell>
          <cell r="K138" t="str">
            <v/>
          </cell>
          <cell r="L138" t="str">
            <v/>
          </cell>
          <cell r="M138" t="str">
            <v/>
          </cell>
          <cell r="N138" t="str">
            <v/>
          </cell>
          <cell r="O138" t="e">
            <v>#N/A</v>
          </cell>
        </row>
        <row r="139">
          <cell r="A139" t="str">
            <v>B618C3</v>
          </cell>
          <cell r="B139" t="str">
            <v>P09台積6A</v>
          </cell>
          <cell r="C139">
            <v>1.63</v>
          </cell>
          <cell r="D139">
            <v>2.16</v>
          </cell>
          <cell r="E139">
            <v>0</v>
          </cell>
          <cell r="F139">
            <v>1.52</v>
          </cell>
          <cell r="G139">
            <v>1.52</v>
          </cell>
          <cell r="H139">
            <v>1.52</v>
          </cell>
          <cell r="I139">
            <v>1</v>
          </cell>
          <cell r="J139" t="str">
            <v/>
          </cell>
          <cell r="K139" t="str">
            <v/>
          </cell>
          <cell r="L139" t="str">
            <v/>
          </cell>
          <cell r="M139" t="str">
            <v/>
          </cell>
          <cell r="N139" t="str">
            <v/>
          </cell>
          <cell r="O139" t="e">
            <v>#N/A</v>
          </cell>
        </row>
        <row r="140">
          <cell r="A140" t="str">
            <v>B903YT</v>
          </cell>
          <cell r="B140" t="str">
            <v>P12台電1B</v>
          </cell>
          <cell r="C140">
            <v>4.05</v>
          </cell>
          <cell r="D140">
            <v>4.2699999999999996</v>
          </cell>
          <cell r="E140">
            <v>0</v>
          </cell>
          <cell r="F140">
            <v>1.56</v>
          </cell>
          <cell r="G140">
            <v>1.56</v>
          </cell>
          <cell r="H140">
            <v>1.56</v>
          </cell>
          <cell r="I140">
            <v>1</v>
          </cell>
          <cell r="J140" t="str">
            <v/>
          </cell>
          <cell r="K140" t="str">
            <v/>
          </cell>
          <cell r="L140" t="str">
            <v/>
          </cell>
          <cell r="M140" t="str">
            <v/>
          </cell>
          <cell r="N140" t="str">
            <v/>
          </cell>
          <cell r="O140" t="e">
            <v>#N/A</v>
          </cell>
        </row>
        <row r="141">
          <cell r="A141" t="str">
            <v>HB1001</v>
          </cell>
          <cell r="B141" t="str">
            <v>110高市債1</v>
          </cell>
          <cell r="C141" t="str">
            <v>TWD</v>
          </cell>
          <cell r="D141">
            <v>0.55000000000000004</v>
          </cell>
          <cell r="E141">
            <v>0.55000000000000004</v>
          </cell>
          <cell r="F141">
            <v>1.35</v>
          </cell>
          <cell r="G141">
            <v>1.35</v>
          </cell>
          <cell r="H141">
            <v>1.35</v>
          </cell>
          <cell r="I141">
            <v>4</v>
          </cell>
          <cell r="J141">
            <v>1.37</v>
          </cell>
          <cell r="K141">
            <v>1.37</v>
          </cell>
          <cell r="L141">
            <v>1.37</v>
          </cell>
          <cell r="M141">
            <v>1</v>
          </cell>
          <cell r="N141">
            <v>4</v>
          </cell>
          <cell r="O141" t="e">
            <v>#N/A</v>
          </cell>
        </row>
        <row r="142">
          <cell r="A142" t="str">
            <v>G10163</v>
          </cell>
          <cell r="B142" t="str">
            <v>P08上海1B</v>
          </cell>
          <cell r="C142" t="str">
            <v>TWD</v>
          </cell>
          <cell r="D142">
            <v>0.97</v>
          </cell>
          <cell r="E142">
            <v>0.98</v>
          </cell>
          <cell r="F142">
            <v>1.512</v>
          </cell>
          <cell r="G142">
            <v>1.512</v>
          </cell>
          <cell r="H142">
            <v>1.512</v>
          </cell>
          <cell r="I142">
            <v>3</v>
          </cell>
          <cell r="J142">
            <v>1.5149999999999999</v>
          </cell>
          <cell r="K142">
            <v>1.5149999999999999</v>
          </cell>
          <cell r="L142">
            <v>1.5149999999999999</v>
          </cell>
          <cell r="M142">
            <v>1</v>
          </cell>
          <cell r="N142">
            <v>3</v>
          </cell>
          <cell r="O142" t="e">
            <v>#N/A</v>
          </cell>
        </row>
        <row r="143">
          <cell r="A143" t="str">
            <v>B638BH</v>
          </cell>
          <cell r="B143" t="str">
            <v>P12聯電1</v>
          </cell>
          <cell r="C143" t="str">
            <v>TWD</v>
          </cell>
          <cell r="D143">
            <v>4.72</v>
          </cell>
          <cell r="E143">
            <v>4.95</v>
          </cell>
          <cell r="F143">
            <v>1.6359999999999999</v>
          </cell>
          <cell r="G143">
            <v>1.6359999999999999</v>
          </cell>
          <cell r="H143">
            <v>1.6359999999999999</v>
          </cell>
          <cell r="I143">
            <v>1</v>
          </cell>
          <cell r="J143">
            <v>1.635</v>
          </cell>
          <cell r="K143">
            <v>1.635</v>
          </cell>
          <cell r="L143">
            <v>1.635</v>
          </cell>
          <cell r="M143">
            <v>1</v>
          </cell>
          <cell r="N143">
            <v>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6"/>
    </sheetNames>
    <sheetDataSet>
      <sheetData sheetId="0">
        <row r="5">
          <cell r="A5" t="str">
            <v>A08107</v>
          </cell>
          <cell r="B5" t="str">
            <v>108央債甲7</v>
          </cell>
          <cell r="C5">
            <v>0.76</v>
          </cell>
          <cell r="D5">
            <v>0.78</v>
          </cell>
          <cell r="E5">
            <v>99.670699999999997</v>
          </cell>
          <cell r="F5">
            <v>99.678200000000004</v>
          </cell>
          <cell r="G5">
            <v>99.674499999999995</v>
          </cell>
          <cell r="H5">
            <v>2.3E-3</v>
          </cell>
          <cell r="I5" t="str">
            <v>-</v>
          </cell>
          <cell r="J5">
            <v>0.93500000000000005</v>
          </cell>
          <cell r="K5">
            <v>0.92500000000000004</v>
          </cell>
          <cell r="L5">
            <v>0.93</v>
          </cell>
          <cell r="M5">
            <v>-1.5E-3</v>
          </cell>
          <cell r="N5">
            <v>0</v>
          </cell>
          <cell r="O5">
            <v>598046748</v>
          </cell>
          <cell r="P5">
            <v>6</v>
          </cell>
        </row>
        <row r="6">
          <cell r="A6" t="str">
            <v>A09104</v>
          </cell>
          <cell r="B6" t="str">
            <v>109央債甲4</v>
          </cell>
          <cell r="C6">
            <v>15.47</v>
          </cell>
          <cell r="D6">
            <v>16.420000000000002</v>
          </cell>
          <cell r="E6">
            <v>86.954899999999995</v>
          </cell>
          <cell r="F6">
            <v>86.954899999999995</v>
          </cell>
          <cell r="G6">
            <v>86.954899999999995</v>
          </cell>
          <cell r="H6">
            <v>-0.20069999999999999</v>
          </cell>
          <cell r="I6" t="str">
            <v>-</v>
          </cell>
          <cell r="J6">
            <v>1.395</v>
          </cell>
          <cell r="K6">
            <v>1.395</v>
          </cell>
          <cell r="L6">
            <v>1.395</v>
          </cell>
          <cell r="M6">
            <v>1.4999999999999999E-2</v>
          </cell>
          <cell r="N6">
            <v>0</v>
          </cell>
          <cell r="O6">
            <v>434774330</v>
          </cell>
          <cell r="P6">
            <v>5</v>
          </cell>
        </row>
        <row r="7">
          <cell r="A7" t="str">
            <v>A09112</v>
          </cell>
          <cell r="B7" t="str">
            <v>109央甲12</v>
          </cell>
          <cell r="C7">
            <v>2.13</v>
          </cell>
          <cell r="D7">
            <v>2.17</v>
          </cell>
          <cell r="E7">
            <v>97.975399999999993</v>
          </cell>
          <cell r="F7">
            <v>97.975399999999993</v>
          </cell>
          <cell r="G7">
            <v>97.975399999999993</v>
          </cell>
          <cell r="H7">
            <v>-5.8099999999999999E-2</v>
          </cell>
          <cell r="I7" t="str">
            <v>-</v>
          </cell>
          <cell r="J7">
            <v>1.08</v>
          </cell>
          <cell r="K7">
            <v>1.08</v>
          </cell>
          <cell r="L7">
            <v>1.08</v>
          </cell>
          <cell r="M7">
            <v>2.9000000000000001E-2</v>
          </cell>
          <cell r="N7">
            <v>0</v>
          </cell>
          <cell r="O7">
            <v>97975352</v>
          </cell>
          <cell r="P7">
            <v>1</v>
          </cell>
        </row>
        <row r="8">
          <cell r="A8" t="str">
            <v>A10108</v>
          </cell>
          <cell r="B8" t="str">
            <v>110央債甲8</v>
          </cell>
          <cell r="C8">
            <v>2.76</v>
          </cell>
          <cell r="D8">
            <v>2.81</v>
          </cell>
          <cell r="E8">
            <v>97.618799999999993</v>
          </cell>
          <cell r="F8">
            <v>97.624200000000002</v>
          </cell>
          <cell r="G8">
            <v>97.621499999999997</v>
          </cell>
          <cell r="H8">
            <v>-0.22720000000000001</v>
          </cell>
          <cell r="I8" t="str">
            <v>-</v>
          </cell>
          <cell r="J8">
            <v>1.1200000000000001</v>
          </cell>
          <cell r="K8">
            <v>1.1180000000000001</v>
          </cell>
          <cell r="L8">
            <v>1.119</v>
          </cell>
          <cell r="M8">
            <v>8.5000000000000006E-2</v>
          </cell>
          <cell r="N8">
            <v>0</v>
          </cell>
          <cell r="O8">
            <v>390486056</v>
          </cell>
          <cell r="P8">
            <v>4</v>
          </cell>
        </row>
        <row r="9">
          <cell r="A9" t="str">
            <v>A11102</v>
          </cell>
          <cell r="B9" t="str">
            <v>111央債甲2</v>
          </cell>
          <cell r="C9">
            <v>8.02</v>
          </cell>
          <cell r="D9">
            <v>8.36</v>
          </cell>
          <cell r="E9">
            <v>94.795299999999997</v>
          </cell>
          <cell r="F9">
            <v>94.802999999999997</v>
          </cell>
          <cell r="G9">
            <v>94.799199999999999</v>
          </cell>
          <cell r="H9">
            <v>-0.68869999999999998</v>
          </cell>
          <cell r="I9" t="str">
            <v>-</v>
          </cell>
          <cell r="J9">
            <v>1.286</v>
          </cell>
          <cell r="K9">
            <v>1.2849999999999999</v>
          </cell>
          <cell r="L9">
            <v>1.2855000000000001</v>
          </cell>
          <cell r="M9">
            <v>0.09</v>
          </cell>
          <cell r="N9">
            <v>0</v>
          </cell>
          <cell r="O9">
            <v>568794954</v>
          </cell>
          <cell r="P9">
            <v>6</v>
          </cell>
        </row>
        <row r="10">
          <cell r="A10" t="str">
            <v>A11105</v>
          </cell>
          <cell r="B10" t="str">
            <v>111央債甲5</v>
          </cell>
          <cell r="C10">
            <v>21.9</v>
          </cell>
          <cell r="D10">
            <v>28.62</v>
          </cell>
          <cell r="E10">
            <v>109.72280000000001</v>
          </cell>
          <cell r="F10">
            <v>109.72280000000001</v>
          </cell>
          <cell r="G10">
            <v>109.72280000000001</v>
          </cell>
          <cell r="H10">
            <v>-0.7177</v>
          </cell>
          <cell r="I10" t="str">
            <v>-</v>
          </cell>
          <cell r="J10">
            <v>1.575</v>
          </cell>
          <cell r="K10">
            <v>1.575</v>
          </cell>
          <cell r="L10">
            <v>1.575</v>
          </cell>
          <cell r="M10">
            <v>2.9499999999999998E-2</v>
          </cell>
          <cell r="N10">
            <v>0</v>
          </cell>
          <cell r="O10">
            <v>219445688</v>
          </cell>
          <cell r="P10">
            <v>2</v>
          </cell>
        </row>
        <row r="11">
          <cell r="A11" t="str">
            <v>A11107</v>
          </cell>
          <cell r="B11" t="str">
            <v>111央債甲7</v>
          </cell>
          <cell r="C11">
            <v>8.18</v>
          </cell>
          <cell r="D11">
            <v>8.73</v>
          </cell>
          <cell r="E11">
            <v>99.662400000000005</v>
          </cell>
          <cell r="F11">
            <v>99.670599999999993</v>
          </cell>
          <cell r="G11">
            <v>99.666499999999999</v>
          </cell>
          <cell r="H11">
            <v>-0.1883</v>
          </cell>
          <cell r="I11" t="str">
            <v>-</v>
          </cell>
          <cell r="J11">
            <v>1.2909999999999999</v>
          </cell>
          <cell r="K11">
            <v>1.29</v>
          </cell>
          <cell r="L11">
            <v>1.2905</v>
          </cell>
          <cell r="M11">
            <v>2.3E-2</v>
          </cell>
          <cell r="N11">
            <v>0</v>
          </cell>
          <cell r="O11">
            <v>199333052</v>
          </cell>
          <cell r="P11">
            <v>2</v>
          </cell>
        </row>
        <row r="12">
          <cell r="A12" t="str">
            <v>A11108</v>
          </cell>
          <cell r="B12" t="str">
            <v>111央債甲8</v>
          </cell>
          <cell r="C12">
            <v>3.83</v>
          </cell>
          <cell r="D12">
            <v>3.96</v>
          </cell>
          <cell r="E12">
            <v>100.1875</v>
          </cell>
          <cell r="F12">
            <v>100.1913</v>
          </cell>
          <cell r="G12">
            <v>100.18940000000001</v>
          </cell>
          <cell r="H12">
            <v>-0.34660000000000002</v>
          </cell>
          <cell r="I12" t="str">
            <v>-</v>
          </cell>
          <cell r="J12">
            <v>1.2010000000000001</v>
          </cell>
          <cell r="K12">
            <v>1.2</v>
          </cell>
          <cell r="L12">
            <v>1.2004999999999999</v>
          </cell>
          <cell r="M12">
            <v>0.09</v>
          </cell>
          <cell r="N12">
            <v>0</v>
          </cell>
          <cell r="O12">
            <v>400757580</v>
          </cell>
          <cell r="P12">
            <v>4</v>
          </cell>
        </row>
        <row r="13">
          <cell r="A13" t="str">
            <v>A11110</v>
          </cell>
          <cell r="B13" t="str">
            <v>111央甲10</v>
          </cell>
          <cell r="C13">
            <v>8.19</v>
          </cell>
          <cell r="D13">
            <v>9.0299999999999994</v>
          </cell>
          <cell r="E13">
            <v>103.8214</v>
          </cell>
          <cell r="F13">
            <v>103.89060000000001</v>
          </cell>
          <cell r="G13">
            <v>103.85599999999999</v>
          </cell>
          <cell r="H13">
            <v>-0.12740000000000001</v>
          </cell>
          <cell r="I13">
            <v>103.89060000000001</v>
          </cell>
          <cell r="J13">
            <v>1.298</v>
          </cell>
          <cell r="K13">
            <v>1.29</v>
          </cell>
          <cell r="L13">
            <v>1.294</v>
          </cell>
          <cell r="M13">
            <v>1.46E-2</v>
          </cell>
          <cell r="N13">
            <v>1.29</v>
          </cell>
          <cell r="O13">
            <v>519279883</v>
          </cell>
          <cell r="P13">
            <v>5</v>
          </cell>
        </row>
        <row r="14">
          <cell r="A14" t="str">
            <v>A11111</v>
          </cell>
          <cell r="B14" t="str">
            <v>111央甲11</v>
          </cell>
          <cell r="C14">
            <v>21.31</v>
          </cell>
          <cell r="D14">
            <v>29.1</v>
          </cell>
          <cell r="E14">
            <v>118.4208</v>
          </cell>
          <cell r="F14">
            <v>118.4208</v>
          </cell>
          <cell r="G14">
            <v>118.4208</v>
          </cell>
          <cell r="H14">
            <v>-1.165</v>
          </cell>
          <cell r="I14" t="str">
            <v>-</v>
          </cell>
          <cell r="J14">
            <v>1.58</v>
          </cell>
          <cell r="K14">
            <v>1.58</v>
          </cell>
          <cell r="L14">
            <v>1.58</v>
          </cell>
          <cell r="M14">
            <v>4.4999999999999998E-2</v>
          </cell>
          <cell r="N14">
            <v>0</v>
          </cell>
          <cell r="O14">
            <v>118420796</v>
          </cell>
          <cell r="P14">
            <v>1</v>
          </cell>
        </row>
        <row r="15">
          <cell r="A15" t="str">
            <v>A12106</v>
          </cell>
          <cell r="B15" t="str">
            <v>112央債甲6</v>
          </cell>
          <cell r="C15">
            <v>4.47</v>
          </cell>
          <cell r="D15">
            <v>4.63</v>
          </cell>
          <cell r="E15">
            <v>99.011600000000001</v>
          </cell>
          <cell r="F15">
            <v>99.016099999999994</v>
          </cell>
          <cell r="G15">
            <v>99.013800000000003</v>
          </cell>
          <cell r="H15">
            <v>-0.13550000000000001</v>
          </cell>
          <cell r="I15" t="str">
            <v>-</v>
          </cell>
          <cell r="J15">
            <v>1.2210000000000001</v>
          </cell>
          <cell r="K15">
            <v>1.22</v>
          </cell>
          <cell r="L15">
            <v>1.2204999999999999</v>
          </cell>
          <cell r="M15">
            <v>3.0599999999999999E-2</v>
          </cell>
          <cell r="N15">
            <v>0</v>
          </cell>
          <cell r="O15">
            <v>891124506</v>
          </cell>
          <cell r="P15">
            <v>9</v>
          </cell>
        </row>
        <row r="16">
          <cell r="A16" t="str">
            <v>A12108</v>
          </cell>
          <cell r="B16" t="str">
            <v>112央債甲8</v>
          </cell>
          <cell r="C16">
            <v>4.76</v>
          </cell>
          <cell r="D16">
            <v>4.9400000000000004</v>
          </cell>
          <cell r="E16">
            <v>99.543300000000002</v>
          </cell>
          <cell r="F16">
            <v>99.638099999999994</v>
          </cell>
          <cell r="G16">
            <v>99.559399999999997</v>
          </cell>
          <cell r="H16">
            <v>-0.24959999999999999</v>
          </cell>
          <cell r="I16" t="str">
            <v>-</v>
          </cell>
          <cell r="J16">
            <v>1.2210000000000001</v>
          </cell>
          <cell r="K16">
            <v>1.2010000000000001</v>
          </cell>
          <cell r="L16">
            <v>1.2176</v>
          </cell>
          <cell r="M16">
            <v>5.2600000000000001E-2</v>
          </cell>
          <cell r="N16">
            <v>0</v>
          </cell>
          <cell r="O16">
            <v>1393826106</v>
          </cell>
          <cell r="P16">
            <v>14</v>
          </cell>
        </row>
        <row r="17">
          <cell r="A17" t="str">
            <v>A12110</v>
          </cell>
          <cell r="B17" t="str">
            <v>112央甲10</v>
          </cell>
          <cell r="C17">
            <v>9.32</v>
          </cell>
          <cell r="D17">
            <v>9.99</v>
          </cell>
          <cell r="E17">
            <v>99.488299999999995</v>
          </cell>
          <cell r="F17">
            <v>99.534700000000001</v>
          </cell>
          <cell r="G17">
            <v>99.511499999999998</v>
          </cell>
          <cell r="H17">
            <v>-0.1159</v>
          </cell>
          <cell r="I17">
            <v>99.534700000000001</v>
          </cell>
          <cell r="J17">
            <v>1.3049999999999999</v>
          </cell>
          <cell r="K17">
            <v>1.3</v>
          </cell>
          <cell r="L17">
            <v>1.3025</v>
          </cell>
          <cell r="M17">
            <v>1.2500000000000001E-2</v>
          </cell>
          <cell r="N17">
            <v>1.3</v>
          </cell>
          <cell r="O17">
            <v>298534374</v>
          </cell>
          <cell r="P17">
            <v>3</v>
          </cell>
        </row>
        <row r="18">
          <cell r="A18" t="str">
            <v>A12110R</v>
          </cell>
          <cell r="B18" t="str">
            <v>112央甲10</v>
          </cell>
          <cell r="C18">
            <v>9.16</v>
          </cell>
          <cell r="D18">
            <v>9.99</v>
          </cell>
          <cell r="E18">
            <v>99.403899999999993</v>
          </cell>
          <cell r="F18">
            <v>99.55</v>
          </cell>
          <cell r="G18">
            <v>99.465100000000007</v>
          </cell>
          <cell r="H18">
            <v>-0.2404</v>
          </cell>
          <cell r="I18">
            <v>99.404799999999994</v>
          </cell>
          <cell r="J18">
            <v>1.3149999999999999</v>
          </cell>
          <cell r="K18">
            <v>1.2989999999999999</v>
          </cell>
          <cell r="L18">
            <v>1.3083</v>
          </cell>
          <cell r="M18">
            <v>2.63E-2</v>
          </cell>
          <cell r="N18">
            <v>1.3140000000000001</v>
          </cell>
          <cell r="O18">
            <v>1050000000</v>
          </cell>
          <cell r="P18">
            <v>10.5</v>
          </cell>
        </row>
        <row r="19">
          <cell r="A19" t="str">
            <v>A99107</v>
          </cell>
          <cell r="B19" t="str">
            <v>99央債甲7</v>
          </cell>
          <cell r="C19">
            <v>6.41</v>
          </cell>
          <cell r="D19">
            <v>6.85</v>
          </cell>
          <cell r="E19">
            <v>103.18089999999999</v>
          </cell>
          <cell r="F19">
            <v>103.1875</v>
          </cell>
          <cell r="G19">
            <v>103.1842</v>
          </cell>
          <cell r="H19">
            <v>-0.80089999999999995</v>
          </cell>
          <cell r="I19" t="str">
            <v>-</v>
          </cell>
          <cell r="J19">
            <v>1.2609999999999999</v>
          </cell>
          <cell r="K19">
            <v>1.26</v>
          </cell>
          <cell r="L19">
            <v>1.2605</v>
          </cell>
          <cell r="M19">
            <v>0.12</v>
          </cell>
          <cell r="N19">
            <v>0</v>
          </cell>
          <cell r="O19">
            <v>825473632</v>
          </cell>
          <cell r="P19">
            <v>8</v>
          </cell>
        </row>
        <row r="20">
          <cell r="A20" t="str">
            <v>合計 Total</v>
          </cell>
          <cell r="B20">
            <v>0</v>
          </cell>
          <cell r="C20">
            <v>0</v>
          </cell>
          <cell r="D20">
            <v>0</v>
          </cell>
          <cell r="E20">
            <v>0</v>
          </cell>
          <cell r="F20">
            <v>0</v>
          </cell>
          <cell r="G20">
            <v>0</v>
          </cell>
          <cell r="H20">
            <v>0</v>
          </cell>
          <cell r="I20">
            <v>0</v>
          </cell>
          <cell r="J20">
            <v>0</v>
          </cell>
          <cell r="K20">
            <v>0</v>
          </cell>
          <cell r="L20">
            <v>0</v>
          </cell>
          <cell r="M20">
            <v>0</v>
          </cell>
          <cell r="N20">
            <v>0</v>
          </cell>
          <cell r="O20">
            <v>8006273057</v>
          </cell>
          <cell r="P20">
            <v>80.5</v>
          </cell>
        </row>
        <row r="21">
          <cell r="A21" t="str">
            <v>註 Remark  ：</v>
          </cell>
          <cell r="B21">
            <v>0</v>
          </cell>
          <cell r="C21" t="str">
            <v xml:space="preserve">1.平均殖利率係指當日有成交紀錄之加權平均殖利率 Average yield is the volume-weighted yield of day tradings. </v>
          </cell>
          <cell r="D21">
            <v>0</v>
          </cell>
          <cell r="E21">
            <v>0</v>
          </cell>
          <cell r="F21">
            <v>0</v>
          </cell>
          <cell r="G21">
            <v>0</v>
          </cell>
          <cell r="H21">
            <v>0</v>
          </cell>
          <cell r="I21">
            <v>0</v>
          </cell>
          <cell r="J21">
            <v>0</v>
          </cell>
          <cell r="K21">
            <v>0</v>
          </cell>
          <cell r="L21">
            <v>0</v>
          </cell>
          <cell r="M21">
            <v>0</v>
          </cell>
          <cell r="N21">
            <v>0</v>
          </cell>
          <cell r="O21">
            <v>0</v>
          </cell>
          <cell r="P21">
            <v>0</v>
          </cell>
        </row>
        <row r="22">
          <cell r="A22">
            <v>0</v>
          </cell>
          <cell r="B22">
            <v>0</v>
          </cell>
          <cell r="C22" t="str">
            <v>2.平均百元價係指前項平均殖利率相對應的百元價格 Average price is the price derived from previous mentioned average yield.</v>
          </cell>
          <cell r="D22">
            <v>0</v>
          </cell>
          <cell r="E22">
            <v>0</v>
          </cell>
          <cell r="F22">
            <v>0</v>
          </cell>
          <cell r="G22">
            <v>0</v>
          </cell>
          <cell r="H22">
            <v>0</v>
          </cell>
          <cell r="I22">
            <v>0</v>
          </cell>
          <cell r="J22">
            <v>0</v>
          </cell>
          <cell r="K22">
            <v>0</v>
          </cell>
          <cell r="L22">
            <v>0</v>
          </cell>
          <cell r="M22">
            <v>0</v>
          </cell>
          <cell r="N22">
            <v>0</v>
          </cell>
          <cell r="O22">
            <v>0</v>
          </cell>
          <cell r="P22">
            <v>0</v>
          </cell>
        </row>
        <row r="23">
          <cell r="B23">
            <v>0</v>
          </cell>
          <cell r="C23" t="str">
            <v>3.本表包含公開報價、非公開報價及比對系統之成交資料。This table contains public quotation, non-public quotation and transaction data of the comparison system.</v>
          </cell>
        </row>
        <row r="24">
          <cell r="B24">
            <v>0</v>
          </cell>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8"/>
    </sheetNames>
    <sheetDataSet>
      <sheetData sheetId="0">
        <row r="5">
          <cell r="A5" t="str">
            <v>A01104</v>
          </cell>
          <cell r="B5" t="str">
            <v>101央債甲4</v>
          </cell>
          <cell r="C5">
            <v>15.56</v>
          </cell>
          <cell r="D5">
            <v>18.37</v>
          </cell>
          <cell r="E5">
            <v>105.5723</v>
          </cell>
          <cell r="F5">
            <v>105.5889</v>
          </cell>
          <cell r="G5">
            <v>105.5806</v>
          </cell>
          <cell r="H5">
            <v>-1.0362</v>
          </cell>
          <cell r="I5" t="str">
            <v>-</v>
          </cell>
          <cell r="J5">
            <v>1.4035</v>
          </cell>
          <cell r="K5">
            <v>1.4025000000000001</v>
          </cell>
          <cell r="L5">
            <v>1.403</v>
          </cell>
          <cell r="M5">
            <v>6.2E-2</v>
          </cell>
          <cell r="N5">
            <v>0</v>
          </cell>
          <cell r="O5">
            <v>633483648</v>
          </cell>
          <cell r="P5">
            <v>6</v>
          </cell>
        </row>
        <row r="6">
          <cell r="A6" t="str">
            <v>A11109</v>
          </cell>
          <cell r="B6" t="str">
            <v>111央債甲9</v>
          </cell>
          <cell r="C6">
            <v>16.05</v>
          </cell>
          <cell r="D6">
            <v>19</v>
          </cell>
          <cell r="E6">
            <v>107.7435</v>
          </cell>
          <cell r="F6">
            <v>107.7435</v>
          </cell>
          <cell r="G6">
            <v>107.7435</v>
          </cell>
          <cell r="H6">
            <v>5.0900000000000001E-2</v>
          </cell>
          <cell r="I6" t="str">
            <v>-</v>
          </cell>
          <cell r="J6">
            <v>1.4075</v>
          </cell>
          <cell r="K6">
            <v>1.4075</v>
          </cell>
          <cell r="L6">
            <v>1.4075</v>
          </cell>
          <cell r="M6">
            <v>-3.0000000000000001E-3</v>
          </cell>
          <cell r="N6">
            <v>0</v>
          </cell>
          <cell r="O6">
            <v>53871745</v>
          </cell>
          <cell r="P6">
            <v>0.5</v>
          </cell>
        </row>
        <row r="7">
          <cell r="A7" t="str">
            <v>A11110</v>
          </cell>
          <cell r="B7" t="str">
            <v>111央甲10</v>
          </cell>
          <cell r="C7">
            <v>8.2200000000000006</v>
          </cell>
          <cell r="D7">
            <v>9.0500000000000007</v>
          </cell>
          <cell r="E7">
            <v>104.3262</v>
          </cell>
          <cell r="F7">
            <v>104.3349</v>
          </cell>
          <cell r="G7">
            <v>104.3305</v>
          </cell>
          <cell r="H7">
            <v>-9.2799999999999994E-2</v>
          </cell>
          <cell r="I7" t="str">
            <v>-</v>
          </cell>
          <cell r="J7">
            <v>1.2410000000000001</v>
          </cell>
          <cell r="K7">
            <v>1.24</v>
          </cell>
          <cell r="L7">
            <v>1.2404999999999999</v>
          </cell>
          <cell r="M7">
            <v>1.0500000000000001E-2</v>
          </cell>
          <cell r="N7">
            <v>0</v>
          </cell>
          <cell r="O7">
            <v>417322136</v>
          </cell>
          <cell r="P7">
            <v>4</v>
          </cell>
        </row>
        <row r="8">
          <cell r="A8" t="str">
            <v>A11111</v>
          </cell>
          <cell r="B8" t="str">
            <v>111央甲11</v>
          </cell>
          <cell r="C8">
            <v>21.39</v>
          </cell>
          <cell r="D8">
            <v>29.12</v>
          </cell>
          <cell r="E8">
            <v>119.5712</v>
          </cell>
          <cell r="F8">
            <v>119.6232</v>
          </cell>
          <cell r="G8">
            <v>119.5972</v>
          </cell>
          <cell r="H8">
            <v>0.1807</v>
          </cell>
          <cell r="I8" t="str">
            <v>-</v>
          </cell>
          <cell r="J8">
            <v>1.536</v>
          </cell>
          <cell r="K8">
            <v>1.534</v>
          </cell>
          <cell r="L8">
            <v>1.5349999999999999</v>
          </cell>
          <cell r="M8">
            <v>-7.0000000000000001E-3</v>
          </cell>
          <cell r="N8">
            <v>0</v>
          </cell>
          <cell r="O8">
            <v>1793957800</v>
          </cell>
          <cell r="P8">
            <v>15</v>
          </cell>
        </row>
        <row r="9">
          <cell r="A9" t="str">
            <v>A12101</v>
          </cell>
          <cell r="B9" t="str">
            <v>112央債甲1</v>
          </cell>
          <cell r="C9">
            <v>4.1399999999999997</v>
          </cell>
          <cell r="D9">
            <v>4.3</v>
          </cell>
          <cell r="E9">
            <v>99.320499999999996</v>
          </cell>
          <cell r="F9">
            <v>99.324600000000004</v>
          </cell>
          <cell r="G9">
            <v>99.322500000000005</v>
          </cell>
          <cell r="H9">
            <v>-3.49E-2</v>
          </cell>
          <cell r="I9" t="str">
            <v>-</v>
          </cell>
          <cell r="J9">
            <v>1.163</v>
          </cell>
          <cell r="K9">
            <v>1.1619999999999999</v>
          </cell>
          <cell r="L9">
            <v>1.1625000000000001</v>
          </cell>
          <cell r="M9">
            <v>8.5000000000000006E-3</v>
          </cell>
          <cell r="N9">
            <v>0</v>
          </cell>
          <cell r="O9">
            <v>99322544</v>
          </cell>
          <cell r="P9">
            <v>1</v>
          </cell>
        </row>
        <row r="10">
          <cell r="A10" t="str">
            <v>A12102</v>
          </cell>
          <cell r="B10" t="str">
            <v>112央債甲2</v>
          </cell>
          <cell r="C10">
            <v>8.7799999999999994</v>
          </cell>
          <cell r="D10">
            <v>9.39</v>
          </cell>
          <cell r="E10">
            <v>98.933899999999994</v>
          </cell>
          <cell r="F10">
            <v>98.942700000000002</v>
          </cell>
          <cell r="G10">
            <v>98.938299999999998</v>
          </cell>
          <cell r="H10">
            <v>-7.4099999999999999E-2</v>
          </cell>
          <cell r="I10" t="str">
            <v>-</v>
          </cell>
          <cell r="J10">
            <v>1.246</v>
          </cell>
          <cell r="K10">
            <v>1.2450000000000001</v>
          </cell>
          <cell r="L10">
            <v>1.2455000000000001</v>
          </cell>
          <cell r="M10">
            <v>8.5000000000000006E-3</v>
          </cell>
          <cell r="N10">
            <v>0</v>
          </cell>
          <cell r="O10">
            <v>593629884</v>
          </cell>
          <cell r="P10">
            <v>6</v>
          </cell>
        </row>
        <row r="11">
          <cell r="A11" t="str">
            <v>A12107</v>
          </cell>
          <cell r="B11" t="str">
            <v>112央債甲7</v>
          </cell>
          <cell r="C11">
            <v>9.08</v>
          </cell>
          <cell r="D11">
            <v>9.69</v>
          </cell>
          <cell r="E11">
            <v>98.892200000000003</v>
          </cell>
          <cell r="F11">
            <v>98.892200000000003</v>
          </cell>
          <cell r="G11">
            <v>98.892200000000003</v>
          </cell>
          <cell r="H11">
            <v>-5.6500000000000002E-2</v>
          </cell>
          <cell r="I11" t="str">
            <v>-</v>
          </cell>
          <cell r="J11">
            <v>1.2470000000000001</v>
          </cell>
          <cell r="K11">
            <v>1.2470000000000001</v>
          </cell>
          <cell r="L11">
            <v>1.2470000000000001</v>
          </cell>
          <cell r="M11">
            <v>6.3E-3</v>
          </cell>
          <cell r="N11">
            <v>0</v>
          </cell>
          <cell r="O11">
            <v>98892170</v>
          </cell>
          <cell r="P11">
            <v>1</v>
          </cell>
        </row>
        <row r="12">
          <cell r="A12" t="str">
            <v>A12110R</v>
          </cell>
          <cell r="B12" t="str">
            <v>112央甲10</v>
          </cell>
          <cell r="C12">
            <v>9.2100000000000009</v>
          </cell>
          <cell r="D12">
            <v>10</v>
          </cell>
          <cell r="E12">
            <v>98.851200000000006</v>
          </cell>
          <cell r="F12">
            <v>98.896799999999999</v>
          </cell>
          <cell r="G12">
            <v>98.859399999999994</v>
          </cell>
          <cell r="H12">
            <v>-8.3000000000000004E-2</v>
          </cell>
          <cell r="I12">
            <v>98.831800000000001</v>
          </cell>
          <cell r="J12">
            <v>1.25</v>
          </cell>
          <cell r="K12">
            <v>1.2450000000000001</v>
          </cell>
          <cell r="L12">
            <v>1.2491000000000001</v>
          </cell>
          <cell r="M12">
            <v>9.1000000000000004E-3</v>
          </cell>
          <cell r="N12">
            <v>1.25</v>
          </cell>
          <cell r="O12">
            <v>550000000</v>
          </cell>
          <cell r="P12">
            <v>5.5</v>
          </cell>
        </row>
        <row r="13">
          <cell r="A13" t="str">
            <v>A99109</v>
          </cell>
          <cell r="B13" t="str">
            <v>99央債甲9</v>
          </cell>
          <cell r="C13">
            <v>14.37</v>
          </cell>
          <cell r="D13">
            <v>17.25</v>
          </cell>
          <cell r="E13">
            <v>111.3395</v>
          </cell>
          <cell r="F13">
            <v>111.3558</v>
          </cell>
          <cell r="G13">
            <v>111.346</v>
          </cell>
          <cell r="H13">
            <v>-0.49959999999999999</v>
          </cell>
          <cell r="I13" t="str">
            <v>-</v>
          </cell>
          <cell r="J13">
            <v>1.381</v>
          </cell>
          <cell r="K13">
            <v>1.38</v>
          </cell>
          <cell r="L13">
            <v>1.3806</v>
          </cell>
          <cell r="M13">
            <v>3.0599999999999999E-2</v>
          </cell>
          <cell r="N13">
            <v>0</v>
          </cell>
          <cell r="O13">
            <v>334034864</v>
          </cell>
          <cell r="P13">
            <v>3</v>
          </cell>
        </row>
        <row r="14">
          <cell r="A14" t="str">
            <v>G102B2</v>
          </cell>
          <cell r="B14" t="str">
            <v>P09玉銀2</v>
          </cell>
          <cell r="C14">
            <v>1.43</v>
          </cell>
          <cell r="D14">
            <v>1.47</v>
          </cell>
          <cell r="E14">
            <v>98.652600000000007</v>
          </cell>
          <cell r="F14">
            <v>98.652600000000007</v>
          </cell>
          <cell r="G14">
            <v>98.652600000000007</v>
          </cell>
          <cell r="H14">
            <v>-1.4908999999999999</v>
          </cell>
          <cell r="I14" t="str">
            <v>-</v>
          </cell>
          <cell r="J14">
            <v>1.52</v>
          </cell>
          <cell r="K14">
            <v>1.52</v>
          </cell>
          <cell r="L14">
            <v>1.52</v>
          </cell>
          <cell r="M14">
            <v>1.0389999999999999</v>
          </cell>
          <cell r="N14">
            <v>0</v>
          </cell>
          <cell r="O14">
            <v>197305256</v>
          </cell>
          <cell r="P14">
            <v>2</v>
          </cell>
        </row>
        <row r="15">
          <cell r="A15" t="str">
            <v>G13109</v>
          </cell>
          <cell r="B15" t="str">
            <v>P09農金庫4</v>
          </cell>
          <cell r="C15">
            <v>1.1100000000000001</v>
          </cell>
          <cell r="D15">
            <v>1.1399999999999999</v>
          </cell>
          <cell r="E15">
            <v>98.7637</v>
          </cell>
          <cell r="F15">
            <v>98.7637</v>
          </cell>
          <cell r="G15">
            <v>98.7637</v>
          </cell>
          <cell r="H15">
            <v>-1.2362</v>
          </cell>
          <cell r="I15" t="str">
            <v>-</v>
          </cell>
          <cell r="J15">
            <v>1.52</v>
          </cell>
          <cell r="K15">
            <v>1.52</v>
          </cell>
          <cell r="L15">
            <v>1.52</v>
          </cell>
          <cell r="M15">
            <v>1.1100000000000001</v>
          </cell>
          <cell r="N15">
            <v>0</v>
          </cell>
          <cell r="O15">
            <v>395054808</v>
          </cell>
          <cell r="P15">
            <v>4</v>
          </cell>
        </row>
        <row r="16">
          <cell r="A16" t="str">
            <v>G13316</v>
          </cell>
          <cell r="B16" t="str">
            <v>P08匯豐銀1</v>
          </cell>
          <cell r="C16">
            <v>0.72</v>
          </cell>
          <cell r="D16">
            <v>0.74</v>
          </cell>
          <cell r="E16">
            <v>99.491299999999995</v>
          </cell>
          <cell r="F16">
            <v>99.492699999999999</v>
          </cell>
          <cell r="G16">
            <v>99.492000000000004</v>
          </cell>
          <cell r="H16">
            <v>8.3999999999999995E-3</v>
          </cell>
          <cell r="I16" t="str">
            <v>-</v>
          </cell>
          <cell r="J16">
            <v>1.452</v>
          </cell>
          <cell r="K16">
            <v>1.45</v>
          </cell>
          <cell r="L16">
            <v>1.4510000000000001</v>
          </cell>
          <cell r="M16">
            <v>-8.9999999999999993E-3</v>
          </cell>
          <cell r="N16">
            <v>0</v>
          </cell>
          <cell r="O16">
            <v>1193904096</v>
          </cell>
          <cell r="P16">
            <v>12</v>
          </cell>
        </row>
        <row r="17">
          <cell r="A17" t="str">
            <v>合計 Total</v>
          </cell>
          <cell r="B17">
            <v>0</v>
          </cell>
          <cell r="C17">
            <v>0</v>
          </cell>
          <cell r="D17">
            <v>0</v>
          </cell>
          <cell r="E17">
            <v>0</v>
          </cell>
          <cell r="F17">
            <v>0</v>
          </cell>
          <cell r="G17">
            <v>0</v>
          </cell>
          <cell r="H17">
            <v>0</v>
          </cell>
          <cell r="I17">
            <v>0</v>
          </cell>
          <cell r="J17">
            <v>0</v>
          </cell>
          <cell r="K17">
            <v>0</v>
          </cell>
          <cell r="L17">
            <v>0</v>
          </cell>
          <cell r="M17">
            <v>0</v>
          </cell>
          <cell r="N17">
            <v>0</v>
          </cell>
          <cell r="O17">
            <v>6360778951</v>
          </cell>
          <cell r="P17">
            <v>60</v>
          </cell>
        </row>
        <row r="18">
          <cell r="A18" t="str">
            <v>註 Remark  ：</v>
          </cell>
          <cell r="B18">
            <v>0</v>
          </cell>
          <cell r="C18" t="str">
            <v xml:space="preserve">1.平均殖利率係指當日有成交紀錄之加權平均殖利率 Average yield is the volume-weighted yield of day tradings. </v>
          </cell>
          <cell r="D18">
            <v>0</v>
          </cell>
          <cell r="E18">
            <v>0</v>
          </cell>
          <cell r="F18">
            <v>0</v>
          </cell>
          <cell r="G18">
            <v>0</v>
          </cell>
          <cell r="H18">
            <v>0</v>
          </cell>
          <cell r="I18">
            <v>0</v>
          </cell>
          <cell r="J18">
            <v>0</v>
          </cell>
          <cell r="K18">
            <v>0</v>
          </cell>
          <cell r="L18">
            <v>0</v>
          </cell>
          <cell r="M18">
            <v>0</v>
          </cell>
          <cell r="N18">
            <v>0</v>
          </cell>
          <cell r="O18">
            <v>0</v>
          </cell>
          <cell r="P18">
            <v>0</v>
          </cell>
        </row>
        <row r="19">
          <cell r="A19">
            <v>0</v>
          </cell>
          <cell r="B19">
            <v>0</v>
          </cell>
          <cell r="C19" t="str">
            <v>2.平均百元價係指前項平均殖利率相對應的百元價格 Average price is the price derived from previous mentioned average yield.</v>
          </cell>
          <cell r="D19">
            <v>0</v>
          </cell>
          <cell r="E19">
            <v>0</v>
          </cell>
          <cell r="F19">
            <v>0</v>
          </cell>
          <cell r="G19">
            <v>0</v>
          </cell>
          <cell r="H19">
            <v>0</v>
          </cell>
          <cell r="I19">
            <v>0</v>
          </cell>
          <cell r="J19">
            <v>0</v>
          </cell>
          <cell r="K19">
            <v>0</v>
          </cell>
          <cell r="L19">
            <v>0</v>
          </cell>
          <cell r="M19">
            <v>0</v>
          </cell>
          <cell r="N19">
            <v>0</v>
          </cell>
          <cell r="O19">
            <v>0</v>
          </cell>
          <cell r="P19">
            <v>0</v>
          </cell>
        </row>
        <row r="20">
          <cell r="B20">
            <v>0</v>
          </cell>
          <cell r="C20" t="str">
            <v>3.本表包含公開報價、非公開報價及比對系統之成交資料。This table contains public quotation, non-public quotation and transaction data of the comparison system.</v>
          </cell>
        </row>
        <row r="21">
          <cell r="B21">
            <v>0</v>
          </cell>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B14">
            <v>0</v>
          </cell>
          <cell r="C14">
            <v>0</v>
          </cell>
          <cell r="D14">
            <v>0</v>
          </cell>
          <cell r="E14">
            <v>0</v>
          </cell>
          <cell r="F14">
            <v>0</v>
          </cell>
          <cell r="G14">
            <v>0</v>
          </cell>
          <cell r="H14">
            <v>0</v>
          </cell>
          <cell r="I14">
            <v>0</v>
          </cell>
          <cell r="J14">
            <v>0</v>
          </cell>
          <cell r="K14">
            <v>0</v>
          </cell>
          <cell r="L14">
            <v>0</v>
          </cell>
          <cell r="M14">
            <v>0</v>
          </cell>
          <cell r="N14">
            <v>0</v>
          </cell>
          <cell r="O14">
            <v>2213024313</v>
          </cell>
          <cell r="P14">
            <v>22.5</v>
          </cell>
        </row>
        <row r="15">
          <cell r="A15" t="str">
            <v>註 Remark  ：</v>
          </cell>
          <cell r="B15">
            <v>0</v>
          </cell>
          <cell r="C15" t="str">
            <v xml:space="preserve">1.平均殖利率係指當日有成交紀錄之加權平均殖利率 Average yield is the volume-weighted yield of day tradings. </v>
          </cell>
          <cell r="D15">
            <v>0</v>
          </cell>
          <cell r="E15">
            <v>0</v>
          </cell>
          <cell r="F15">
            <v>0</v>
          </cell>
          <cell r="G15">
            <v>0</v>
          </cell>
          <cell r="H15">
            <v>0</v>
          </cell>
          <cell r="I15">
            <v>0</v>
          </cell>
          <cell r="J15">
            <v>0</v>
          </cell>
          <cell r="K15">
            <v>0</v>
          </cell>
          <cell r="L15">
            <v>0</v>
          </cell>
          <cell r="M15">
            <v>0</v>
          </cell>
          <cell r="N15">
            <v>0</v>
          </cell>
          <cell r="O15">
            <v>0</v>
          </cell>
          <cell r="P15">
            <v>0</v>
          </cell>
        </row>
        <row r="16">
          <cell r="A16">
            <v>0</v>
          </cell>
          <cell r="B16">
            <v>0</v>
          </cell>
          <cell r="C16" t="str">
            <v>2.平均百元價係指前項平均殖利率相對應的百元價格 Average price is the price derived from previous mentioned average yield.</v>
          </cell>
          <cell r="D16">
            <v>0</v>
          </cell>
          <cell r="E16">
            <v>0</v>
          </cell>
          <cell r="F16">
            <v>0</v>
          </cell>
          <cell r="G16">
            <v>0</v>
          </cell>
          <cell r="H16">
            <v>0</v>
          </cell>
          <cell r="I16">
            <v>0</v>
          </cell>
          <cell r="J16">
            <v>0</v>
          </cell>
          <cell r="K16">
            <v>0</v>
          </cell>
          <cell r="L16">
            <v>0</v>
          </cell>
          <cell r="M16">
            <v>0</v>
          </cell>
          <cell r="N16">
            <v>0</v>
          </cell>
          <cell r="O16">
            <v>0</v>
          </cell>
          <cell r="P16">
            <v>0</v>
          </cell>
        </row>
        <row r="17">
          <cell r="B17">
            <v>0</v>
          </cell>
          <cell r="C17" t="str">
            <v>3.本表包含公開報價、非公開報價及比對系統之成交資料。This table contains public quotation, non-public quotation and transaction data of the comparison system.</v>
          </cell>
        </row>
        <row r="18">
          <cell r="B18">
            <v>0</v>
          </cell>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3"/>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0.90100000000000002</v>
          </cell>
        </row>
        <row r="5">
          <cell r="A5" t="str">
            <v>A08101</v>
          </cell>
          <cell r="B5" t="str">
            <v>113/01/14</v>
          </cell>
          <cell r="C5">
            <v>0.625</v>
          </cell>
          <cell r="D5">
            <v>0.24</v>
          </cell>
          <cell r="E5">
            <v>0.25</v>
          </cell>
          <cell r="F5">
            <v>0.89500000000000002</v>
          </cell>
          <cell r="G5">
            <v>0.89500000000000002</v>
          </cell>
          <cell r="H5">
            <v>0.89500000000000002</v>
          </cell>
          <cell r="I5">
            <v>4</v>
          </cell>
          <cell r="J5">
            <v>0.90500000000000003</v>
          </cell>
          <cell r="K5">
            <v>0.90500000000000003</v>
          </cell>
          <cell r="L5">
            <v>0.90500000000000003</v>
          </cell>
          <cell r="M5">
            <v>2</v>
          </cell>
          <cell r="N5">
            <v>4</v>
          </cell>
          <cell r="O5">
            <v>0.90100000000000002</v>
          </cell>
        </row>
        <row r="6">
          <cell r="A6" t="str">
            <v>A93103</v>
          </cell>
          <cell r="B6" t="str">
            <v>113/02/10</v>
          </cell>
          <cell r="C6">
            <v>3</v>
          </cell>
          <cell r="D6">
            <v>0.32</v>
          </cell>
          <cell r="E6">
            <v>0.32</v>
          </cell>
          <cell r="F6" t="str">
            <v/>
          </cell>
          <cell r="G6" t="str">
            <v/>
          </cell>
          <cell r="H6" t="str">
            <v/>
          </cell>
          <cell r="I6" t="str">
            <v/>
          </cell>
          <cell r="J6" t="str">
            <v/>
          </cell>
          <cell r="K6" t="str">
            <v/>
          </cell>
          <cell r="L6" t="str">
            <v/>
          </cell>
          <cell r="M6" t="str">
            <v/>
          </cell>
          <cell r="N6" t="str">
            <v/>
          </cell>
          <cell r="O6">
            <v>0.90580000000000005</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0.91020000000000001</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0.91639999999999999</v>
          </cell>
        </row>
        <row r="9">
          <cell r="A9" t="str">
            <v>A08107</v>
          </cell>
          <cell r="B9" t="str">
            <v>113/07/17</v>
          </cell>
          <cell r="C9">
            <v>0.5</v>
          </cell>
          <cell r="D9">
            <v>0.74</v>
          </cell>
          <cell r="E9">
            <v>0.76</v>
          </cell>
          <cell r="F9" t="str">
            <v/>
          </cell>
          <cell r="G9" t="str">
            <v/>
          </cell>
          <cell r="H9" t="str">
            <v/>
          </cell>
          <cell r="I9" t="str">
            <v/>
          </cell>
          <cell r="J9" t="str">
            <v/>
          </cell>
          <cell r="K9" t="str">
            <v/>
          </cell>
          <cell r="L9" t="str">
            <v/>
          </cell>
          <cell r="M9" t="str">
            <v/>
          </cell>
          <cell r="N9" t="str">
            <v/>
          </cell>
          <cell r="O9">
            <v>0.94230000000000003</v>
          </cell>
        </row>
        <row r="10">
          <cell r="A10" t="str">
            <v>A03113</v>
          </cell>
          <cell r="B10" t="str">
            <v>113/09/26</v>
          </cell>
          <cell r="C10">
            <v>1.625</v>
          </cell>
          <cell r="D10">
            <v>0.93</v>
          </cell>
          <cell r="E10">
            <v>0.95</v>
          </cell>
          <cell r="F10" t="str">
            <v/>
          </cell>
          <cell r="G10" t="str">
            <v/>
          </cell>
          <cell r="H10" t="str">
            <v/>
          </cell>
          <cell r="I10" t="str">
            <v/>
          </cell>
          <cell r="J10" t="str">
            <v/>
          </cell>
          <cell r="K10" t="str">
            <v/>
          </cell>
          <cell r="L10" t="str">
            <v/>
          </cell>
          <cell r="M10" t="str">
            <v/>
          </cell>
          <cell r="N10" t="str">
            <v/>
          </cell>
          <cell r="O10">
            <v>0.96</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0.97330000000000005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0.98680000000000001</v>
          </cell>
        </row>
        <row r="13">
          <cell r="A13" t="str">
            <v>A94103</v>
          </cell>
          <cell r="B13" t="str">
            <v>114/02/25</v>
          </cell>
          <cell r="C13">
            <v>2.375</v>
          </cell>
          <cell r="D13">
            <v>1.32</v>
          </cell>
          <cell r="E13">
            <v>1.37</v>
          </cell>
          <cell r="F13" t="str">
            <v/>
          </cell>
          <cell r="G13" t="str">
            <v/>
          </cell>
          <cell r="H13" t="str">
            <v/>
          </cell>
          <cell r="I13" t="str">
            <v/>
          </cell>
          <cell r="J13" t="str">
            <v/>
          </cell>
          <cell r="K13" t="str">
            <v/>
          </cell>
          <cell r="L13" t="str">
            <v/>
          </cell>
          <cell r="M13" t="str">
            <v/>
          </cell>
          <cell r="N13" t="str">
            <v/>
          </cell>
          <cell r="O13">
            <v>0.99780000000000002</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0.99760000000000004</v>
          </cell>
        </row>
        <row r="15">
          <cell r="A15" t="str">
            <v>A04105</v>
          </cell>
          <cell r="B15" t="str">
            <v>114/03/13</v>
          </cell>
          <cell r="C15">
            <v>1.625</v>
          </cell>
          <cell r="D15">
            <v>1.37</v>
          </cell>
          <cell r="E15">
            <v>1.41</v>
          </cell>
          <cell r="F15" t="str">
            <v/>
          </cell>
          <cell r="G15" t="str">
            <v/>
          </cell>
          <cell r="H15" t="str">
            <v/>
          </cell>
          <cell r="I15" t="str">
            <v/>
          </cell>
          <cell r="J15" t="str">
            <v/>
          </cell>
          <cell r="K15" t="str">
            <v/>
          </cell>
          <cell r="L15" t="str">
            <v/>
          </cell>
          <cell r="M15" t="str">
            <v/>
          </cell>
          <cell r="N15" t="str">
            <v/>
          </cell>
          <cell r="O15">
            <v>1.002</v>
          </cell>
        </row>
        <row r="16">
          <cell r="A16" t="str">
            <v>A09107</v>
          </cell>
          <cell r="B16" t="str">
            <v>114/07/17</v>
          </cell>
          <cell r="C16">
            <v>0.25</v>
          </cell>
          <cell r="D16">
            <v>1.73</v>
          </cell>
          <cell r="E16">
            <v>1.76</v>
          </cell>
          <cell r="F16" t="str">
            <v/>
          </cell>
          <cell r="G16" t="str">
            <v/>
          </cell>
          <cell r="H16" t="str">
            <v/>
          </cell>
          <cell r="I16" t="str">
            <v/>
          </cell>
          <cell r="J16" t="str">
            <v/>
          </cell>
          <cell r="K16" t="str">
            <v/>
          </cell>
          <cell r="L16" t="str">
            <v/>
          </cell>
          <cell r="M16" t="str">
            <v/>
          </cell>
          <cell r="N16" t="str">
            <v/>
          </cell>
          <cell r="O16">
            <v>1.0324</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1.0446</v>
          </cell>
        </row>
        <row r="18">
          <cell r="A18" t="str">
            <v>A09112</v>
          </cell>
          <cell r="B18" t="str">
            <v>114/12/08</v>
          </cell>
          <cell r="C18">
            <v>0.125</v>
          </cell>
          <cell r="D18">
            <v>2.12</v>
          </cell>
          <cell r="E18">
            <v>2.15</v>
          </cell>
          <cell r="F18" t="str">
            <v/>
          </cell>
          <cell r="G18" t="str">
            <v/>
          </cell>
          <cell r="H18" t="str">
            <v/>
          </cell>
          <cell r="I18" t="str">
            <v/>
          </cell>
          <cell r="J18" t="str">
            <v/>
          </cell>
          <cell r="K18" t="str">
            <v/>
          </cell>
          <cell r="L18" t="str">
            <v/>
          </cell>
          <cell r="M18" t="str">
            <v/>
          </cell>
          <cell r="N18" t="str">
            <v/>
          </cell>
          <cell r="O18">
            <v>1.0638000000000001</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1.0710999999999999</v>
          </cell>
        </row>
        <row r="20">
          <cell r="A20" t="str">
            <v>A95102</v>
          </cell>
          <cell r="B20" t="str">
            <v>115/02/24</v>
          </cell>
          <cell r="C20">
            <v>1.875</v>
          </cell>
          <cell r="D20">
            <v>2.2799999999999998</v>
          </cell>
          <cell r="E20">
            <v>2.36</v>
          </cell>
          <cell r="F20" t="str">
            <v/>
          </cell>
          <cell r="G20" t="str">
            <v/>
          </cell>
          <cell r="H20" t="str">
            <v/>
          </cell>
          <cell r="I20" t="str">
            <v/>
          </cell>
          <cell r="J20" t="str">
            <v/>
          </cell>
          <cell r="K20" t="str">
            <v/>
          </cell>
          <cell r="L20" t="str">
            <v/>
          </cell>
          <cell r="M20" t="str">
            <v/>
          </cell>
          <cell r="N20" t="str">
            <v/>
          </cell>
          <cell r="O20">
            <v>1.0783</v>
          </cell>
        </row>
        <row r="21">
          <cell r="A21" t="str">
            <v>A05104</v>
          </cell>
          <cell r="B21" t="str">
            <v>115/03/04</v>
          </cell>
          <cell r="C21">
            <v>0.75</v>
          </cell>
          <cell r="D21">
            <v>2.33</v>
          </cell>
          <cell r="E21">
            <v>2.39</v>
          </cell>
          <cell r="F21" t="str">
            <v/>
          </cell>
          <cell r="G21" t="str">
            <v/>
          </cell>
          <cell r="H21" t="str">
            <v/>
          </cell>
          <cell r="I21" t="str">
            <v/>
          </cell>
          <cell r="J21" t="str">
            <v/>
          </cell>
          <cell r="K21" t="str">
            <v/>
          </cell>
          <cell r="L21" t="str">
            <v/>
          </cell>
          <cell r="M21" t="str">
            <v/>
          </cell>
          <cell r="N21" t="str">
            <v/>
          </cell>
          <cell r="O21">
            <v>1.0806</v>
          </cell>
        </row>
        <row r="22">
          <cell r="A22" t="str">
            <v>A10108</v>
          </cell>
          <cell r="B22" t="str">
            <v>115/07/29</v>
          </cell>
          <cell r="C22">
            <v>0.25</v>
          </cell>
          <cell r="D22">
            <v>2.74</v>
          </cell>
          <cell r="E22">
            <v>2.79</v>
          </cell>
          <cell r="F22" t="str">
            <v/>
          </cell>
          <cell r="G22" t="str">
            <v/>
          </cell>
          <cell r="H22" t="str">
            <v/>
          </cell>
          <cell r="I22" t="str">
            <v/>
          </cell>
          <cell r="J22" t="str">
            <v/>
          </cell>
          <cell r="K22" t="str">
            <v/>
          </cell>
          <cell r="L22" t="str">
            <v/>
          </cell>
          <cell r="M22" t="str">
            <v/>
          </cell>
          <cell r="N22" t="str">
            <v/>
          </cell>
          <cell r="O22">
            <v>1.1077999999999999</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1.1145</v>
          </cell>
        </row>
        <row r="24">
          <cell r="A24" t="str">
            <v>A95107</v>
          </cell>
          <cell r="B24" t="str">
            <v>115/11/10</v>
          </cell>
          <cell r="C24">
            <v>2.125</v>
          </cell>
          <cell r="D24">
            <v>2.91</v>
          </cell>
          <cell r="E24">
            <v>3.07</v>
          </cell>
          <cell r="F24" t="str">
            <v/>
          </cell>
          <cell r="G24" t="str">
            <v/>
          </cell>
          <cell r="H24" t="str">
            <v/>
          </cell>
          <cell r="I24" t="str">
            <v/>
          </cell>
          <cell r="J24" t="str">
            <v/>
          </cell>
          <cell r="K24" t="str">
            <v/>
          </cell>
          <cell r="L24" t="str">
            <v/>
          </cell>
          <cell r="M24" t="str">
            <v/>
          </cell>
          <cell r="N24" t="str">
            <v/>
          </cell>
          <cell r="O24">
            <v>1.1240000000000001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1.1403000000000001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1.1439999999999999</v>
          </cell>
        </row>
        <row r="27">
          <cell r="A27" t="str">
            <v>A11103</v>
          </cell>
          <cell r="B27" t="str">
            <v>116/02/24</v>
          </cell>
          <cell r="C27">
            <v>0.5</v>
          </cell>
          <cell r="D27">
            <v>3.29</v>
          </cell>
          <cell r="E27">
            <v>3.36</v>
          </cell>
          <cell r="F27" t="str">
            <v/>
          </cell>
          <cell r="G27" t="str">
            <v/>
          </cell>
          <cell r="H27" t="str">
            <v/>
          </cell>
          <cell r="I27" t="str">
            <v/>
          </cell>
          <cell r="J27" t="str">
            <v/>
          </cell>
          <cell r="K27" t="str">
            <v/>
          </cell>
          <cell r="L27" t="str">
            <v/>
          </cell>
          <cell r="M27" t="str">
            <v/>
          </cell>
          <cell r="N27" t="str">
            <v/>
          </cell>
          <cell r="O27">
            <v>1.1437999999999999</v>
          </cell>
        </row>
        <row r="28">
          <cell r="A28" t="str">
            <v>A11106</v>
          </cell>
          <cell r="B28" t="str">
            <v>116/06/23</v>
          </cell>
          <cell r="C28">
            <v>1</v>
          </cell>
          <cell r="D28">
            <v>3.58</v>
          </cell>
          <cell r="E28">
            <v>3.69</v>
          </cell>
          <cell r="F28" t="str">
            <v/>
          </cell>
          <cell r="G28" t="str">
            <v/>
          </cell>
          <cell r="H28" t="str">
            <v/>
          </cell>
          <cell r="I28" t="str">
            <v/>
          </cell>
          <cell r="J28" t="str">
            <v/>
          </cell>
          <cell r="K28" t="str">
            <v/>
          </cell>
          <cell r="L28" t="str">
            <v/>
          </cell>
          <cell r="M28" t="str">
            <v/>
          </cell>
          <cell r="N28" t="str">
            <v/>
          </cell>
          <cell r="O28">
            <v>1.1639999999999999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1.1870000000000001</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1.18</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1.1798999999999999</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1.1995</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1.2036</v>
          </cell>
        </row>
        <row r="34">
          <cell r="A34" t="str">
            <v>A12101</v>
          </cell>
          <cell r="B34" t="str">
            <v>117/01/17</v>
          </cell>
          <cell r="C34">
            <v>1</v>
          </cell>
          <cell r="D34">
            <v>4.0999999999999996</v>
          </cell>
          <cell r="E34">
            <v>4.26</v>
          </cell>
          <cell r="F34" t="str">
            <v/>
          </cell>
          <cell r="G34" t="str">
            <v/>
          </cell>
          <cell r="H34" t="str">
            <v/>
          </cell>
          <cell r="I34" t="str">
            <v/>
          </cell>
          <cell r="J34" t="str">
            <v/>
          </cell>
          <cell r="K34" t="str">
            <v/>
          </cell>
          <cell r="L34" t="str">
            <v/>
          </cell>
          <cell r="M34" t="str">
            <v/>
          </cell>
          <cell r="N34" t="str">
            <v/>
          </cell>
          <cell r="O34">
            <v>1.2017</v>
          </cell>
        </row>
        <row r="35">
          <cell r="A35" t="str">
            <v>A07102</v>
          </cell>
          <cell r="B35" t="str">
            <v>117/02/08</v>
          </cell>
          <cell r="C35">
            <v>1</v>
          </cell>
          <cell r="D35">
            <v>4.16</v>
          </cell>
          <cell r="E35">
            <v>4.32</v>
          </cell>
          <cell r="F35" t="str">
            <v/>
          </cell>
          <cell r="G35" t="str">
            <v/>
          </cell>
          <cell r="H35" t="str">
            <v/>
          </cell>
          <cell r="I35" t="str">
            <v/>
          </cell>
          <cell r="J35" t="str">
            <v/>
          </cell>
          <cell r="K35" t="str">
            <v/>
          </cell>
          <cell r="L35" t="str">
            <v/>
          </cell>
          <cell r="M35" t="str">
            <v/>
          </cell>
          <cell r="N35" t="str">
            <v/>
          </cell>
          <cell r="O35">
            <v>1.2055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1.2229000000000001</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1.2249000000000001</v>
          </cell>
        </row>
        <row r="38">
          <cell r="A38" t="str">
            <v>A97105</v>
          </cell>
          <cell r="B38" t="str">
            <v>117/08/14</v>
          </cell>
          <cell r="C38">
            <v>2.625</v>
          </cell>
          <cell r="D38">
            <v>4.53</v>
          </cell>
          <cell r="E38">
            <v>4.83</v>
          </cell>
          <cell r="F38" t="str">
            <v/>
          </cell>
          <cell r="G38" t="str">
            <v/>
          </cell>
          <cell r="H38" t="str">
            <v/>
          </cell>
          <cell r="I38" t="str">
            <v/>
          </cell>
          <cell r="J38" t="str">
            <v/>
          </cell>
          <cell r="K38" t="str">
            <v/>
          </cell>
          <cell r="L38" t="str">
            <v/>
          </cell>
          <cell r="M38" t="str">
            <v/>
          </cell>
          <cell r="N38" t="str">
            <v/>
          </cell>
          <cell r="O38">
            <v>1.2292000000000001</v>
          </cell>
        </row>
        <row r="39">
          <cell r="A39" t="str">
            <v>A12108</v>
          </cell>
          <cell r="B39" t="str">
            <v>117/09/15</v>
          </cell>
          <cell r="C39">
            <v>1.125</v>
          </cell>
          <cell r="D39">
            <v>4.74</v>
          </cell>
          <cell r="E39">
            <v>4.92</v>
          </cell>
          <cell r="F39" t="str">
            <v/>
          </cell>
          <cell r="G39" t="str">
            <v/>
          </cell>
          <cell r="H39" t="str">
            <v/>
          </cell>
          <cell r="I39" t="str">
            <v/>
          </cell>
          <cell r="J39" t="str">
            <v/>
          </cell>
          <cell r="K39" t="str">
            <v/>
          </cell>
          <cell r="L39" t="str">
            <v/>
          </cell>
          <cell r="M39" t="str">
            <v/>
          </cell>
          <cell r="N39" t="str">
            <v/>
          </cell>
          <cell r="O39">
            <v>1.2357</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1.2354000000000001</v>
          </cell>
        </row>
        <row r="41">
          <cell r="A41" t="str">
            <v>A07109</v>
          </cell>
          <cell r="B41" t="str">
            <v>117/10/17</v>
          </cell>
          <cell r="C41">
            <v>0.875</v>
          </cell>
          <cell r="D41">
            <v>4.8499999999999996</v>
          </cell>
          <cell r="E41">
            <v>5.01</v>
          </cell>
          <cell r="F41" t="str">
            <v/>
          </cell>
          <cell r="G41" t="str">
            <v/>
          </cell>
          <cell r="H41" t="str">
            <v/>
          </cell>
          <cell r="I41" t="str">
            <v/>
          </cell>
          <cell r="J41" t="str">
            <v/>
          </cell>
          <cell r="K41" t="str">
            <v/>
          </cell>
          <cell r="L41" t="str">
            <v/>
          </cell>
          <cell r="M41" t="str">
            <v/>
          </cell>
          <cell r="N41" t="str">
            <v/>
          </cell>
          <cell r="O41">
            <v>1.2387999999999999</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1.2404999999999999</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1.2438</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1.2395</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1.2436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1.2413000000000001</v>
          </cell>
        </row>
        <row r="47">
          <cell r="A47" t="str">
            <v>A99104</v>
          </cell>
          <cell r="B47" t="str">
            <v>119/02/22</v>
          </cell>
          <cell r="C47">
            <v>1.875</v>
          </cell>
          <cell r="D47">
            <v>5.91</v>
          </cell>
          <cell r="E47">
            <v>6.36</v>
          </cell>
          <cell r="F47" t="str">
            <v/>
          </cell>
          <cell r="G47" t="str">
            <v/>
          </cell>
          <cell r="H47" t="str">
            <v/>
          </cell>
          <cell r="I47" t="str">
            <v/>
          </cell>
          <cell r="J47" t="str">
            <v/>
          </cell>
          <cell r="K47" t="str">
            <v/>
          </cell>
          <cell r="L47" t="str">
            <v/>
          </cell>
          <cell r="M47" t="str">
            <v/>
          </cell>
          <cell r="N47" t="str">
            <v/>
          </cell>
          <cell r="O47">
            <v>1.2363</v>
          </cell>
        </row>
        <row r="48">
          <cell r="A48" t="str">
            <v>A09103</v>
          </cell>
          <cell r="B48" t="str">
            <v>119/02/21</v>
          </cell>
          <cell r="C48">
            <v>0.5</v>
          </cell>
          <cell r="D48">
            <v>6.16</v>
          </cell>
          <cell r="E48">
            <v>6.36</v>
          </cell>
          <cell r="F48" t="str">
            <v/>
          </cell>
          <cell r="G48" t="str">
            <v/>
          </cell>
          <cell r="H48" t="str">
            <v/>
          </cell>
          <cell r="I48" t="str">
            <v/>
          </cell>
          <cell r="J48" t="str">
            <v/>
          </cell>
          <cell r="K48" t="str">
            <v/>
          </cell>
          <cell r="L48" t="str">
            <v/>
          </cell>
          <cell r="M48" t="str">
            <v/>
          </cell>
          <cell r="N48" t="str">
            <v/>
          </cell>
          <cell r="O48">
            <v>1.2390000000000001</v>
          </cell>
        </row>
        <row r="49">
          <cell r="A49" t="str">
            <v>A99107</v>
          </cell>
          <cell r="B49" t="str">
            <v>119/08/12</v>
          </cell>
          <cell r="C49">
            <v>1.75</v>
          </cell>
          <cell r="D49">
            <v>6.4</v>
          </cell>
          <cell r="E49">
            <v>6.83</v>
          </cell>
          <cell r="F49">
            <v>1.258</v>
          </cell>
          <cell r="G49">
            <v>1.256</v>
          </cell>
          <cell r="H49">
            <v>1.2574000000000001</v>
          </cell>
          <cell r="I49">
            <v>11</v>
          </cell>
          <cell r="J49">
            <v>1.2549999999999999</v>
          </cell>
          <cell r="K49">
            <v>1.2549999999999999</v>
          </cell>
          <cell r="L49">
            <v>1.2549999999999999</v>
          </cell>
          <cell r="M49">
            <v>1</v>
          </cell>
          <cell r="N49">
            <v>3</v>
          </cell>
          <cell r="O49">
            <v>1.2375</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1.2388999999999999</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1.2442</v>
          </cell>
        </row>
        <row r="52">
          <cell r="A52" t="str">
            <v>A09109</v>
          </cell>
          <cell r="B52" t="str">
            <v>119/10/14</v>
          </cell>
          <cell r="C52">
            <v>0.25</v>
          </cell>
          <cell r="D52">
            <v>6.85</v>
          </cell>
          <cell r="E52">
            <v>7</v>
          </cell>
          <cell r="F52" t="str">
            <v/>
          </cell>
          <cell r="G52" t="str">
            <v/>
          </cell>
          <cell r="H52" t="str">
            <v/>
          </cell>
          <cell r="I52" t="str">
            <v/>
          </cell>
          <cell r="J52" t="str">
            <v/>
          </cell>
          <cell r="K52" t="str">
            <v/>
          </cell>
          <cell r="L52" t="str">
            <v/>
          </cell>
          <cell r="M52" t="str">
            <v/>
          </cell>
          <cell r="N52" t="str">
            <v/>
          </cell>
          <cell r="O52">
            <v>1.2423999999999999</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1.2559</v>
          </cell>
        </row>
        <row r="54">
          <cell r="A54" t="str">
            <v>A00201</v>
          </cell>
          <cell r="B54" t="str">
            <v>120/05/26</v>
          </cell>
          <cell r="C54">
            <v>1.75</v>
          </cell>
          <cell r="D54">
            <v>7.06</v>
          </cell>
          <cell r="E54">
            <v>7.61</v>
          </cell>
          <cell r="F54" t="str">
            <v/>
          </cell>
          <cell r="G54" t="str">
            <v/>
          </cell>
          <cell r="H54" t="str">
            <v/>
          </cell>
          <cell r="I54" t="str">
            <v/>
          </cell>
          <cell r="J54" t="str">
            <v/>
          </cell>
          <cell r="K54" t="str">
            <v/>
          </cell>
          <cell r="L54" t="str">
            <v/>
          </cell>
          <cell r="M54" t="str">
            <v/>
          </cell>
          <cell r="N54" t="str">
            <v/>
          </cell>
          <cell r="O54">
            <v>1.2553000000000001</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1.2507999999999999</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1.2606999999999999</v>
          </cell>
        </row>
        <row r="57">
          <cell r="A57" t="str">
            <v>A10201</v>
          </cell>
          <cell r="B57" t="str">
            <v>120/05/07</v>
          </cell>
          <cell r="C57">
            <v>0.375</v>
          </cell>
          <cell r="D57">
            <v>7.35</v>
          </cell>
          <cell r="E57">
            <v>7.56</v>
          </cell>
          <cell r="F57" t="str">
            <v/>
          </cell>
          <cell r="G57" t="str">
            <v/>
          </cell>
          <cell r="H57" t="str">
            <v/>
          </cell>
          <cell r="I57" t="str">
            <v/>
          </cell>
          <cell r="J57" t="str">
            <v/>
          </cell>
          <cell r="K57" t="str">
            <v/>
          </cell>
          <cell r="L57" t="str">
            <v/>
          </cell>
          <cell r="M57" t="str">
            <v/>
          </cell>
          <cell r="N57" t="str">
            <v/>
          </cell>
          <cell r="O57">
            <v>1.2565999999999999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1.2607999999999999</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1.2745</v>
          </cell>
        </row>
        <row r="60">
          <cell r="A60" t="str">
            <v>A10111</v>
          </cell>
          <cell r="B60" t="str">
            <v>120/10/22</v>
          </cell>
          <cell r="C60">
            <v>0.5</v>
          </cell>
          <cell r="D60">
            <v>7.73</v>
          </cell>
          <cell r="E60">
            <v>8.02</v>
          </cell>
          <cell r="F60" t="str">
            <v/>
          </cell>
          <cell r="G60" t="str">
            <v/>
          </cell>
          <cell r="H60" t="str">
            <v/>
          </cell>
          <cell r="I60" t="str">
            <v/>
          </cell>
          <cell r="J60" t="str">
            <v/>
          </cell>
          <cell r="K60" t="str">
            <v/>
          </cell>
          <cell r="L60" t="str">
            <v/>
          </cell>
          <cell r="M60" t="str">
            <v/>
          </cell>
          <cell r="N60" t="str">
            <v/>
          </cell>
          <cell r="O60">
            <v>1.2708999999999999</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1.278</v>
          </cell>
        </row>
        <row r="62">
          <cell r="A62" t="str">
            <v>A11201</v>
          </cell>
          <cell r="B62" t="str">
            <v>121/01/10</v>
          </cell>
          <cell r="C62">
            <v>0.75</v>
          </cell>
          <cell r="D62">
            <v>7.86</v>
          </cell>
          <cell r="E62">
            <v>8.24</v>
          </cell>
          <cell r="F62" t="str">
            <v/>
          </cell>
          <cell r="G62" t="str">
            <v/>
          </cell>
          <cell r="H62" t="str">
            <v/>
          </cell>
          <cell r="I62" t="str">
            <v/>
          </cell>
          <cell r="J62" t="str">
            <v/>
          </cell>
          <cell r="K62" t="str">
            <v/>
          </cell>
          <cell r="L62" t="str">
            <v/>
          </cell>
          <cell r="M62" t="str">
            <v/>
          </cell>
          <cell r="N62" t="str">
            <v/>
          </cell>
          <cell r="O62">
            <v>1.2762</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1.2790999999999999</v>
          </cell>
        </row>
        <row r="64">
          <cell r="A64" t="str">
            <v>A11107</v>
          </cell>
          <cell r="B64" t="str">
            <v>121/06/30</v>
          </cell>
          <cell r="C64">
            <v>1.25</v>
          </cell>
          <cell r="D64">
            <v>8.16</v>
          </cell>
          <cell r="E64">
            <v>8.7100000000000009</v>
          </cell>
          <cell r="F64">
            <v>1.28</v>
          </cell>
          <cell r="G64">
            <v>1.28</v>
          </cell>
          <cell r="H64">
            <v>1.28</v>
          </cell>
          <cell r="I64">
            <v>2</v>
          </cell>
          <cell r="J64" t="str">
            <v/>
          </cell>
          <cell r="K64" t="str">
            <v/>
          </cell>
          <cell r="L64" t="str">
            <v/>
          </cell>
          <cell r="M64" t="str">
            <v/>
          </cell>
          <cell r="N64" t="str">
            <v/>
          </cell>
          <cell r="O64">
            <v>1.2841</v>
          </cell>
        </row>
        <row r="65">
          <cell r="A65" t="str">
            <v>A11110</v>
          </cell>
          <cell r="B65" t="str">
            <v>121/10/17</v>
          </cell>
          <cell r="C65">
            <v>1.75</v>
          </cell>
          <cell r="D65">
            <v>8.31</v>
          </cell>
          <cell r="E65">
            <v>9.01</v>
          </cell>
          <cell r="F65" t="str">
            <v/>
          </cell>
          <cell r="G65" t="str">
            <v/>
          </cell>
          <cell r="H65" t="str">
            <v/>
          </cell>
          <cell r="I65" t="str">
            <v/>
          </cell>
          <cell r="J65" t="str">
            <v/>
          </cell>
          <cell r="K65" t="str">
            <v/>
          </cell>
          <cell r="L65" t="str">
            <v/>
          </cell>
          <cell r="M65" t="str">
            <v/>
          </cell>
          <cell r="N65" t="str">
            <v/>
          </cell>
          <cell r="O65">
            <v>1.2867999999999999</v>
          </cell>
        </row>
        <row r="66">
          <cell r="A66" t="str">
            <v>A01107</v>
          </cell>
          <cell r="B66" t="str">
            <v>121/08/10</v>
          </cell>
          <cell r="C66">
            <v>1.5</v>
          </cell>
          <cell r="D66">
            <v>8.1999999999999993</v>
          </cell>
          <cell r="E66">
            <v>8.82</v>
          </cell>
          <cell r="F66" t="str">
            <v/>
          </cell>
          <cell r="G66" t="str">
            <v/>
          </cell>
          <cell r="H66" t="str">
            <v/>
          </cell>
          <cell r="I66" t="str">
            <v/>
          </cell>
          <cell r="J66" t="str">
            <v/>
          </cell>
          <cell r="K66" t="str">
            <v/>
          </cell>
          <cell r="L66" t="str">
            <v/>
          </cell>
          <cell r="M66" t="str">
            <v/>
          </cell>
          <cell r="N66" t="str">
            <v/>
          </cell>
          <cell r="O66">
            <v>1.2849999999999999</v>
          </cell>
        </row>
        <row r="67">
          <cell r="A67" t="str">
            <v>A02103</v>
          </cell>
          <cell r="B67" t="str">
            <v>122/01/28</v>
          </cell>
          <cell r="C67">
            <v>1.5</v>
          </cell>
          <cell r="D67">
            <v>8.5399999999999991</v>
          </cell>
          <cell r="E67">
            <v>9.2899999999999991</v>
          </cell>
          <cell r="F67" t="str">
            <v/>
          </cell>
          <cell r="G67" t="str">
            <v/>
          </cell>
          <cell r="H67" t="str">
            <v/>
          </cell>
          <cell r="I67" t="str">
            <v/>
          </cell>
          <cell r="J67" t="str">
            <v/>
          </cell>
          <cell r="K67" t="str">
            <v/>
          </cell>
          <cell r="L67" t="str">
            <v/>
          </cell>
          <cell r="M67" t="str">
            <v/>
          </cell>
          <cell r="N67" t="str">
            <v/>
          </cell>
          <cell r="O67">
            <v>1.2905</v>
          </cell>
        </row>
        <row r="68">
          <cell r="A68" t="str">
            <v>A12201</v>
          </cell>
          <cell r="B68" t="str">
            <v>122/01/10</v>
          </cell>
          <cell r="C68">
            <v>1.25</v>
          </cell>
          <cell r="D68">
            <v>8.58</v>
          </cell>
          <cell r="E68">
            <v>9.24</v>
          </cell>
          <cell r="F68" t="str">
            <v/>
          </cell>
          <cell r="G68" t="str">
            <v/>
          </cell>
          <cell r="H68" t="str">
            <v/>
          </cell>
          <cell r="I68" t="str">
            <v/>
          </cell>
          <cell r="J68" t="str">
            <v/>
          </cell>
          <cell r="K68" t="str">
            <v/>
          </cell>
          <cell r="L68" t="str">
            <v/>
          </cell>
          <cell r="M68" t="str">
            <v/>
          </cell>
          <cell r="N68" t="str">
            <v/>
          </cell>
          <cell r="O68">
            <v>1.2907999999999999</v>
          </cell>
        </row>
        <row r="69">
          <cell r="A69" t="str">
            <v>A02201</v>
          </cell>
          <cell r="B69" t="str">
            <v>122/03/21</v>
          </cell>
          <cell r="C69">
            <v>1.75</v>
          </cell>
          <cell r="D69">
            <v>8.59</v>
          </cell>
          <cell r="E69">
            <v>9.43</v>
          </cell>
          <cell r="F69" t="str">
            <v/>
          </cell>
          <cell r="G69" t="str">
            <v/>
          </cell>
          <cell r="H69" t="str">
            <v/>
          </cell>
          <cell r="I69" t="str">
            <v/>
          </cell>
          <cell r="J69" t="str">
            <v/>
          </cell>
          <cell r="K69" t="str">
            <v/>
          </cell>
          <cell r="L69" t="str">
            <v/>
          </cell>
          <cell r="M69" t="str">
            <v/>
          </cell>
          <cell r="N69" t="str">
            <v/>
          </cell>
          <cell r="O69">
            <v>1.2912999999999999</v>
          </cell>
        </row>
        <row r="70">
          <cell r="A70" t="str">
            <v>A12102</v>
          </cell>
          <cell r="B70" t="str">
            <v>122/02/17</v>
          </cell>
          <cell r="C70">
            <v>1.125</v>
          </cell>
          <cell r="D70">
            <v>8.73</v>
          </cell>
          <cell r="E70">
            <v>9.34</v>
          </cell>
          <cell r="F70">
            <v>1.286</v>
          </cell>
          <cell r="G70">
            <v>1.2849999999999999</v>
          </cell>
          <cell r="H70">
            <v>1.2855000000000001</v>
          </cell>
          <cell r="I70">
            <v>4</v>
          </cell>
          <cell r="J70" t="str">
            <v/>
          </cell>
          <cell r="K70" t="str">
            <v/>
          </cell>
          <cell r="L70" t="str">
            <v/>
          </cell>
          <cell r="M70" t="str">
            <v/>
          </cell>
          <cell r="N70" t="str">
            <v/>
          </cell>
          <cell r="O70">
            <v>1.2922</v>
          </cell>
        </row>
        <row r="71">
          <cell r="A71" t="str">
            <v>A02108</v>
          </cell>
          <cell r="B71" t="str">
            <v>122/07/26</v>
          </cell>
          <cell r="C71">
            <v>2</v>
          </cell>
          <cell r="D71">
            <v>8.85</v>
          </cell>
          <cell r="E71">
            <v>9.7799999999999994</v>
          </cell>
          <cell r="F71" t="str">
            <v/>
          </cell>
          <cell r="G71" t="str">
            <v/>
          </cell>
          <cell r="H71" t="str">
            <v/>
          </cell>
          <cell r="I71" t="str">
            <v/>
          </cell>
          <cell r="J71" t="str">
            <v/>
          </cell>
          <cell r="K71" t="str">
            <v/>
          </cell>
          <cell r="L71" t="str">
            <v/>
          </cell>
          <cell r="M71" t="str">
            <v/>
          </cell>
          <cell r="N71" t="str">
            <v/>
          </cell>
          <cell r="O71">
            <v>1.2944</v>
          </cell>
        </row>
        <row r="72">
          <cell r="A72" t="str">
            <v>A93106</v>
          </cell>
          <cell r="B72" t="str">
            <v>123/05/27</v>
          </cell>
          <cell r="C72">
            <v>3.875</v>
          </cell>
          <cell r="D72">
            <v>8.89</v>
          </cell>
          <cell r="E72">
            <v>10.62</v>
          </cell>
          <cell r="F72" t="str">
            <v/>
          </cell>
          <cell r="G72" t="str">
            <v/>
          </cell>
          <cell r="H72" t="str">
            <v/>
          </cell>
          <cell r="I72" t="str">
            <v/>
          </cell>
          <cell r="J72" t="str">
            <v/>
          </cell>
          <cell r="K72" t="str">
            <v/>
          </cell>
          <cell r="L72" t="str">
            <v/>
          </cell>
          <cell r="M72" t="str">
            <v/>
          </cell>
          <cell r="N72" t="str">
            <v/>
          </cell>
          <cell r="O72">
            <v>1.2994000000000001</v>
          </cell>
        </row>
        <row r="73">
          <cell r="A73" t="str">
            <v>A12107</v>
          </cell>
          <cell r="B73" t="str">
            <v>122/06/09</v>
          </cell>
          <cell r="C73">
            <v>1.125</v>
          </cell>
          <cell r="D73">
            <v>9.0399999999999991</v>
          </cell>
          <cell r="E73">
            <v>9.65</v>
          </cell>
          <cell r="F73" t="str">
            <v/>
          </cell>
          <cell r="G73" t="str">
            <v/>
          </cell>
          <cell r="H73" t="str">
            <v/>
          </cell>
          <cell r="I73" t="str">
            <v/>
          </cell>
          <cell r="J73" t="str">
            <v/>
          </cell>
          <cell r="K73" t="str">
            <v/>
          </cell>
          <cell r="L73" t="str">
            <v/>
          </cell>
          <cell r="M73" t="str">
            <v/>
          </cell>
          <cell r="N73" t="str">
            <v/>
          </cell>
          <cell r="O73">
            <v>1.2956000000000001</v>
          </cell>
        </row>
        <row r="74">
          <cell r="A74" t="str">
            <v>A12110R</v>
          </cell>
          <cell r="B74" t="str">
            <v>122/10/05</v>
          </cell>
          <cell r="C74">
            <v>1.25</v>
          </cell>
          <cell r="D74">
            <v>9.16</v>
          </cell>
          <cell r="E74">
            <v>9.9700000000000006</v>
          </cell>
          <cell r="F74">
            <v>1.29</v>
          </cell>
          <cell r="G74">
            <v>1.29</v>
          </cell>
          <cell r="H74">
            <v>1.29</v>
          </cell>
          <cell r="I74">
            <v>1.5</v>
          </cell>
          <cell r="J74" t="str">
            <v/>
          </cell>
          <cell r="K74" t="str">
            <v/>
          </cell>
          <cell r="L74" t="str">
            <v/>
          </cell>
          <cell r="M74" t="str">
            <v/>
          </cell>
          <cell r="N74" t="str">
            <v/>
          </cell>
          <cell r="O74">
            <v>1.2971999999999999</v>
          </cell>
        </row>
        <row r="75">
          <cell r="A75" t="str">
            <v>A03103</v>
          </cell>
          <cell r="B75" t="str">
            <v>123/01/29</v>
          </cell>
          <cell r="C75">
            <v>2</v>
          </cell>
          <cell r="D75">
            <v>9.19</v>
          </cell>
          <cell r="E75">
            <v>10.29</v>
          </cell>
          <cell r="F75" t="str">
            <v/>
          </cell>
          <cell r="G75" t="str">
            <v/>
          </cell>
          <cell r="H75" t="str">
            <v/>
          </cell>
          <cell r="I75" t="str">
            <v/>
          </cell>
          <cell r="J75" t="str">
            <v/>
          </cell>
          <cell r="K75" t="str">
            <v/>
          </cell>
          <cell r="L75" t="str">
            <v/>
          </cell>
          <cell r="M75" t="str">
            <v/>
          </cell>
          <cell r="N75" t="str">
            <v/>
          </cell>
          <cell r="O75">
            <v>1.3004</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1.2988999999999999</v>
          </cell>
        </row>
        <row r="77">
          <cell r="A77" t="str">
            <v>A03107</v>
          </cell>
          <cell r="B77" t="str">
            <v>123/04/25</v>
          </cell>
          <cell r="C77">
            <v>1.875</v>
          </cell>
          <cell r="D77">
            <v>9.4700000000000006</v>
          </cell>
          <cell r="E77">
            <v>10.53</v>
          </cell>
          <cell r="F77" t="str">
            <v/>
          </cell>
          <cell r="G77" t="str">
            <v/>
          </cell>
          <cell r="H77" t="str">
            <v/>
          </cell>
          <cell r="I77" t="str">
            <v/>
          </cell>
          <cell r="J77" t="str">
            <v/>
          </cell>
          <cell r="K77" t="str">
            <v/>
          </cell>
          <cell r="L77" t="str">
            <v/>
          </cell>
          <cell r="M77" t="str">
            <v/>
          </cell>
          <cell r="N77" t="str">
            <v/>
          </cell>
          <cell r="O77">
            <v>1.3038000000000001</v>
          </cell>
        </row>
        <row r="78">
          <cell r="A78" t="str">
            <v>A03111</v>
          </cell>
          <cell r="B78" t="str">
            <v>123/07/31</v>
          </cell>
          <cell r="C78">
            <v>2.125</v>
          </cell>
          <cell r="D78">
            <v>9.64</v>
          </cell>
          <cell r="E78">
            <v>10.79</v>
          </cell>
          <cell r="F78" t="str">
            <v/>
          </cell>
          <cell r="G78" t="str">
            <v/>
          </cell>
          <cell r="H78" t="str">
            <v/>
          </cell>
          <cell r="I78" t="str">
            <v/>
          </cell>
          <cell r="J78" t="str">
            <v/>
          </cell>
          <cell r="K78" t="str">
            <v/>
          </cell>
          <cell r="L78" t="str">
            <v/>
          </cell>
          <cell r="M78" t="str">
            <v/>
          </cell>
          <cell r="N78" t="str">
            <v/>
          </cell>
          <cell r="O78">
            <v>1.3066</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1.3086</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1.3137000000000001</v>
          </cell>
        </row>
        <row r="81">
          <cell r="A81" t="str">
            <v>A04107</v>
          </cell>
          <cell r="B81" t="str">
            <v>124/04/15</v>
          </cell>
          <cell r="C81">
            <v>2.125</v>
          </cell>
          <cell r="D81">
            <v>10.14</v>
          </cell>
          <cell r="E81">
            <v>11.5</v>
          </cell>
          <cell r="F81" t="str">
            <v/>
          </cell>
          <cell r="G81" t="str">
            <v/>
          </cell>
          <cell r="H81" t="str">
            <v/>
          </cell>
          <cell r="I81" t="str">
            <v/>
          </cell>
          <cell r="J81" t="str">
            <v/>
          </cell>
          <cell r="K81" t="str">
            <v/>
          </cell>
          <cell r="L81" t="str">
            <v/>
          </cell>
          <cell r="M81" t="str">
            <v/>
          </cell>
          <cell r="N81" t="str">
            <v/>
          </cell>
          <cell r="O81">
            <v>1.3166</v>
          </cell>
        </row>
        <row r="82">
          <cell r="A82" t="str">
            <v>A04114</v>
          </cell>
          <cell r="B82" t="str">
            <v>124/10/26</v>
          </cell>
          <cell r="C82">
            <v>1.75</v>
          </cell>
          <cell r="D82">
            <v>10.66</v>
          </cell>
          <cell r="E82">
            <v>12.03</v>
          </cell>
          <cell r="F82" t="str">
            <v/>
          </cell>
          <cell r="G82" t="str">
            <v/>
          </cell>
          <cell r="H82" t="str">
            <v/>
          </cell>
          <cell r="I82" t="str">
            <v/>
          </cell>
          <cell r="J82" t="str">
            <v/>
          </cell>
          <cell r="K82" t="str">
            <v/>
          </cell>
          <cell r="L82" t="str">
            <v/>
          </cell>
          <cell r="M82" t="str">
            <v/>
          </cell>
          <cell r="N82" t="str">
            <v/>
          </cell>
          <cell r="O82">
            <v>1.3259000000000001</v>
          </cell>
        </row>
        <row r="83">
          <cell r="A83" t="str">
            <v>A05102</v>
          </cell>
          <cell r="B83" t="str">
            <v>125/01/22</v>
          </cell>
          <cell r="C83">
            <v>1.375</v>
          </cell>
          <cell r="D83">
            <v>11.11</v>
          </cell>
          <cell r="E83">
            <v>12.27</v>
          </cell>
          <cell r="F83" t="str">
            <v/>
          </cell>
          <cell r="G83" t="str">
            <v/>
          </cell>
          <cell r="H83" t="str">
            <v/>
          </cell>
          <cell r="I83" t="str">
            <v/>
          </cell>
          <cell r="J83" t="str">
            <v/>
          </cell>
          <cell r="K83" t="str">
            <v/>
          </cell>
          <cell r="L83" t="str">
            <v/>
          </cell>
          <cell r="M83" t="str">
            <v/>
          </cell>
          <cell r="N83" t="str">
            <v/>
          </cell>
          <cell r="O83">
            <v>1.3310999999999999</v>
          </cell>
        </row>
        <row r="84">
          <cell r="A84" t="str">
            <v>A05106</v>
          </cell>
          <cell r="B84" t="str">
            <v>125/04/08</v>
          </cell>
          <cell r="C84">
            <v>1.25</v>
          </cell>
          <cell r="D84">
            <v>11.4</v>
          </cell>
          <cell r="E84">
            <v>12.48</v>
          </cell>
          <cell r="F84" t="str">
            <v/>
          </cell>
          <cell r="G84" t="str">
            <v/>
          </cell>
          <cell r="H84" t="str">
            <v/>
          </cell>
          <cell r="I84" t="str">
            <v/>
          </cell>
          <cell r="J84" t="str">
            <v/>
          </cell>
          <cell r="K84" t="str">
            <v/>
          </cell>
          <cell r="L84" t="str">
            <v/>
          </cell>
          <cell r="M84" t="str">
            <v/>
          </cell>
          <cell r="N84" t="str">
            <v/>
          </cell>
          <cell r="O84">
            <v>1.335</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1.3401000000000001</v>
          </cell>
        </row>
        <row r="86">
          <cell r="A86" t="str">
            <v>A06103</v>
          </cell>
          <cell r="B86" t="str">
            <v>126/02/20</v>
          </cell>
          <cell r="C86">
            <v>1.75</v>
          </cell>
          <cell r="D86">
            <v>11.77</v>
          </cell>
          <cell r="E86">
            <v>13.35</v>
          </cell>
          <cell r="F86" t="str">
            <v/>
          </cell>
          <cell r="G86" t="str">
            <v/>
          </cell>
          <cell r="H86" t="str">
            <v/>
          </cell>
          <cell r="I86" t="str">
            <v/>
          </cell>
          <cell r="J86" t="str">
            <v/>
          </cell>
          <cell r="K86" t="str">
            <v/>
          </cell>
          <cell r="L86" t="str">
            <v/>
          </cell>
          <cell r="M86" t="str">
            <v/>
          </cell>
          <cell r="N86" t="str">
            <v/>
          </cell>
          <cell r="O86">
            <v>1.3471</v>
          </cell>
        </row>
        <row r="87">
          <cell r="A87" t="str">
            <v>A06108</v>
          </cell>
          <cell r="B87" t="str">
            <v>126/08/18</v>
          </cell>
          <cell r="C87">
            <v>1.5</v>
          </cell>
          <cell r="D87">
            <v>12.41</v>
          </cell>
          <cell r="E87">
            <v>13.84</v>
          </cell>
          <cell r="F87" t="str">
            <v/>
          </cell>
          <cell r="G87" t="str">
            <v/>
          </cell>
          <cell r="H87" t="str">
            <v/>
          </cell>
          <cell r="I87" t="str">
            <v/>
          </cell>
          <cell r="J87" t="str">
            <v/>
          </cell>
          <cell r="K87" t="str">
            <v/>
          </cell>
          <cell r="L87" t="str">
            <v/>
          </cell>
          <cell r="M87" t="str">
            <v/>
          </cell>
          <cell r="N87" t="str">
            <v/>
          </cell>
          <cell r="O87">
            <v>1.3567</v>
          </cell>
        </row>
        <row r="88">
          <cell r="A88" t="str">
            <v>A07103</v>
          </cell>
          <cell r="B88" t="str">
            <v>127/03/13</v>
          </cell>
          <cell r="C88">
            <v>1.375</v>
          </cell>
          <cell r="D88">
            <v>12.89</v>
          </cell>
          <cell r="E88">
            <v>14.41</v>
          </cell>
          <cell r="F88">
            <v>1.375</v>
          </cell>
          <cell r="G88">
            <v>1.375</v>
          </cell>
          <cell r="H88">
            <v>1.375</v>
          </cell>
          <cell r="I88">
            <v>10.5</v>
          </cell>
          <cell r="J88">
            <v>1.3759999999999999</v>
          </cell>
          <cell r="K88">
            <v>1.3759999999999999</v>
          </cell>
          <cell r="L88">
            <v>1.3759999999999999</v>
          </cell>
          <cell r="M88">
            <v>7</v>
          </cell>
          <cell r="N88">
            <v>10.5</v>
          </cell>
          <cell r="O88">
            <v>1.3673</v>
          </cell>
        </row>
        <row r="89">
          <cell r="A89" t="str">
            <v>A99102</v>
          </cell>
          <cell r="B89" t="str">
            <v>129/01/28</v>
          </cell>
          <cell r="C89">
            <v>2.25</v>
          </cell>
          <cell r="D89">
            <v>13.59</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v>
          </cell>
          <cell r="E90">
            <v>14.94</v>
          </cell>
          <cell r="F90" t="str">
            <v/>
          </cell>
          <cell r="G90" t="str">
            <v/>
          </cell>
          <cell r="H90" t="str">
            <v/>
          </cell>
          <cell r="I90" t="str">
            <v/>
          </cell>
          <cell r="J90" t="str">
            <v/>
          </cell>
          <cell r="K90" t="str">
            <v/>
          </cell>
          <cell r="L90" t="str">
            <v/>
          </cell>
          <cell r="M90" t="str">
            <v/>
          </cell>
          <cell r="N90" t="str">
            <v/>
          </cell>
          <cell r="O90">
            <v>1.3782000000000001</v>
          </cell>
        </row>
        <row r="91">
          <cell r="A91" t="str">
            <v>A08102</v>
          </cell>
          <cell r="B91" t="str">
            <v>128/01/28</v>
          </cell>
          <cell r="C91">
            <v>1.125</v>
          </cell>
          <cell r="D91">
            <v>13.79</v>
          </cell>
          <cell r="E91">
            <v>15.29</v>
          </cell>
          <cell r="F91" t="str">
            <v/>
          </cell>
          <cell r="G91" t="str">
            <v/>
          </cell>
          <cell r="H91" t="str">
            <v/>
          </cell>
          <cell r="I91" t="str">
            <v/>
          </cell>
          <cell r="J91" t="str">
            <v/>
          </cell>
          <cell r="K91" t="str">
            <v/>
          </cell>
          <cell r="L91" t="str">
            <v/>
          </cell>
          <cell r="M91" t="str">
            <v/>
          </cell>
          <cell r="N91" t="str">
            <v/>
          </cell>
          <cell r="O91">
            <v>1.3847</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1.3865000000000001</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1.4162999999999999</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1.3986000000000001</v>
          </cell>
        </row>
        <row r="96">
          <cell r="A96" t="str">
            <v>A09102</v>
          </cell>
          <cell r="B96" t="str">
            <v>129/01/17</v>
          </cell>
          <cell r="C96">
            <v>0.75</v>
          </cell>
          <cell r="D96">
            <v>15</v>
          </cell>
          <cell r="E96">
            <v>16.260000000000002</v>
          </cell>
          <cell r="F96" t="str">
            <v/>
          </cell>
          <cell r="G96" t="str">
            <v/>
          </cell>
          <cell r="H96" t="str">
            <v/>
          </cell>
          <cell r="I96" t="str">
            <v/>
          </cell>
          <cell r="J96" t="str">
            <v/>
          </cell>
          <cell r="K96" t="str">
            <v/>
          </cell>
          <cell r="L96" t="str">
            <v/>
          </cell>
          <cell r="M96" t="str">
            <v/>
          </cell>
          <cell r="N96" t="str">
            <v/>
          </cell>
          <cell r="O96">
            <v>1.4056</v>
          </cell>
        </row>
        <row r="97">
          <cell r="A97" t="str">
            <v>A00108</v>
          </cell>
          <cell r="B97" t="str">
            <v>130/08/22</v>
          </cell>
          <cell r="C97">
            <v>1.875</v>
          </cell>
          <cell r="D97">
            <v>15.18</v>
          </cell>
          <cell r="E97">
            <v>17.850000000000001</v>
          </cell>
          <cell r="F97" t="str">
            <v/>
          </cell>
          <cell r="G97" t="str">
            <v/>
          </cell>
          <cell r="H97" t="str">
            <v/>
          </cell>
          <cell r="I97" t="str">
            <v/>
          </cell>
          <cell r="J97" t="str">
            <v/>
          </cell>
          <cell r="K97" t="str">
            <v/>
          </cell>
          <cell r="L97" t="str">
            <v/>
          </cell>
          <cell r="M97" t="str">
            <v/>
          </cell>
          <cell r="N97" t="str">
            <v/>
          </cell>
          <cell r="O97">
            <v>1.4263999999999999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1.4103000000000001</v>
          </cell>
        </row>
        <row r="99">
          <cell r="A99" t="str">
            <v>A01104</v>
          </cell>
          <cell r="B99" t="str">
            <v>131/02/13</v>
          </cell>
          <cell r="C99">
            <v>1.75</v>
          </cell>
          <cell r="D99">
            <v>15.51</v>
          </cell>
          <cell r="E99">
            <v>18.329999999999998</v>
          </cell>
          <cell r="F99" t="str">
            <v/>
          </cell>
          <cell r="G99" t="str">
            <v/>
          </cell>
          <cell r="H99" t="str">
            <v/>
          </cell>
          <cell r="I99" t="str">
            <v/>
          </cell>
          <cell r="J99" t="str">
            <v/>
          </cell>
          <cell r="K99" t="str">
            <v/>
          </cell>
          <cell r="L99" t="str">
            <v/>
          </cell>
          <cell r="M99" t="str">
            <v/>
          </cell>
          <cell r="N99" t="str">
            <v/>
          </cell>
          <cell r="O99">
            <v>1.4360999999999999</v>
          </cell>
        </row>
        <row r="100">
          <cell r="A100" t="str">
            <v>A02109</v>
          </cell>
          <cell r="B100" t="str">
            <v>132/08/02</v>
          </cell>
          <cell r="C100">
            <v>2.5</v>
          </cell>
          <cell r="D100">
            <v>15.91</v>
          </cell>
          <cell r="E100">
            <v>19.8</v>
          </cell>
          <cell r="F100" t="str">
            <v/>
          </cell>
          <cell r="G100" t="str">
            <v/>
          </cell>
          <cell r="H100" t="str">
            <v/>
          </cell>
          <cell r="I100" t="str">
            <v/>
          </cell>
          <cell r="J100" t="str">
            <v/>
          </cell>
          <cell r="K100" t="str">
            <v/>
          </cell>
          <cell r="L100" t="str">
            <v/>
          </cell>
          <cell r="M100" t="str">
            <v/>
          </cell>
          <cell r="N100" t="str">
            <v/>
          </cell>
          <cell r="O100">
            <v>1.4559</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1.4207000000000001</v>
          </cell>
        </row>
        <row r="102">
          <cell r="A102" t="str">
            <v>A11109</v>
          </cell>
          <cell r="B102" t="str">
            <v>131/09/30</v>
          </cell>
          <cell r="C102">
            <v>1.875</v>
          </cell>
          <cell r="D102">
            <v>16</v>
          </cell>
          <cell r="E102">
            <v>18.96</v>
          </cell>
          <cell r="F102">
            <v>1.4239999999999999</v>
          </cell>
          <cell r="G102">
            <v>1.423</v>
          </cell>
          <cell r="H102">
            <v>1.4235</v>
          </cell>
          <cell r="I102">
            <v>2</v>
          </cell>
          <cell r="J102" t="str">
            <v/>
          </cell>
          <cell r="K102" t="str">
            <v/>
          </cell>
          <cell r="L102" t="str">
            <v/>
          </cell>
          <cell r="M102" t="str">
            <v/>
          </cell>
          <cell r="N102" t="str">
            <v/>
          </cell>
          <cell r="O102">
            <v>1.4464999999999999</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1.4469000000000001</v>
          </cell>
        </row>
        <row r="104">
          <cell r="A104" t="str">
            <v>A10102</v>
          </cell>
          <cell r="B104" t="str">
            <v>130/01/29</v>
          </cell>
          <cell r="C104">
            <v>0.5</v>
          </cell>
          <cell r="D104">
            <v>16.23</v>
          </cell>
          <cell r="E104">
            <v>17.29</v>
          </cell>
          <cell r="F104" t="str">
            <v/>
          </cell>
          <cell r="G104" t="str">
            <v/>
          </cell>
          <cell r="H104" t="str">
            <v/>
          </cell>
          <cell r="I104" t="str">
            <v/>
          </cell>
          <cell r="J104" t="str">
            <v/>
          </cell>
          <cell r="K104" t="str">
            <v/>
          </cell>
          <cell r="L104" t="str">
            <v/>
          </cell>
          <cell r="M104" t="str">
            <v/>
          </cell>
          <cell r="N104" t="str">
            <v/>
          </cell>
          <cell r="O104">
            <v>1.4278</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1.4551000000000001</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1.4273</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1.4417</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1.4695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1.4454</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1.4419999999999999</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1.4592000000000001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1.4815</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1.476</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1.4839</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1.4410000000000001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1.4753000000000001</v>
          </cell>
        </row>
        <row r="118">
          <cell r="A118" t="str">
            <v>A04108</v>
          </cell>
          <cell r="B118" t="str">
            <v>134/05/15</v>
          </cell>
          <cell r="C118">
            <v>2.375</v>
          </cell>
          <cell r="D118">
            <v>17.11</v>
          </cell>
          <cell r="E118">
            <v>21.58</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17.27</v>
          </cell>
          <cell r="E119">
            <v>19.940000000000001</v>
          </cell>
          <cell r="F119" t="str">
            <v/>
          </cell>
          <cell r="G119" t="str">
            <v/>
          </cell>
          <cell r="H119" t="str">
            <v/>
          </cell>
          <cell r="I119" t="str">
            <v/>
          </cell>
          <cell r="J119" t="str">
            <v/>
          </cell>
          <cell r="K119" t="str">
            <v/>
          </cell>
          <cell r="L119" t="str">
            <v/>
          </cell>
          <cell r="M119" t="str">
            <v/>
          </cell>
          <cell r="N119" t="str">
            <v/>
          </cell>
          <cell r="O119">
            <v>1.4696</v>
          </cell>
        </row>
        <row r="120">
          <cell r="A120" t="str">
            <v>A04111</v>
          </cell>
          <cell r="B120" t="str">
            <v>134/08/10</v>
          </cell>
          <cell r="C120">
            <v>2.25</v>
          </cell>
          <cell r="D120">
            <v>17.48</v>
          </cell>
          <cell r="E120">
            <v>21.82</v>
          </cell>
          <cell r="F120" t="str">
            <v/>
          </cell>
          <cell r="G120" t="str">
            <v/>
          </cell>
          <cell r="H120" t="str">
            <v/>
          </cell>
          <cell r="I120" t="str">
            <v/>
          </cell>
          <cell r="J120" t="str">
            <v/>
          </cell>
          <cell r="K120" t="str">
            <v/>
          </cell>
          <cell r="L120" t="str">
            <v/>
          </cell>
          <cell r="M120" t="str">
            <v/>
          </cell>
          <cell r="N120" t="str">
            <v/>
          </cell>
          <cell r="O120">
            <v>1.4938</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cell>
          <cell r="O121">
            <v>1.5194000000000001</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1.5152000000000001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1.5296000000000001</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1.5226</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1.542</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1.5523</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1.5628</v>
          </cell>
        </row>
        <row r="128">
          <cell r="A128" t="str">
            <v>A11111</v>
          </cell>
          <cell r="B128" t="str">
            <v>141/11/11</v>
          </cell>
          <cell r="C128">
            <v>2.375</v>
          </cell>
          <cell r="D128">
            <v>21.27</v>
          </cell>
          <cell r="E128">
            <v>29.08</v>
          </cell>
          <cell r="F128">
            <v>1.506</v>
          </cell>
          <cell r="G128">
            <v>1.5049999999999999</v>
          </cell>
          <cell r="H128">
            <v>1.5055000000000001</v>
          </cell>
          <cell r="I128">
            <v>10.5</v>
          </cell>
          <cell r="J128" t="str">
            <v/>
          </cell>
          <cell r="K128" t="str">
            <v/>
          </cell>
          <cell r="L128" t="str">
            <v/>
          </cell>
          <cell r="M128" t="str">
            <v/>
          </cell>
          <cell r="N128" t="str">
            <v/>
          </cell>
          <cell r="O128">
            <v>1.6088</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1.5765</v>
          </cell>
        </row>
        <row r="130">
          <cell r="A130" t="str">
            <v>A11105</v>
          </cell>
          <cell r="B130" t="str">
            <v>141/05/20</v>
          </cell>
          <cell r="C130">
            <v>2</v>
          </cell>
          <cell r="D130">
            <v>21.85</v>
          </cell>
          <cell r="E130">
            <v>28.6</v>
          </cell>
          <cell r="F130">
            <v>1.5009999999999999</v>
          </cell>
          <cell r="G130">
            <v>1.5</v>
          </cell>
          <cell r="H130">
            <v>1.5004999999999999</v>
          </cell>
          <cell r="I130">
            <v>67.5</v>
          </cell>
          <cell r="J130" t="str">
            <v/>
          </cell>
          <cell r="K130" t="str">
            <v/>
          </cell>
          <cell r="L130" t="str">
            <v/>
          </cell>
          <cell r="M130" t="str">
            <v/>
          </cell>
          <cell r="N130" t="str">
            <v/>
          </cell>
          <cell r="O130">
            <v>1.6085</v>
          </cell>
        </row>
        <row r="131">
          <cell r="A131" t="str">
            <v>A08110</v>
          </cell>
          <cell r="B131" t="str">
            <v>138/11/08</v>
          </cell>
          <cell r="C131">
            <v>1</v>
          </cell>
          <cell r="D131">
            <v>22.22</v>
          </cell>
          <cell r="E131">
            <v>26.07</v>
          </cell>
          <cell r="F131" t="str">
            <v/>
          </cell>
          <cell r="G131" t="str">
            <v/>
          </cell>
          <cell r="H131" t="str">
            <v/>
          </cell>
          <cell r="I131" t="str">
            <v/>
          </cell>
          <cell r="J131" t="str">
            <v/>
          </cell>
          <cell r="K131" t="str">
            <v/>
          </cell>
          <cell r="L131" t="str">
            <v/>
          </cell>
          <cell r="M131" t="str">
            <v/>
          </cell>
          <cell r="N131" t="str">
            <v/>
          </cell>
          <cell r="O131">
            <v>1.5873999999999999</v>
          </cell>
        </row>
        <row r="132">
          <cell r="A132" t="str">
            <v>A09105</v>
          </cell>
          <cell r="B132" t="str">
            <v>139/05/12</v>
          </cell>
          <cell r="C132">
            <v>0.75</v>
          </cell>
          <cell r="D132">
            <v>23.39</v>
          </cell>
          <cell r="E132">
            <v>26.57</v>
          </cell>
          <cell r="F132" t="str">
            <v/>
          </cell>
          <cell r="G132" t="str">
            <v/>
          </cell>
          <cell r="H132" t="str">
            <v/>
          </cell>
          <cell r="I132" t="str">
            <v/>
          </cell>
          <cell r="J132" t="str">
            <v/>
          </cell>
          <cell r="K132" t="str">
            <v/>
          </cell>
          <cell r="L132" t="str">
            <v/>
          </cell>
          <cell r="M132" t="str">
            <v/>
          </cell>
          <cell r="N132" t="str">
            <v/>
          </cell>
          <cell r="O132">
            <v>1.6019000000000001</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1.6206</v>
          </cell>
        </row>
        <row r="134">
          <cell r="A134" t="str">
            <v>A12105</v>
          </cell>
          <cell r="B134" t="str">
            <v>142/05/12</v>
          </cell>
          <cell r="C134">
            <v>1.5</v>
          </cell>
          <cell r="D134">
            <v>23.45</v>
          </cell>
          <cell r="E134">
            <v>29.57</v>
          </cell>
          <cell r="F134" t="str">
            <v/>
          </cell>
          <cell r="G134" t="str">
            <v/>
          </cell>
          <cell r="H134" t="str">
            <v/>
          </cell>
          <cell r="I134" t="str">
            <v/>
          </cell>
          <cell r="J134" t="str">
            <v/>
          </cell>
          <cell r="K134" t="str">
            <v/>
          </cell>
          <cell r="L134" t="str">
            <v/>
          </cell>
          <cell r="M134" t="str">
            <v/>
          </cell>
          <cell r="N134" t="str">
            <v/>
          </cell>
          <cell r="O134">
            <v>1.6335</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1.6189</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1.6211</v>
          </cell>
        </row>
        <row r="138">
          <cell r="A138" t="str">
            <v>G102B8</v>
          </cell>
          <cell r="B138" t="str">
            <v>P11玉銀3</v>
          </cell>
          <cell r="C138">
            <v>1.73</v>
          </cell>
          <cell r="D138">
            <v>1.78</v>
          </cell>
          <cell r="E138"/>
          <cell r="F138">
            <v>1.5329999999999999</v>
          </cell>
          <cell r="G138">
            <v>1.53</v>
          </cell>
          <cell r="H138">
            <v>1.5315000000000001</v>
          </cell>
          <cell r="I138">
            <v>4</v>
          </cell>
          <cell r="J138" t="str">
            <v/>
          </cell>
          <cell r="K138" t="str">
            <v/>
          </cell>
          <cell r="L138" t="str">
            <v/>
          </cell>
          <cell r="M138" t="str">
            <v/>
          </cell>
          <cell r="N138" t="str">
            <v/>
          </cell>
          <cell r="O138" t="e">
            <v>#N/A</v>
          </cell>
        </row>
        <row r="139">
          <cell r="A139" t="str">
            <v>G13433</v>
          </cell>
          <cell r="B139" t="str">
            <v>P11輸銀3</v>
          </cell>
          <cell r="C139">
            <v>1.74</v>
          </cell>
          <cell r="D139">
            <v>1.78</v>
          </cell>
          <cell r="E139"/>
          <cell r="F139">
            <v>1.5229999999999999</v>
          </cell>
          <cell r="G139">
            <v>1.52</v>
          </cell>
          <cell r="H139">
            <v>1.5215000000000001</v>
          </cell>
          <cell r="I139">
            <v>4</v>
          </cell>
          <cell r="J139" t="str">
            <v/>
          </cell>
          <cell r="K139" t="str">
            <v/>
          </cell>
          <cell r="L139" t="str">
            <v/>
          </cell>
          <cell r="M139" t="str">
            <v/>
          </cell>
          <cell r="N139" t="str">
            <v/>
          </cell>
          <cell r="O139" t="e">
            <v>#N/A</v>
          </cell>
        </row>
        <row r="140">
          <cell r="A140" t="str">
            <v>B69107</v>
          </cell>
          <cell r="B140" t="str">
            <v>P08和碩1A</v>
          </cell>
          <cell r="C140">
            <v>0.65</v>
          </cell>
          <cell r="D140">
            <v>0.66</v>
          </cell>
          <cell r="E140"/>
          <cell r="F140">
            <v>1.52</v>
          </cell>
          <cell r="G140">
            <v>1.51</v>
          </cell>
          <cell r="H140">
            <v>1.5149999999999999</v>
          </cell>
          <cell r="I140">
            <v>7</v>
          </cell>
          <cell r="J140" t="str">
            <v/>
          </cell>
          <cell r="K140" t="str">
            <v/>
          </cell>
          <cell r="L140" t="str">
            <v/>
          </cell>
          <cell r="M140" t="str">
            <v/>
          </cell>
          <cell r="N140" t="str">
            <v/>
          </cell>
          <cell r="O140" t="e">
            <v>#N/A</v>
          </cell>
        </row>
        <row r="141">
          <cell r="A141" t="str">
            <v>B718A9</v>
          </cell>
          <cell r="B141" t="str">
            <v>P12中油1A</v>
          </cell>
          <cell r="C141">
            <v>3.9</v>
          </cell>
          <cell r="D141">
            <v>4.59</v>
          </cell>
          <cell r="E141"/>
          <cell r="F141">
            <v>1.603</v>
          </cell>
          <cell r="G141">
            <v>1.6</v>
          </cell>
          <cell r="H141">
            <v>1.6014999999999999</v>
          </cell>
          <cell r="I141">
            <v>2</v>
          </cell>
          <cell r="J141" t="str">
            <v/>
          </cell>
          <cell r="K141" t="str">
            <v/>
          </cell>
          <cell r="L141" t="str">
            <v/>
          </cell>
          <cell r="M141" t="str">
            <v/>
          </cell>
          <cell r="N141" t="str">
            <v/>
          </cell>
          <cell r="O141" t="e">
            <v>#N/A</v>
          </cell>
        </row>
        <row r="142">
          <cell r="A142" t="str">
            <v>B718AF</v>
          </cell>
          <cell r="B142" t="str">
            <v>P12中油3A</v>
          </cell>
          <cell r="C142" t="str">
            <v>TWD</v>
          </cell>
          <cell r="D142">
            <v>4.32</v>
          </cell>
          <cell r="E142">
            <v>5</v>
          </cell>
          <cell r="F142">
            <v>1.53</v>
          </cell>
          <cell r="G142">
            <v>1.53</v>
          </cell>
          <cell r="H142">
            <v>1.53</v>
          </cell>
          <cell r="I142">
            <v>5</v>
          </cell>
          <cell r="J142">
            <v>1.53</v>
          </cell>
          <cell r="K142">
            <v>1.53</v>
          </cell>
          <cell r="L142">
            <v>1.53</v>
          </cell>
          <cell r="M142">
            <v>7</v>
          </cell>
          <cell r="N142">
            <v>7</v>
          </cell>
          <cell r="O142" t="e">
            <v>#N/A</v>
          </cell>
        </row>
        <row r="143">
          <cell r="A143" t="str">
            <v>B718AG</v>
          </cell>
          <cell r="B143" t="str">
            <v>P12中油3B</v>
          </cell>
          <cell r="C143" t="str">
            <v>TWD</v>
          </cell>
          <cell r="D143">
            <v>6.13</v>
          </cell>
          <cell r="E143">
            <v>7</v>
          </cell>
          <cell r="F143" t="str">
            <v/>
          </cell>
          <cell r="G143" t="str">
            <v/>
          </cell>
          <cell r="H143" t="str">
            <v/>
          </cell>
          <cell r="I143" t="str">
            <v/>
          </cell>
          <cell r="J143">
            <v>1.59</v>
          </cell>
          <cell r="K143">
            <v>1.59</v>
          </cell>
          <cell r="L143">
            <v>1.59</v>
          </cell>
          <cell r="M143">
            <v>6</v>
          </cell>
          <cell r="N143">
            <v>24</v>
          </cell>
          <cell r="O143" t="e">
            <v>#N/A</v>
          </cell>
        </row>
        <row r="144">
          <cell r="A144" t="str">
            <v>B718AH</v>
          </cell>
          <cell r="B144" t="str">
            <v>P12中油3C</v>
          </cell>
          <cell r="C144" t="str">
            <v>TWD</v>
          </cell>
          <cell r="D144">
            <v>8.7100000000000009</v>
          </cell>
          <cell r="E144">
            <v>10</v>
          </cell>
          <cell r="F144" t="str">
            <v/>
          </cell>
          <cell r="G144" t="str">
            <v/>
          </cell>
          <cell r="H144" t="str">
            <v/>
          </cell>
          <cell r="I144" t="str">
            <v/>
          </cell>
          <cell r="J144">
            <v>1.68</v>
          </cell>
          <cell r="K144">
            <v>1.68</v>
          </cell>
          <cell r="L144">
            <v>1.68</v>
          </cell>
          <cell r="M144">
            <v>13</v>
          </cell>
          <cell r="N144">
            <v>38</v>
          </cell>
          <cell r="O144" t="e">
            <v>#N/A</v>
          </cell>
        </row>
        <row r="145">
          <cell r="A145" t="str">
            <v>B92353</v>
          </cell>
          <cell r="B145" t="str">
            <v>P08遠鼎1</v>
          </cell>
          <cell r="C145" t="str">
            <v>TWD</v>
          </cell>
          <cell r="D145">
            <v>0.96</v>
          </cell>
          <cell r="E145">
            <v>0.97</v>
          </cell>
          <cell r="F145">
            <v>1.59</v>
          </cell>
          <cell r="G145">
            <v>1.59</v>
          </cell>
          <cell r="H145">
            <v>1.59</v>
          </cell>
          <cell r="I145">
            <v>5</v>
          </cell>
          <cell r="J145">
            <v>1.58</v>
          </cell>
          <cell r="K145">
            <v>1.58</v>
          </cell>
          <cell r="L145">
            <v>1.58</v>
          </cell>
          <cell r="M145">
            <v>1</v>
          </cell>
          <cell r="N145">
            <v>5</v>
          </cell>
          <cell r="O145" t="e">
            <v>#N/A</v>
          </cell>
        </row>
        <row r="146">
          <cell r="A146" t="str">
            <v>B97848</v>
          </cell>
          <cell r="B146" t="str">
            <v>P09富邦金1</v>
          </cell>
          <cell r="C146" t="str">
            <v>TWD</v>
          </cell>
          <cell r="D146">
            <v>0.78</v>
          </cell>
          <cell r="E146">
            <v>0.79</v>
          </cell>
          <cell r="F146" t="str">
            <v/>
          </cell>
          <cell r="G146" t="str">
            <v/>
          </cell>
          <cell r="H146" t="str">
            <v/>
          </cell>
          <cell r="I146" t="str">
            <v/>
          </cell>
          <cell r="J146">
            <v>1.51</v>
          </cell>
          <cell r="K146">
            <v>1.5</v>
          </cell>
          <cell r="L146">
            <v>1.5049999999999999</v>
          </cell>
          <cell r="M146">
            <v>4</v>
          </cell>
          <cell r="N146">
            <v>1</v>
          </cell>
          <cell r="O146" t="e">
            <v>#N/A</v>
          </cell>
        </row>
        <row r="147">
          <cell r="A147" t="str">
            <v>B99606</v>
          </cell>
          <cell r="B147" t="str">
            <v>P12國壽2B</v>
          </cell>
          <cell r="C147" t="str">
            <v>TWD</v>
          </cell>
          <cell r="D147">
            <v>11.23</v>
          </cell>
          <cell r="E147">
            <v>14.99</v>
          </cell>
          <cell r="F147" t="str">
            <v/>
          </cell>
          <cell r="G147" t="str">
            <v/>
          </cell>
          <cell r="H147" t="str">
            <v/>
          </cell>
          <cell r="I147" t="str">
            <v/>
          </cell>
          <cell r="J147">
            <v>3.85</v>
          </cell>
          <cell r="K147">
            <v>3.85</v>
          </cell>
          <cell r="L147">
            <v>3.85</v>
          </cell>
          <cell r="M147">
            <v>2</v>
          </cell>
          <cell r="N147">
            <v>0.23499999999999999</v>
          </cell>
          <cell r="O147" t="e">
            <v>#N/A</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32">
    <pageSetUpPr fitToPage="1"/>
  </sheetPr>
  <dimension ref="A1:T358"/>
  <sheetViews>
    <sheetView zoomScale="90" zoomScaleNormal="90" workbookViewId="0">
      <pane xSplit="1" ySplit="3" topLeftCell="B55" activePane="bottomRight" state="frozen"/>
      <selection sqref="A1:P65536"/>
      <selection pane="topRight" sqref="A1:P65536"/>
      <selection pane="bottomLeft" sqref="A1:P65536"/>
      <selection pane="bottomRight" activeCell="A76" sqref="A76:E76"/>
    </sheetView>
  </sheetViews>
  <sheetFormatPr defaultRowHeight="16.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40" customWidth="1"/>
    <col min="18" max="18" width="8.625" style="40" customWidth="1"/>
    <col min="19" max="20" width="11.5" style="43"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c r="F1" s="107" t="s">
        <v>654</v>
      </c>
      <c r="G1" s="108"/>
      <c r="H1" s="108"/>
      <c r="I1" s="109"/>
      <c r="J1" s="107" t="s">
        <v>655</v>
      </c>
      <c r="K1" s="108"/>
      <c r="L1" s="108"/>
      <c r="M1" s="108"/>
      <c r="N1" s="109"/>
      <c r="O1" s="8" t="s">
        <v>656</v>
      </c>
      <c r="Q1" s="110" t="s">
        <v>657</v>
      </c>
      <c r="R1" s="111"/>
      <c r="S1" s="111"/>
      <c r="T1" s="111"/>
    </row>
    <row r="2" spans="1:20" ht="28.5">
      <c r="D2" s="24" t="s">
        <v>658</v>
      </c>
      <c r="E2" s="24" t="s">
        <v>659</v>
      </c>
      <c r="F2" s="112" t="s">
        <v>660</v>
      </c>
      <c r="G2" s="113"/>
      <c r="H2" s="113"/>
      <c r="I2" s="25" t="s">
        <v>661</v>
      </c>
      <c r="J2" s="112" t="s">
        <v>660</v>
      </c>
      <c r="K2" s="113"/>
      <c r="L2" s="113"/>
      <c r="M2" s="25" t="s">
        <v>662</v>
      </c>
      <c r="N2" s="25" t="s">
        <v>661</v>
      </c>
      <c r="O2" s="114" t="s">
        <v>663</v>
      </c>
      <c r="Q2" s="26" t="s">
        <v>664</v>
      </c>
      <c r="R2" s="27"/>
      <c r="S2" s="28"/>
      <c r="T2" s="28"/>
    </row>
    <row r="3" spans="1:20" ht="45.75">
      <c r="B3" s="8" t="s">
        <v>665</v>
      </c>
      <c r="C3" s="8" t="s">
        <v>666</v>
      </c>
      <c r="D3" s="9" t="s">
        <v>98</v>
      </c>
      <c r="E3" s="9" t="s">
        <v>299</v>
      </c>
      <c r="F3" s="29" t="s">
        <v>667</v>
      </c>
      <c r="G3" s="29" t="s">
        <v>668</v>
      </c>
      <c r="H3" s="29" t="s">
        <v>669</v>
      </c>
      <c r="I3" s="30" t="s">
        <v>670</v>
      </c>
      <c r="J3" s="29" t="s">
        <v>667</v>
      </c>
      <c r="K3" s="29" t="s">
        <v>668</v>
      </c>
      <c r="L3" s="29" t="s">
        <v>669</v>
      </c>
      <c r="M3" s="31" t="s">
        <v>301</v>
      </c>
      <c r="N3" s="30" t="s">
        <v>670</v>
      </c>
      <c r="O3" s="114"/>
      <c r="Q3" s="32" t="s">
        <v>671</v>
      </c>
      <c r="R3" s="33" t="s">
        <v>302</v>
      </c>
      <c r="S3" s="34" t="s">
        <v>672</v>
      </c>
      <c r="T3" s="34" t="s">
        <v>303</v>
      </c>
    </row>
    <row r="4" spans="1:20">
      <c r="A4" s="12" t="s">
        <v>36</v>
      </c>
      <c r="B4" s="14" t="s">
        <v>412</v>
      </c>
      <c r="C4" s="12" t="s">
        <v>673</v>
      </c>
      <c r="D4" s="10">
        <v>0.14000000000000001</v>
      </c>
      <c r="E4" s="10">
        <v>0.14000000000000001</v>
      </c>
      <c r="F4" s="10" t="s">
        <v>0</v>
      </c>
      <c r="G4" s="10" t="s">
        <v>0</v>
      </c>
      <c r="H4" s="10" t="s">
        <v>0</v>
      </c>
      <c r="I4" s="35" t="s">
        <v>0</v>
      </c>
      <c r="J4" s="10" t="s">
        <v>0</v>
      </c>
      <c r="K4" s="10" t="s">
        <v>0</v>
      </c>
      <c r="L4" s="10" t="s">
        <v>0</v>
      </c>
      <c r="M4" s="36" t="s">
        <v>0</v>
      </c>
      <c r="N4" s="35" t="s">
        <v>0</v>
      </c>
      <c r="O4" s="35">
        <v>0.99260000000000004</v>
      </c>
      <c r="Q4" s="37" t="s">
        <v>46</v>
      </c>
      <c r="R4" s="37" t="s">
        <v>674</v>
      </c>
      <c r="S4" s="38">
        <v>600000000</v>
      </c>
      <c r="T4" s="38">
        <v>600000000</v>
      </c>
    </row>
    <row r="5" spans="1:20">
      <c r="A5" s="12" t="s">
        <v>27</v>
      </c>
      <c r="B5" s="14" t="s">
        <v>415</v>
      </c>
      <c r="C5" s="12" t="s">
        <v>675</v>
      </c>
      <c r="D5" s="10">
        <v>0.28000000000000003</v>
      </c>
      <c r="E5" s="10">
        <v>0.28000000000000003</v>
      </c>
      <c r="F5" s="10" t="s">
        <v>0</v>
      </c>
      <c r="G5" s="10" t="s">
        <v>0</v>
      </c>
      <c r="H5" s="10" t="s">
        <v>0</v>
      </c>
      <c r="I5" s="35" t="s">
        <v>0</v>
      </c>
      <c r="J5" s="10" t="s">
        <v>0</v>
      </c>
      <c r="K5" s="10" t="s">
        <v>0</v>
      </c>
      <c r="L5" s="10" t="s">
        <v>0</v>
      </c>
      <c r="M5" s="36" t="s">
        <v>0</v>
      </c>
      <c r="N5" s="35" t="s">
        <v>0</v>
      </c>
      <c r="O5" s="35">
        <v>0.99309999999999998</v>
      </c>
      <c r="Q5" s="37" t="s">
        <v>51</v>
      </c>
      <c r="R5" s="37" t="s">
        <v>676</v>
      </c>
      <c r="S5" s="38">
        <v>0</v>
      </c>
      <c r="T5" s="38">
        <v>400000000</v>
      </c>
    </row>
    <row r="6" spans="1:20">
      <c r="A6" s="12" t="s">
        <v>9</v>
      </c>
      <c r="B6" s="14" t="s">
        <v>417</v>
      </c>
      <c r="C6" s="12" t="s">
        <v>677</v>
      </c>
      <c r="D6" s="10">
        <v>0.35</v>
      </c>
      <c r="E6" s="10">
        <v>0.35</v>
      </c>
      <c r="F6" s="10" t="s">
        <v>0</v>
      </c>
      <c r="G6" s="10" t="s">
        <v>0</v>
      </c>
      <c r="H6" s="10" t="s">
        <v>0</v>
      </c>
      <c r="I6" s="35" t="s">
        <v>0</v>
      </c>
      <c r="J6" s="10" t="s">
        <v>0</v>
      </c>
      <c r="K6" s="10" t="s">
        <v>0</v>
      </c>
      <c r="L6" s="10" t="s">
        <v>0</v>
      </c>
      <c r="M6" s="36" t="s">
        <v>0</v>
      </c>
      <c r="N6" s="35" t="s">
        <v>0</v>
      </c>
      <c r="O6" s="35">
        <v>0.99470000000000003</v>
      </c>
      <c r="Q6" s="12" t="s">
        <v>0</v>
      </c>
      <c r="R6" s="12" t="s">
        <v>678</v>
      </c>
      <c r="S6" s="39">
        <v>400000000</v>
      </c>
      <c r="T6" s="39">
        <v>0</v>
      </c>
    </row>
    <row r="7" spans="1:20">
      <c r="A7" s="12" t="s">
        <v>51</v>
      </c>
      <c r="B7" s="14" t="s">
        <v>419</v>
      </c>
      <c r="C7" s="12" t="s">
        <v>679</v>
      </c>
      <c r="D7" s="10">
        <v>0.41</v>
      </c>
      <c r="E7" s="10">
        <v>0.41</v>
      </c>
      <c r="F7" s="10">
        <v>0.91500000000000004</v>
      </c>
      <c r="G7" s="10">
        <v>0.91500000000000004</v>
      </c>
      <c r="H7" s="10">
        <v>0.91500000000000004</v>
      </c>
      <c r="I7" s="35">
        <v>4</v>
      </c>
      <c r="J7" s="10">
        <v>0.90500000000000003</v>
      </c>
      <c r="K7" s="10">
        <v>0.90500000000000003</v>
      </c>
      <c r="L7" s="10">
        <v>0.90500000000000003</v>
      </c>
      <c r="M7" s="36">
        <v>1</v>
      </c>
      <c r="N7" s="35">
        <v>4</v>
      </c>
      <c r="O7" s="35">
        <v>0.99619999999999997</v>
      </c>
      <c r="Q7" s="37" t="s">
        <v>321</v>
      </c>
      <c r="R7" s="37" t="s">
        <v>674</v>
      </c>
      <c r="S7" s="38">
        <v>350000000</v>
      </c>
      <c r="T7" s="38">
        <v>250000000</v>
      </c>
    </row>
    <row r="8" spans="1:20">
      <c r="A8" s="12" t="s">
        <v>229</v>
      </c>
      <c r="B8" s="14" t="s">
        <v>421</v>
      </c>
      <c r="C8" s="12" t="s">
        <v>680</v>
      </c>
      <c r="D8" s="10">
        <v>0.48</v>
      </c>
      <c r="E8" s="10">
        <v>0.49</v>
      </c>
      <c r="F8" s="10" t="s">
        <v>0</v>
      </c>
      <c r="G8" s="10" t="s">
        <v>0</v>
      </c>
      <c r="H8" s="10" t="s">
        <v>0</v>
      </c>
      <c r="I8" s="35" t="s">
        <v>0</v>
      </c>
      <c r="J8" s="10" t="s">
        <v>0</v>
      </c>
      <c r="K8" s="10" t="s">
        <v>0</v>
      </c>
      <c r="L8" s="10" t="s">
        <v>0</v>
      </c>
      <c r="M8" s="36" t="s">
        <v>0</v>
      </c>
      <c r="N8" s="35" t="s">
        <v>0</v>
      </c>
      <c r="O8" s="35">
        <v>0.99819999999999998</v>
      </c>
      <c r="Q8" s="12" t="s">
        <v>0</v>
      </c>
      <c r="R8" s="12" t="s">
        <v>676</v>
      </c>
      <c r="S8" s="39">
        <v>0</v>
      </c>
      <c r="T8" s="39">
        <v>100000000</v>
      </c>
    </row>
    <row r="9" spans="1:20">
      <c r="A9" s="12" t="s">
        <v>5</v>
      </c>
      <c r="B9" s="14" t="s">
        <v>423</v>
      </c>
      <c r="C9" s="12" t="s">
        <v>681</v>
      </c>
      <c r="D9" s="10">
        <v>0.78</v>
      </c>
      <c r="E9" s="10">
        <v>0.79</v>
      </c>
      <c r="F9" s="10" t="s">
        <v>0</v>
      </c>
      <c r="G9" s="10" t="s">
        <v>0</v>
      </c>
      <c r="H9" s="10" t="s">
        <v>0</v>
      </c>
      <c r="I9" s="35" t="s">
        <v>0</v>
      </c>
      <c r="J9" s="10" t="s">
        <v>0</v>
      </c>
      <c r="K9" s="10" t="s">
        <v>0</v>
      </c>
      <c r="L9" s="10" t="s">
        <v>0</v>
      </c>
      <c r="M9" s="36" t="s">
        <v>0</v>
      </c>
      <c r="N9" s="35" t="s">
        <v>0</v>
      </c>
      <c r="O9" s="35">
        <v>1.006</v>
      </c>
      <c r="Q9" s="37" t="s">
        <v>541</v>
      </c>
      <c r="R9" s="37" t="s">
        <v>674</v>
      </c>
      <c r="S9" s="38">
        <v>6000000000</v>
      </c>
      <c r="T9" s="38">
        <v>0</v>
      </c>
    </row>
    <row r="10" spans="1:20">
      <c r="A10" s="12" t="s">
        <v>41</v>
      </c>
      <c r="B10" s="14" t="s">
        <v>425</v>
      </c>
      <c r="C10" s="12" t="s">
        <v>682</v>
      </c>
      <c r="D10" s="10">
        <v>0.97</v>
      </c>
      <c r="E10" s="10">
        <v>0.98</v>
      </c>
      <c r="F10" s="10" t="s">
        <v>0</v>
      </c>
      <c r="G10" s="10" t="s">
        <v>0</v>
      </c>
      <c r="H10" s="10" t="s">
        <v>0</v>
      </c>
      <c r="I10" s="35" t="s">
        <v>0</v>
      </c>
      <c r="J10" s="10" t="s">
        <v>0</v>
      </c>
      <c r="K10" s="10" t="s">
        <v>0</v>
      </c>
      <c r="L10" s="10" t="s">
        <v>0</v>
      </c>
      <c r="M10" s="36" t="s">
        <v>0</v>
      </c>
      <c r="N10" s="35" t="s">
        <v>0</v>
      </c>
      <c r="O10" s="35">
        <v>1.0105999999999999</v>
      </c>
      <c r="Q10" s="12" t="s">
        <v>0</v>
      </c>
      <c r="R10" s="12" t="s">
        <v>683</v>
      </c>
      <c r="S10" s="39">
        <v>0</v>
      </c>
      <c r="T10" s="39">
        <v>1000000000</v>
      </c>
    </row>
    <row r="11" spans="1:20">
      <c r="A11" s="12" t="s">
        <v>10</v>
      </c>
      <c r="B11" s="14" t="s">
        <v>427</v>
      </c>
      <c r="C11" s="12" t="s">
        <v>684</v>
      </c>
      <c r="D11" s="10">
        <v>1.08</v>
      </c>
      <c r="E11" s="10">
        <v>1.1299999999999999</v>
      </c>
      <c r="F11" s="10" t="s">
        <v>0</v>
      </c>
      <c r="G11" s="10" t="s">
        <v>0</v>
      </c>
      <c r="H11" s="10" t="s">
        <v>0</v>
      </c>
      <c r="I11" s="35" t="s">
        <v>0</v>
      </c>
      <c r="J11" s="10" t="s">
        <v>0</v>
      </c>
      <c r="K11" s="10" t="s">
        <v>0</v>
      </c>
      <c r="L11" s="10" t="s">
        <v>0</v>
      </c>
      <c r="M11" s="36" t="s">
        <v>0</v>
      </c>
      <c r="N11" s="35" t="s">
        <v>0</v>
      </c>
      <c r="O11" s="35">
        <v>1.0136000000000001</v>
      </c>
      <c r="Q11" s="12" t="s">
        <v>0</v>
      </c>
      <c r="R11" s="12" t="s">
        <v>678</v>
      </c>
      <c r="S11" s="39">
        <v>0</v>
      </c>
      <c r="T11" s="39">
        <v>5000000000</v>
      </c>
    </row>
    <row r="12" spans="1:20">
      <c r="A12" s="12" t="s">
        <v>227</v>
      </c>
      <c r="B12" s="14" t="s">
        <v>429</v>
      </c>
      <c r="C12" s="12" t="s">
        <v>685</v>
      </c>
      <c r="D12" s="10">
        <v>1.25</v>
      </c>
      <c r="E12" s="10">
        <v>1.27</v>
      </c>
      <c r="F12" s="10" t="s">
        <v>0</v>
      </c>
      <c r="G12" s="10" t="s">
        <v>0</v>
      </c>
      <c r="H12" s="10" t="s">
        <v>0</v>
      </c>
      <c r="I12" s="35" t="s">
        <v>0</v>
      </c>
      <c r="J12" s="10" t="s">
        <v>0</v>
      </c>
      <c r="K12" s="10" t="s">
        <v>0</v>
      </c>
      <c r="L12" s="10" t="s">
        <v>0</v>
      </c>
      <c r="M12" s="36" t="s">
        <v>0</v>
      </c>
      <c r="N12" s="35" t="s">
        <v>0</v>
      </c>
      <c r="O12" s="35">
        <v>1.0167999999999999</v>
      </c>
      <c r="Q12" s="37" t="s">
        <v>686</v>
      </c>
      <c r="R12" s="37" t="s">
        <v>674</v>
      </c>
      <c r="S12" s="38">
        <v>100000000</v>
      </c>
      <c r="T12" s="38">
        <v>0</v>
      </c>
    </row>
    <row r="13" spans="1:20">
      <c r="A13" s="12" t="s">
        <v>7</v>
      </c>
      <c r="B13" s="14" t="s">
        <v>431</v>
      </c>
      <c r="C13" s="12" t="s">
        <v>687</v>
      </c>
      <c r="D13" s="10">
        <v>1.36</v>
      </c>
      <c r="E13" s="10">
        <v>1.4</v>
      </c>
      <c r="F13" s="10" t="s">
        <v>0</v>
      </c>
      <c r="G13" s="10" t="s">
        <v>0</v>
      </c>
      <c r="H13" s="10" t="s">
        <v>0</v>
      </c>
      <c r="I13" s="35" t="s">
        <v>0</v>
      </c>
      <c r="J13" s="10" t="s">
        <v>0</v>
      </c>
      <c r="K13" s="10" t="s">
        <v>0</v>
      </c>
      <c r="L13" s="10" t="s">
        <v>0</v>
      </c>
      <c r="M13" s="36" t="s">
        <v>0</v>
      </c>
      <c r="N13" s="35" t="s">
        <v>0</v>
      </c>
      <c r="O13" s="35">
        <v>1.0196000000000001</v>
      </c>
      <c r="Q13" s="12" t="s">
        <v>0</v>
      </c>
      <c r="R13" s="12" t="s">
        <v>678</v>
      </c>
      <c r="S13" s="39">
        <v>0</v>
      </c>
      <c r="T13" s="39">
        <v>100000000</v>
      </c>
    </row>
    <row r="14" spans="1:20">
      <c r="A14" s="12" t="s">
        <v>269</v>
      </c>
      <c r="B14" s="14" t="s">
        <v>433</v>
      </c>
      <c r="C14" s="12" t="s">
        <v>688</v>
      </c>
      <c r="D14" s="10">
        <v>1.37</v>
      </c>
      <c r="E14" s="10">
        <v>1.39</v>
      </c>
      <c r="F14" s="10" t="s">
        <v>0</v>
      </c>
      <c r="G14" s="10" t="s">
        <v>0</v>
      </c>
      <c r="H14" s="10" t="s">
        <v>0</v>
      </c>
      <c r="I14" s="35" t="s">
        <v>0</v>
      </c>
      <c r="J14" s="10" t="s">
        <v>0</v>
      </c>
      <c r="K14" s="10" t="s">
        <v>0</v>
      </c>
      <c r="L14" s="10" t="s">
        <v>0</v>
      </c>
      <c r="M14" s="36" t="s">
        <v>0</v>
      </c>
      <c r="N14" s="35" t="s">
        <v>0</v>
      </c>
      <c r="O14" s="35">
        <v>1.0195000000000001</v>
      </c>
      <c r="Q14" s="37" t="s">
        <v>689</v>
      </c>
      <c r="R14" s="37" t="s">
        <v>674</v>
      </c>
      <c r="S14" s="38">
        <v>0</v>
      </c>
      <c r="T14" s="38">
        <v>100000000</v>
      </c>
    </row>
    <row r="15" spans="1:20">
      <c r="A15" s="12" t="s">
        <v>31</v>
      </c>
      <c r="B15" s="14" t="s">
        <v>435</v>
      </c>
      <c r="C15" s="12" t="s">
        <v>690</v>
      </c>
      <c r="D15" s="10">
        <v>1.41</v>
      </c>
      <c r="E15" s="10">
        <v>1.44</v>
      </c>
      <c r="F15" s="10" t="s">
        <v>0</v>
      </c>
      <c r="G15" s="10" t="s">
        <v>0</v>
      </c>
      <c r="H15" s="10" t="s">
        <v>0</v>
      </c>
      <c r="I15" s="35" t="s">
        <v>0</v>
      </c>
      <c r="J15" s="10" t="s">
        <v>0</v>
      </c>
      <c r="K15" s="10" t="s">
        <v>0</v>
      </c>
      <c r="L15" s="10" t="s">
        <v>0</v>
      </c>
      <c r="M15" s="36" t="s">
        <v>0</v>
      </c>
      <c r="N15" s="35" t="s">
        <v>0</v>
      </c>
      <c r="O15" s="35">
        <v>1.0207999999999999</v>
      </c>
      <c r="Q15" s="12" t="s">
        <v>0</v>
      </c>
      <c r="R15" s="12" t="s">
        <v>678</v>
      </c>
      <c r="S15" s="39">
        <v>100000000</v>
      </c>
      <c r="T15" s="39">
        <v>0</v>
      </c>
    </row>
    <row r="16" spans="1:20">
      <c r="A16" s="12" t="s">
        <v>230</v>
      </c>
      <c r="B16" s="14" t="s">
        <v>437</v>
      </c>
      <c r="C16" s="12" t="s">
        <v>691</v>
      </c>
      <c r="D16" s="10">
        <v>1.76</v>
      </c>
      <c r="E16" s="10">
        <v>1.79</v>
      </c>
      <c r="F16" s="10" t="s">
        <v>0</v>
      </c>
      <c r="G16" s="10" t="s">
        <v>0</v>
      </c>
      <c r="H16" s="10" t="s">
        <v>0</v>
      </c>
      <c r="I16" s="35" t="s">
        <v>0</v>
      </c>
      <c r="J16" s="10" t="s">
        <v>0</v>
      </c>
      <c r="K16" s="10" t="s">
        <v>0</v>
      </c>
      <c r="L16" s="10" t="s">
        <v>0</v>
      </c>
      <c r="M16" s="36" t="s">
        <v>0</v>
      </c>
      <c r="N16" s="35" t="s">
        <v>0</v>
      </c>
      <c r="O16" s="35">
        <v>1.0308999999999999</v>
      </c>
      <c r="Q16" s="37" t="s">
        <v>352</v>
      </c>
      <c r="R16" s="37" t="s">
        <v>676</v>
      </c>
      <c r="S16" s="38">
        <v>0</v>
      </c>
      <c r="T16" s="38">
        <v>100000000</v>
      </c>
    </row>
    <row r="17" spans="1:20">
      <c r="A17" s="12" t="s">
        <v>37</v>
      </c>
      <c r="B17" s="14" t="s">
        <v>439</v>
      </c>
      <c r="C17" s="12" t="s">
        <v>692</v>
      </c>
      <c r="D17" s="10">
        <v>1.91</v>
      </c>
      <c r="E17" s="10">
        <v>1.94</v>
      </c>
      <c r="F17" s="10" t="s">
        <v>0</v>
      </c>
      <c r="G17" s="10" t="s">
        <v>0</v>
      </c>
      <c r="H17" s="10" t="s">
        <v>0</v>
      </c>
      <c r="I17" s="35" t="s">
        <v>0</v>
      </c>
      <c r="J17" s="10" t="s">
        <v>0</v>
      </c>
      <c r="K17" s="10" t="s">
        <v>0</v>
      </c>
      <c r="L17" s="10" t="s">
        <v>0</v>
      </c>
      <c r="M17" s="36" t="s">
        <v>0</v>
      </c>
      <c r="N17" s="35" t="s">
        <v>0</v>
      </c>
      <c r="O17" s="35">
        <v>1.0363</v>
      </c>
      <c r="Q17" s="12" t="s">
        <v>0</v>
      </c>
      <c r="R17" s="12" t="s">
        <v>678</v>
      </c>
      <c r="S17" s="39">
        <v>100000000</v>
      </c>
      <c r="T17" s="39">
        <v>0</v>
      </c>
    </row>
    <row r="18" spans="1:20">
      <c r="A18" s="12" t="s">
        <v>231</v>
      </c>
      <c r="B18" s="14" t="s">
        <v>441</v>
      </c>
      <c r="C18" s="12" t="s">
        <v>693</v>
      </c>
      <c r="D18" s="10">
        <v>2.15</v>
      </c>
      <c r="E18" s="10">
        <v>2.1800000000000002</v>
      </c>
      <c r="F18" s="10" t="s">
        <v>0</v>
      </c>
      <c r="G18" s="10" t="s">
        <v>0</v>
      </c>
      <c r="H18" s="10" t="s">
        <v>0</v>
      </c>
      <c r="I18" s="35" t="s">
        <v>0</v>
      </c>
      <c r="J18" s="10" t="s">
        <v>0</v>
      </c>
      <c r="K18" s="10" t="s">
        <v>0</v>
      </c>
      <c r="L18" s="10" t="s">
        <v>0</v>
      </c>
      <c r="M18" s="36" t="s">
        <v>0</v>
      </c>
      <c r="N18" s="35" t="s">
        <v>0</v>
      </c>
      <c r="O18" s="35">
        <v>1.0465</v>
      </c>
      <c r="Q18" s="37" t="s">
        <v>694</v>
      </c>
      <c r="R18" s="37" t="s">
        <v>674</v>
      </c>
      <c r="S18" s="38">
        <v>100000000</v>
      </c>
      <c r="T18" s="38">
        <v>0</v>
      </c>
    </row>
    <row r="19" spans="1:20">
      <c r="A19" s="12" t="s">
        <v>232</v>
      </c>
      <c r="B19" s="14" t="s">
        <v>443</v>
      </c>
      <c r="C19" s="12" t="s">
        <v>695</v>
      </c>
      <c r="D19" s="10">
        <v>2.25</v>
      </c>
      <c r="E19" s="10">
        <v>2.2799999999999998</v>
      </c>
      <c r="F19" s="10" t="s">
        <v>0</v>
      </c>
      <c r="G19" s="10" t="s">
        <v>0</v>
      </c>
      <c r="H19" s="10" t="s">
        <v>0</v>
      </c>
      <c r="I19" s="35" t="s">
        <v>0</v>
      </c>
      <c r="J19" s="10" t="s">
        <v>0</v>
      </c>
      <c r="K19" s="10" t="s">
        <v>0</v>
      </c>
      <c r="L19" s="10" t="s">
        <v>0</v>
      </c>
      <c r="M19" s="36" t="s">
        <v>0</v>
      </c>
      <c r="N19" s="35" t="s">
        <v>0</v>
      </c>
      <c r="O19" s="35">
        <v>1.0511999999999999</v>
      </c>
      <c r="Q19" s="12" t="s">
        <v>0</v>
      </c>
      <c r="R19" s="12" t="s">
        <v>678</v>
      </c>
      <c r="S19" s="39">
        <v>0</v>
      </c>
      <c r="T19" s="39">
        <v>100000000</v>
      </c>
    </row>
    <row r="20" spans="1:20">
      <c r="A20" s="12" t="s">
        <v>8</v>
      </c>
      <c r="B20" s="14" t="s">
        <v>388</v>
      </c>
      <c r="C20" s="12" t="s">
        <v>696</v>
      </c>
      <c r="D20" s="10">
        <v>2.31</v>
      </c>
      <c r="E20" s="10">
        <v>2.39</v>
      </c>
      <c r="F20" s="10" t="s">
        <v>0</v>
      </c>
      <c r="G20" s="10" t="s">
        <v>0</v>
      </c>
      <c r="H20" s="10" t="s">
        <v>0</v>
      </c>
      <c r="I20" s="35" t="s">
        <v>0</v>
      </c>
      <c r="J20" s="10" t="s">
        <v>0</v>
      </c>
      <c r="K20" s="10" t="s">
        <v>0</v>
      </c>
      <c r="L20" s="10" t="s">
        <v>0</v>
      </c>
      <c r="M20" s="36" t="s">
        <v>0</v>
      </c>
      <c r="N20" s="35" t="s">
        <v>0</v>
      </c>
      <c r="O20" s="35">
        <v>1.0566</v>
      </c>
      <c r="Q20" s="37" t="s">
        <v>697</v>
      </c>
      <c r="R20" s="37" t="s">
        <v>674</v>
      </c>
      <c r="S20" s="38">
        <v>300000000</v>
      </c>
      <c r="T20" s="38">
        <v>0</v>
      </c>
    </row>
    <row r="21" spans="1:20">
      <c r="A21" s="12" t="s">
        <v>58</v>
      </c>
      <c r="B21" s="14" t="s">
        <v>365</v>
      </c>
      <c r="C21" s="12" t="s">
        <v>698</v>
      </c>
      <c r="D21" s="10">
        <v>2.37</v>
      </c>
      <c r="E21" s="10">
        <v>2.42</v>
      </c>
      <c r="F21" s="10" t="s">
        <v>0</v>
      </c>
      <c r="G21" s="10" t="s">
        <v>0</v>
      </c>
      <c r="H21" s="10" t="s">
        <v>0</v>
      </c>
      <c r="I21" s="35" t="s">
        <v>0</v>
      </c>
      <c r="J21" s="10" t="s">
        <v>0</v>
      </c>
      <c r="K21" s="10" t="s">
        <v>0</v>
      </c>
      <c r="L21" s="10" t="s">
        <v>0</v>
      </c>
      <c r="M21" s="36" t="s">
        <v>0</v>
      </c>
      <c r="N21" s="35" t="s">
        <v>0</v>
      </c>
      <c r="O21" s="35">
        <v>1.0582</v>
      </c>
      <c r="Q21" s="12" t="s">
        <v>0</v>
      </c>
      <c r="R21" s="12" t="s">
        <v>678</v>
      </c>
      <c r="S21" s="39">
        <v>0</v>
      </c>
      <c r="T21" s="39">
        <v>300000000</v>
      </c>
    </row>
    <row r="22" spans="1:20">
      <c r="A22" s="12" t="s">
        <v>233</v>
      </c>
      <c r="B22" s="14" t="s">
        <v>381</v>
      </c>
      <c r="C22" s="12" t="s">
        <v>699</v>
      </c>
      <c r="D22" s="10">
        <v>2.78</v>
      </c>
      <c r="E22" s="10">
        <v>2.82</v>
      </c>
      <c r="F22" s="10" t="s">
        <v>0</v>
      </c>
      <c r="G22" s="10" t="s">
        <v>0</v>
      </c>
      <c r="H22" s="10" t="s">
        <v>0</v>
      </c>
      <c r="I22" s="35" t="s">
        <v>0</v>
      </c>
      <c r="J22" s="10" t="s">
        <v>0</v>
      </c>
      <c r="K22" s="10" t="s">
        <v>0</v>
      </c>
      <c r="L22" s="10" t="s">
        <v>0</v>
      </c>
      <c r="M22" s="36" t="s">
        <v>0</v>
      </c>
      <c r="N22" s="35" t="s">
        <v>0</v>
      </c>
      <c r="O22" s="35">
        <v>1.0818000000000001</v>
      </c>
      <c r="Q22" s="37" t="s">
        <v>700</v>
      </c>
      <c r="R22" s="37" t="s">
        <v>676</v>
      </c>
      <c r="S22" s="38">
        <v>400000000</v>
      </c>
      <c r="T22" s="38">
        <v>0</v>
      </c>
    </row>
    <row r="23" spans="1:20">
      <c r="A23" s="12" t="s">
        <v>55</v>
      </c>
      <c r="B23" s="14" t="s">
        <v>367</v>
      </c>
      <c r="C23" s="12" t="s">
        <v>701</v>
      </c>
      <c r="D23" s="10">
        <v>2.88</v>
      </c>
      <c r="E23" s="10">
        <v>2.93</v>
      </c>
      <c r="F23" s="10" t="s">
        <v>0</v>
      </c>
      <c r="G23" s="10" t="s">
        <v>0</v>
      </c>
      <c r="H23" s="10" t="s">
        <v>0</v>
      </c>
      <c r="I23" s="35" t="s">
        <v>0</v>
      </c>
      <c r="J23" s="10" t="s">
        <v>0</v>
      </c>
      <c r="K23" s="10" t="s">
        <v>0</v>
      </c>
      <c r="L23" s="10" t="s">
        <v>0</v>
      </c>
      <c r="M23" s="36" t="s">
        <v>0</v>
      </c>
      <c r="N23" s="35" t="s">
        <v>0</v>
      </c>
      <c r="O23" s="35">
        <v>1.0882000000000001</v>
      </c>
      <c r="Q23" s="13" t="s">
        <v>0</v>
      </c>
      <c r="R23" s="13" t="s">
        <v>678</v>
      </c>
      <c r="S23" s="46">
        <v>0</v>
      </c>
      <c r="T23" s="46">
        <v>400000000</v>
      </c>
    </row>
    <row r="24" spans="1:20">
      <c r="A24" s="12" t="s">
        <v>11</v>
      </c>
      <c r="B24" s="14" t="s">
        <v>449</v>
      </c>
      <c r="C24" s="12" t="s">
        <v>702</v>
      </c>
      <c r="D24" s="10">
        <v>2.95</v>
      </c>
      <c r="E24" s="10">
        <v>3.1</v>
      </c>
      <c r="F24" s="10" t="s">
        <v>0</v>
      </c>
      <c r="G24" s="10" t="s">
        <v>0</v>
      </c>
      <c r="H24" s="10" t="s">
        <v>0</v>
      </c>
      <c r="I24" s="35" t="s">
        <v>0</v>
      </c>
      <c r="J24" s="10" t="s">
        <v>0</v>
      </c>
      <c r="K24" s="10" t="s">
        <v>0</v>
      </c>
      <c r="L24" s="10" t="s">
        <v>0</v>
      </c>
      <c r="M24" s="36" t="s">
        <v>0</v>
      </c>
      <c r="N24" s="35" t="s">
        <v>0</v>
      </c>
      <c r="O24" s="35">
        <v>1.0976999999999999</v>
      </c>
      <c r="S24" s="41"/>
      <c r="T24" s="41"/>
    </row>
    <row r="25" spans="1:20">
      <c r="A25" s="12" t="s">
        <v>12</v>
      </c>
      <c r="B25" s="14" t="s">
        <v>451</v>
      </c>
      <c r="C25" s="12" t="s">
        <v>703</v>
      </c>
      <c r="D25" s="10">
        <v>3.21</v>
      </c>
      <c r="E25" s="10">
        <v>3.37</v>
      </c>
      <c r="F25" s="10" t="s">
        <v>0</v>
      </c>
      <c r="G25" s="10" t="s">
        <v>0</v>
      </c>
      <c r="H25" s="10" t="s">
        <v>0</v>
      </c>
      <c r="I25" s="35" t="s">
        <v>0</v>
      </c>
      <c r="J25" s="10" t="s">
        <v>0</v>
      </c>
      <c r="K25" s="10" t="s">
        <v>0</v>
      </c>
      <c r="L25" s="10" t="s">
        <v>0</v>
      </c>
      <c r="M25" s="36" t="s">
        <v>0</v>
      </c>
      <c r="N25" s="35" t="s">
        <v>0</v>
      </c>
      <c r="O25" s="35">
        <v>1.1129</v>
      </c>
      <c r="Q25" s="42"/>
      <c r="R25" s="42"/>
      <c r="S25" s="42"/>
      <c r="T25" s="42"/>
    </row>
    <row r="26" spans="1:20">
      <c r="A26" s="12" t="s">
        <v>32</v>
      </c>
      <c r="B26" s="14" t="s">
        <v>368</v>
      </c>
      <c r="C26" s="12" t="s">
        <v>704</v>
      </c>
      <c r="D26" s="10">
        <v>3.3</v>
      </c>
      <c r="E26" s="10">
        <v>3.41</v>
      </c>
      <c r="F26" s="10" t="s">
        <v>0</v>
      </c>
      <c r="G26" s="10" t="s">
        <v>0</v>
      </c>
      <c r="H26" s="10" t="s">
        <v>0</v>
      </c>
      <c r="I26" s="35" t="s">
        <v>0</v>
      </c>
      <c r="J26" s="10" t="s">
        <v>0</v>
      </c>
      <c r="K26" s="10" t="s">
        <v>0</v>
      </c>
      <c r="L26" s="10" t="s">
        <v>0</v>
      </c>
      <c r="M26" s="36" t="s">
        <v>0</v>
      </c>
      <c r="N26" s="35" t="s">
        <v>0</v>
      </c>
      <c r="O26" s="35">
        <v>1.1160000000000001</v>
      </c>
    </row>
    <row r="27" spans="1:20">
      <c r="A27" s="12" t="s">
        <v>234</v>
      </c>
      <c r="B27" s="14" t="s">
        <v>384</v>
      </c>
      <c r="C27" s="12" t="s">
        <v>705</v>
      </c>
      <c r="D27" s="10">
        <v>3.32</v>
      </c>
      <c r="E27" s="10">
        <v>3.39</v>
      </c>
      <c r="F27" s="10" t="s">
        <v>0</v>
      </c>
      <c r="G27" s="10" t="s">
        <v>0</v>
      </c>
      <c r="H27" s="10" t="s">
        <v>0</v>
      </c>
      <c r="I27" s="35" t="s">
        <v>0</v>
      </c>
      <c r="J27" s="10" t="s">
        <v>0</v>
      </c>
      <c r="K27" s="10" t="s">
        <v>0</v>
      </c>
      <c r="L27" s="10" t="s">
        <v>0</v>
      </c>
      <c r="M27" s="36" t="s">
        <v>0</v>
      </c>
      <c r="N27" s="35" t="s">
        <v>0</v>
      </c>
      <c r="O27" s="35">
        <v>1.1157999999999999</v>
      </c>
    </row>
    <row r="28" spans="1:20">
      <c r="A28" s="12" t="s">
        <v>218</v>
      </c>
      <c r="B28" s="14" t="s">
        <v>455</v>
      </c>
      <c r="C28" s="12" t="s">
        <v>706</v>
      </c>
      <c r="D28" s="10">
        <v>3.62</v>
      </c>
      <c r="E28" s="10">
        <v>3.72</v>
      </c>
      <c r="F28" s="10" t="s">
        <v>0</v>
      </c>
      <c r="G28" s="10" t="s">
        <v>0</v>
      </c>
      <c r="H28" s="10" t="s">
        <v>0</v>
      </c>
      <c r="I28" s="35" t="s">
        <v>0</v>
      </c>
      <c r="J28" s="10" t="s">
        <v>0</v>
      </c>
      <c r="K28" s="10" t="s">
        <v>0</v>
      </c>
      <c r="L28" s="10" t="s">
        <v>0</v>
      </c>
      <c r="M28" s="36" t="s">
        <v>0</v>
      </c>
      <c r="N28" s="35" t="s">
        <v>0</v>
      </c>
      <c r="O28" s="35">
        <v>1.1324000000000001</v>
      </c>
    </row>
    <row r="29" spans="1:20">
      <c r="A29" s="12" t="s">
        <v>13</v>
      </c>
      <c r="B29" s="14" t="s">
        <v>389</v>
      </c>
      <c r="C29" s="12" t="s">
        <v>707</v>
      </c>
      <c r="D29" s="10">
        <v>3.81</v>
      </c>
      <c r="E29" s="10">
        <v>4.12</v>
      </c>
      <c r="F29" s="10" t="s">
        <v>0</v>
      </c>
      <c r="G29" s="10" t="s">
        <v>0</v>
      </c>
      <c r="H29" s="10" t="s">
        <v>0</v>
      </c>
      <c r="I29" s="35" t="s">
        <v>0</v>
      </c>
      <c r="J29" s="10" t="s">
        <v>0</v>
      </c>
      <c r="K29" s="10" t="s">
        <v>0</v>
      </c>
      <c r="L29" s="10" t="s">
        <v>0</v>
      </c>
      <c r="M29" s="36" t="s">
        <v>0</v>
      </c>
      <c r="N29" s="35" t="s">
        <v>0</v>
      </c>
      <c r="O29" s="35">
        <v>1.1474</v>
      </c>
    </row>
    <row r="30" spans="1:20">
      <c r="A30" s="12" t="s">
        <v>256</v>
      </c>
      <c r="B30" s="14" t="s">
        <v>458</v>
      </c>
      <c r="C30" s="12" t="s">
        <v>708</v>
      </c>
      <c r="D30" s="10">
        <v>3.85</v>
      </c>
      <c r="E30" s="10">
        <v>3.97</v>
      </c>
      <c r="F30" s="10" t="s">
        <v>0</v>
      </c>
      <c r="G30" s="10" t="s">
        <v>0</v>
      </c>
      <c r="H30" s="10" t="s">
        <v>0</v>
      </c>
      <c r="I30" s="35" t="s">
        <v>0</v>
      </c>
      <c r="J30" s="10" t="s">
        <v>0</v>
      </c>
      <c r="K30" s="10" t="s">
        <v>0</v>
      </c>
      <c r="L30" s="10" t="s">
        <v>0</v>
      </c>
      <c r="M30" s="36" t="s">
        <v>0</v>
      </c>
      <c r="N30" s="35" t="s">
        <v>0</v>
      </c>
      <c r="O30" s="35">
        <v>1.1436999999999999</v>
      </c>
    </row>
    <row r="31" spans="1:20">
      <c r="A31" s="12" t="s">
        <v>1</v>
      </c>
      <c r="B31" s="14" t="s">
        <v>369</v>
      </c>
      <c r="C31" s="12" t="s">
        <v>709</v>
      </c>
      <c r="D31" s="10">
        <v>3.86</v>
      </c>
      <c r="E31" s="10">
        <v>3.96</v>
      </c>
      <c r="F31" s="10" t="s">
        <v>0</v>
      </c>
      <c r="G31" s="10" t="s">
        <v>0</v>
      </c>
      <c r="H31" s="10" t="s">
        <v>0</v>
      </c>
      <c r="I31" s="35" t="s">
        <v>0</v>
      </c>
      <c r="J31" s="10" t="s">
        <v>0</v>
      </c>
      <c r="K31" s="10" t="s">
        <v>0</v>
      </c>
      <c r="L31" s="10" t="s">
        <v>0</v>
      </c>
      <c r="M31" s="36" t="s">
        <v>0</v>
      </c>
      <c r="N31" s="35" t="s">
        <v>0</v>
      </c>
      <c r="O31" s="35">
        <v>1.1435999999999999</v>
      </c>
    </row>
    <row r="32" spans="1:20">
      <c r="A32" s="12" t="s">
        <v>59</v>
      </c>
      <c r="B32" s="14" t="s">
        <v>461</v>
      </c>
      <c r="C32" s="12" t="s">
        <v>710</v>
      </c>
      <c r="D32" s="10">
        <v>4.09</v>
      </c>
      <c r="E32" s="10">
        <v>4.2699999999999996</v>
      </c>
      <c r="F32" s="10" t="s">
        <v>0</v>
      </c>
      <c r="G32" s="10" t="s">
        <v>0</v>
      </c>
      <c r="H32" s="10" t="s">
        <v>0</v>
      </c>
      <c r="I32" s="35" t="s">
        <v>0</v>
      </c>
      <c r="J32" s="10" t="s">
        <v>0</v>
      </c>
      <c r="K32" s="10" t="s">
        <v>0</v>
      </c>
      <c r="L32" s="10" t="s">
        <v>0</v>
      </c>
      <c r="M32" s="36" t="s">
        <v>0</v>
      </c>
      <c r="N32" s="35" t="s">
        <v>0</v>
      </c>
      <c r="O32" s="35">
        <v>1.1547000000000001</v>
      </c>
    </row>
    <row r="33" spans="1:15">
      <c r="A33" s="12" t="s">
        <v>14</v>
      </c>
      <c r="B33" s="14" t="s">
        <v>463</v>
      </c>
      <c r="C33" s="12" t="s">
        <v>711</v>
      </c>
      <c r="D33" s="10">
        <v>4.09</v>
      </c>
      <c r="E33" s="10">
        <v>4.3600000000000003</v>
      </c>
      <c r="F33" s="10" t="s">
        <v>0</v>
      </c>
      <c r="G33" s="10" t="s">
        <v>0</v>
      </c>
      <c r="H33" s="10" t="s">
        <v>0</v>
      </c>
      <c r="I33" s="35" t="s">
        <v>0</v>
      </c>
      <c r="J33" s="10" t="s">
        <v>0</v>
      </c>
      <c r="K33" s="10" t="s">
        <v>0</v>
      </c>
      <c r="L33" s="10" t="s">
        <v>0</v>
      </c>
      <c r="M33" s="36" t="s">
        <v>0</v>
      </c>
      <c r="N33" s="35" t="s">
        <v>0</v>
      </c>
      <c r="O33" s="35">
        <v>1.1564000000000001</v>
      </c>
    </row>
    <row r="34" spans="1:15">
      <c r="A34" s="12" t="s">
        <v>272</v>
      </c>
      <c r="B34" s="14" t="s">
        <v>465</v>
      </c>
      <c r="C34" s="12" t="s">
        <v>712</v>
      </c>
      <c r="D34" s="10">
        <v>4.1399999999999997</v>
      </c>
      <c r="E34" s="10">
        <v>4.29</v>
      </c>
      <c r="F34" s="10" t="s">
        <v>0</v>
      </c>
      <c r="G34" s="10" t="s">
        <v>0</v>
      </c>
      <c r="H34" s="10" t="s">
        <v>0</v>
      </c>
      <c r="I34" s="35" t="s">
        <v>0</v>
      </c>
      <c r="J34" s="10" t="s">
        <v>0</v>
      </c>
      <c r="K34" s="10" t="s">
        <v>0</v>
      </c>
      <c r="L34" s="10" t="s">
        <v>0</v>
      </c>
      <c r="M34" s="36" t="s">
        <v>0</v>
      </c>
      <c r="N34" s="35" t="s">
        <v>0</v>
      </c>
      <c r="O34" s="35">
        <v>1.1558999999999999</v>
      </c>
    </row>
    <row r="35" spans="1:15">
      <c r="A35" s="12" t="s">
        <v>34</v>
      </c>
      <c r="B35" s="14" t="s">
        <v>467</v>
      </c>
      <c r="C35" s="12" t="s">
        <v>713</v>
      </c>
      <c r="D35" s="10">
        <v>4.2</v>
      </c>
      <c r="E35" s="10">
        <v>4.3499999999999996</v>
      </c>
      <c r="F35" s="10" t="s">
        <v>0</v>
      </c>
      <c r="G35" s="10" t="s">
        <v>0</v>
      </c>
      <c r="H35" s="10" t="s">
        <v>0</v>
      </c>
      <c r="I35" s="35" t="s">
        <v>0</v>
      </c>
      <c r="J35" s="10" t="s">
        <v>0</v>
      </c>
      <c r="K35" s="10" t="s">
        <v>0</v>
      </c>
      <c r="L35" s="10" t="s">
        <v>0</v>
      </c>
      <c r="M35" s="36" t="s">
        <v>0</v>
      </c>
      <c r="N35" s="35" t="s">
        <v>0</v>
      </c>
      <c r="O35" s="35">
        <v>1.1579999999999999</v>
      </c>
    </row>
    <row r="36" spans="1:15">
      <c r="A36" s="12" t="s">
        <v>321</v>
      </c>
      <c r="B36" s="14" t="s">
        <v>469</v>
      </c>
      <c r="C36" s="12" t="s">
        <v>714</v>
      </c>
      <c r="D36" s="10">
        <v>4.49</v>
      </c>
      <c r="E36" s="10">
        <v>4.6399999999999997</v>
      </c>
      <c r="F36" s="10">
        <v>1.171</v>
      </c>
      <c r="G36" s="10">
        <v>1.165</v>
      </c>
      <c r="H36" s="10">
        <v>1.1697</v>
      </c>
      <c r="I36" s="35">
        <v>7</v>
      </c>
      <c r="J36" s="10" t="s">
        <v>0</v>
      </c>
      <c r="K36" s="10" t="s">
        <v>0</v>
      </c>
      <c r="L36" s="10" t="s">
        <v>0</v>
      </c>
      <c r="M36" s="36" t="s">
        <v>0</v>
      </c>
      <c r="N36" s="35" t="s">
        <v>0</v>
      </c>
      <c r="O36" s="35">
        <v>1.1666000000000001</v>
      </c>
    </row>
    <row r="37" spans="1:15">
      <c r="A37" s="12" t="s">
        <v>2</v>
      </c>
      <c r="B37" s="14" t="s">
        <v>471</v>
      </c>
      <c r="C37" s="12" t="s">
        <v>715</v>
      </c>
      <c r="D37" s="10">
        <v>4.54</v>
      </c>
      <c r="E37" s="10">
        <v>4.68</v>
      </c>
      <c r="F37" s="10" t="s">
        <v>0</v>
      </c>
      <c r="G37" s="10" t="s">
        <v>0</v>
      </c>
      <c r="H37" s="10" t="s">
        <v>0</v>
      </c>
      <c r="I37" s="35" t="s">
        <v>0</v>
      </c>
      <c r="J37" s="10" t="s">
        <v>0</v>
      </c>
      <c r="K37" s="10" t="s">
        <v>0</v>
      </c>
      <c r="L37" s="10" t="s">
        <v>0</v>
      </c>
      <c r="M37" s="36" t="s">
        <v>0</v>
      </c>
      <c r="N37" s="35" t="s">
        <v>0</v>
      </c>
      <c r="O37" s="35">
        <v>1.1677999999999999</v>
      </c>
    </row>
    <row r="38" spans="1:15">
      <c r="A38" s="12" t="s">
        <v>15</v>
      </c>
      <c r="B38" s="14" t="s">
        <v>473</v>
      </c>
      <c r="C38" s="12" t="s">
        <v>716</v>
      </c>
      <c r="D38" s="10">
        <v>4.57</v>
      </c>
      <c r="E38" s="10">
        <v>4.8600000000000003</v>
      </c>
      <c r="F38" s="10" t="s">
        <v>0</v>
      </c>
      <c r="G38" s="10" t="s">
        <v>0</v>
      </c>
      <c r="H38" s="10" t="s">
        <v>0</v>
      </c>
      <c r="I38" s="35" t="s">
        <v>0</v>
      </c>
      <c r="J38" s="10" t="s">
        <v>0</v>
      </c>
      <c r="K38" s="10" t="s">
        <v>0</v>
      </c>
      <c r="L38" s="10" t="s">
        <v>0</v>
      </c>
      <c r="M38" s="36" t="s">
        <v>0</v>
      </c>
      <c r="N38" s="35" t="s">
        <v>0</v>
      </c>
      <c r="O38" s="35">
        <v>1.1697</v>
      </c>
    </row>
    <row r="39" spans="1:15">
      <c r="A39" s="12" t="s">
        <v>308</v>
      </c>
      <c r="B39" s="14" t="s">
        <v>475</v>
      </c>
      <c r="C39" s="12" t="s">
        <v>717</v>
      </c>
      <c r="D39" s="10">
        <v>4.78</v>
      </c>
      <c r="E39" s="10">
        <v>4.95</v>
      </c>
      <c r="F39" s="10" t="s">
        <v>0</v>
      </c>
      <c r="G39" s="10" t="s">
        <v>0</v>
      </c>
      <c r="H39" s="10" t="s">
        <v>0</v>
      </c>
      <c r="I39" s="35" t="s">
        <v>0</v>
      </c>
      <c r="J39" s="10" t="s">
        <v>0</v>
      </c>
      <c r="K39" s="10" t="s">
        <v>0</v>
      </c>
      <c r="L39" s="10" t="s">
        <v>0</v>
      </c>
      <c r="M39" s="36" t="s">
        <v>0</v>
      </c>
      <c r="N39" s="35" t="s">
        <v>0</v>
      </c>
      <c r="O39" s="35">
        <v>1.1739999999999999</v>
      </c>
    </row>
    <row r="40" spans="1:15">
      <c r="A40" s="12" t="s">
        <v>235</v>
      </c>
      <c r="B40" s="14" t="s">
        <v>383</v>
      </c>
      <c r="C40" s="12" t="s">
        <v>718</v>
      </c>
      <c r="D40" s="10">
        <v>4.8</v>
      </c>
      <c r="E40" s="10">
        <v>4.88</v>
      </c>
      <c r="F40" s="10" t="s">
        <v>0</v>
      </c>
      <c r="G40" s="10" t="s">
        <v>0</v>
      </c>
      <c r="H40" s="10" t="s">
        <v>0</v>
      </c>
      <c r="I40" s="35" t="s">
        <v>0</v>
      </c>
      <c r="J40" s="10" t="s">
        <v>0</v>
      </c>
      <c r="K40" s="10" t="s">
        <v>0</v>
      </c>
      <c r="L40" s="10" t="s">
        <v>0</v>
      </c>
      <c r="M40" s="36" t="s">
        <v>0</v>
      </c>
      <c r="N40" s="35" t="s">
        <v>0</v>
      </c>
      <c r="O40" s="35">
        <v>1.1738</v>
      </c>
    </row>
    <row r="41" spans="1:15">
      <c r="A41" s="12" t="s">
        <v>28</v>
      </c>
      <c r="B41" s="14" t="s">
        <v>478</v>
      </c>
      <c r="C41" s="12" t="s">
        <v>719</v>
      </c>
      <c r="D41" s="10">
        <v>4.8499999999999996</v>
      </c>
      <c r="E41" s="10">
        <v>5.04</v>
      </c>
      <c r="F41" s="10" t="s">
        <v>0</v>
      </c>
      <c r="G41" s="10" t="s">
        <v>0</v>
      </c>
      <c r="H41" s="10" t="s">
        <v>0</v>
      </c>
      <c r="I41" s="35" t="s">
        <v>0</v>
      </c>
      <c r="J41" s="10" t="s">
        <v>0</v>
      </c>
      <c r="K41" s="10" t="s">
        <v>0</v>
      </c>
      <c r="L41" s="10" t="s">
        <v>0</v>
      </c>
      <c r="M41" s="36" t="s">
        <v>0</v>
      </c>
      <c r="N41" s="35" t="s">
        <v>0</v>
      </c>
      <c r="O41" s="35">
        <v>1.1763999999999999</v>
      </c>
    </row>
    <row r="42" spans="1:15">
      <c r="A42" s="12" t="s">
        <v>16</v>
      </c>
      <c r="B42" s="14" t="s">
        <v>390</v>
      </c>
      <c r="C42" s="12" t="s">
        <v>720</v>
      </c>
      <c r="D42" s="10">
        <v>5.0199999999999996</v>
      </c>
      <c r="E42" s="10">
        <v>5.37</v>
      </c>
      <c r="F42" s="10" t="s">
        <v>0</v>
      </c>
      <c r="G42" s="10" t="s">
        <v>0</v>
      </c>
      <c r="H42" s="10" t="s">
        <v>0</v>
      </c>
      <c r="I42" s="35" t="s">
        <v>0</v>
      </c>
      <c r="J42" s="10" t="s">
        <v>0</v>
      </c>
      <c r="K42" s="10" t="s">
        <v>0</v>
      </c>
      <c r="L42" s="10" t="s">
        <v>0</v>
      </c>
      <c r="M42" s="36" t="s">
        <v>0</v>
      </c>
      <c r="N42" s="35" t="s">
        <v>0</v>
      </c>
      <c r="O42" s="35">
        <v>1.1809000000000001</v>
      </c>
    </row>
    <row r="43" spans="1:15">
      <c r="A43" s="12" t="s">
        <v>3</v>
      </c>
      <c r="B43" s="14" t="s">
        <v>481</v>
      </c>
      <c r="C43" s="12" t="s">
        <v>721</v>
      </c>
      <c r="D43" s="10">
        <v>5.19</v>
      </c>
      <c r="E43" s="10">
        <v>5.36</v>
      </c>
      <c r="F43" s="10" t="s">
        <v>0</v>
      </c>
      <c r="G43" s="10" t="s">
        <v>0</v>
      </c>
      <c r="H43" s="10" t="s">
        <v>0</v>
      </c>
      <c r="I43" s="35" t="s">
        <v>0</v>
      </c>
      <c r="J43" s="10" t="s">
        <v>0</v>
      </c>
      <c r="K43" s="10" t="s">
        <v>0</v>
      </c>
      <c r="L43" s="10" t="s">
        <v>0</v>
      </c>
      <c r="M43" s="36" t="s">
        <v>0</v>
      </c>
      <c r="N43" s="35" t="s">
        <v>0</v>
      </c>
      <c r="O43" s="35">
        <v>1.1830000000000001</v>
      </c>
    </row>
    <row r="44" spans="1:15">
      <c r="A44" s="12" t="s">
        <v>17</v>
      </c>
      <c r="B44" s="14" t="s">
        <v>483</v>
      </c>
      <c r="C44" s="12" t="s">
        <v>722</v>
      </c>
      <c r="D44" s="10">
        <v>5.5</v>
      </c>
      <c r="E44" s="10">
        <v>5.86</v>
      </c>
      <c r="F44" s="10" t="s">
        <v>0</v>
      </c>
      <c r="G44" s="10" t="s">
        <v>0</v>
      </c>
      <c r="H44" s="10" t="s">
        <v>0</v>
      </c>
      <c r="I44" s="35" t="s">
        <v>0</v>
      </c>
      <c r="J44" s="10" t="s">
        <v>0</v>
      </c>
      <c r="K44" s="10" t="s">
        <v>0</v>
      </c>
      <c r="L44" s="10" t="s">
        <v>0</v>
      </c>
      <c r="M44" s="36" t="s">
        <v>0</v>
      </c>
      <c r="N44" s="35" t="s">
        <v>0</v>
      </c>
      <c r="O44" s="35">
        <v>1.1891</v>
      </c>
    </row>
    <row r="45" spans="1:15">
      <c r="A45" s="12" t="s">
        <v>4</v>
      </c>
      <c r="B45" s="14" t="s">
        <v>485</v>
      </c>
      <c r="C45" s="12" t="s">
        <v>723</v>
      </c>
      <c r="D45" s="10">
        <v>5.57</v>
      </c>
      <c r="E45" s="10">
        <v>5.73</v>
      </c>
      <c r="F45" s="10" t="s">
        <v>0</v>
      </c>
      <c r="G45" s="10" t="s">
        <v>0</v>
      </c>
      <c r="H45" s="10" t="s">
        <v>0</v>
      </c>
      <c r="I45" s="35" t="s">
        <v>0</v>
      </c>
      <c r="J45" s="10" t="s">
        <v>0</v>
      </c>
      <c r="K45" s="10" t="s">
        <v>0</v>
      </c>
      <c r="L45" s="10" t="s">
        <v>0</v>
      </c>
      <c r="M45" s="36" t="s">
        <v>0</v>
      </c>
      <c r="N45" s="35" t="s">
        <v>724</v>
      </c>
      <c r="O45" s="35">
        <v>1.1896</v>
      </c>
    </row>
    <row r="46" spans="1:15">
      <c r="A46" s="12" t="s">
        <v>6</v>
      </c>
      <c r="B46" s="14" t="s">
        <v>487</v>
      </c>
      <c r="C46" s="12" t="s">
        <v>725</v>
      </c>
      <c r="D46" s="10">
        <v>5.83</v>
      </c>
      <c r="E46" s="10">
        <v>6.03</v>
      </c>
      <c r="F46" s="10" t="s">
        <v>0</v>
      </c>
      <c r="G46" s="10" t="s">
        <v>0</v>
      </c>
      <c r="H46" s="10" t="s">
        <v>0</v>
      </c>
      <c r="I46" s="35" t="s">
        <v>0</v>
      </c>
      <c r="J46" s="10" t="s">
        <v>0</v>
      </c>
      <c r="K46" s="10" t="s">
        <v>0</v>
      </c>
      <c r="L46" s="10" t="s">
        <v>0</v>
      </c>
      <c r="M46" s="36" t="s">
        <v>0</v>
      </c>
      <c r="N46" s="35" t="s">
        <v>0</v>
      </c>
      <c r="O46" s="35">
        <v>1.1942999999999999</v>
      </c>
    </row>
    <row r="47" spans="1:15">
      <c r="A47" s="12" t="s">
        <v>18</v>
      </c>
      <c r="B47" s="14" t="s">
        <v>391</v>
      </c>
      <c r="C47" s="12" t="s">
        <v>726</v>
      </c>
      <c r="D47" s="10">
        <v>5.95</v>
      </c>
      <c r="E47" s="10">
        <v>6.39</v>
      </c>
      <c r="F47" s="10" t="s">
        <v>0</v>
      </c>
      <c r="G47" s="10" t="s">
        <v>0</v>
      </c>
      <c r="H47" s="10" t="s">
        <v>0</v>
      </c>
      <c r="I47" s="35" t="s">
        <v>0</v>
      </c>
      <c r="J47" s="10" t="s">
        <v>0</v>
      </c>
      <c r="K47" s="10" t="s">
        <v>0</v>
      </c>
      <c r="L47" s="10" t="s">
        <v>0</v>
      </c>
      <c r="M47" s="36" t="s">
        <v>0</v>
      </c>
      <c r="N47" s="35" t="s">
        <v>0</v>
      </c>
      <c r="O47" s="35">
        <v>1.1975</v>
      </c>
    </row>
    <row r="48" spans="1:15">
      <c r="A48" s="12" t="s">
        <v>236</v>
      </c>
      <c r="B48" s="14" t="s">
        <v>376</v>
      </c>
      <c r="C48" s="12" t="s">
        <v>727</v>
      </c>
      <c r="D48" s="10">
        <v>6.2</v>
      </c>
      <c r="E48" s="10">
        <v>6.39</v>
      </c>
      <c r="F48" s="10" t="s">
        <v>0</v>
      </c>
      <c r="G48" s="10" t="s">
        <v>0</v>
      </c>
      <c r="H48" s="10" t="s">
        <v>0</v>
      </c>
      <c r="I48" s="35" t="s">
        <v>0</v>
      </c>
      <c r="J48" s="10" t="s">
        <v>0</v>
      </c>
      <c r="K48" s="10" t="s">
        <v>0</v>
      </c>
      <c r="L48" s="10" t="s">
        <v>0</v>
      </c>
      <c r="M48" s="36" t="s">
        <v>0</v>
      </c>
      <c r="N48" s="35" t="s">
        <v>0</v>
      </c>
      <c r="O48" s="35">
        <v>1.2</v>
      </c>
    </row>
    <row r="49" spans="1:15">
      <c r="A49" s="12" t="s">
        <v>19</v>
      </c>
      <c r="B49" s="14" t="s">
        <v>491</v>
      </c>
      <c r="C49" s="12" t="s">
        <v>728</v>
      </c>
      <c r="D49" s="10">
        <v>6.43</v>
      </c>
      <c r="E49" s="10">
        <v>6.86</v>
      </c>
      <c r="F49" s="10" t="s">
        <v>0</v>
      </c>
      <c r="G49" s="10" t="s">
        <v>0</v>
      </c>
      <c r="H49" s="10" t="s">
        <v>0</v>
      </c>
      <c r="I49" s="35" t="s">
        <v>0</v>
      </c>
      <c r="J49" s="10" t="s">
        <v>0</v>
      </c>
      <c r="K49" s="10" t="s">
        <v>0</v>
      </c>
      <c r="L49" s="10" t="s">
        <v>0</v>
      </c>
      <c r="M49" s="36" t="s">
        <v>0</v>
      </c>
      <c r="N49" s="35" t="s">
        <v>0</v>
      </c>
      <c r="O49" s="35">
        <v>1.2049000000000001</v>
      </c>
    </row>
    <row r="50" spans="1:15">
      <c r="A50" s="12" t="s">
        <v>237</v>
      </c>
      <c r="B50" s="14" t="s">
        <v>493</v>
      </c>
      <c r="C50" s="12" t="s">
        <v>729</v>
      </c>
      <c r="D50" s="10">
        <v>6.53</v>
      </c>
      <c r="E50" s="10">
        <v>6.69</v>
      </c>
      <c r="F50" s="10" t="s">
        <v>0</v>
      </c>
      <c r="G50" s="10" t="s">
        <v>0</v>
      </c>
      <c r="H50" s="10" t="s">
        <v>0</v>
      </c>
      <c r="I50" s="35" t="s">
        <v>0</v>
      </c>
      <c r="J50" s="10" t="s">
        <v>0</v>
      </c>
      <c r="K50" s="10" t="s">
        <v>0</v>
      </c>
      <c r="L50" s="10" t="s">
        <v>0</v>
      </c>
      <c r="M50" s="36" t="s">
        <v>0</v>
      </c>
      <c r="N50" s="35" t="s">
        <v>0</v>
      </c>
      <c r="O50" s="35">
        <v>1.2048000000000001</v>
      </c>
    </row>
    <row r="51" spans="1:15">
      <c r="A51" s="12" t="s">
        <v>49</v>
      </c>
      <c r="B51" s="14" t="s">
        <v>355</v>
      </c>
      <c r="C51" s="12" t="s">
        <v>730</v>
      </c>
      <c r="D51" s="10">
        <v>6.66</v>
      </c>
      <c r="E51" s="10">
        <v>7.28</v>
      </c>
      <c r="F51" s="10" t="s">
        <v>0</v>
      </c>
      <c r="G51" s="10" t="s">
        <v>0</v>
      </c>
      <c r="H51" s="10" t="s">
        <v>0</v>
      </c>
      <c r="I51" s="35" t="s">
        <v>0</v>
      </c>
      <c r="J51" s="10" t="s">
        <v>0</v>
      </c>
      <c r="K51" s="10" t="s">
        <v>0</v>
      </c>
      <c r="L51" s="10" t="s">
        <v>0</v>
      </c>
      <c r="M51" s="36" t="s">
        <v>0</v>
      </c>
      <c r="N51" s="35" t="s">
        <v>0</v>
      </c>
      <c r="O51" s="35">
        <v>1.2108000000000001</v>
      </c>
    </row>
    <row r="52" spans="1:15">
      <c r="A52" s="12" t="s">
        <v>238</v>
      </c>
      <c r="B52" s="14" t="s">
        <v>496</v>
      </c>
      <c r="C52" s="12" t="s">
        <v>731</v>
      </c>
      <c r="D52" s="10">
        <v>6.87</v>
      </c>
      <c r="E52" s="10">
        <v>7.03</v>
      </c>
      <c r="F52" s="10" t="s">
        <v>0</v>
      </c>
      <c r="G52" s="10" t="s">
        <v>0</v>
      </c>
      <c r="H52" s="10" t="s">
        <v>0</v>
      </c>
      <c r="I52" s="35" t="s">
        <v>0</v>
      </c>
      <c r="J52" s="10" t="s">
        <v>0</v>
      </c>
      <c r="K52" s="10" t="s">
        <v>0</v>
      </c>
      <c r="L52" s="10" t="s">
        <v>0</v>
      </c>
      <c r="M52" s="36" t="s">
        <v>0</v>
      </c>
      <c r="N52" s="35" t="s">
        <v>0</v>
      </c>
      <c r="O52" s="35">
        <v>1.2104999999999999</v>
      </c>
    </row>
    <row r="53" spans="1:15">
      <c r="A53" s="12" t="s">
        <v>20</v>
      </c>
      <c r="B53" s="14" t="s">
        <v>498</v>
      </c>
      <c r="C53" s="12" t="s">
        <v>732</v>
      </c>
      <c r="D53" s="10">
        <v>6.87</v>
      </c>
      <c r="E53" s="10">
        <v>7.78</v>
      </c>
      <c r="F53" s="10" t="s">
        <v>0</v>
      </c>
      <c r="G53" s="10" t="s">
        <v>0</v>
      </c>
      <c r="H53" s="10" t="s">
        <v>0</v>
      </c>
      <c r="I53" s="35" t="s">
        <v>0</v>
      </c>
      <c r="J53" s="10" t="s">
        <v>0</v>
      </c>
      <c r="K53" s="10" t="s">
        <v>0</v>
      </c>
      <c r="L53" s="10" t="s">
        <v>0</v>
      </c>
      <c r="M53" s="36" t="s">
        <v>0</v>
      </c>
      <c r="N53" s="35" t="s">
        <v>0</v>
      </c>
      <c r="O53" s="35">
        <v>1.2162999999999999</v>
      </c>
    </row>
    <row r="54" spans="1:15">
      <c r="A54" s="12" t="s">
        <v>57</v>
      </c>
      <c r="B54" s="14" t="s">
        <v>500</v>
      </c>
      <c r="C54" s="12" t="s">
        <v>733</v>
      </c>
      <c r="D54" s="10">
        <v>7.1</v>
      </c>
      <c r="E54" s="10">
        <v>7.64</v>
      </c>
      <c r="F54" s="10" t="s">
        <v>0</v>
      </c>
      <c r="G54" s="10" t="s">
        <v>0</v>
      </c>
      <c r="H54" s="10" t="s">
        <v>0</v>
      </c>
      <c r="I54" s="35" t="s">
        <v>0</v>
      </c>
      <c r="J54" s="10" t="s">
        <v>0</v>
      </c>
      <c r="K54" s="10" t="s">
        <v>0</v>
      </c>
      <c r="L54" s="10" t="s">
        <v>0</v>
      </c>
      <c r="M54" s="36" t="s">
        <v>0</v>
      </c>
      <c r="N54" s="35" t="s">
        <v>0</v>
      </c>
      <c r="O54" s="35">
        <v>1.2175</v>
      </c>
    </row>
    <row r="55" spans="1:15">
      <c r="A55" s="12" t="s">
        <v>239</v>
      </c>
      <c r="B55" s="14" t="s">
        <v>502</v>
      </c>
      <c r="C55" s="12" t="s">
        <v>734</v>
      </c>
      <c r="D55" s="10">
        <v>7.23</v>
      </c>
      <c r="E55" s="10">
        <v>7.39</v>
      </c>
      <c r="F55" s="10" t="s">
        <v>0</v>
      </c>
      <c r="G55" s="10" t="s">
        <v>0</v>
      </c>
      <c r="H55" s="10" t="s">
        <v>0</v>
      </c>
      <c r="I55" s="35" t="s">
        <v>0</v>
      </c>
      <c r="J55" s="10" t="s">
        <v>0</v>
      </c>
      <c r="K55" s="10" t="s">
        <v>0</v>
      </c>
      <c r="L55" s="10" t="s">
        <v>0</v>
      </c>
      <c r="M55" s="36" t="s">
        <v>0</v>
      </c>
      <c r="N55" s="35" t="s">
        <v>0</v>
      </c>
      <c r="O55" s="35">
        <v>1.2163999999999999</v>
      </c>
    </row>
    <row r="56" spans="1:15">
      <c r="A56" s="12" t="s">
        <v>60</v>
      </c>
      <c r="B56" s="14" t="s">
        <v>504</v>
      </c>
      <c r="C56" s="12" t="s">
        <v>735</v>
      </c>
      <c r="D56" s="10">
        <v>7.26</v>
      </c>
      <c r="E56" s="10">
        <v>7.83</v>
      </c>
      <c r="F56" s="10" t="s">
        <v>0</v>
      </c>
      <c r="G56" s="10" t="s">
        <v>0</v>
      </c>
      <c r="H56" s="10" t="s">
        <v>0</v>
      </c>
      <c r="I56" s="35" t="s">
        <v>0</v>
      </c>
      <c r="J56" s="10" t="s">
        <v>0</v>
      </c>
      <c r="K56" s="10" t="s">
        <v>0</v>
      </c>
      <c r="L56" s="10" t="s">
        <v>0</v>
      </c>
      <c r="M56" s="36" t="s">
        <v>0</v>
      </c>
      <c r="N56" s="35" t="s">
        <v>0</v>
      </c>
      <c r="O56" s="35">
        <v>1.2204999999999999</v>
      </c>
    </row>
    <row r="57" spans="1:15">
      <c r="A57" s="12" t="s">
        <v>240</v>
      </c>
      <c r="B57" s="14" t="s">
        <v>506</v>
      </c>
      <c r="C57" s="12" t="s">
        <v>736</v>
      </c>
      <c r="D57" s="10">
        <v>7.39</v>
      </c>
      <c r="E57" s="10">
        <v>7.59</v>
      </c>
      <c r="F57" s="10" t="s">
        <v>0</v>
      </c>
      <c r="G57" s="10" t="s">
        <v>0</v>
      </c>
      <c r="H57" s="10" t="s">
        <v>0</v>
      </c>
      <c r="I57" s="35" t="s">
        <v>0</v>
      </c>
      <c r="J57" s="10" t="s">
        <v>0</v>
      </c>
      <c r="K57" s="10" t="s">
        <v>0</v>
      </c>
      <c r="L57" s="10" t="s">
        <v>0</v>
      </c>
      <c r="M57" s="36" t="s">
        <v>0</v>
      </c>
      <c r="N57" s="35" t="s">
        <v>0</v>
      </c>
      <c r="O57" s="35">
        <v>1.2196</v>
      </c>
    </row>
    <row r="58" spans="1:15">
      <c r="A58" s="12" t="s">
        <v>228</v>
      </c>
      <c r="B58" s="14" t="s">
        <v>508</v>
      </c>
      <c r="C58" s="12" t="s">
        <v>737</v>
      </c>
      <c r="D58" s="10">
        <v>7.52</v>
      </c>
      <c r="E58" s="10">
        <v>7.72</v>
      </c>
      <c r="F58" s="10" t="s">
        <v>0</v>
      </c>
      <c r="G58" s="10" t="s">
        <v>0</v>
      </c>
      <c r="H58" s="10" t="s">
        <v>0</v>
      </c>
      <c r="I58" s="35" t="s">
        <v>0</v>
      </c>
      <c r="J58" s="10" t="s">
        <v>0</v>
      </c>
      <c r="K58" s="10" t="s">
        <v>0</v>
      </c>
      <c r="L58" s="10" t="s">
        <v>0</v>
      </c>
      <c r="M58" s="36" t="s">
        <v>0</v>
      </c>
      <c r="N58" s="35" t="s">
        <v>0</v>
      </c>
      <c r="O58" s="35">
        <v>1.2219</v>
      </c>
    </row>
    <row r="59" spans="1:15">
      <c r="A59" s="12" t="s">
        <v>42</v>
      </c>
      <c r="B59" s="14" t="s">
        <v>510</v>
      </c>
      <c r="C59" s="12" t="s">
        <v>738</v>
      </c>
      <c r="D59" s="10">
        <v>7.66</v>
      </c>
      <c r="E59" s="10">
        <v>8.3000000000000007</v>
      </c>
      <c r="F59" s="10" t="s">
        <v>0</v>
      </c>
      <c r="G59" s="10" t="s">
        <v>0</v>
      </c>
      <c r="H59" s="10" t="s">
        <v>0</v>
      </c>
      <c r="I59" s="35" t="s">
        <v>0</v>
      </c>
      <c r="J59" s="10" t="s">
        <v>0</v>
      </c>
      <c r="K59" s="10" t="s">
        <v>0</v>
      </c>
      <c r="L59" s="10" t="s">
        <v>0</v>
      </c>
      <c r="M59" s="36" t="s">
        <v>0</v>
      </c>
      <c r="N59" s="35" t="s">
        <v>0</v>
      </c>
      <c r="O59" s="35">
        <v>1.2289000000000001</v>
      </c>
    </row>
    <row r="60" spans="1:15">
      <c r="A60" s="12" t="s">
        <v>241</v>
      </c>
      <c r="B60" s="14" t="s">
        <v>512</v>
      </c>
      <c r="C60" s="12" t="s">
        <v>739</v>
      </c>
      <c r="D60" s="10">
        <v>7.77</v>
      </c>
      <c r="E60" s="10">
        <v>8.0500000000000007</v>
      </c>
      <c r="F60" s="10" t="s">
        <v>0</v>
      </c>
      <c r="G60" s="10" t="s">
        <v>0</v>
      </c>
      <c r="H60" s="10" t="s">
        <v>0</v>
      </c>
      <c r="I60" s="35" t="s">
        <v>0</v>
      </c>
      <c r="J60" s="10" t="s">
        <v>0</v>
      </c>
      <c r="K60" s="10" t="s">
        <v>0</v>
      </c>
      <c r="L60" s="10" t="s">
        <v>0</v>
      </c>
      <c r="M60" s="36" t="s">
        <v>0</v>
      </c>
      <c r="N60" s="35" t="s">
        <v>0</v>
      </c>
      <c r="O60" s="35">
        <v>1.2274</v>
      </c>
    </row>
    <row r="61" spans="1:15">
      <c r="A61" s="12" t="s">
        <v>25</v>
      </c>
      <c r="B61" s="14" t="s">
        <v>356</v>
      </c>
      <c r="C61" s="12" t="s">
        <v>740</v>
      </c>
      <c r="D61" s="10">
        <v>7.81</v>
      </c>
      <c r="E61" s="10">
        <v>8.4499999999999993</v>
      </c>
      <c r="F61" s="10" t="s">
        <v>0</v>
      </c>
      <c r="G61" s="10" t="s">
        <v>0</v>
      </c>
      <c r="H61" s="10" t="s">
        <v>0</v>
      </c>
      <c r="I61" s="35" t="s">
        <v>0</v>
      </c>
      <c r="J61" s="10" t="s">
        <v>0</v>
      </c>
      <c r="K61" s="10" t="s">
        <v>0</v>
      </c>
      <c r="L61" s="10" t="s">
        <v>0</v>
      </c>
      <c r="M61" s="36" t="s">
        <v>0</v>
      </c>
      <c r="N61" s="35" t="s">
        <v>0</v>
      </c>
      <c r="O61" s="35">
        <v>1.2314000000000001</v>
      </c>
    </row>
    <row r="62" spans="1:15">
      <c r="A62" s="12" t="s">
        <v>242</v>
      </c>
      <c r="B62" s="14" t="s">
        <v>515</v>
      </c>
      <c r="C62" s="12" t="s">
        <v>741</v>
      </c>
      <c r="D62" s="10">
        <v>7.9</v>
      </c>
      <c r="E62" s="10">
        <v>8.27</v>
      </c>
      <c r="F62" s="10" t="s">
        <v>0</v>
      </c>
      <c r="G62" s="10" t="s">
        <v>0</v>
      </c>
      <c r="H62" s="10" t="s">
        <v>0</v>
      </c>
      <c r="I62" s="35" t="s">
        <v>0</v>
      </c>
      <c r="J62" s="10" t="s">
        <v>0</v>
      </c>
      <c r="K62" s="10" t="s">
        <v>0</v>
      </c>
      <c r="L62" s="10" t="s">
        <v>0</v>
      </c>
      <c r="M62" s="36" t="s">
        <v>0</v>
      </c>
      <c r="N62" s="35" t="s">
        <v>0</v>
      </c>
      <c r="O62" s="35">
        <v>1.2304999999999999</v>
      </c>
    </row>
    <row r="63" spans="1:15">
      <c r="A63" s="12" t="s">
        <v>205</v>
      </c>
      <c r="B63" s="14" t="s">
        <v>517</v>
      </c>
      <c r="C63" s="12" t="s">
        <v>742</v>
      </c>
      <c r="D63" s="10">
        <v>8.0500000000000007</v>
      </c>
      <c r="E63" s="10">
        <v>8.3800000000000008</v>
      </c>
      <c r="F63" s="10" t="s">
        <v>0</v>
      </c>
      <c r="G63" s="10" t="s">
        <v>0</v>
      </c>
      <c r="H63" s="10" t="s">
        <v>0</v>
      </c>
      <c r="I63" s="35" t="s">
        <v>0</v>
      </c>
      <c r="J63" s="10" t="s">
        <v>0</v>
      </c>
      <c r="K63" s="10" t="s">
        <v>0</v>
      </c>
      <c r="L63" s="10" t="s">
        <v>0</v>
      </c>
      <c r="M63" s="36" t="s">
        <v>0</v>
      </c>
      <c r="N63" s="35" t="s">
        <v>0</v>
      </c>
      <c r="O63" s="35">
        <v>1.2325999999999999</v>
      </c>
    </row>
    <row r="64" spans="1:15">
      <c r="A64" s="12" t="s">
        <v>219</v>
      </c>
      <c r="B64" s="14" t="s">
        <v>519</v>
      </c>
      <c r="C64" s="12" t="s">
        <v>743</v>
      </c>
      <c r="D64" s="10">
        <v>8.1999999999999993</v>
      </c>
      <c r="E64" s="10">
        <v>8.74</v>
      </c>
      <c r="F64" s="10" t="s">
        <v>0</v>
      </c>
      <c r="G64" s="10" t="s">
        <v>0</v>
      </c>
      <c r="H64" s="10" t="s">
        <v>0</v>
      </c>
      <c r="I64" s="35" t="s">
        <v>0</v>
      </c>
      <c r="J64" s="10" t="s">
        <v>0</v>
      </c>
      <c r="K64" s="10" t="s">
        <v>0</v>
      </c>
      <c r="L64" s="10" t="s">
        <v>0</v>
      </c>
      <c r="M64" s="36" t="s">
        <v>0</v>
      </c>
      <c r="N64" s="35" t="s">
        <v>0</v>
      </c>
      <c r="O64" s="35">
        <v>1.2371000000000001</v>
      </c>
    </row>
    <row r="65" spans="1:15">
      <c r="A65" s="12" t="s">
        <v>262</v>
      </c>
      <c r="B65" s="14" t="s">
        <v>521</v>
      </c>
      <c r="C65" s="12" t="s">
        <v>744</v>
      </c>
      <c r="D65" s="10">
        <v>8.2100000000000009</v>
      </c>
      <c r="E65" s="10">
        <v>9.0399999999999991</v>
      </c>
      <c r="F65" s="10" t="s">
        <v>0</v>
      </c>
      <c r="G65" s="10" t="s">
        <v>0</v>
      </c>
      <c r="H65" s="10" t="s">
        <v>0</v>
      </c>
      <c r="I65" s="35" t="s">
        <v>0</v>
      </c>
      <c r="J65" s="10" t="s">
        <v>0</v>
      </c>
      <c r="K65" s="10" t="s">
        <v>0</v>
      </c>
      <c r="L65" s="10" t="s">
        <v>0</v>
      </c>
      <c r="M65" s="36" t="s">
        <v>0</v>
      </c>
      <c r="N65" s="35" t="s">
        <v>0</v>
      </c>
      <c r="O65" s="35">
        <v>1.2407999999999999</v>
      </c>
    </row>
    <row r="66" spans="1:15">
      <c r="A66" s="12" t="s">
        <v>29</v>
      </c>
      <c r="B66" s="14" t="s">
        <v>523</v>
      </c>
      <c r="C66" s="12" t="s">
        <v>745</v>
      </c>
      <c r="D66" s="10">
        <v>8.24</v>
      </c>
      <c r="E66" s="10">
        <v>8.85</v>
      </c>
      <c r="F66" s="10" t="s">
        <v>0</v>
      </c>
      <c r="G66" s="10" t="s">
        <v>0</v>
      </c>
      <c r="H66" s="10" t="s">
        <v>0</v>
      </c>
      <c r="I66" s="35" t="s">
        <v>0</v>
      </c>
      <c r="J66" s="10" t="s">
        <v>0</v>
      </c>
      <c r="K66" s="10" t="s">
        <v>0</v>
      </c>
      <c r="L66" s="10" t="s">
        <v>0</v>
      </c>
      <c r="M66" s="36" t="s">
        <v>0</v>
      </c>
      <c r="N66" s="35" t="s">
        <v>0</v>
      </c>
      <c r="O66" s="35">
        <v>1.2383</v>
      </c>
    </row>
    <row r="67" spans="1:15">
      <c r="A67" s="12" t="s">
        <v>52</v>
      </c>
      <c r="B67" s="14" t="s">
        <v>525</v>
      </c>
      <c r="C67" s="12" t="s">
        <v>746</v>
      </c>
      <c r="D67" s="10">
        <v>8.58</v>
      </c>
      <c r="E67" s="10">
        <v>9.32</v>
      </c>
      <c r="F67" s="10" t="s">
        <v>0</v>
      </c>
      <c r="G67" s="10" t="s">
        <v>0</v>
      </c>
      <c r="H67" s="10" t="s">
        <v>0</v>
      </c>
      <c r="I67" s="35" t="s">
        <v>0</v>
      </c>
      <c r="J67" s="10" t="s">
        <v>0</v>
      </c>
      <c r="K67" s="10" t="s">
        <v>0</v>
      </c>
      <c r="L67" s="10" t="s">
        <v>0</v>
      </c>
      <c r="M67" s="36" t="s">
        <v>0</v>
      </c>
      <c r="N67" s="35" t="s">
        <v>0</v>
      </c>
      <c r="O67" s="35">
        <v>1.2461</v>
      </c>
    </row>
    <row r="68" spans="1:15">
      <c r="A68" s="12" t="s">
        <v>275</v>
      </c>
      <c r="B68" s="14" t="s">
        <v>386</v>
      </c>
      <c r="C68" s="12" t="s">
        <v>747</v>
      </c>
      <c r="D68" s="10">
        <v>8.6199999999999992</v>
      </c>
      <c r="E68" s="10">
        <v>9.27</v>
      </c>
      <c r="F68" s="10" t="s">
        <v>0</v>
      </c>
      <c r="G68" s="10" t="s">
        <v>0</v>
      </c>
      <c r="H68" s="10" t="s">
        <v>0</v>
      </c>
      <c r="I68" s="35" t="s">
        <v>0</v>
      </c>
      <c r="J68" s="10" t="s">
        <v>0</v>
      </c>
      <c r="K68" s="10" t="s">
        <v>0</v>
      </c>
      <c r="L68" s="10" t="s">
        <v>0</v>
      </c>
      <c r="M68" s="36" t="s">
        <v>0</v>
      </c>
      <c r="N68" s="35" t="s">
        <v>0</v>
      </c>
      <c r="O68" s="35">
        <v>1.2459</v>
      </c>
    </row>
    <row r="69" spans="1:15">
      <c r="A69" s="12" t="s">
        <v>61</v>
      </c>
      <c r="B69" s="14" t="s">
        <v>528</v>
      </c>
      <c r="C69" s="12" t="s">
        <v>748</v>
      </c>
      <c r="D69" s="10">
        <v>8.64</v>
      </c>
      <c r="E69" s="10">
        <v>9.4600000000000009</v>
      </c>
      <c r="F69" s="10" t="s">
        <v>0</v>
      </c>
      <c r="G69" s="10" t="s">
        <v>0</v>
      </c>
      <c r="H69" s="10" t="s">
        <v>0</v>
      </c>
      <c r="I69" s="35" t="s">
        <v>0</v>
      </c>
      <c r="J69" s="10" t="s">
        <v>0</v>
      </c>
      <c r="K69" s="10" t="s">
        <v>0</v>
      </c>
      <c r="L69" s="10" t="s">
        <v>0</v>
      </c>
      <c r="M69" s="36" t="s">
        <v>0</v>
      </c>
      <c r="N69" s="35" t="s">
        <v>0</v>
      </c>
      <c r="O69" s="35">
        <v>1.2478</v>
      </c>
    </row>
    <row r="70" spans="1:15">
      <c r="A70" s="12" t="s">
        <v>273</v>
      </c>
      <c r="B70" s="14" t="s">
        <v>530</v>
      </c>
      <c r="C70" s="12" t="s">
        <v>749</v>
      </c>
      <c r="D70" s="10">
        <v>8.77</v>
      </c>
      <c r="E70" s="10">
        <v>9.3699999999999992</v>
      </c>
      <c r="F70" s="10" t="s">
        <v>0</v>
      </c>
      <c r="G70" s="10" t="s">
        <v>0</v>
      </c>
      <c r="H70" s="10" t="s">
        <v>0</v>
      </c>
      <c r="I70" s="35" t="s">
        <v>0</v>
      </c>
      <c r="J70" s="10" t="s">
        <v>0</v>
      </c>
      <c r="K70" s="10" t="s">
        <v>0</v>
      </c>
      <c r="L70" s="10" t="s">
        <v>0</v>
      </c>
      <c r="M70" s="36" t="s">
        <v>0</v>
      </c>
      <c r="N70" s="35" t="s">
        <v>0</v>
      </c>
      <c r="O70" s="35">
        <v>1.248</v>
      </c>
    </row>
    <row r="71" spans="1:15">
      <c r="A71" s="12" t="s">
        <v>30</v>
      </c>
      <c r="B71" s="14" t="s">
        <v>532</v>
      </c>
      <c r="C71" s="12" t="s">
        <v>750</v>
      </c>
      <c r="D71" s="10">
        <v>8.89</v>
      </c>
      <c r="E71" s="10">
        <v>9.81</v>
      </c>
      <c r="F71" s="10" t="s">
        <v>0</v>
      </c>
      <c r="G71" s="10" t="s">
        <v>0</v>
      </c>
      <c r="H71" s="10" t="s">
        <v>0</v>
      </c>
      <c r="I71" s="35" t="s">
        <v>0</v>
      </c>
      <c r="J71" s="10" t="s">
        <v>0</v>
      </c>
      <c r="K71" s="10" t="s">
        <v>0</v>
      </c>
      <c r="L71" s="10" t="s">
        <v>0</v>
      </c>
      <c r="M71" s="36" t="s">
        <v>0</v>
      </c>
      <c r="N71" s="35" t="s">
        <v>0</v>
      </c>
      <c r="O71" s="35">
        <v>1.2527999999999999</v>
      </c>
    </row>
    <row r="72" spans="1:15">
      <c r="A72" s="12" t="s">
        <v>21</v>
      </c>
      <c r="B72" s="14" t="s">
        <v>387</v>
      </c>
      <c r="C72" s="12" t="s">
        <v>751</v>
      </c>
      <c r="D72" s="10">
        <v>8.93</v>
      </c>
      <c r="E72" s="10">
        <v>10.65</v>
      </c>
      <c r="F72" s="10" t="s">
        <v>0</v>
      </c>
      <c r="G72" s="10" t="s">
        <v>0</v>
      </c>
      <c r="H72" s="10" t="s">
        <v>0</v>
      </c>
      <c r="I72" s="35" t="s">
        <v>0</v>
      </c>
      <c r="J72" s="10" t="s">
        <v>0</v>
      </c>
      <c r="K72" s="10" t="s">
        <v>0</v>
      </c>
      <c r="L72" s="10" t="s">
        <v>0</v>
      </c>
      <c r="M72" s="36" t="s">
        <v>0</v>
      </c>
      <c r="N72" s="35" t="s">
        <v>0</v>
      </c>
      <c r="O72" s="35">
        <v>1.2612000000000001</v>
      </c>
    </row>
    <row r="73" spans="1:15">
      <c r="A73" s="12" t="s">
        <v>324</v>
      </c>
      <c r="B73" s="14" t="s">
        <v>535</v>
      </c>
      <c r="C73" s="12" t="s">
        <v>752</v>
      </c>
      <c r="D73" s="10">
        <v>9.08</v>
      </c>
      <c r="E73" s="10">
        <v>9.68</v>
      </c>
      <c r="F73" s="10" t="s">
        <v>0</v>
      </c>
      <c r="G73" s="10" t="s">
        <v>0</v>
      </c>
      <c r="H73" s="10" t="s">
        <v>0</v>
      </c>
      <c r="I73" s="35" t="s">
        <v>0</v>
      </c>
      <c r="J73" s="10" t="s">
        <v>0</v>
      </c>
      <c r="K73" s="10" t="s">
        <v>0</v>
      </c>
      <c r="L73" s="10" t="s">
        <v>0</v>
      </c>
      <c r="M73" s="36" t="s">
        <v>0</v>
      </c>
      <c r="N73" s="35" t="s">
        <v>0</v>
      </c>
      <c r="O73" s="35">
        <v>1.2531000000000001</v>
      </c>
    </row>
    <row r="74" spans="1:15">
      <c r="A74" s="12" t="s">
        <v>537</v>
      </c>
      <c r="B74" s="14" t="s">
        <v>538</v>
      </c>
      <c r="C74" s="12" t="s">
        <v>753</v>
      </c>
      <c r="D74" s="10">
        <v>9.2100000000000009</v>
      </c>
      <c r="E74" s="10">
        <v>10</v>
      </c>
      <c r="F74" s="10" t="s">
        <v>0</v>
      </c>
      <c r="G74" s="10" t="s">
        <v>0</v>
      </c>
      <c r="H74" s="10" t="s">
        <v>0</v>
      </c>
      <c r="I74" s="35" t="s">
        <v>0</v>
      </c>
      <c r="J74" s="10" t="s">
        <v>0</v>
      </c>
      <c r="K74" s="10" t="s">
        <v>0</v>
      </c>
      <c r="L74" s="10" t="s">
        <v>0</v>
      </c>
      <c r="M74" s="36" t="s">
        <v>0</v>
      </c>
      <c r="N74" s="35" t="s">
        <v>0</v>
      </c>
      <c r="O74" s="35">
        <v>1.2554000000000001</v>
      </c>
    </row>
    <row r="75" spans="1:15">
      <c r="A75" s="12" t="s">
        <v>62</v>
      </c>
      <c r="B75" s="14" t="s">
        <v>358</v>
      </c>
      <c r="C75" s="12" t="s">
        <v>754</v>
      </c>
      <c r="D75" s="10">
        <v>9.23</v>
      </c>
      <c r="E75" s="10">
        <v>10.32</v>
      </c>
      <c r="F75" s="10" t="s">
        <v>0</v>
      </c>
      <c r="G75" s="10" t="s">
        <v>0</v>
      </c>
      <c r="H75" s="10" t="s">
        <v>0</v>
      </c>
      <c r="I75" s="35" t="s">
        <v>0</v>
      </c>
      <c r="J75" s="10" t="s">
        <v>0</v>
      </c>
      <c r="K75" s="10" t="s">
        <v>0</v>
      </c>
      <c r="L75" s="10" t="s">
        <v>0</v>
      </c>
      <c r="M75" s="36" t="s">
        <v>0</v>
      </c>
      <c r="N75" s="35" t="s">
        <v>0</v>
      </c>
      <c r="O75" s="35">
        <v>1.2613000000000001</v>
      </c>
    </row>
    <row r="76" spans="1:15">
      <c r="A76" s="12" t="s">
        <v>541</v>
      </c>
      <c r="B76" s="14" t="s">
        <v>538</v>
      </c>
      <c r="C76" s="12" t="s">
        <v>753</v>
      </c>
      <c r="D76" s="10">
        <v>9.34</v>
      </c>
      <c r="E76" s="10">
        <v>10</v>
      </c>
      <c r="F76" s="10">
        <v>1.2569999999999999</v>
      </c>
      <c r="G76" s="10">
        <v>1.2569999999999999</v>
      </c>
      <c r="H76" s="10">
        <v>1.2569999999999999</v>
      </c>
      <c r="I76" s="35">
        <v>60</v>
      </c>
      <c r="J76" s="10">
        <v>1.2569999999999999</v>
      </c>
      <c r="K76" s="10">
        <v>1.2569999999999999</v>
      </c>
      <c r="L76" s="10">
        <v>1.2569999999999999</v>
      </c>
      <c r="M76" s="36">
        <v>4</v>
      </c>
      <c r="N76" s="35">
        <v>23</v>
      </c>
      <c r="O76" s="35">
        <v>1.2582</v>
      </c>
    </row>
    <row r="77" spans="1:15">
      <c r="A77" s="12" t="s">
        <v>43</v>
      </c>
      <c r="B77" s="14" t="s">
        <v>542</v>
      </c>
      <c r="C77" s="12" t="s">
        <v>755</v>
      </c>
      <c r="D77" s="10">
        <v>9.51</v>
      </c>
      <c r="E77" s="10">
        <v>10.56</v>
      </c>
      <c r="F77" s="10" t="s">
        <v>0</v>
      </c>
      <c r="G77" s="10" t="s">
        <v>0</v>
      </c>
      <c r="H77" s="10" t="s">
        <v>0</v>
      </c>
      <c r="I77" s="35" t="s">
        <v>0</v>
      </c>
      <c r="J77" s="10" t="s">
        <v>0</v>
      </c>
      <c r="K77" s="10" t="s">
        <v>0</v>
      </c>
      <c r="L77" s="10" t="s">
        <v>0</v>
      </c>
      <c r="M77" s="36" t="s">
        <v>0</v>
      </c>
      <c r="N77" s="35" t="s">
        <v>0</v>
      </c>
      <c r="O77" s="35">
        <v>1.2656000000000001</v>
      </c>
    </row>
    <row r="78" spans="1:15">
      <c r="A78" s="12" t="s">
        <v>64</v>
      </c>
      <c r="B78" s="14" t="s">
        <v>360</v>
      </c>
      <c r="C78" s="12" t="s">
        <v>756</v>
      </c>
      <c r="D78" s="10">
        <v>9.68</v>
      </c>
      <c r="E78" s="10">
        <v>10.82</v>
      </c>
      <c r="F78" s="10" t="s">
        <v>0</v>
      </c>
      <c r="G78" s="10" t="s">
        <v>0</v>
      </c>
      <c r="H78" s="10" t="s">
        <v>0</v>
      </c>
      <c r="I78" s="35" t="s">
        <v>0</v>
      </c>
      <c r="J78" s="10" t="s">
        <v>0</v>
      </c>
      <c r="K78" s="10" t="s">
        <v>0</v>
      </c>
      <c r="L78" s="10" t="s">
        <v>0</v>
      </c>
      <c r="M78" s="36" t="s">
        <v>0</v>
      </c>
      <c r="N78" s="35" t="s">
        <v>0</v>
      </c>
      <c r="O78" s="35">
        <v>1.2692000000000001</v>
      </c>
    </row>
    <row r="79" spans="1:15">
      <c r="A79" s="12" t="s">
        <v>63</v>
      </c>
      <c r="B79" s="14" t="s">
        <v>361</v>
      </c>
      <c r="C79" s="12" t="s">
        <v>757</v>
      </c>
      <c r="D79" s="10">
        <v>9.8000000000000007</v>
      </c>
      <c r="E79" s="10">
        <v>11</v>
      </c>
      <c r="F79" s="10" t="s">
        <v>0</v>
      </c>
      <c r="G79" s="10" t="s">
        <v>0</v>
      </c>
      <c r="H79" s="10" t="s">
        <v>0</v>
      </c>
      <c r="I79" s="35" t="s">
        <v>0</v>
      </c>
      <c r="J79" s="10" t="s">
        <v>0</v>
      </c>
      <c r="K79" s="10" t="s">
        <v>0</v>
      </c>
      <c r="L79" s="10" t="s">
        <v>0</v>
      </c>
      <c r="M79" s="36" t="s">
        <v>0</v>
      </c>
      <c r="N79" s="35" t="s">
        <v>0</v>
      </c>
      <c r="O79" s="35">
        <v>1.2717000000000001</v>
      </c>
    </row>
    <row r="80" spans="1:15">
      <c r="A80" s="12" t="s">
        <v>26</v>
      </c>
      <c r="B80" s="14" t="s">
        <v>362</v>
      </c>
      <c r="C80" s="12" t="s">
        <v>758</v>
      </c>
      <c r="D80" s="10">
        <v>10.02</v>
      </c>
      <c r="E80" s="10">
        <v>11.31</v>
      </c>
      <c r="F80" s="10" t="s">
        <v>0</v>
      </c>
      <c r="G80" s="10" t="s">
        <v>0</v>
      </c>
      <c r="H80" s="10" t="s">
        <v>0</v>
      </c>
      <c r="I80" s="35" t="s">
        <v>0</v>
      </c>
      <c r="J80" s="10" t="s">
        <v>0</v>
      </c>
      <c r="K80" s="10" t="s">
        <v>0</v>
      </c>
      <c r="L80" s="10" t="s">
        <v>0</v>
      </c>
      <c r="M80" s="36" t="s">
        <v>0</v>
      </c>
      <c r="N80" s="35" t="s">
        <v>0</v>
      </c>
      <c r="O80" s="35">
        <v>1.2777000000000001</v>
      </c>
    </row>
    <row r="81" spans="1:15">
      <c r="A81" s="12" t="s">
        <v>48</v>
      </c>
      <c r="B81" s="14" t="s">
        <v>363</v>
      </c>
      <c r="C81" s="12" t="s">
        <v>759</v>
      </c>
      <c r="D81" s="10">
        <v>10.18</v>
      </c>
      <c r="E81" s="10">
        <v>11.53</v>
      </c>
      <c r="F81" s="10" t="s">
        <v>0</v>
      </c>
      <c r="G81" s="10" t="s">
        <v>0</v>
      </c>
      <c r="H81" s="10" t="s">
        <v>0</v>
      </c>
      <c r="I81" s="35" t="s">
        <v>0</v>
      </c>
      <c r="J81" s="10" t="s">
        <v>0</v>
      </c>
      <c r="K81" s="10" t="s">
        <v>0</v>
      </c>
      <c r="L81" s="10" t="s">
        <v>0</v>
      </c>
      <c r="M81" s="36" t="s">
        <v>0</v>
      </c>
      <c r="N81" s="35" t="s">
        <v>0</v>
      </c>
      <c r="O81" s="35">
        <v>1.2809999999999999</v>
      </c>
    </row>
    <row r="82" spans="1:15">
      <c r="A82" s="12" t="s">
        <v>53</v>
      </c>
      <c r="B82" s="14" t="s">
        <v>548</v>
      </c>
      <c r="C82" s="12" t="s">
        <v>760</v>
      </c>
      <c r="D82" s="10">
        <v>10.7</v>
      </c>
      <c r="E82" s="10">
        <v>12.06</v>
      </c>
      <c r="F82" s="10" t="s">
        <v>0</v>
      </c>
      <c r="G82" s="10" t="s">
        <v>0</v>
      </c>
      <c r="H82" s="10" t="s">
        <v>0</v>
      </c>
      <c r="I82" s="35" t="s">
        <v>0</v>
      </c>
      <c r="J82" s="10" t="s">
        <v>0</v>
      </c>
      <c r="K82" s="10" t="s">
        <v>0</v>
      </c>
      <c r="L82" s="10" t="s">
        <v>0</v>
      </c>
      <c r="M82" s="36" t="s">
        <v>0</v>
      </c>
      <c r="N82" s="35" t="s">
        <v>0</v>
      </c>
      <c r="O82" s="35">
        <v>1.2915000000000001</v>
      </c>
    </row>
    <row r="83" spans="1:15">
      <c r="A83" s="12" t="s">
        <v>38</v>
      </c>
      <c r="B83" s="14" t="s">
        <v>364</v>
      </c>
      <c r="C83" s="12" t="s">
        <v>761</v>
      </c>
      <c r="D83" s="10">
        <v>11.16</v>
      </c>
      <c r="E83" s="10">
        <v>12.3</v>
      </c>
      <c r="F83" s="10" t="s">
        <v>0</v>
      </c>
      <c r="G83" s="10" t="s">
        <v>0</v>
      </c>
      <c r="H83" s="10" t="s">
        <v>0</v>
      </c>
      <c r="I83" s="35" t="s">
        <v>0</v>
      </c>
      <c r="J83" s="10" t="s">
        <v>0</v>
      </c>
      <c r="K83" s="10" t="s">
        <v>0</v>
      </c>
      <c r="L83" s="10" t="s">
        <v>0</v>
      </c>
      <c r="M83" s="36" t="s">
        <v>0</v>
      </c>
      <c r="N83" s="35" t="s">
        <v>0</v>
      </c>
      <c r="O83" s="35">
        <v>1.2970999999999999</v>
      </c>
    </row>
    <row r="84" spans="1:15">
      <c r="A84" s="12" t="s">
        <v>33</v>
      </c>
      <c r="B84" s="14" t="s">
        <v>551</v>
      </c>
      <c r="C84" s="12" t="s">
        <v>762</v>
      </c>
      <c r="D84" s="10">
        <v>11.44</v>
      </c>
      <c r="E84" s="10">
        <v>12.51</v>
      </c>
      <c r="F84" s="10" t="s">
        <v>0</v>
      </c>
      <c r="G84" s="10" t="s">
        <v>0</v>
      </c>
      <c r="H84" s="10" t="s">
        <v>0</v>
      </c>
      <c r="I84" s="35" t="s">
        <v>0</v>
      </c>
      <c r="J84" s="10" t="s">
        <v>0</v>
      </c>
      <c r="K84" s="10" t="s">
        <v>0</v>
      </c>
      <c r="L84" s="10" t="s">
        <v>0</v>
      </c>
      <c r="M84" s="36" t="s">
        <v>0</v>
      </c>
      <c r="N84" s="35" t="s">
        <v>0</v>
      </c>
      <c r="O84" s="35">
        <v>1.3012999999999999</v>
      </c>
    </row>
    <row r="85" spans="1:15">
      <c r="A85" s="12" t="s">
        <v>44</v>
      </c>
      <c r="B85" s="14" t="s">
        <v>366</v>
      </c>
      <c r="C85" s="12" t="s">
        <v>763</v>
      </c>
      <c r="D85" s="10">
        <v>11.79</v>
      </c>
      <c r="E85" s="10">
        <v>12.79</v>
      </c>
      <c r="F85" s="10" t="s">
        <v>0</v>
      </c>
      <c r="G85" s="10" t="s">
        <v>0</v>
      </c>
      <c r="H85" s="10" t="s">
        <v>0</v>
      </c>
      <c r="I85" s="35" t="s">
        <v>0</v>
      </c>
      <c r="J85" s="10" t="s">
        <v>0</v>
      </c>
      <c r="K85" s="10" t="s">
        <v>0</v>
      </c>
      <c r="L85" s="10" t="s">
        <v>0</v>
      </c>
      <c r="M85" s="36" t="s">
        <v>0</v>
      </c>
      <c r="N85" s="35" t="s">
        <v>0</v>
      </c>
      <c r="O85" s="35">
        <v>1.3067</v>
      </c>
    </row>
    <row r="86" spans="1:15">
      <c r="A86" s="12" t="s">
        <v>35</v>
      </c>
      <c r="B86" s="14" t="s">
        <v>554</v>
      </c>
      <c r="C86" s="12" t="s">
        <v>764</v>
      </c>
      <c r="D86" s="10">
        <v>11.81</v>
      </c>
      <c r="E86" s="10">
        <v>13.38</v>
      </c>
      <c r="F86" s="10" t="s">
        <v>0</v>
      </c>
      <c r="G86" s="10" t="s">
        <v>0</v>
      </c>
      <c r="H86" s="10" t="s">
        <v>0</v>
      </c>
      <c r="I86" s="35" t="s">
        <v>0</v>
      </c>
      <c r="J86" s="10" t="s">
        <v>0</v>
      </c>
      <c r="K86" s="10" t="s">
        <v>0</v>
      </c>
      <c r="L86" s="10" t="s">
        <v>0</v>
      </c>
      <c r="M86" s="36" t="s">
        <v>0</v>
      </c>
      <c r="N86" s="35" t="s">
        <v>0</v>
      </c>
      <c r="O86" s="35">
        <v>1.3138000000000001</v>
      </c>
    </row>
    <row r="87" spans="1:15">
      <c r="A87" s="12" t="s">
        <v>65</v>
      </c>
      <c r="B87" s="14" t="s">
        <v>556</v>
      </c>
      <c r="C87" s="12" t="s">
        <v>765</v>
      </c>
      <c r="D87" s="10">
        <v>12.46</v>
      </c>
      <c r="E87" s="10">
        <v>13.87</v>
      </c>
      <c r="F87" s="10" t="s">
        <v>0</v>
      </c>
      <c r="G87" s="10" t="s">
        <v>0</v>
      </c>
      <c r="H87" s="10" t="s">
        <v>0</v>
      </c>
      <c r="I87" s="35" t="s">
        <v>0</v>
      </c>
      <c r="J87" s="10" t="s">
        <v>0</v>
      </c>
      <c r="K87" s="10" t="s">
        <v>0</v>
      </c>
      <c r="L87" s="10" t="s">
        <v>0</v>
      </c>
      <c r="M87" s="36" t="s">
        <v>0</v>
      </c>
      <c r="N87" s="35" t="s">
        <v>0</v>
      </c>
      <c r="O87" s="35">
        <v>1.3233999999999999</v>
      </c>
    </row>
    <row r="88" spans="1:15">
      <c r="A88" s="12" t="s">
        <v>66</v>
      </c>
      <c r="B88" s="14" t="s">
        <v>371</v>
      </c>
      <c r="C88" s="12" t="s">
        <v>766</v>
      </c>
      <c r="D88" s="10">
        <v>12.93</v>
      </c>
      <c r="E88" s="10">
        <v>14.44</v>
      </c>
      <c r="F88" s="10" t="s">
        <v>0</v>
      </c>
      <c r="G88" s="10" t="s">
        <v>0</v>
      </c>
      <c r="H88" s="10" t="s">
        <v>0</v>
      </c>
      <c r="I88" s="35" t="s">
        <v>0</v>
      </c>
      <c r="J88" s="10" t="s">
        <v>0</v>
      </c>
      <c r="K88" s="10" t="s">
        <v>0</v>
      </c>
      <c r="L88" s="10" t="s">
        <v>0</v>
      </c>
      <c r="M88" s="36" t="s">
        <v>0</v>
      </c>
      <c r="N88" s="35" t="s">
        <v>0</v>
      </c>
      <c r="O88" s="35">
        <v>1.3338000000000001</v>
      </c>
    </row>
    <row r="89" spans="1:15">
      <c r="A89" s="12" t="s">
        <v>22</v>
      </c>
      <c r="B89" s="14" t="s">
        <v>560</v>
      </c>
      <c r="C89" s="12" t="s">
        <v>767</v>
      </c>
      <c r="D89" s="10">
        <v>13.64</v>
      </c>
      <c r="E89" s="10">
        <v>16.32</v>
      </c>
      <c r="F89" s="10" t="s">
        <v>0</v>
      </c>
      <c r="G89" s="10" t="s">
        <v>0</v>
      </c>
      <c r="H89" s="10" t="s">
        <v>0</v>
      </c>
      <c r="I89" s="35" t="s">
        <v>0</v>
      </c>
      <c r="J89" s="10" t="s">
        <v>0</v>
      </c>
      <c r="K89" s="10" t="s">
        <v>0</v>
      </c>
      <c r="L89" s="10" t="s">
        <v>0</v>
      </c>
      <c r="M89" s="36" t="s">
        <v>0</v>
      </c>
      <c r="N89" s="35" t="s">
        <v>0</v>
      </c>
      <c r="O89" s="35">
        <v>1.3592</v>
      </c>
    </row>
    <row r="90" spans="1:15">
      <c r="A90" s="12" t="s">
        <v>67</v>
      </c>
      <c r="B90" s="14" t="s">
        <v>372</v>
      </c>
      <c r="C90" s="12" t="s">
        <v>768</v>
      </c>
      <c r="D90" s="10">
        <v>13.65</v>
      </c>
      <c r="E90" s="10">
        <v>14.97</v>
      </c>
      <c r="F90" s="10" t="s">
        <v>0</v>
      </c>
      <c r="G90" s="10" t="s">
        <v>0</v>
      </c>
      <c r="H90" s="10" t="s">
        <v>0</v>
      </c>
      <c r="I90" s="35" t="s">
        <v>0</v>
      </c>
      <c r="J90" s="10" t="s">
        <v>0</v>
      </c>
      <c r="K90" s="10" t="s">
        <v>0</v>
      </c>
      <c r="L90" s="10" t="s">
        <v>0</v>
      </c>
      <c r="M90" s="36" t="s">
        <v>0</v>
      </c>
      <c r="N90" s="35" t="s">
        <v>0</v>
      </c>
      <c r="O90" s="35">
        <v>1.3443000000000001</v>
      </c>
    </row>
    <row r="91" spans="1:15">
      <c r="A91" s="12" t="s">
        <v>243</v>
      </c>
      <c r="B91" s="14" t="s">
        <v>562</v>
      </c>
      <c r="C91" s="12" t="s">
        <v>769</v>
      </c>
      <c r="D91" s="10">
        <v>13.84</v>
      </c>
      <c r="E91" s="10">
        <v>15.32</v>
      </c>
      <c r="F91" s="10" t="s">
        <v>0</v>
      </c>
      <c r="G91" s="10" t="s">
        <v>0</v>
      </c>
      <c r="H91" s="10" t="s">
        <v>0</v>
      </c>
      <c r="I91" s="35" t="s">
        <v>0</v>
      </c>
      <c r="J91" s="10" t="s">
        <v>0</v>
      </c>
      <c r="K91" s="10" t="s">
        <v>0</v>
      </c>
      <c r="L91" s="10" t="s">
        <v>0</v>
      </c>
      <c r="M91" s="36" t="s">
        <v>0</v>
      </c>
      <c r="N91" s="35" t="s">
        <v>0</v>
      </c>
      <c r="O91" s="35">
        <v>1.3502000000000001</v>
      </c>
    </row>
    <row r="92" spans="1:15">
      <c r="A92" s="12" t="s">
        <v>244</v>
      </c>
      <c r="B92" s="14" t="s">
        <v>374</v>
      </c>
      <c r="C92" s="12" t="s">
        <v>770</v>
      </c>
      <c r="D92" s="10">
        <v>13.93</v>
      </c>
      <c r="E92" s="10">
        <v>15.41</v>
      </c>
      <c r="F92" s="10" t="s">
        <v>0</v>
      </c>
      <c r="G92" s="10" t="s">
        <v>0</v>
      </c>
      <c r="H92" s="10" t="s">
        <v>0</v>
      </c>
      <c r="I92" s="35" t="s">
        <v>0</v>
      </c>
      <c r="J92" s="10" t="s">
        <v>0</v>
      </c>
      <c r="K92" s="10" t="s">
        <v>0</v>
      </c>
      <c r="L92" s="10" t="s">
        <v>0</v>
      </c>
      <c r="M92" s="36" t="s">
        <v>0</v>
      </c>
      <c r="N92" s="35" t="s">
        <v>0</v>
      </c>
      <c r="O92" s="35">
        <v>1.3519000000000001</v>
      </c>
    </row>
    <row r="93" spans="1:15">
      <c r="A93" s="12" t="s">
        <v>45</v>
      </c>
      <c r="B93" s="14" t="s">
        <v>565</v>
      </c>
      <c r="C93" s="12" t="s">
        <v>771</v>
      </c>
      <c r="D93" s="10">
        <v>14.37</v>
      </c>
      <c r="E93" s="10">
        <v>17.239999999999998</v>
      </c>
      <c r="F93" s="10" t="s">
        <v>0</v>
      </c>
      <c r="G93" s="10" t="s">
        <v>0</v>
      </c>
      <c r="H93" s="10" t="s">
        <v>0</v>
      </c>
      <c r="I93" s="35" t="s">
        <v>0</v>
      </c>
      <c r="J93" s="10" t="s">
        <v>0</v>
      </c>
      <c r="K93" s="10" t="s">
        <v>0</v>
      </c>
      <c r="L93" s="10" t="s">
        <v>0</v>
      </c>
      <c r="M93" s="36" t="s">
        <v>0</v>
      </c>
      <c r="N93" s="35" t="s">
        <v>0</v>
      </c>
      <c r="O93" s="35">
        <v>1.3744000000000001</v>
      </c>
    </row>
    <row r="94" spans="1:15">
      <c r="A94" s="12" t="s">
        <v>23</v>
      </c>
      <c r="B94" s="14" t="s">
        <v>567</v>
      </c>
      <c r="C94" s="12" t="s">
        <v>772</v>
      </c>
      <c r="D94" s="10">
        <v>14.63</v>
      </c>
      <c r="E94" s="10">
        <v>17.39</v>
      </c>
      <c r="F94" s="10" t="s">
        <v>0</v>
      </c>
      <c r="G94" s="10" t="s">
        <v>0</v>
      </c>
      <c r="H94" s="10" t="s">
        <v>0</v>
      </c>
      <c r="I94" s="35" t="s">
        <v>0</v>
      </c>
      <c r="J94" s="10" t="s">
        <v>0</v>
      </c>
      <c r="K94" s="10" t="s">
        <v>0</v>
      </c>
      <c r="L94" s="10" t="s">
        <v>0</v>
      </c>
      <c r="M94" s="36" t="s">
        <v>0</v>
      </c>
      <c r="N94" s="35" t="s">
        <v>0</v>
      </c>
      <c r="O94" s="35">
        <v>1.3776999999999999</v>
      </c>
    </row>
    <row r="95" spans="1:15">
      <c r="A95" s="12" t="s">
        <v>39</v>
      </c>
      <c r="B95" s="14" t="s">
        <v>569</v>
      </c>
      <c r="C95" s="12" t="s">
        <v>773</v>
      </c>
      <c r="D95" s="10">
        <v>14.81</v>
      </c>
      <c r="E95" s="10">
        <v>15.92</v>
      </c>
      <c r="F95" s="10" t="s">
        <v>0</v>
      </c>
      <c r="G95" s="10" t="s">
        <v>0</v>
      </c>
      <c r="H95" s="10" t="s">
        <v>0</v>
      </c>
      <c r="I95" s="35" t="s">
        <v>0</v>
      </c>
      <c r="J95" s="10" t="s">
        <v>0</v>
      </c>
      <c r="K95" s="10" t="s">
        <v>0</v>
      </c>
      <c r="L95" s="10" t="s">
        <v>0</v>
      </c>
      <c r="M95" s="36" t="s">
        <v>0</v>
      </c>
      <c r="N95" s="35" t="s">
        <v>0</v>
      </c>
      <c r="O95" s="35">
        <v>1.3632</v>
      </c>
    </row>
    <row r="96" spans="1:15">
      <c r="A96" s="12" t="s">
        <v>245</v>
      </c>
      <c r="B96" s="14" t="s">
        <v>571</v>
      </c>
      <c r="C96" s="12" t="s">
        <v>774</v>
      </c>
      <c r="D96" s="10">
        <v>15.04</v>
      </c>
      <c r="E96" s="10">
        <v>16.29</v>
      </c>
      <c r="F96" s="10" t="s">
        <v>0</v>
      </c>
      <c r="G96" s="10" t="s">
        <v>0</v>
      </c>
      <c r="H96" s="10" t="s">
        <v>0</v>
      </c>
      <c r="I96" s="35" t="s">
        <v>0</v>
      </c>
      <c r="J96" s="10" t="s">
        <v>0</v>
      </c>
      <c r="K96" s="10" t="s">
        <v>0</v>
      </c>
      <c r="L96" s="10" t="s">
        <v>0</v>
      </c>
      <c r="M96" s="36" t="s">
        <v>0</v>
      </c>
      <c r="N96" s="35" t="s">
        <v>0</v>
      </c>
      <c r="O96" s="35">
        <v>1.3694</v>
      </c>
    </row>
    <row r="97" spans="1:15">
      <c r="A97" s="12" t="s">
        <v>46</v>
      </c>
      <c r="B97" s="14" t="s">
        <v>573</v>
      </c>
      <c r="C97" s="12" t="s">
        <v>775</v>
      </c>
      <c r="D97" s="10">
        <v>15.23</v>
      </c>
      <c r="E97" s="10">
        <v>17.88</v>
      </c>
      <c r="F97" s="10">
        <v>1.3925000000000001</v>
      </c>
      <c r="G97" s="10">
        <v>1.3925000000000001</v>
      </c>
      <c r="H97" s="10">
        <v>1.3925000000000001</v>
      </c>
      <c r="I97" s="35">
        <v>6</v>
      </c>
      <c r="J97" s="10" t="s">
        <v>0</v>
      </c>
      <c r="K97" s="10" t="s">
        <v>0</v>
      </c>
      <c r="L97" s="10" t="s">
        <v>0</v>
      </c>
      <c r="M97" s="36" t="s">
        <v>0</v>
      </c>
      <c r="N97" s="35" t="s">
        <v>0</v>
      </c>
      <c r="O97" s="35">
        <v>1.3863000000000001</v>
      </c>
    </row>
    <row r="98" spans="1:15">
      <c r="A98" s="12" t="s">
        <v>246</v>
      </c>
      <c r="B98" s="14" t="s">
        <v>575</v>
      </c>
      <c r="C98" s="12" t="s">
        <v>776</v>
      </c>
      <c r="D98" s="10">
        <v>15.49</v>
      </c>
      <c r="E98" s="10">
        <v>16.43</v>
      </c>
      <c r="F98" s="10" t="s">
        <v>0</v>
      </c>
      <c r="G98" s="10" t="s">
        <v>0</v>
      </c>
      <c r="H98" s="10" t="s">
        <v>0</v>
      </c>
      <c r="I98" s="35" t="s">
        <v>0</v>
      </c>
      <c r="J98" s="10" t="s">
        <v>0</v>
      </c>
      <c r="K98" s="10" t="s">
        <v>0</v>
      </c>
      <c r="L98" s="10" t="s">
        <v>0</v>
      </c>
      <c r="M98" s="36" t="s">
        <v>0</v>
      </c>
      <c r="N98" s="35" t="s">
        <v>0</v>
      </c>
      <c r="O98" s="35">
        <v>1.3738999999999999</v>
      </c>
    </row>
    <row r="99" spans="1:15">
      <c r="A99" s="12" t="s">
        <v>24</v>
      </c>
      <c r="B99" s="14" t="s">
        <v>577</v>
      </c>
      <c r="C99" s="12" t="s">
        <v>777</v>
      </c>
      <c r="D99" s="10">
        <v>15.56</v>
      </c>
      <c r="E99" s="10">
        <v>18.36</v>
      </c>
      <c r="F99" s="10" t="s">
        <v>0</v>
      </c>
      <c r="G99" s="10" t="s">
        <v>0</v>
      </c>
      <c r="H99" s="10" t="s">
        <v>0</v>
      </c>
      <c r="I99" s="35" t="s">
        <v>0</v>
      </c>
      <c r="J99" s="10" t="s">
        <v>0</v>
      </c>
      <c r="K99" s="10" t="s">
        <v>0</v>
      </c>
      <c r="L99" s="10" t="s">
        <v>0</v>
      </c>
      <c r="M99" s="36" t="s">
        <v>0</v>
      </c>
      <c r="N99" s="35" t="s">
        <v>0</v>
      </c>
      <c r="O99" s="35">
        <v>1.3946000000000001</v>
      </c>
    </row>
    <row r="100" spans="1:15">
      <c r="A100" s="12" t="s">
        <v>68</v>
      </c>
      <c r="B100" s="14" t="s">
        <v>357</v>
      </c>
      <c r="C100" s="12" t="s">
        <v>778</v>
      </c>
      <c r="D100" s="10">
        <v>15.97</v>
      </c>
      <c r="E100" s="10">
        <v>19.829999999999998</v>
      </c>
      <c r="F100" s="10" t="s">
        <v>0</v>
      </c>
      <c r="G100" s="10" t="s">
        <v>0</v>
      </c>
      <c r="H100" s="10" t="s">
        <v>0</v>
      </c>
      <c r="I100" s="35" t="s">
        <v>0</v>
      </c>
      <c r="J100" s="10" t="s">
        <v>0</v>
      </c>
      <c r="K100" s="10" t="s">
        <v>0</v>
      </c>
      <c r="L100" s="10" t="s">
        <v>0</v>
      </c>
      <c r="M100" s="36" t="s">
        <v>0</v>
      </c>
      <c r="N100" s="35" t="s">
        <v>0</v>
      </c>
      <c r="O100" s="35">
        <v>1.41</v>
      </c>
    </row>
    <row r="101" spans="1:15">
      <c r="A101" s="12" t="s">
        <v>247</v>
      </c>
      <c r="B101" s="14" t="s">
        <v>378</v>
      </c>
      <c r="C101" s="12" t="s">
        <v>779</v>
      </c>
      <c r="D101" s="10">
        <v>16.010000000000002</v>
      </c>
      <c r="E101" s="10">
        <v>16.96</v>
      </c>
      <c r="F101" s="10" t="s">
        <v>0</v>
      </c>
      <c r="G101" s="10" t="s">
        <v>0</v>
      </c>
      <c r="H101" s="10" t="s">
        <v>0</v>
      </c>
      <c r="I101" s="35" t="s">
        <v>0</v>
      </c>
      <c r="J101" s="10" t="s">
        <v>0</v>
      </c>
      <c r="K101" s="10" t="s">
        <v>0</v>
      </c>
      <c r="L101" s="10" t="s">
        <v>0</v>
      </c>
      <c r="M101" s="36" t="s">
        <v>0</v>
      </c>
      <c r="N101" s="35" t="s">
        <v>0</v>
      </c>
      <c r="O101" s="35">
        <v>1.3829</v>
      </c>
    </row>
    <row r="102" spans="1:15">
      <c r="A102" s="12" t="s">
        <v>261</v>
      </c>
      <c r="B102" s="14" t="s">
        <v>579</v>
      </c>
      <c r="C102" s="12" t="s">
        <v>780</v>
      </c>
      <c r="D102" s="10">
        <v>16.05</v>
      </c>
      <c r="E102" s="10">
        <v>18.989999999999998</v>
      </c>
      <c r="F102" s="10" t="s">
        <v>0</v>
      </c>
      <c r="G102" s="10" t="s">
        <v>0</v>
      </c>
      <c r="H102" s="10" t="s">
        <v>0</v>
      </c>
      <c r="I102" s="35" t="s">
        <v>0</v>
      </c>
      <c r="J102" s="10" t="s">
        <v>0</v>
      </c>
      <c r="K102" s="10" t="s">
        <v>0</v>
      </c>
      <c r="L102" s="10" t="s">
        <v>0</v>
      </c>
      <c r="M102" s="36" t="s">
        <v>0</v>
      </c>
      <c r="N102" s="35" t="s">
        <v>0</v>
      </c>
      <c r="O102" s="35">
        <v>1.4031</v>
      </c>
    </row>
    <row r="103" spans="1:15">
      <c r="A103" s="12" t="s">
        <v>69</v>
      </c>
      <c r="B103" s="14" t="s">
        <v>583</v>
      </c>
      <c r="C103" s="12" t="s">
        <v>781</v>
      </c>
      <c r="D103" s="10">
        <v>16.21</v>
      </c>
      <c r="E103" s="10">
        <v>18.89</v>
      </c>
      <c r="F103" s="10" t="s">
        <v>0</v>
      </c>
      <c r="G103" s="10" t="s">
        <v>0</v>
      </c>
      <c r="H103" s="10" t="s">
        <v>0</v>
      </c>
      <c r="I103" s="35" t="s">
        <v>0</v>
      </c>
      <c r="J103" s="10" t="s">
        <v>0</v>
      </c>
      <c r="K103" s="10" t="s">
        <v>0</v>
      </c>
      <c r="L103" s="10" t="s">
        <v>0</v>
      </c>
      <c r="M103" s="36" t="s">
        <v>0</v>
      </c>
      <c r="N103" s="35" t="s">
        <v>0</v>
      </c>
      <c r="O103" s="35">
        <v>1.4036999999999999</v>
      </c>
    </row>
    <row r="104" spans="1:15">
      <c r="A104" s="12" t="s">
        <v>249</v>
      </c>
      <c r="B104" s="14" t="s">
        <v>379</v>
      </c>
      <c r="C104" s="12" t="s">
        <v>782</v>
      </c>
      <c r="D104" s="10">
        <v>16.28</v>
      </c>
      <c r="E104" s="10">
        <v>17.32</v>
      </c>
      <c r="F104" s="10" t="s">
        <v>0</v>
      </c>
      <c r="G104" s="10" t="s">
        <v>0</v>
      </c>
      <c r="H104" s="10" t="s">
        <v>0</v>
      </c>
      <c r="I104" s="35" t="s">
        <v>0</v>
      </c>
      <c r="J104" s="10" t="s">
        <v>0</v>
      </c>
      <c r="K104" s="10" t="s">
        <v>0</v>
      </c>
      <c r="L104" s="10" t="s">
        <v>0</v>
      </c>
      <c r="M104" s="36" t="s">
        <v>0</v>
      </c>
      <c r="N104" s="35" t="s">
        <v>0</v>
      </c>
      <c r="O104" s="35">
        <v>1.389</v>
      </c>
    </row>
    <row r="105" spans="1:15">
      <c r="A105" s="12" t="s">
        <v>40</v>
      </c>
      <c r="B105" s="14" t="s">
        <v>586</v>
      </c>
      <c r="C105" s="12" t="s">
        <v>783</v>
      </c>
      <c r="D105" s="10">
        <v>16.309999999999999</v>
      </c>
      <c r="E105" s="10">
        <v>19.399999999999999</v>
      </c>
      <c r="F105" s="10" t="s">
        <v>0</v>
      </c>
      <c r="G105" s="10" t="s">
        <v>0</v>
      </c>
      <c r="H105" s="10" t="s">
        <v>0</v>
      </c>
      <c r="I105" s="35" t="s">
        <v>0</v>
      </c>
      <c r="J105" s="10" t="s">
        <v>0</v>
      </c>
      <c r="K105" s="10" t="s">
        <v>0</v>
      </c>
      <c r="L105" s="10" t="s">
        <v>0</v>
      </c>
      <c r="M105" s="36" t="s">
        <v>0</v>
      </c>
      <c r="N105" s="35" t="s">
        <v>0</v>
      </c>
      <c r="O105" s="35">
        <v>1.4101999999999999</v>
      </c>
    </row>
    <row r="106" spans="1:15">
      <c r="A106" s="12" t="s">
        <v>216</v>
      </c>
      <c r="B106" s="14" t="s">
        <v>588</v>
      </c>
      <c r="C106" s="12" t="s">
        <v>784</v>
      </c>
      <c r="D106" s="10">
        <v>16.38</v>
      </c>
      <c r="E106" s="10">
        <v>17.239999999999998</v>
      </c>
      <c r="F106" s="10" t="s">
        <v>0</v>
      </c>
      <c r="G106" s="10" t="s">
        <v>0</v>
      </c>
      <c r="H106" s="10" t="s">
        <v>0</v>
      </c>
      <c r="I106" s="35" t="s">
        <v>0</v>
      </c>
      <c r="J106" s="10" t="s">
        <v>0</v>
      </c>
      <c r="K106" s="10" t="s">
        <v>0</v>
      </c>
      <c r="L106" s="10" t="s">
        <v>0</v>
      </c>
      <c r="M106" s="36" t="s">
        <v>0</v>
      </c>
      <c r="N106" s="35" t="s">
        <v>0</v>
      </c>
      <c r="O106" s="35">
        <v>1.3889</v>
      </c>
    </row>
    <row r="107" spans="1:15">
      <c r="A107" s="12" t="s">
        <v>213</v>
      </c>
      <c r="B107" s="14" t="s">
        <v>590</v>
      </c>
      <c r="C107" s="12" t="s">
        <v>785</v>
      </c>
      <c r="D107" s="10">
        <v>16.39</v>
      </c>
      <c r="E107" s="10">
        <v>18.29</v>
      </c>
      <c r="F107" s="10" t="s">
        <v>0</v>
      </c>
      <c r="G107" s="10" t="s">
        <v>0</v>
      </c>
      <c r="H107" s="10" t="s">
        <v>0</v>
      </c>
      <c r="I107" s="35" t="s">
        <v>0</v>
      </c>
      <c r="J107" s="10" t="s">
        <v>0</v>
      </c>
      <c r="K107" s="10" t="s">
        <v>0</v>
      </c>
      <c r="L107" s="10" t="s">
        <v>0</v>
      </c>
      <c r="M107" s="36" t="s">
        <v>0</v>
      </c>
      <c r="N107" s="35" t="s">
        <v>0</v>
      </c>
      <c r="O107" s="35">
        <v>1.4001999999999999</v>
      </c>
    </row>
    <row r="108" spans="1:15">
      <c r="A108" s="12" t="s">
        <v>248</v>
      </c>
      <c r="B108" s="14" t="s">
        <v>380</v>
      </c>
      <c r="C108" s="12" t="s">
        <v>786</v>
      </c>
      <c r="D108" s="10">
        <v>16.399999999999999</v>
      </c>
      <c r="E108" s="10">
        <v>17.63</v>
      </c>
      <c r="F108" s="10" t="s">
        <v>0</v>
      </c>
      <c r="G108" s="10" t="s">
        <v>0</v>
      </c>
      <c r="H108" s="10" t="s">
        <v>0</v>
      </c>
      <c r="I108" s="35" t="s">
        <v>0</v>
      </c>
      <c r="J108" s="10" t="s">
        <v>0</v>
      </c>
      <c r="K108" s="10" t="s">
        <v>0</v>
      </c>
      <c r="L108" s="10" t="s">
        <v>0</v>
      </c>
      <c r="M108" s="36" t="s">
        <v>0</v>
      </c>
      <c r="N108" s="35" t="s">
        <v>0</v>
      </c>
      <c r="O108" s="35">
        <v>1.393</v>
      </c>
    </row>
    <row r="109" spans="1:15">
      <c r="A109" s="12" t="s">
        <v>47</v>
      </c>
      <c r="B109" s="14" t="s">
        <v>359</v>
      </c>
      <c r="C109" s="12" t="s">
        <v>787</v>
      </c>
      <c r="D109" s="10">
        <v>16.579999999999998</v>
      </c>
      <c r="E109" s="10">
        <v>20.399999999999999</v>
      </c>
      <c r="F109" s="10" t="s">
        <v>0</v>
      </c>
      <c r="G109" s="10" t="s">
        <v>0</v>
      </c>
      <c r="H109" s="10" t="s">
        <v>0</v>
      </c>
      <c r="I109" s="35" t="s">
        <v>0</v>
      </c>
      <c r="J109" s="10" t="s">
        <v>0</v>
      </c>
      <c r="K109" s="10" t="s">
        <v>0</v>
      </c>
      <c r="L109" s="10" t="s">
        <v>0</v>
      </c>
      <c r="M109" s="36" t="s">
        <v>0</v>
      </c>
      <c r="N109" s="35" t="s">
        <v>0</v>
      </c>
      <c r="O109" s="35">
        <v>1.4212</v>
      </c>
    </row>
    <row r="110" spans="1:15">
      <c r="A110" s="12" t="s">
        <v>215</v>
      </c>
      <c r="B110" s="14" t="s">
        <v>594</v>
      </c>
      <c r="C110" s="12" t="s">
        <v>788</v>
      </c>
      <c r="D110" s="10">
        <v>16.68</v>
      </c>
      <c r="E110" s="10">
        <v>18.420000000000002</v>
      </c>
      <c r="F110" s="10" t="s">
        <v>0</v>
      </c>
      <c r="G110" s="10" t="s">
        <v>0</v>
      </c>
      <c r="H110" s="10" t="s">
        <v>0</v>
      </c>
      <c r="I110" s="35" t="s">
        <v>0</v>
      </c>
      <c r="J110" s="10" t="s">
        <v>0</v>
      </c>
      <c r="K110" s="10" t="s">
        <v>0</v>
      </c>
      <c r="L110" s="10" t="s">
        <v>0</v>
      </c>
      <c r="M110" s="36" t="s">
        <v>0</v>
      </c>
      <c r="N110" s="35" t="s">
        <v>0</v>
      </c>
      <c r="O110" s="35">
        <v>1.4034</v>
      </c>
    </row>
    <row r="111" spans="1:15">
      <c r="A111" s="12" t="s">
        <v>250</v>
      </c>
      <c r="B111" s="14" t="s">
        <v>382</v>
      </c>
      <c r="C111" s="12" t="s">
        <v>789</v>
      </c>
      <c r="D111" s="10">
        <v>16.75</v>
      </c>
      <c r="E111" s="10">
        <v>18.11</v>
      </c>
      <c r="F111" s="10" t="s">
        <v>0</v>
      </c>
      <c r="G111" s="10" t="s">
        <v>0</v>
      </c>
      <c r="H111" s="10" t="s">
        <v>0</v>
      </c>
      <c r="I111" s="35" t="s">
        <v>0</v>
      </c>
      <c r="J111" s="10" t="s">
        <v>0</v>
      </c>
      <c r="K111" s="10" t="s">
        <v>0</v>
      </c>
      <c r="L111" s="10" t="s">
        <v>0</v>
      </c>
      <c r="M111" s="36" t="s">
        <v>0</v>
      </c>
      <c r="N111" s="35" t="s">
        <v>0</v>
      </c>
      <c r="O111" s="35">
        <v>1.4009</v>
      </c>
    </row>
    <row r="112" spans="1:15">
      <c r="A112" s="12" t="s">
        <v>277</v>
      </c>
      <c r="B112" s="14" t="s">
        <v>597</v>
      </c>
      <c r="C112" s="12" t="s">
        <v>790</v>
      </c>
      <c r="D112" s="10">
        <v>16.79</v>
      </c>
      <c r="E112" s="10">
        <v>19.41</v>
      </c>
      <c r="F112" s="10" t="s">
        <v>0</v>
      </c>
      <c r="G112" s="10" t="s">
        <v>0</v>
      </c>
      <c r="H112" s="10" t="s">
        <v>0</v>
      </c>
      <c r="I112" s="35" t="s">
        <v>0</v>
      </c>
      <c r="J112" s="10" t="s">
        <v>0</v>
      </c>
      <c r="K112" s="10" t="s">
        <v>0</v>
      </c>
      <c r="L112" s="10" t="s">
        <v>0</v>
      </c>
      <c r="M112" s="36" t="s">
        <v>0</v>
      </c>
      <c r="N112" s="35" t="s">
        <v>0</v>
      </c>
      <c r="O112" s="35">
        <v>1.4139999999999999</v>
      </c>
    </row>
    <row r="113" spans="1:15">
      <c r="A113" s="12" t="s">
        <v>70</v>
      </c>
      <c r="B113" s="14" t="s">
        <v>601</v>
      </c>
      <c r="C113" s="12" t="s">
        <v>791</v>
      </c>
      <c r="D113" s="10">
        <v>16.850000000000001</v>
      </c>
      <c r="E113" s="10">
        <v>21.15</v>
      </c>
      <c r="F113" s="10" t="s">
        <v>0</v>
      </c>
      <c r="G113" s="10" t="s">
        <v>0</v>
      </c>
      <c r="H113" s="10" t="s">
        <v>0</v>
      </c>
      <c r="I113" s="35" t="s">
        <v>0</v>
      </c>
      <c r="J113" s="10" t="s">
        <v>0</v>
      </c>
      <c r="K113" s="10" t="s">
        <v>0</v>
      </c>
      <c r="L113" s="10" t="s">
        <v>0</v>
      </c>
      <c r="M113" s="36" t="s">
        <v>0</v>
      </c>
      <c r="N113" s="35" t="s">
        <v>0</v>
      </c>
      <c r="O113" s="35">
        <v>1.4302999999999999</v>
      </c>
    </row>
    <row r="114" spans="1:15">
      <c r="A114" s="12" t="s">
        <v>71</v>
      </c>
      <c r="B114" s="14" t="s">
        <v>603</v>
      </c>
      <c r="C114" s="12" t="s">
        <v>792</v>
      </c>
      <c r="D114" s="10">
        <v>16.88</v>
      </c>
      <c r="E114" s="10">
        <v>20.84</v>
      </c>
      <c r="F114" s="10" t="s">
        <v>0</v>
      </c>
      <c r="G114" s="10" t="s">
        <v>0</v>
      </c>
      <c r="H114" s="10" t="s">
        <v>0</v>
      </c>
      <c r="I114" s="35" t="s">
        <v>0</v>
      </c>
      <c r="J114" s="10" t="s">
        <v>0</v>
      </c>
      <c r="K114" s="10" t="s">
        <v>0</v>
      </c>
      <c r="L114" s="10" t="s">
        <v>0</v>
      </c>
      <c r="M114" s="36" t="s">
        <v>0</v>
      </c>
      <c r="N114" s="35" t="s">
        <v>0</v>
      </c>
      <c r="O114" s="35">
        <v>1.4259999999999999</v>
      </c>
    </row>
    <row r="115" spans="1:15">
      <c r="A115" s="12" t="s">
        <v>54</v>
      </c>
      <c r="B115" s="14" t="s">
        <v>605</v>
      </c>
      <c r="C115" s="12" t="s">
        <v>793</v>
      </c>
      <c r="D115" s="10">
        <v>16.93</v>
      </c>
      <c r="E115" s="10">
        <v>21.36</v>
      </c>
      <c r="F115" s="10" t="s">
        <v>0</v>
      </c>
      <c r="G115" s="10" t="s">
        <v>0</v>
      </c>
      <c r="H115" s="10" t="s">
        <v>0</v>
      </c>
      <c r="I115" s="35" t="s">
        <v>0</v>
      </c>
      <c r="J115" s="10" t="s">
        <v>0</v>
      </c>
      <c r="K115" s="10" t="s">
        <v>0</v>
      </c>
      <c r="L115" s="10" t="s">
        <v>0</v>
      </c>
      <c r="M115" s="36" t="s">
        <v>0</v>
      </c>
      <c r="N115" s="35" t="s">
        <v>0</v>
      </c>
      <c r="O115" s="35">
        <v>1.4319999999999999</v>
      </c>
    </row>
    <row r="116" spans="1:15">
      <c r="A116" s="12" t="s">
        <v>251</v>
      </c>
      <c r="B116" s="14" t="s">
        <v>599</v>
      </c>
      <c r="C116" s="12" t="s">
        <v>794</v>
      </c>
      <c r="D116" s="10">
        <v>16.93</v>
      </c>
      <c r="E116" s="10">
        <v>17.989999999999998</v>
      </c>
      <c r="F116" s="10" t="s">
        <v>0</v>
      </c>
      <c r="G116" s="10" t="s">
        <v>0</v>
      </c>
      <c r="H116" s="10" t="s">
        <v>0</v>
      </c>
      <c r="I116" s="35" t="s">
        <v>0</v>
      </c>
      <c r="J116" s="10" t="s">
        <v>0</v>
      </c>
      <c r="K116" s="10" t="s">
        <v>0</v>
      </c>
      <c r="L116" s="10" t="s">
        <v>0</v>
      </c>
      <c r="M116" s="36" t="s">
        <v>0</v>
      </c>
      <c r="N116" s="35" t="s">
        <v>0</v>
      </c>
      <c r="O116" s="35">
        <v>1.4001999999999999</v>
      </c>
    </row>
    <row r="117" spans="1:15">
      <c r="A117" s="12" t="s">
        <v>72</v>
      </c>
      <c r="B117" s="14" t="s">
        <v>607</v>
      </c>
      <c r="C117" s="12" t="s">
        <v>795</v>
      </c>
      <c r="D117" s="10">
        <v>16.97</v>
      </c>
      <c r="E117" s="10">
        <v>20.65</v>
      </c>
      <c r="F117" s="10" t="s">
        <v>0</v>
      </c>
      <c r="G117" s="10" t="s">
        <v>0</v>
      </c>
      <c r="H117" s="10" t="s">
        <v>0</v>
      </c>
      <c r="I117" s="35" t="s">
        <v>0</v>
      </c>
      <c r="J117" s="10" t="s">
        <v>0</v>
      </c>
      <c r="K117" s="10" t="s">
        <v>0</v>
      </c>
      <c r="L117" s="10" t="s">
        <v>0</v>
      </c>
      <c r="M117" s="36" t="s">
        <v>0</v>
      </c>
      <c r="N117" s="35" t="s">
        <v>0</v>
      </c>
      <c r="O117" s="35">
        <v>1.4258</v>
      </c>
    </row>
    <row r="118" spans="1:15">
      <c r="A118" s="12" t="s">
        <v>73</v>
      </c>
      <c r="B118" s="14" t="s">
        <v>609</v>
      </c>
      <c r="C118" s="12" t="s">
        <v>796</v>
      </c>
      <c r="D118" s="10">
        <v>17.170000000000002</v>
      </c>
      <c r="E118" s="10">
        <v>21.61</v>
      </c>
      <c r="F118" s="10" t="s">
        <v>0</v>
      </c>
      <c r="G118" s="10" t="s">
        <v>0</v>
      </c>
      <c r="H118" s="10" t="s">
        <v>0</v>
      </c>
      <c r="I118" s="35" t="s">
        <v>0</v>
      </c>
      <c r="J118" s="10" t="s">
        <v>0</v>
      </c>
      <c r="K118" s="10" t="s">
        <v>0</v>
      </c>
      <c r="L118" s="10" t="s">
        <v>0</v>
      </c>
      <c r="M118" s="36" t="s">
        <v>0</v>
      </c>
      <c r="N118" s="35" t="s">
        <v>0</v>
      </c>
      <c r="O118" s="35">
        <v>1.4353</v>
      </c>
    </row>
    <row r="119" spans="1:15">
      <c r="A119" s="12" t="s">
        <v>326</v>
      </c>
      <c r="B119" s="14" t="s">
        <v>611</v>
      </c>
      <c r="C119" s="12" t="s">
        <v>797</v>
      </c>
      <c r="D119" s="10">
        <v>17.329999999999998</v>
      </c>
      <c r="E119" s="10">
        <v>19.97</v>
      </c>
      <c r="F119" s="10" t="s">
        <v>0</v>
      </c>
      <c r="G119" s="10" t="s">
        <v>0</v>
      </c>
      <c r="H119" s="10" t="s">
        <v>0</v>
      </c>
      <c r="I119" s="35" t="s">
        <v>0</v>
      </c>
      <c r="J119" s="10" t="s">
        <v>0</v>
      </c>
      <c r="K119" s="10" t="s">
        <v>0</v>
      </c>
      <c r="L119" s="10" t="s">
        <v>0</v>
      </c>
      <c r="M119" s="36" t="s">
        <v>0</v>
      </c>
      <c r="N119" s="35" t="s">
        <v>0</v>
      </c>
      <c r="O119" s="35">
        <v>1.4222999999999999</v>
      </c>
    </row>
    <row r="120" spans="1:15">
      <c r="A120" s="12" t="s">
        <v>74</v>
      </c>
      <c r="B120" s="14" t="s">
        <v>613</v>
      </c>
      <c r="C120" s="12" t="s">
        <v>798</v>
      </c>
      <c r="D120" s="10">
        <v>17.54</v>
      </c>
      <c r="E120" s="10">
        <v>21.85</v>
      </c>
      <c r="F120" s="10" t="s">
        <v>0</v>
      </c>
      <c r="G120" s="10" t="s">
        <v>0</v>
      </c>
      <c r="H120" s="10" t="s">
        <v>0</v>
      </c>
      <c r="I120" s="35" t="s">
        <v>0</v>
      </c>
      <c r="J120" s="10" t="s">
        <v>0</v>
      </c>
      <c r="K120" s="10" t="s">
        <v>0</v>
      </c>
      <c r="L120" s="10" t="s">
        <v>0</v>
      </c>
      <c r="M120" s="36" t="s">
        <v>0</v>
      </c>
      <c r="N120" s="35" t="s">
        <v>0</v>
      </c>
      <c r="O120" s="35">
        <v>1.4397</v>
      </c>
    </row>
    <row r="121" spans="1:15">
      <c r="A121" s="12" t="s">
        <v>75</v>
      </c>
      <c r="B121" s="14" t="s">
        <v>615</v>
      </c>
      <c r="C121" s="12" t="s">
        <v>799</v>
      </c>
      <c r="D121" s="10">
        <v>18.45</v>
      </c>
      <c r="E121" s="10">
        <v>23.14</v>
      </c>
      <c r="F121" s="10" t="s">
        <v>0</v>
      </c>
      <c r="G121" s="10" t="s">
        <v>0</v>
      </c>
      <c r="H121" s="10" t="s">
        <v>0</v>
      </c>
      <c r="I121" s="35" t="s">
        <v>0</v>
      </c>
      <c r="J121" s="10" t="s">
        <v>0</v>
      </c>
      <c r="K121" s="10" t="s">
        <v>0</v>
      </c>
      <c r="L121" s="10" t="s">
        <v>0</v>
      </c>
      <c r="M121" s="36" t="s">
        <v>0</v>
      </c>
      <c r="N121" s="35" t="s">
        <v>0</v>
      </c>
      <c r="O121" s="35">
        <v>1.4588000000000001</v>
      </c>
    </row>
    <row r="122" spans="1:15">
      <c r="A122" s="12" t="s">
        <v>76</v>
      </c>
      <c r="B122" s="14" t="s">
        <v>617</v>
      </c>
      <c r="C122" s="12" t="s">
        <v>800</v>
      </c>
      <c r="D122" s="10">
        <v>18.8</v>
      </c>
      <c r="E122" s="10">
        <v>22.63</v>
      </c>
      <c r="F122" s="10" t="s">
        <v>0</v>
      </c>
      <c r="G122" s="10" t="s">
        <v>0</v>
      </c>
      <c r="H122" s="10" t="s">
        <v>0</v>
      </c>
      <c r="I122" s="35" t="s">
        <v>0</v>
      </c>
      <c r="J122" s="10" t="s">
        <v>0</v>
      </c>
      <c r="K122" s="10" t="s">
        <v>0</v>
      </c>
      <c r="L122" s="10" t="s">
        <v>0</v>
      </c>
      <c r="M122" s="36" t="s">
        <v>0</v>
      </c>
      <c r="N122" s="35" t="s">
        <v>0</v>
      </c>
      <c r="O122" s="35">
        <v>1.4564999999999999</v>
      </c>
    </row>
    <row r="123" spans="1:15">
      <c r="A123" s="12" t="s">
        <v>77</v>
      </c>
      <c r="B123" s="14" t="s">
        <v>619</v>
      </c>
      <c r="C123" s="12" t="s">
        <v>801</v>
      </c>
      <c r="D123" s="10">
        <v>19.11</v>
      </c>
      <c r="E123" s="10">
        <v>23.64</v>
      </c>
      <c r="F123" s="10" t="s">
        <v>0</v>
      </c>
      <c r="G123" s="10" t="s">
        <v>0</v>
      </c>
      <c r="H123" s="10" t="s">
        <v>0</v>
      </c>
      <c r="I123" s="35" t="s">
        <v>0</v>
      </c>
      <c r="J123" s="10" t="s">
        <v>0</v>
      </c>
      <c r="K123" s="10" t="s">
        <v>0</v>
      </c>
      <c r="L123" s="10" t="s">
        <v>0</v>
      </c>
      <c r="M123" s="36" t="s">
        <v>0</v>
      </c>
      <c r="N123" s="35" t="s">
        <v>0</v>
      </c>
      <c r="O123" s="35">
        <v>1.4663999999999999</v>
      </c>
    </row>
    <row r="124" spans="1:15">
      <c r="A124" s="12" t="s">
        <v>78</v>
      </c>
      <c r="B124" s="14" t="s">
        <v>621</v>
      </c>
      <c r="C124" s="12" t="s">
        <v>802</v>
      </c>
      <c r="D124" s="10">
        <v>19.39</v>
      </c>
      <c r="E124" s="10">
        <v>22.84</v>
      </c>
      <c r="F124" s="10" t="s">
        <v>0</v>
      </c>
      <c r="G124" s="10" t="s">
        <v>0</v>
      </c>
      <c r="H124" s="10" t="s">
        <v>0</v>
      </c>
      <c r="I124" s="35" t="s">
        <v>0</v>
      </c>
      <c r="J124" s="10" t="s">
        <v>0</v>
      </c>
      <c r="K124" s="10" t="s">
        <v>0</v>
      </c>
      <c r="L124" s="10" t="s">
        <v>0</v>
      </c>
      <c r="M124" s="36" t="s">
        <v>0</v>
      </c>
      <c r="N124" s="35" t="s">
        <v>0</v>
      </c>
      <c r="O124" s="35">
        <v>1.4623999999999999</v>
      </c>
    </row>
    <row r="125" spans="1:15">
      <c r="A125" s="12" t="s">
        <v>79</v>
      </c>
      <c r="B125" s="14" t="s">
        <v>370</v>
      </c>
      <c r="C125" s="12" t="s">
        <v>803</v>
      </c>
      <c r="D125" s="10">
        <v>19.670000000000002</v>
      </c>
      <c r="E125" s="10">
        <v>24.14</v>
      </c>
      <c r="F125" s="10" t="s">
        <v>0</v>
      </c>
      <c r="G125" s="10" t="s">
        <v>0</v>
      </c>
      <c r="H125" s="10" t="s">
        <v>0</v>
      </c>
      <c r="I125" s="35" t="s">
        <v>0</v>
      </c>
      <c r="J125" s="10" t="s">
        <v>0</v>
      </c>
      <c r="K125" s="10" t="s">
        <v>0</v>
      </c>
      <c r="L125" s="10" t="s">
        <v>0</v>
      </c>
      <c r="M125" s="36" t="s">
        <v>0</v>
      </c>
      <c r="N125" s="35" t="s">
        <v>0</v>
      </c>
      <c r="O125" s="35">
        <v>1.4756</v>
      </c>
    </row>
    <row r="126" spans="1:15">
      <c r="A126" s="12" t="s">
        <v>80</v>
      </c>
      <c r="B126" s="14" t="s">
        <v>624</v>
      </c>
      <c r="C126" s="12" t="s">
        <v>804</v>
      </c>
      <c r="D126" s="10">
        <v>20.36</v>
      </c>
      <c r="E126" s="10">
        <v>24.62</v>
      </c>
      <c r="F126" s="10" t="s">
        <v>0</v>
      </c>
      <c r="G126" s="10" t="s">
        <v>0</v>
      </c>
      <c r="H126" s="10" t="s">
        <v>0</v>
      </c>
      <c r="I126" s="35" t="s">
        <v>0</v>
      </c>
      <c r="J126" s="10" t="s">
        <v>0</v>
      </c>
      <c r="K126" s="10" t="s">
        <v>0</v>
      </c>
      <c r="L126" s="10" t="s">
        <v>0</v>
      </c>
      <c r="M126" s="36" t="s">
        <v>0</v>
      </c>
      <c r="N126" s="35" t="s">
        <v>0</v>
      </c>
      <c r="O126" s="35">
        <v>1.4829000000000001</v>
      </c>
    </row>
    <row r="127" spans="1:15">
      <c r="A127" s="12" t="s">
        <v>56</v>
      </c>
      <c r="B127" s="14" t="s">
        <v>373</v>
      </c>
      <c r="C127" s="12" t="s">
        <v>805</v>
      </c>
      <c r="D127" s="10">
        <v>20.76</v>
      </c>
      <c r="E127" s="10">
        <v>25.1</v>
      </c>
      <c r="F127" s="10" t="s">
        <v>0</v>
      </c>
      <c r="G127" s="10" t="s">
        <v>0</v>
      </c>
      <c r="H127" s="10" t="s">
        <v>0</v>
      </c>
      <c r="I127" s="35" t="s">
        <v>0</v>
      </c>
      <c r="J127" s="10" t="s">
        <v>0</v>
      </c>
      <c r="K127" s="10" t="s">
        <v>0</v>
      </c>
      <c r="L127" s="10" t="s">
        <v>0</v>
      </c>
      <c r="M127" s="36" t="s">
        <v>0</v>
      </c>
      <c r="N127" s="35" t="s">
        <v>0</v>
      </c>
      <c r="O127" s="35">
        <v>1.4902</v>
      </c>
    </row>
    <row r="128" spans="1:15">
      <c r="A128" s="12" t="s">
        <v>267</v>
      </c>
      <c r="B128" s="14" t="s">
        <v>385</v>
      </c>
      <c r="C128" s="12" t="s">
        <v>806</v>
      </c>
      <c r="D128" s="10">
        <v>21.41</v>
      </c>
      <c r="E128" s="10">
        <v>29.11</v>
      </c>
      <c r="F128" s="10" t="s">
        <v>0</v>
      </c>
      <c r="G128" s="10" t="s">
        <v>0</v>
      </c>
      <c r="H128" s="10" t="s">
        <v>0</v>
      </c>
      <c r="I128" s="35" t="s">
        <v>0</v>
      </c>
      <c r="J128" s="10" t="s">
        <v>0</v>
      </c>
      <c r="K128" s="10" t="s">
        <v>0</v>
      </c>
      <c r="L128" s="10" t="s">
        <v>0</v>
      </c>
      <c r="M128" s="36" t="s">
        <v>0</v>
      </c>
      <c r="N128" s="35" t="s">
        <v>0</v>
      </c>
      <c r="O128" s="35">
        <v>1.5152000000000001</v>
      </c>
    </row>
    <row r="129" spans="1:15">
      <c r="A129" s="12" t="s">
        <v>81</v>
      </c>
      <c r="B129" s="14" t="s">
        <v>628</v>
      </c>
      <c r="C129" s="12" t="s">
        <v>807</v>
      </c>
      <c r="D129" s="10">
        <v>21.8</v>
      </c>
      <c r="E129" s="10">
        <v>25.62</v>
      </c>
      <c r="F129" s="10" t="s">
        <v>0</v>
      </c>
      <c r="G129" s="10" t="s">
        <v>0</v>
      </c>
      <c r="H129" s="10" t="s">
        <v>0</v>
      </c>
      <c r="I129" s="35" t="s">
        <v>0</v>
      </c>
      <c r="J129" s="10" t="s">
        <v>0</v>
      </c>
      <c r="K129" s="10" t="s">
        <v>0</v>
      </c>
      <c r="L129" s="10" t="s">
        <v>0</v>
      </c>
      <c r="M129" s="36" t="s">
        <v>0</v>
      </c>
      <c r="N129" s="35" t="s">
        <v>0</v>
      </c>
      <c r="O129" s="35">
        <v>1.4999</v>
      </c>
    </row>
    <row r="130" spans="1:15">
      <c r="A130" s="12" t="s">
        <v>223</v>
      </c>
      <c r="B130" s="14" t="s">
        <v>630</v>
      </c>
      <c r="C130" s="12" t="s">
        <v>808</v>
      </c>
      <c r="D130" s="10">
        <v>21.98</v>
      </c>
      <c r="E130" s="10">
        <v>28.63</v>
      </c>
      <c r="F130" s="10" t="s">
        <v>0</v>
      </c>
      <c r="G130" s="10" t="s">
        <v>0</v>
      </c>
      <c r="H130" s="10" t="s">
        <v>0</v>
      </c>
      <c r="I130" s="35" t="s">
        <v>0</v>
      </c>
      <c r="J130" s="10" t="s">
        <v>0</v>
      </c>
      <c r="K130" s="10" t="s">
        <v>0</v>
      </c>
      <c r="L130" s="10" t="s">
        <v>0</v>
      </c>
      <c r="M130" s="36" t="s">
        <v>0</v>
      </c>
      <c r="N130" s="35" t="s">
        <v>0</v>
      </c>
      <c r="O130" s="35">
        <v>1.5163</v>
      </c>
    </row>
    <row r="131" spans="1:15">
      <c r="A131" s="12" t="s">
        <v>50</v>
      </c>
      <c r="B131" s="14" t="s">
        <v>375</v>
      </c>
      <c r="C131" s="12" t="s">
        <v>809</v>
      </c>
      <c r="D131" s="10">
        <v>22.31</v>
      </c>
      <c r="E131" s="10">
        <v>26.1</v>
      </c>
      <c r="F131" s="10" t="s">
        <v>0</v>
      </c>
      <c r="G131" s="10" t="s">
        <v>0</v>
      </c>
      <c r="H131" s="10" t="s">
        <v>0</v>
      </c>
      <c r="I131" s="35" t="s">
        <v>0</v>
      </c>
      <c r="J131" s="10" t="s">
        <v>0</v>
      </c>
      <c r="K131" s="10" t="s">
        <v>0</v>
      </c>
      <c r="L131" s="10" t="s">
        <v>0</v>
      </c>
      <c r="M131" s="36" t="s">
        <v>0</v>
      </c>
      <c r="N131" s="35" t="s">
        <v>0</v>
      </c>
      <c r="O131" s="35">
        <v>1.5073000000000001</v>
      </c>
    </row>
    <row r="132" spans="1:15">
      <c r="A132" s="12" t="s">
        <v>252</v>
      </c>
      <c r="B132" s="14" t="s">
        <v>377</v>
      </c>
      <c r="C132" s="12" t="s">
        <v>810</v>
      </c>
      <c r="D132" s="10">
        <v>23.48</v>
      </c>
      <c r="E132" s="10">
        <v>26.6</v>
      </c>
      <c r="F132" s="10" t="s">
        <v>0</v>
      </c>
      <c r="G132" s="10" t="s">
        <v>0</v>
      </c>
      <c r="H132" s="10" t="s">
        <v>0</v>
      </c>
      <c r="I132" s="35" t="s">
        <v>0</v>
      </c>
      <c r="J132" s="10" t="s">
        <v>0</v>
      </c>
      <c r="K132" s="10" t="s">
        <v>0</v>
      </c>
      <c r="L132" s="10" t="s">
        <v>0</v>
      </c>
      <c r="M132" s="36" t="s">
        <v>0</v>
      </c>
      <c r="N132" s="35" t="s">
        <v>0</v>
      </c>
      <c r="O132" s="35">
        <v>1.5173000000000001</v>
      </c>
    </row>
    <row r="133" spans="1:15">
      <c r="A133" s="12" t="s">
        <v>253</v>
      </c>
      <c r="B133" s="14" t="s">
        <v>634</v>
      </c>
      <c r="C133" s="12" t="s">
        <v>811</v>
      </c>
      <c r="D133" s="10">
        <v>23.51</v>
      </c>
      <c r="E133" s="10">
        <v>28.22</v>
      </c>
      <c r="F133" s="10" t="s">
        <v>0</v>
      </c>
      <c r="G133" s="10" t="s">
        <v>0</v>
      </c>
      <c r="H133" s="10" t="s">
        <v>0</v>
      </c>
      <c r="I133" s="35" t="s">
        <v>0</v>
      </c>
      <c r="J133" s="10" t="s">
        <v>0</v>
      </c>
      <c r="K133" s="10" t="s">
        <v>0</v>
      </c>
      <c r="L133" s="10" t="s">
        <v>0</v>
      </c>
      <c r="M133" s="36" t="s">
        <v>0</v>
      </c>
      <c r="N133" s="35" t="s">
        <v>0</v>
      </c>
      <c r="O133" s="35">
        <v>1.5266</v>
      </c>
    </row>
    <row r="134" spans="1:15">
      <c r="A134" s="12" t="s">
        <v>328</v>
      </c>
      <c r="B134" s="14" t="s">
        <v>636</v>
      </c>
      <c r="C134" s="12" t="s">
        <v>812</v>
      </c>
      <c r="D134" s="10">
        <v>23.59</v>
      </c>
      <c r="E134" s="10">
        <v>29.6</v>
      </c>
      <c r="F134" s="10" t="s">
        <v>0</v>
      </c>
      <c r="G134" s="10" t="s">
        <v>0</v>
      </c>
      <c r="H134" s="10" t="s">
        <v>0</v>
      </c>
      <c r="I134" s="35" t="s">
        <v>0</v>
      </c>
      <c r="J134" s="10" t="s">
        <v>0</v>
      </c>
      <c r="K134" s="10" t="s">
        <v>0</v>
      </c>
      <c r="L134" s="10" t="s">
        <v>0</v>
      </c>
      <c r="M134" s="36" t="s">
        <v>0</v>
      </c>
      <c r="N134" s="35" t="s">
        <v>0</v>
      </c>
      <c r="O134" s="35">
        <v>1.5318000000000001</v>
      </c>
    </row>
    <row r="135" spans="1:15">
      <c r="A135" s="12" t="s">
        <v>638</v>
      </c>
      <c r="B135" s="14" t="s">
        <v>639</v>
      </c>
      <c r="C135" s="12" t="s">
        <v>813</v>
      </c>
      <c r="D135" s="10">
        <v>23.98</v>
      </c>
      <c r="E135" s="10">
        <v>30</v>
      </c>
      <c r="F135" s="10" t="s">
        <v>0</v>
      </c>
      <c r="G135" s="10" t="s">
        <v>0</v>
      </c>
      <c r="H135" s="10" t="s">
        <v>0</v>
      </c>
      <c r="I135" s="35" t="s">
        <v>0</v>
      </c>
      <c r="J135" s="10" t="s">
        <v>0</v>
      </c>
      <c r="K135" s="10" t="s">
        <v>0</v>
      </c>
      <c r="L135" s="10" t="s">
        <v>0</v>
      </c>
      <c r="M135" s="36" t="s">
        <v>0</v>
      </c>
      <c r="N135" s="35" t="s">
        <v>0</v>
      </c>
      <c r="O135" s="35">
        <v>1.5347999999999999</v>
      </c>
    </row>
    <row r="136" spans="1:15">
      <c r="A136" s="12" t="s">
        <v>254</v>
      </c>
      <c r="B136" s="14" t="s">
        <v>641</v>
      </c>
      <c r="C136" s="12" t="s">
        <v>814</v>
      </c>
      <c r="D136" s="10">
        <v>24.44</v>
      </c>
      <c r="E136" s="10">
        <v>27.4</v>
      </c>
      <c r="F136" s="10" t="s">
        <v>0</v>
      </c>
      <c r="G136" s="10" t="s">
        <v>0</v>
      </c>
      <c r="H136" s="10" t="s">
        <v>0</v>
      </c>
      <c r="I136" s="35" t="s">
        <v>0</v>
      </c>
      <c r="J136" s="10" t="s">
        <v>0</v>
      </c>
      <c r="K136" s="10" t="s">
        <v>0</v>
      </c>
      <c r="L136" s="10" t="s">
        <v>0</v>
      </c>
      <c r="M136" s="36" t="s">
        <v>0</v>
      </c>
      <c r="N136" s="35" t="s">
        <v>0</v>
      </c>
      <c r="O136" s="35">
        <v>1.528</v>
      </c>
    </row>
    <row r="137" spans="1:15">
      <c r="A137" s="13" t="s">
        <v>255</v>
      </c>
      <c r="B137" s="60" t="s">
        <v>643</v>
      </c>
      <c r="C137" s="13" t="s">
        <v>815</v>
      </c>
      <c r="D137" s="10">
        <v>25.1</v>
      </c>
      <c r="E137" s="10">
        <v>27.15</v>
      </c>
      <c r="F137" s="10" t="s">
        <v>0</v>
      </c>
      <c r="G137" s="10" t="s">
        <v>0</v>
      </c>
      <c r="H137" s="10" t="s">
        <v>0</v>
      </c>
      <c r="I137" s="35" t="s">
        <v>0</v>
      </c>
      <c r="J137" s="10" t="s">
        <v>0</v>
      </c>
      <c r="K137" s="10" t="s">
        <v>0</v>
      </c>
      <c r="L137" s="10" t="s">
        <v>0</v>
      </c>
      <c r="M137" s="36" t="s">
        <v>0</v>
      </c>
      <c r="N137" s="35" t="s">
        <v>0</v>
      </c>
      <c r="O137" s="35">
        <v>1.5305</v>
      </c>
    </row>
    <row r="138" spans="1:15">
      <c r="A138" s="12" t="s">
        <v>686</v>
      </c>
      <c r="B138" s="14" t="s">
        <v>816</v>
      </c>
      <c r="C138" s="44">
        <v>1.62</v>
      </c>
      <c r="D138" s="44">
        <v>1.65</v>
      </c>
      <c r="E138" s="10"/>
      <c r="F138" s="10">
        <v>1.5</v>
      </c>
      <c r="G138" s="10">
        <v>1.5</v>
      </c>
      <c r="H138" s="10">
        <v>1.5</v>
      </c>
      <c r="I138" s="35">
        <v>1</v>
      </c>
      <c r="J138" s="10" t="s">
        <v>0</v>
      </c>
      <c r="K138" s="10" t="s">
        <v>0</v>
      </c>
      <c r="L138" s="10" t="s">
        <v>0</v>
      </c>
      <c r="M138" s="36" t="s">
        <v>0</v>
      </c>
      <c r="N138" s="35" t="s">
        <v>0</v>
      </c>
      <c r="O138" s="35" t="e">
        <v>#N/A</v>
      </c>
    </row>
    <row r="139" spans="1:15">
      <c r="A139" s="12" t="s">
        <v>689</v>
      </c>
      <c r="B139" s="14" t="s">
        <v>817</v>
      </c>
      <c r="C139" s="44">
        <v>1.63</v>
      </c>
      <c r="D139" s="44">
        <v>2.16</v>
      </c>
      <c r="E139" s="10"/>
      <c r="F139" s="10">
        <v>1.52</v>
      </c>
      <c r="G139" s="10">
        <v>1.52</v>
      </c>
      <c r="H139" s="10">
        <v>1.52</v>
      </c>
      <c r="I139" s="35">
        <v>1</v>
      </c>
      <c r="J139" s="10" t="s">
        <v>0</v>
      </c>
      <c r="K139" s="10" t="s">
        <v>0</v>
      </c>
      <c r="L139" s="10" t="s">
        <v>0</v>
      </c>
      <c r="M139" s="36" t="s">
        <v>0</v>
      </c>
      <c r="N139" s="35" t="s">
        <v>0</v>
      </c>
      <c r="O139" s="35" t="e">
        <v>#N/A</v>
      </c>
    </row>
    <row r="140" spans="1:15">
      <c r="A140" s="12" t="s">
        <v>694</v>
      </c>
      <c r="B140" s="14" t="s">
        <v>818</v>
      </c>
      <c r="C140" s="44">
        <v>4.05</v>
      </c>
      <c r="D140" s="44">
        <v>4.2699999999999996</v>
      </c>
      <c r="E140" s="10"/>
      <c r="F140" s="10">
        <v>1.56</v>
      </c>
      <c r="G140" s="10">
        <v>1.56</v>
      </c>
      <c r="H140" s="10">
        <v>1.56</v>
      </c>
      <c r="I140" s="35">
        <v>1</v>
      </c>
      <c r="J140" s="10" t="s">
        <v>0</v>
      </c>
      <c r="K140" s="10" t="s">
        <v>0</v>
      </c>
      <c r="L140" s="10" t="s">
        <v>0</v>
      </c>
      <c r="M140" s="36" t="s">
        <v>0</v>
      </c>
      <c r="N140" s="35" t="s">
        <v>0</v>
      </c>
      <c r="O140" s="35" t="e">
        <v>#N/A</v>
      </c>
    </row>
    <row r="141" spans="1:15">
      <c r="A141" s="12" t="s">
        <v>700</v>
      </c>
      <c r="B141" s="14" t="s">
        <v>819</v>
      </c>
      <c r="C141" s="12" t="s">
        <v>268</v>
      </c>
      <c r="D141" s="15">
        <v>0.55000000000000004</v>
      </c>
      <c r="E141" s="15">
        <v>0.55000000000000004</v>
      </c>
      <c r="F141" s="10">
        <v>1.35</v>
      </c>
      <c r="G141" s="10">
        <v>1.35</v>
      </c>
      <c r="H141" s="10">
        <v>1.35</v>
      </c>
      <c r="I141" s="35">
        <v>4</v>
      </c>
      <c r="J141" s="10">
        <v>1.37</v>
      </c>
      <c r="K141" s="10">
        <v>1.37</v>
      </c>
      <c r="L141" s="10">
        <v>1.37</v>
      </c>
      <c r="M141" s="36">
        <v>1</v>
      </c>
      <c r="N141" s="35">
        <v>4</v>
      </c>
      <c r="O141" s="35" t="e">
        <v>#N/A</v>
      </c>
    </row>
    <row r="142" spans="1:15">
      <c r="A142" s="12" t="s">
        <v>697</v>
      </c>
      <c r="B142" s="14" t="s">
        <v>820</v>
      </c>
      <c r="C142" s="12" t="s">
        <v>268</v>
      </c>
      <c r="D142" s="15">
        <v>0.97</v>
      </c>
      <c r="E142" s="15">
        <v>0.98</v>
      </c>
      <c r="F142" s="10">
        <v>1.512</v>
      </c>
      <c r="G142" s="10">
        <v>1.512</v>
      </c>
      <c r="H142" s="10">
        <v>1.512</v>
      </c>
      <c r="I142" s="35">
        <v>3</v>
      </c>
      <c r="J142" s="10">
        <v>1.5149999999999999</v>
      </c>
      <c r="K142" s="10">
        <v>1.5149999999999999</v>
      </c>
      <c r="L142" s="10">
        <v>1.5149999999999999</v>
      </c>
      <c r="M142" s="36">
        <v>1</v>
      </c>
      <c r="N142" s="35">
        <v>3</v>
      </c>
      <c r="O142" s="35" t="e">
        <v>#N/A</v>
      </c>
    </row>
    <row r="143" spans="1:15">
      <c r="A143" s="12" t="s">
        <v>352</v>
      </c>
      <c r="B143" s="14" t="s">
        <v>353</v>
      </c>
      <c r="C143" s="12" t="s">
        <v>268</v>
      </c>
      <c r="D143" s="15">
        <v>4.72</v>
      </c>
      <c r="E143" s="15">
        <v>4.95</v>
      </c>
      <c r="F143" s="10">
        <v>1.6359999999999999</v>
      </c>
      <c r="G143" s="10">
        <v>1.6359999999999999</v>
      </c>
      <c r="H143" s="10">
        <v>1.6359999999999999</v>
      </c>
      <c r="I143" s="35">
        <v>1</v>
      </c>
      <c r="J143" s="10">
        <v>1.635</v>
      </c>
      <c r="K143" s="10">
        <v>1.635</v>
      </c>
      <c r="L143" s="10">
        <v>1.635</v>
      </c>
      <c r="M143" s="36">
        <v>1</v>
      </c>
      <c r="N143" s="35">
        <v>1</v>
      </c>
      <c r="O143" s="35" t="e">
        <v>#N/A</v>
      </c>
    </row>
    <row r="144" spans="1:15">
      <c r="M144" s="45"/>
    </row>
    <row r="145" spans="13:13">
      <c r="M145" s="45"/>
    </row>
    <row r="146" spans="13:13">
      <c r="M146" s="45"/>
    </row>
    <row r="147" spans="13:13">
      <c r="M147" s="45"/>
    </row>
    <row r="148" spans="13:13">
      <c r="M148" s="45"/>
    </row>
    <row r="149" spans="13:13">
      <c r="M149" s="45"/>
    </row>
    <row r="150" spans="13:13">
      <c r="M150" s="45"/>
    </row>
    <row r="151" spans="13:13">
      <c r="M151" s="45"/>
    </row>
    <row r="152" spans="13:13">
      <c r="M152" s="45"/>
    </row>
    <row r="153" spans="13:13">
      <c r="M153" s="45"/>
    </row>
    <row r="154" spans="13:13">
      <c r="M154" s="45"/>
    </row>
    <row r="155" spans="13:13">
      <c r="M155" s="45"/>
    </row>
    <row r="156" spans="13:13">
      <c r="M156" s="45"/>
    </row>
    <row r="157" spans="13:13">
      <c r="M157" s="45"/>
    </row>
    <row r="158" spans="13:13">
      <c r="M158" s="45"/>
    </row>
    <row r="159" spans="13:13">
      <c r="M159" s="45"/>
    </row>
    <row r="160" spans="13:13">
      <c r="M160" s="45"/>
    </row>
    <row r="161" spans="13:13">
      <c r="M161" s="45"/>
    </row>
    <row r="162" spans="13:13">
      <c r="M162" s="45"/>
    </row>
    <row r="163" spans="13:13">
      <c r="M163" s="45"/>
    </row>
    <row r="164" spans="13:13">
      <c r="M164" s="45"/>
    </row>
    <row r="165" spans="13:13">
      <c r="M165" s="45"/>
    </row>
    <row r="166" spans="13:13">
      <c r="M166" s="45"/>
    </row>
    <row r="167" spans="13:13">
      <c r="M167" s="45"/>
    </row>
    <row r="168" spans="13:13">
      <c r="M168" s="45"/>
    </row>
    <row r="169" spans="13:13">
      <c r="M169" s="45"/>
    </row>
    <row r="170" spans="13:13">
      <c r="M170" s="45"/>
    </row>
    <row r="171" spans="13:13">
      <c r="M171" s="45"/>
    </row>
    <row r="172" spans="13:13">
      <c r="M172" s="45"/>
    </row>
    <row r="173" spans="13:13">
      <c r="M173" s="45"/>
    </row>
    <row r="174" spans="13:13">
      <c r="M174" s="45"/>
    </row>
    <row r="175" spans="13:13">
      <c r="M175" s="45"/>
    </row>
    <row r="176" spans="13:13">
      <c r="M176" s="45"/>
    </row>
    <row r="177" spans="13:13">
      <c r="M177" s="45"/>
    </row>
    <row r="178" spans="13:13">
      <c r="M178" s="45"/>
    </row>
    <row r="179" spans="13:13">
      <c r="M179" s="45"/>
    </row>
    <row r="180" spans="13:13">
      <c r="M180" s="45"/>
    </row>
    <row r="181" spans="13:13">
      <c r="M181" s="45"/>
    </row>
    <row r="182" spans="13:13">
      <c r="M182" s="45"/>
    </row>
    <row r="183" spans="13:13">
      <c r="M183" s="45"/>
    </row>
    <row r="184" spans="13:13">
      <c r="M184" s="45"/>
    </row>
    <row r="185" spans="13:13">
      <c r="M185" s="45"/>
    </row>
    <row r="186" spans="13:13">
      <c r="M186" s="45"/>
    </row>
    <row r="187" spans="13:13">
      <c r="M187" s="45"/>
    </row>
    <row r="188" spans="13:13">
      <c r="M188" s="45"/>
    </row>
    <row r="189" spans="13:13">
      <c r="M189" s="45"/>
    </row>
    <row r="190" spans="13:13">
      <c r="M190" s="45"/>
    </row>
    <row r="191" spans="13:13">
      <c r="M191" s="45"/>
    </row>
    <row r="192" spans="13:13">
      <c r="M192" s="45"/>
    </row>
    <row r="193" spans="13:13">
      <c r="M193" s="45"/>
    </row>
    <row r="194" spans="13:13">
      <c r="M194" s="45"/>
    </row>
    <row r="195" spans="13:13">
      <c r="M195" s="45"/>
    </row>
    <row r="196" spans="13:13">
      <c r="M196" s="45"/>
    </row>
    <row r="197" spans="13:13">
      <c r="M197" s="45"/>
    </row>
    <row r="198" spans="13:13">
      <c r="M198" s="45"/>
    </row>
    <row r="199" spans="13:13">
      <c r="M199" s="45"/>
    </row>
    <row r="200" spans="13:13">
      <c r="M200" s="45"/>
    </row>
    <row r="201" spans="13:13">
      <c r="M201" s="45"/>
    </row>
    <row r="202" spans="13:13">
      <c r="M202" s="45"/>
    </row>
    <row r="203" spans="13:13">
      <c r="M203" s="45"/>
    </row>
    <row r="204" spans="13:13">
      <c r="M204" s="45"/>
    </row>
    <row r="205" spans="13:13">
      <c r="M205" s="45"/>
    </row>
    <row r="206" spans="13:13">
      <c r="M206" s="45"/>
    </row>
    <row r="207" spans="13:13">
      <c r="M207" s="45"/>
    </row>
    <row r="208" spans="13:13">
      <c r="M208" s="45"/>
    </row>
    <row r="209" spans="13:13">
      <c r="M209" s="45"/>
    </row>
    <row r="210" spans="13:13">
      <c r="M210" s="45"/>
    </row>
    <row r="211" spans="13:13">
      <c r="M211" s="45"/>
    </row>
    <row r="212" spans="13:13">
      <c r="M212" s="45"/>
    </row>
    <row r="213" spans="13:13">
      <c r="M213" s="45"/>
    </row>
    <row r="214" spans="13:13">
      <c r="M214" s="45"/>
    </row>
    <row r="215" spans="13:13">
      <c r="M215" s="45"/>
    </row>
    <row r="216" spans="13:13">
      <c r="M216" s="45"/>
    </row>
    <row r="217" spans="13:13">
      <c r="M217" s="45"/>
    </row>
    <row r="218" spans="13:13">
      <c r="M218" s="45"/>
    </row>
    <row r="219" spans="13:13">
      <c r="M219" s="45"/>
    </row>
    <row r="220" spans="13:13">
      <c r="M220" s="45"/>
    </row>
    <row r="221" spans="13:13">
      <c r="M221" s="45"/>
    </row>
    <row r="222" spans="13:13">
      <c r="M222" s="45"/>
    </row>
    <row r="223" spans="13:13">
      <c r="M223" s="45"/>
    </row>
    <row r="224" spans="13:13">
      <c r="M224" s="45"/>
    </row>
    <row r="225" spans="13:13">
      <c r="M225" s="45"/>
    </row>
    <row r="226" spans="13:13">
      <c r="M226" s="45"/>
    </row>
    <row r="227" spans="13:13">
      <c r="M227" s="45"/>
    </row>
    <row r="228" spans="13:13">
      <c r="M228" s="45"/>
    </row>
    <row r="229" spans="13:13">
      <c r="M229" s="45"/>
    </row>
    <row r="230" spans="13:13">
      <c r="M230" s="45"/>
    </row>
    <row r="231" spans="13:13">
      <c r="M231" s="45"/>
    </row>
    <row r="232" spans="13:13">
      <c r="M232" s="45"/>
    </row>
    <row r="233" spans="13:13">
      <c r="M233" s="45"/>
    </row>
    <row r="234" spans="13:13">
      <c r="M234" s="45"/>
    </row>
    <row r="235" spans="13:13">
      <c r="M235" s="45"/>
    </row>
    <row r="236" spans="13:13">
      <c r="M236" s="45"/>
    </row>
    <row r="237" spans="13:13">
      <c r="M237" s="45"/>
    </row>
    <row r="238" spans="13:13">
      <c r="M238" s="45"/>
    </row>
    <row r="239" spans="13:13">
      <c r="M239" s="45"/>
    </row>
    <row r="240" spans="13:13">
      <c r="M240" s="45"/>
    </row>
    <row r="241" spans="13:13">
      <c r="M241" s="45"/>
    </row>
    <row r="242" spans="13:13">
      <c r="M242" s="45"/>
    </row>
    <row r="243" spans="13:13">
      <c r="M243" s="45"/>
    </row>
    <row r="244" spans="13:13">
      <c r="M244" s="45"/>
    </row>
    <row r="245" spans="13:13">
      <c r="M245" s="45"/>
    </row>
    <row r="246" spans="13:13">
      <c r="M246" s="45"/>
    </row>
    <row r="247" spans="13:13">
      <c r="M247" s="45"/>
    </row>
    <row r="248" spans="13:13">
      <c r="M248" s="45"/>
    </row>
    <row r="249" spans="13:13">
      <c r="M249" s="45"/>
    </row>
    <row r="250" spans="13:13">
      <c r="M250" s="45"/>
    </row>
    <row r="251" spans="13:13">
      <c r="M251" s="45"/>
    </row>
    <row r="252" spans="13:13">
      <c r="M252" s="45"/>
    </row>
    <row r="253" spans="13:13">
      <c r="M253" s="45"/>
    </row>
    <row r="254" spans="13:13">
      <c r="M254" s="45"/>
    </row>
    <row r="255" spans="13:13">
      <c r="M255" s="45"/>
    </row>
    <row r="256" spans="13:13">
      <c r="M256" s="45"/>
    </row>
    <row r="257" spans="13:13">
      <c r="M257" s="45"/>
    </row>
    <row r="258" spans="13:13">
      <c r="M258" s="45"/>
    </row>
    <row r="259" spans="13:13">
      <c r="M259" s="45"/>
    </row>
    <row r="260" spans="13:13">
      <c r="M260" s="45"/>
    </row>
    <row r="261" spans="13:13">
      <c r="M261" s="45"/>
    </row>
    <row r="262" spans="13:13">
      <c r="M262" s="45"/>
    </row>
    <row r="263" spans="13:13">
      <c r="M263" s="45"/>
    </row>
    <row r="264" spans="13:13">
      <c r="M264" s="45"/>
    </row>
    <row r="265" spans="13:13">
      <c r="M265" s="45"/>
    </row>
    <row r="266" spans="13:13">
      <c r="M266" s="45"/>
    </row>
    <row r="267" spans="13:13">
      <c r="M267" s="45"/>
    </row>
    <row r="268" spans="13:13">
      <c r="M268" s="45"/>
    </row>
    <row r="269" spans="13:13">
      <c r="M269" s="45"/>
    </row>
    <row r="270" spans="13:13">
      <c r="M270" s="45"/>
    </row>
    <row r="271" spans="13:13">
      <c r="M271" s="45"/>
    </row>
    <row r="272" spans="13:13">
      <c r="M272" s="45"/>
    </row>
    <row r="273" spans="13:13">
      <c r="M273" s="45"/>
    </row>
    <row r="274" spans="13:13">
      <c r="M274" s="45"/>
    </row>
    <row r="275" spans="13:13">
      <c r="M275" s="45"/>
    </row>
    <row r="276" spans="13:13">
      <c r="M276" s="45"/>
    </row>
    <row r="277" spans="13:13">
      <c r="M277" s="45"/>
    </row>
    <row r="278" spans="13:13">
      <c r="M278" s="45"/>
    </row>
    <row r="279" spans="13:13">
      <c r="M279" s="45"/>
    </row>
    <row r="280" spans="13:13">
      <c r="M280" s="45"/>
    </row>
    <row r="281" spans="13:13">
      <c r="M281" s="45"/>
    </row>
    <row r="282" spans="13:13">
      <c r="M282" s="45"/>
    </row>
    <row r="283" spans="13:13">
      <c r="M283" s="45"/>
    </row>
    <row r="284" spans="13:13">
      <c r="M284" s="45"/>
    </row>
    <row r="285" spans="13:13">
      <c r="M285" s="45"/>
    </row>
    <row r="286" spans="13:13">
      <c r="M286" s="45"/>
    </row>
    <row r="287" spans="13:13">
      <c r="M287" s="45"/>
    </row>
    <row r="288" spans="13:13">
      <c r="M288" s="45"/>
    </row>
    <row r="289" spans="13:13">
      <c r="M289" s="45"/>
    </row>
    <row r="290" spans="13:13">
      <c r="M290" s="45"/>
    </row>
    <row r="291" spans="13:13">
      <c r="M291" s="45"/>
    </row>
    <row r="292" spans="13:13">
      <c r="M292" s="45"/>
    </row>
    <row r="293" spans="13:13">
      <c r="M293" s="45"/>
    </row>
    <row r="294" spans="13:13">
      <c r="M294" s="45"/>
    </row>
    <row r="295" spans="13:13">
      <c r="M295" s="45"/>
    </row>
    <row r="296" spans="13:13">
      <c r="M296" s="45"/>
    </row>
    <row r="297" spans="13:13">
      <c r="M297" s="45"/>
    </row>
    <row r="298" spans="13:13">
      <c r="M298" s="45"/>
    </row>
    <row r="299" spans="13:13">
      <c r="M299" s="45"/>
    </row>
    <row r="300" spans="13:13">
      <c r="M300" s="45"/>
    </row>
    <row r="301" spans="13:13">
      <c r="M301" s="45"/>
    </row>
    <row r="302" spans="13:13">
      <c r="M302" s="45"/>
    </row>
    <row r="303" spans="13:13">
      <c r="M303" s="45"/>
    </row>
    <row r="304" spans="13:13">
      <c r="M304" s="45"/>
    </row>
    <row r="305" spans="13:13">
      <c r="M305" s="45"/>
    </row>
    <row r="306" spans="13:13">
      <c r="M306" s="45"/>
    </row>
    <row r="307" spans="13:13">
      <c r="M307" s="45"/>
    </row>
    <row r="308" spans="13:13">
      <c r="M308" s="45"/>
    </row>
    <row r="309" spans="13:13">
      <c r="M309" s="45"/>
    </row>
    <row r="310" spans="13:13">
      <c r="M310" s="45"/>
    </row>
    <row r="311" spans="13:13">
      <c r="M311" s="45"/>
    </row>
    <row r="312" spans="13:13">
      <c r="M312" s="45"/>
    </row>
    <row r="313" spans="13:13">
      <c r="M313" s="45"/>
    </row>
    <row r="314" spans="13:13">
      <c r="M314" s="45"/>
    </row>
    <row r="315" spans="13:13">
      <c r="M315" s="45"/>
    </row>
    <row r="316" spans="13:13">
      <c r="M316" s="45"/>
    </row>
    <row r="317" spans="13:13">
      <c r="M317" s="45"/>
    </row>
    <row r="318" spans="13:13">
      <c r="M318" s="45"/>
    </row>
    <row r="319" spans="13:13">
      <c r="M319" s="45"/>
    </row>
    <row r="320" spans="13:13">
      <c r="M320" s="45"/>
    </row>
    <row r="321" spans="13:13">
      <c r="M321" s="45"/>
    </row>
    <row r="322" spans="13:13">
      <c r="M322" s="45"/>
    </row>
    <row r="323" spans="13:13">
      <c r="M323" s="45"/>
    </row>
    <row r="324" spans="13:13">
      <c r="M324" s="45"/>
    </row>
    <row r="325" spans="13:13">
      <c r="M325" s="45"/>
    </row>
    <row r="326" spans="13:13">
      <c r="M326" s="45"/>
    </row>
    <row r="327" spans="13:13">
      <c r="M327" s="45"/>
    </row>
    <row r="328" spans="13:13">
      <c r="M328" s="45"/>
    </row>
    <row r="329" spans="13:13">
      <c r="M329" s="45"/>
    </row>
    <row r="330" spans="13:13">
      <c r="M330" s="45"/>
    </row>
    <row r="331" spans="13:13">
      <c r="M331" s="45"/>
    </row>
    <row r="332" spans="13:13">
      <c r="M332" s="45"/>
    </row>
    <row r="333" spans="13:13">
      <c r="M333" s="45"/>
    </row>
    <row r="334" spans="13:13">
      <c r="M334" s="45"/>
    </row>
    <row r="335" spans="13:13">
      <c r="M335" s="45"/>
    </row>
    <row r="336" spans="13:13">
      <c r="M336" s="45"/>
    </row>
    <row r="337" spans="13:13">
      <c r="M337" s="45"/>
    </row>
    <row r="338" spans="13:13">
      <c r="M338" s="45"/>
    </row>
    <row r="339" spans="13:13">
      <c r="M339" s="45"/>
    </row>
    <row r="340" spans="13:13">
      <c r="M340" s="45"/>
    </row>
    <row r="341" spans="13:13">
      <c r="M341" s="45"/>
    </row>
    <row r="342" spans="13:13">
      <c r="M342" s="45"/>
    </row>
    <row r="343" spans="13:13">
      <c r="M343" s="45"/>
    </row>
    <row r="344" spans="13:13">
      <c r="M344" s="45"/>
    </row>
    <row r="345" spans="13:13">
      <c r="M345" s="45"/>
    </row>
    <row r="346" spans="13:13">
      <c r="M346" s="45"/>
    </row>
    <row r="347" spans="13:13">
      <c r="M347" s="45"/>
    </row>
    <row r="348" spans="13:13">
      <c r="M348" s="45"/>
    </row>
    <row r="349" spans="13:13">
      <c r="M349" s="45"/>
    </row>
    <row r="350" spans="13:13">
      <c r="M350" s="45"/>
    </row>
    <row r="351" spans="13:13">
      <c r="M351" s="45"/>
    </row>
    <row r="352" spans="13:13">
      <c r="M352" s="45"/>
    </row>
    <row r="353" spans="13:13">
      <c r="M353" s="45"/>
    </row>
    <row r="354" spans="13:13">
      <c r="M354" s="45"/>
    </row>
    <row r="355" spans="13:13">
      <c r="M355" s="45"/>
    </row>
    <row r="356" spans="13:13">
      <c r="M356" s="45"/>
    </row>
    <row r="357" spans="13:13">
      <c r="M357" s="45"/>
    </row>
    <row r="358" spans="13:13">
      <c r="M358" s="45"/>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69">
    <pageSetUpPr fitToPage="1"/>
  </sheetPr>
  <dimension ref="A1:T141"/>
  <sheetViews>
    <sheetView zoomScale="90" workbookViewId="0">
      <pane xSplit="1" ySplit="3" topLeftCell="B4" activePane="bottomRight" state="frozen"/>
      <selection sqref="A1:IV65536"/>
      <selection pane="topRight" sqref="A1:IV65536"/>
      <selection pane="bottomLeft" sqref="A1:IV65536"/>
      <selection pane="bottomRight" activeCell="A97" sqref="A97:XFD102"/>
    </sheetView>
  </sheetViews>
  <sheetFormatPr defaultRowHeight="16.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8.625" style="40" customWidth="1"/>
    <col min="19" max="19" width="11.375" style="43" bestFit="1" customWidth="1"/>
    <col min="20" max="20" width="11.25" style="43"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c r="F1" s="107" t="s">
        <v>824</v>
      </c>
      <c r="G1" s="108"/>
      <c r="H1" s="108"/>
      <c r="I1" s="109"/>
      <c r="J1" s="107" t="s">
        <v>825</v>
      </c>
      <c r="K1" s="108"/>
      <c r="L1" s="108"/>
      <c r="M1" s="108"/>
      <c r="N1" s="109"/>
      <c r="O1" s="8" t="s">
        <v>826</v>
      </c>
      <c r="Q1" s="110" t="s">
        <v>827</v>
      </c>
      <c r="R1" s="111"/>
      <c r="S1" s="111"/>
      <c r="T1" s="111"/>
    </row>
    <row r="2" spans="1:20" ht="28.5">
      <c r="D2" s="24" t="s">
        <v>828</v>
      </c>
      <c r="E2" s="24" t="s">
        <v>829</v>
      </c>
      <c r="F2" s="112" t="s">
        <v>830</v>
      </c>
      <c r="G2" s="113"/>
      <c r="H2" s="113"/>
      <c r="I2" s="25" t="s">
        <v>831</v>
      </c>
      <c r="J2" s="112" t="s">
        <v>832</v>
      </c>
      <c r="K2" s="113"/>
      <c r="L2" s="113"/>
      <c r="M2" s="25" t="s">
        <v>833</v>
      </c>
      <c r="N2" s="25" t="s">
        <v>834</v>
      </c>
      <c r="O2" s="114" t="s">
        <v>835</v>
      </c>
      <c r="Q2" s="26" t="s">
        <v>836</v>
      </c>
      <c r="R2" s="27"/>
      <c r="S2" s="28"/>
      <c r="T2" s="28"/>
    </row>
    <row r="3" spans="1:20" ht="45.75">
      <c r="B3" s="8" t="s">
        <v>837</v>
      </c>
      <c r="C3" s="8" t="s">
        <v>838</v>
      </c>
      <c r="D3" s="9" t="s">
        <v>98</v>
      </c>
      <c r="E3" s="9" t="s">
        <v>299</v>
      </c>
      <c r="F3" s="29" t="s">
        <v>839</v>
      </c>
      <c r="G3" s="29" t="s">
        <v>840</v>
      </c>
      <c r="H3" s="29" t="s">
        <v>841</v>
      </c>
      <c r="I3" s="30" t="s">
        <v>842</v>
      </c>
      <c r="J3" s="29" t="s">
        <v>839</v>
      </c>
      <c r="K3" s="29" t="s">
        <v>840</v>
      </c>
      <c r="L3" s="29" t="s">
        <v>843</v>
      </c>
      <c r="M3" s="31" t="s">
        <v>301</v>
      </c>
      <c r="N3" s="30" t="s">
        <v>844</v>
      </c>
      <c r="O3" s="114"/>
      <c r="Q3" s="32" t="s">
        <v>845</v>
      </c>
      <c r="R3" s="33" t="s">
        <v>302</v>
      </c>
      <c r="S3" s="34" t="s">
        <v>846</v>
      </c>
      <c r="T3" s="34" t="s">
        <v>303</v>
      </c>
    </row>
    <row r="4" spans="1:20">
      <c r="A4" s="12" t="s">
        <v>36</v>
      </c>
      <c r="B4" s="47" t="s">
        <v>304</v>
      </c>
      <c r="C4" s="48">
        <v>0.75</v>
      </c>
      <c r="D4" s="47">
        <v>0.13</v>
      </c>
      <c r="E4" s="47">
        <v>0.13</v>
      </c>
      <c r="F4" s="10" t="s">
        <v>0</v>
      </c>
      <c r="G4" s="10" t="s">
        <v>0</v>
      </c>
      <c r="H4" s="10" t="s">
        <v>0</v>
      </c>
      <c r="I4" s="35" t="s">
        <v>0</v>
      </c>
      <c r="J4" s="10" t="s">
        <v>0</v>
      </c>
      <c r="K4" s="10" t="s">
        <v>0</v>
      </c>
      <c r="L4" s="10" t="s">
        <v>0</v>
      </c>
      <c r="M4" s="36" t="s">
        <v>0</v>
      </c>
      <c r="N4" s="35" t="s">
        <v>0</v>
      </c>
      <c r="O4" s="35">
        <v>0.98229999999999995</v>
      </c>
      <c r="Q4" s="37" t="s">
        <v>5</v>
      </c>
      <c r="R4" s="37" t="s">
        <v>847</v>
      </c>
      <c r="S4" s="38">
        <v>0</v>
      </c>
      <c r="T4" s="38">
        <v>100000000</v>
      </c>
    </row>
    <row r="5" spans="1:20">
      <c r="A5" s="12" t="s">
        <v>27</v>
      </c>
      <c r="B5" s="47" t="s">
        <v>305</v>
      </c>
      <c r="C5" s="48">
        <v>0.625</v>
      </c>
      <c r="D5" s="47">
        <v>0.27</v>
      </c>
      <c r="E5" s="47">
        <v>0.28000000000000003</v>
      </c>
      <c r="F5" s="10" t="s">
        <v>0</v>
      </c>
      <c r="G5" s="10" t="s">
        <v>0</v>
      </c>
      <c r="H5" s="10" t="s">
        <v>0</v>
      </c>
      <c r="I5" s="35" t="s">
        <v>0</v>
      </c>
      <c r="J5" s="10" t="s">
        <v>0</v>
      </c>
      <c r="K5" s="10" t="s">
        <v>0</v>
      </c>
      <c r="L5" s="10" t="s">
        <v>0</v>
      </c>
      <c r="M5" s="36" t="s">
        <v>0</v>
      </c>
      <c r="N5" s="35" t="s">
        <v>0</v>
      </c>
      <c r="O5" s="35">
        <v>0.98309999999999997</v>
      </c>
      <c r="Q5" s="12" t="s">
        <v>0</v>
      </c>
      <c r="R5" s="12" t="s">
        <v>848</v>
      </c>
      <c r="S5" s="39">
        <v>100000000</v>
      </c>
      <c r="T5" s="39">
        <v>0</v>
      </c>
    </row>
    <row r="6" spans="1:20">
      <c r="A6" s="12" t="s">
        <v>9</v>
      </c>
      <c r="B6" s="47" t="s">
        <v>306</v>
      </c>
      <c r="C6" s="48">
        <v>3</v>
      </c>
      <c r="D6" s="47">
        <v>0.35</v>
      </c>
      <c r="E6" s="47">
        <v>0.35</v>
      </c>
      <c r="F6" s="10" t="s">
        <v>0</v>
      </c>
      <c r="G6" s="10" t="s">
        <v>0</v>
      </c>
      <c r="H6" s="10" t="s">
        <v>0</v>
      </c>
      <c r="I6" s="35" t="s">
        <v>0</v>
      </c>
      <c r="J6" s="10" t="s">
        <v>0</v>
      </c>
      <c r="K6" s="10" t="s">
        <v>0</v>
      </c>
      <c r="L6" s="10" t="s">
        <v>0</v>
      </c>
      <c r="M6" s="36" t="s">
        <v>0</v>
      </c>
      <c r="N6" s="35" t="s">
        <v>0</v>
      </c>
      <c r="O6" s="35">
        <v>0.98509999999999998</v>
      </c>
      <c r="Q6" s="37" t="s">
        <v>219</v>
      </c>
      <c r="R6" s="37" t="s">
        <v>849</v>
      </c>
      <c r="S6" s="38">
        <v>200000000</v>
      </c>
      <c r="T6" s="38">
        <v>200000000</v>
      </c>
    </row>
    <row r="7" spans="1:20">
      <c r="A7" s="12" t="s">
        <v>51</v>
      </c>
      <c r="B7" s="47" t="s">
        <v>307</v>
      </c>
      <c r="C7" s="48">
        <v>1.5</v>
      </c>
      <c r="D7" s="47">
        <v>0.41</v>
      </c>
      <c r="E7" s="47">
        <v>0.41</v>
      </c>
      <c r="F7" s="10" t="s">
        <v>0</v>
      </c>
      <c r="G7" s="10" t="s">
        <v>0</v>
      </c>
      <c r="H7" s="10" t="s">
        <v>0</v>
      </c>
      <c r="I7" s="35" t="s">
        <v>0</v>
      </c>
      <c r="J7" s="10" t="s">
        <v>0</v>
      </c>
      <c r="K7" s="10" t="s">
        <v>0</v>
      </c>
      <c r="L7" s="10" t="s">
        <v>0</v>
      </c>
      <c r="M7" s="36" t="s">
        <v>0</v>
      </c>
      <c r="N7" s="35" t="s">
        <v>0</v>
      </c>
      <c r="O7" s="35">
        <v>0.98699999999999999</v>
      </c>
      <c r="Q7" s="37" t="s">
        <v>686</v>
      </c>
      <c r="R7" s="37" t="s">
        <v>847</v>
      </c>
      <c r="S7" s="38">
        <v>200000000</v>
      </c>
      <c r="T7" s="38">
        <v>0</v>
      </c>
    </row>
    <row r="8" spans="1:20">
      <c r="A8" s="12" t="s">
        <v>229</v>
      </c>
      <c r="B8" s="47" t="s">
        <v>309</v>
      </c>
      <c r="C8" s="48">
        <v>0.75</v>
      </c>
      <c r="D8" s="47">
        <v>0.48</v>
      </c>
      <c r="E8" s="47">
        <v>0.49</v>
      </c>
      <c r="F8" s="10" t="s">
        <v>0</v>
      </c>
      <c r="G8" s="10" t="s">
        <v>0</v>
      </c>
      <c r="H8" s="10" t="s">
        <v>0</v>
      </c>
      <c r="I8" s="35" t="s">
        <v>0</v>
      </c>
      <c r="J8" s="10" t="s">
        <v>0</v>
      </c>
      <c r="K8" s="10" t="s">
        <v>0</v>
      </c>
      <c r="L8" s="10" t="s">
        <v>0</v>
      </c>
      <c r="M8" s="36" t="s">
        <v>0</v>
      </c>
      <c r="N8" s="35" t="s">
        <v>0</v>
      </c>
      <c r="O8" s="35">
        <v>0.98950000000000005</v>
      </c>
      <c r="Q8" s="12" t="s">
        <v>0</v>
      </c>
      <c r="R8" s="12" t="s">
        <v>850</v>
      </c>
      <c r="S8" s="39">
        <v>0</v>
      </c>
      <c r="T8" s="39">
        <v>200000000</v>
      </c>
    </row>
    <row r="9" spans="1:20">
      <c r="A9" s="12" t="s">
        <v>5</v>
      </c>
      <c r="B9" s="47" t="s">
        <v>310</v>
      </c>
      <c r="C9" s="48">
        <v>0.5</v>
      </c>
      <c r="D9" s="47">
        <v>0.77</v>
      </c>
      <c r="E9" s="47">
        <v>0.78</v>
      </c>
      <c r="F9" s="10">
        <v>0.93</v>
      </c>
      <c r="G9" s="10">
        <v>0.93</v>
      </c>
      <c r="H9" s="10">
        <v>0.93</v>
      </c>
      <c r="I9" s="35">
        <v>1</v>
      </c>
      <c r="J9" s="10">
        <v>0.92</v>
      </c>
      <c r="K9" s="10">
        <v>0.92</v>
      </c>
      <c r="L9" s="10">
        <v>0.92</v>
      </c>
      <c r="M9" s="36">
        <v>1</v>
      </c>
      <c r="N9" s="35">
        <v>1</v>
      </c>
      <c r="O9" s="35">
        <v>0.99939999999999996</v>
      </c>
      <c r="Q9" s="37" t="s">
        <v>650</v>
      </c>
      <c r="R9" s="37" t="s">
        <v>851</v>
      </c>
      <c r="S9" s="38">
        <v>500000000</v>
      </c>
      <c r="T9" s="38">
        <v>0</v>
      </c>
    </row>
    <row r="10" spans="1:20">
      <c r="A10" s="12" t="s">
        <v>41</v>
      </c>
      <c r="B10" s="47" t="s">
        <v>312</v>
      </c>
      <c r="C10" s="48">
        <v>1.625</v>
      </c>
      <c r="D10" s="47">
        <v>0.97</v>
      </c>
      <c r="E10" s="47">
        <v>0.98</v>
      </c>
      <c r="F10" s="10" t="s">
        <v>0</v>
      </c>
      <c r="G10" s="10" t="s">
        <v>0</v>
      </c>
      <c r="H10" s="10" t="s">
        <v>0</v>
      </c>
      <c r="I10" s="35" t="s">
        <v>0</v>
      </c>
      <c r="J10" s="10" t="s">
        <v>0</v>
      </c>
      <c r="K10" s="10" t="s">
        <v>0</v>
      </c>
      <c r="L10" s="10" t="s">
        <v>0</v>
      </c>
      <c r="M10" s="36" t="s">
        <v>0</v>
      </c>
      <c r="N10" s="35" t="s">
        <v>0</v>
      </c>
      <c r="O10" s="35">
        <v>1.0056</v>
      </c>
      <c r="Q10" s="12" t="s">
        <v>0</v>
      </c>
      <c r="R10" s="12" t="s">
        <v>850</v>
      </c>
      <c r="S10" s="39">
        <v>350000000</v>
      </c>
      <c r="T10" s="39">
        <v>850000000</v>
      </c>
    </row>
    <row r="11" spans="1:20">
      <c r="A11" s="12" t="s">
        <v>10</v>
      </c>
      <c r="B11" s="47" t="s">
        <v>313</v>
      </c>
      <c r="C11" s="48">
        <v>3</v>
      </c>
      <c r="D11" s="47">
        <v>1.08</v>
      </c>
      <c r="E11" s="47">
        <v>1.1200000000000001</v>
      </c>
      <c r="F11" s="10" t="s">
        <v>0</v>
      </c>
      <c r="G11" s="10" t="s">
        <v>0</v>
      </c>
      <c r="H11" s="10" t="s">
        <v>0</v>
      </c>
      <c r="I11" s="35" t="s">
        <v>0</v>
      </c>
      <c r="J11" s="10" t="s">
        <v>0</v>
      </c>
      <c r="K11" s="10" t="s">
        <v>0</v>
      </c>
      <c r="L11" s="10" t="s">
        <v>0</v>
      </c>
      <c r="M11" s="36" t="s">
        <v>0</v>
      </c>
      <c r="N11" s="35" t="s">
        <v>0</v>
      </c>
      <c r="O11" s="35">
        <v>1.0098</v>
      </c>
      <c r="Q11" s="37" t="s">
        <v>852</v>
      </c>
      <c r="R11" s="37" t="s">
        <v>847</v>
      </c>
      <c r="S11" s="38">
        <v>100000000</v>
      </c>
      <c r="T11" s="38">
        <v>0</v>
      </c>
    </row>
    <row r="12" spans="1:20">
      <c r="A12" s="12" t="s">
        <v>227</v>
      </c>
      <c r="B12" s="47" t="s">
        <v>314</v>
      </c>
      <c r="C12" s="48">
        <v>0.5</v>
      </c>
      <c r="D12" s="47">
        <v>1.25</v>
      </c>
      <c r="E12" s="47">
        <v>1.27</v>
      </c>
      <c r="F12" s="10" t="s">
        <v>0</v>
      </c>
      <c r="G12" s="10" t="s">
        <v>0</v>
      </c>
      <c r="H12" s="10" t="s">
        <v>0</v>
      </c>
      <c r="I12" s="35" t="s">
        <v>0</v>
      </c>
      <c r="J12" s="10" t="s">
        <v>0</v>
      </c>
      <c r="K12" s="10" t="s">
        <v>0</v>
      </c>
      <c r="L12" s="10" t="s">
        <v>0</v>
      </c>
      <c r="M12" s="36" t="s">
        <v>0</v>
      </c>
      <c r="N12" s="35" t="s">
        <v>0</v>
      </c>
      <c r="O12" s="35">
        <v>1.0143</v>
      </c>
      <c r="Q12" s="12" t="s">
        <v>0</v>
      </c>
      <c r="R12" s="12" t="s">
        <v>853</v>
      </c>
      <c r="S12" s="39">
        <v>0</v>
      </c>
      <c r="T12" s="39">
        <v>100000000</v>
      </c>
    </row>
    <row r="13" spans="1:20">
      <c r="A13" s="12" t="s">
        <v>269</v>
      </c>
      <c r="B13" s="47" t="s">
        <v>316</v>
      </c>
      <c r="C13" s="48">
        <v>1</v>
      </c>
      <c r="D13" s="47">
        <v>1.36</v>
      </c>
      <c r="E13" s="47">
        <v>1.39</v>
      </c>
      <c r="F13" s="10" t="s">
        <v>0</v>
      </c>
      <c r="G13" s="10" t="s">
        <v>0</v>
      </c>
      <c r="H13" s="10" t="s">
        <v>0</v>
      </c>
      <c r="I13" s="35" t="s">
        <v>0</v>
      </c>
      <c r="J13" s="10" t="s">
        <v>0</v>
      </c>
      <c r="K13" s="10" t="s">
        <v>0</v>
      </c>
      <c r="L13" s="10" t="s">
        <v>0</v>
      </c>
      <c r="M13" s="36" t="s">
        <v>0</v>
      </c>
      <c r="N13" s="35" t="s">
        <v>0</v>
      </c>
      <c r="O13" s="35">
        <v>1.0179</v>
      </c>
      <c r="Q13" s="37" t="s">
        <v>854</v>
      </c>
      <c r="R13" s="37" t="s">
        <v>847</v>
      </c>
      <c r="S13" s="38">
        <v>200000000</v>
      </c>
      <c r="T13" s="38">
        <v>0</v>
      </c>
    </row>
    <row r="14" spans="1:20">
      <c r="A14" s="12" t="s">
        <v>7</v>
      </c>
      <c r="B14" s="47" t="s">
        <v>315</v>
      </c>
      <c r="C14" s="48">
        <v>2.375</v>
      </c>
      <c r="D14" s="47">
        <v>1.36</v>
      </c>
      <c r="E14" s="47">
        <v>1.39</v>
      </c>
      <c r="F14" s="10" t="s">
        <v>0</v>
      </c>
      <c r="G14" s="10" t="s">
        <v>0</v>
      </c>
      <c r="H14" s="10" t="s">
        <v>0</v>
      </c>
      <c r="I14" s="35" t="s">
        <v>0</v>
      </c>
      <c r="J14" s="10" t="s">
        <v>0</v>
      </c>
      <c r="K14" s="10" t="s">
        <v>0</v>
      </c>
      <c r="L14" s="10" t="s">
        <v>0</v>
      </c>
      <c r="M14" s="36" t="s">
        <v>0</v>
      </c>
      <c r="N14" s="35" t="s">
        <v>0</v>
      </c>
      <c r="O14" s="35">
        <v>1.018</v>
      </c>
      <c r="Q14" s="13" t="s">
        <v>0</v>
      </c>
      <c r="R14" s="13" t="s">
        <v>853</v>
      </c>
      <c r="S14" s="46">
        <v>0</v>
      </c>
      <c r="T14" s="46">
        <v>200000000</v>
      </c>
    </row>
    <row r="15" spans="1:20">
      <c r="A15" s="12" t="s">
        <v>31</v>
      </c>
      <c r="B15" s="47" t="s">
        <v>317</v>
      </c>
      <c r="C15" s="48">
        <v>1.625</v>
      </c>
      <c r="D15" s="47">
        <v>1.41</v>
      </c>
      <c r="E15" s="47">
        <v>1.44</v>
      </c>
      <c r="F15" s="10" t="s">
        <v>0</v>
      </c>
      <c r="G15" s="10" t="s">
        <v>0</v>
      </c>
      <c r="H15" s="10" t="s">
        <v>0</v>
      </c>
      <c r="I15" s="35" t="s">
        <v>0</v>
      </c>
      <c r="J15" s="10" t="s">
        <v>0</v>
      </c>
      <c r="K15" s="10" t="s">
        <v>0</v>
      </c>
      <c r="L15" s="10" t="s">
        <v>0</v>
      </c>
      <c r="M15" s="36" t="s">
        <v>0</v>
      </c>
      <c r="N15" s="35" t="s">
        <v>0</v>
      </c>
      <c r="O15" s="35">
        <v>1.0194000000000001</v>
      </c>
      <c r="S15" s="41"/>
      <c r="T15" s="41"/>
    </row>
    <row r="16" spans="1:20">
      <c r="A16" s="12" t="s">
        <v>230</v>
      </c>
      <c r="B16" s="47" t="s">
        <v>318</v>
      </c>
      <c r="C16" s="48">
        <v>0.25</v>
      </c>
      <c r="D16" s="47">
        <v>1.76</v>
      </c>
      <c r="E16" s="47">
        <v>1.78</v>
      </c>
      <c r="F16" s="10" t="s">
        <v>0</v>
      </c>
      <c r="G16" s="10" t="s">
        <v>0</v>
      </c>
      <c r="H16" s="10" t="s">
        <v>0</v>
      </c>
      <c r="I16" s="35" t="s">
        <v>0</v>
      </c>
      <c r="J16" s="10" t="s">
        <v>0</v>
      </c>
      <c r="K16" s="10" t="s">
        <v>0</v>
      </c>
      <c r="L16" s="10" t="s">
        <v>0</v>
      </c>
      <c r="M16" s="36" t="s">
        <v>0</v>
      </c>
      <c r="N16" s="35" t="s">
        <v>0</v>
      </c>
      <c r="O16" s="35">
        <v>1.0319</v>
      </c>
      <c r="Q16" s="42"/>
      <c r="R16" s="42"/>
      <c r="S16" s="42"/>
      <c r="T16" s="42"/>
    </row>
    <row r="17" spans="1:19">
      <c r="A17" s="12" t="s">
        <v>37</v>
      </c>
      <c r="B17" s="47" t="s">
        <v>319</v>
      </c>
      <c r="C17" s="48">
        <v>1.125</v>
      </c>
      <c r="D17" s="47">
        <v>1.9</v>
      </c>
      <c r="E17" s="47">
        <v>1.94</v>
      </c>
      <c r="F17" s="10" t="s">
        <v>0</v>
      </c>
      <c r="G17" s="10" t="s">
        <v>0</v>
      </c>
      <c r="H17" s="10" t="s">
        <v>0</v>
      </c>
      <c r="I17" s="35" t="s">
        <v>0</v>
      </c>
      <c r="J17" s="10" t="s">
        <v>0</v>
      </c>
      <c r="K17" s="10" t="s">
        <v>0</v>
      </c>
      <c r="L17" s="10" t="s">
        <v>0</v>
      </c>
      <c r="M17" s="36" t="s">
        <v>0</v>
      </c>
      <c r="N17" s="35" t="s">
        <v>0</v>
      </c>
      <c r="O17" s="35">
        <v>1.038</v>
      </c>
    </row>
    <row r="18" spans="1:19">
      <c r="A18" s="12" t="s">
        <v>231</v>
      </c>
      <c r="B18" s="47" t="s">
        <v>320</v>
      </c>
      <c r="C18" s="48">
        <v>0.125</v>
      </c>
      <c r="D18" s="47">
        <v>2.15</v>
      </c>
      <c r="E18" s="47">
        <v>2.1800000000000002</v>
      </c>
      <c r="F18" s="10" t="s">
        <v>0</v>
      </c>
      <c r="G18" s="10" t="s">
        <v>0</v>
      </c>
      <c r="H18" s="10" t="s">
        <v>0</v>
      </c>
      <c r="I18" s="35" t="s">
        <v>0</v>
      </c>
      <c r="J18" s="10" t="s">
        <v>0</v>
      </c>
      <c r="K18" s="10" t="s">
        <v>0</v>
      </c>
      <c r="L18" s="10" t="s">
        <v>0</v>
      </c>
      <c r="M18" s="36" t="s">
        <v>0</v>
      </c>
      <c r="N18" s="35" t="s">
        <v>0</v>
      </c>
      <c r="O18" s="35">
        <v>1.0491999999999999</v>
      </c>
      <c r="R18" s="71">
        <f>100*1.03^S18</f>
        <v>160.4706439098787</v>
      </c>
      <c r="S18" s="43">
        <v>16</v>
      </c>
    </row>
    <row r="19" spans="1:19">
      <c r="A19" s="12" t="s">
        <v>232</v>
      </c>
      <c r="B19" s="47" t="s">
        <v>100</v>
      </c>
      <c r="C19" s="48">
        <v>0.25</v>
      </c>
      <c r="D19" s="47">
        <v>2.2400000000000002</v>
      </c>
      <c r="E19" s="47">
        <v>2.2799999999999998</v>
      </c>
      <c r="F19" s="10" t="s">
        <v>0</v>
      </c>
      <c r="G19" s="10" t="s">
        <v>0</v>
      </c>
      <c r="H19" s="10" t="s">
        <v>0</v>
      </c>
      <c r="I19" s="35" t="s">
        <v>0</v>
      </c>
      <c r="J19" s="10" t="s">
        <v>0</v>
      </c>
      <c r="K19" s="10" t="s">
        <v>0</v>
      </c>
      <c r="L19" s="10" t="s">
        <v>0</v>
      </c>
      <c r="M19" s="36" t="s">
        <v>0</v>
      </c>
      <c r="N19" s="35" t="s">
        <v>0</v>
      </c>
      <c r="O19" s="35">
        <v>1.0541</v>
      </c>
    </row>
    <row r="20" spans="1:19">
      <c r="A20" s="12" t="s">
        <v>8</v>
      </c>
      <c r="B20" s="47" t="s">
        <v>99</v>
      </c>
      <c r="C20" s="48">
        <v>1.875</v>
      </c>
      <c r="D20" s="47">
        <v>2.31</v>
      </c>
      <c r="E20" s="47">
        <v>2.39</v>
      </c>
      <c r="F20" s="10" t="s">
        <v>0</v>
      </c>
      <c r="G20" s="10" t="s">
        <v>0</v>
      </c>
      <c r="H20" s="10" t="s">
        <v>0</v>
      </c>
      <c r="I20" s="35" t="s">
        <v>0</v>
      </c>
      <c r="J20" s="10" t="s">
        <v>0</v>
      </c>
      <c r="K20" s="10" t="s">
        <v>0</v>
      </c>
      <c r="L20" s="10" t="s">
        <v>0</v>
      </c>
      <c r="M20" s="36" t="s">
        <v>0</v>
      </c>
      <c r="N20" s="35" t="s">
        <v>0</v>
      </c>
      <c r="O20" s="35">
        <v>1.0596000000000001</v>
      </c>
    </row>
    <row r="21" spans="1:19">
      <c r="A21" s="12" t="s">
        <v>58</v>
      </c>
      <c r="B21" s="47" t="s">
        <v>101</v>
      </c>
      <c r="C21" s="48">
        <v>0.75</v>
      </c>
      <c r="D21" s="47">
        <v>2.37</v>
      </c>
      <c r="E21" s="47">
        <v>2.41</v>
      </c>
      <c r="F21" s="10" t="s">
        <v>0</v>
      </c>
      <c r="G21" s="10" t="s">
        <v>0</v>
      </c>
      <c r="H21" s="10" t="s">
        <v>0</v>
      </c>
      <c r="I21" s="35" t="s">
        <v>0</v>
      </c>
      <c r="J21" s="10" t="s">
        <v>0</v>
      </c>
      <c r="K21" s="10" t="s">
        <v>0</v>
      </c>
      <c r="L21" s="10" t="s">
        <v>0</v>
      </c>
      <c r="M21" s="36" t="s">
        <v>0</v>
      </c>
      <c r="N21" s="35" t="s">
        <v>0</v>
      </c>
      <c r="O21" s="35">
        <v>1.0612999999999999</v>
      </c>
    </row>
    <row r="22" spans="1:19">
      <c r="A22" s="12" t="s">
        <v>233</v>
      </c>
      <c r="B22" s="47" t="s">
        <v>192</v>
      </c>
      <c r="C22" s="48">
        <v>0.25</v>
      </c>
      <c r="D22" s="47">
        <v>2.78</v>
      </c>
      <c r="E22" s="47">
        <v>2.81</v>
      </c>
      <c r="F22" s="10" t="s">
        <v>0</v>
      </c>
      <c r="G22" s="10" t="s">
        <v>0</v>
      </c>
      <c r="H22" s="10" t="s">
        <v>0</v>
      </c>
      <c r="I22" s="35" t="s">
        <v>0</v>
      </c>
      <c r="J22" s="10" t="s">
        <v>0</v>
      </c>
      <c r="K22" s="10" t="s">
        <v>0</v>
      </c>
      <c r="L22" s="10" t="s">
        <v>0</v>
      </c>
      <c r="M22" s="36" t="s">
        <v>0</v>
      </c>
      <c r="N22" s="35" t="s">
        <v>0</v>
      </c>
      <c r="O22" s="35">
        <v>1.085</v>
      </c>
    </row>
    <row r="23" spans="1:19">
      <c r="A23" s="12" t="s">
        <v>55</v>
      </c>
      <c r="B23" s="47" t="s">
        <v>103</v>
      </c>
      <c r="C23" s="48">
        <v>0.625</v>
      </c>
      <c r="D23" s="47">
        <v>2.87</v>
      </c>
      <c r="E23" s="47">
        <v>2.92</v>
      </c>
      <c r="F23" s="10" t="s">
        <v>0</v>
      </c>
      <c r="G23" s="10" t="s">
        <v>0</v>
      </c>
      <c r="H23" s="10" t="s">
        <v>0</v>
      </c>
      <c r="I23" s="35" t="s">
        <v>0</v>
      </c>
      <c r="J23" s="10" t="s">
        <v>0</v>
      </c>
      <c r="K23" s="10" t="s">
        <v>0</v>
      </c>
      <c r="L23" s="10" t="s">
        <v>0</v>
      </c>
      <c r="M23" s="36" t="s">
        <v>0</v>
      </c>
      <c r="N23" s="35" t="s">
        <v>0</v>
      </c>
      <c r="O23" s="35">
        <v>1.0912999999999999</v>
      </c>
    </row>
    <row r="24" spans="1:19">
      <c r="A24" s="12" t="s">
        <v>11</v>
      </c>
      <c r="B24" s="47" t="s">
        <v>102</v>
      </c>
      <c r="C24" s="48">
        <v>2.125</v>
      </c>
      <c r="D24" s="47">
        <v>2.95</v>
      </c>
      <c r="E24" s="47">
        <v>3.1</v>
      </c>
      <c r="F24" s="10" t="s">
        <v>0</v>
      </c>
      <c r="G24" s="10" t="s">
        <v>0</v>
      </c>
      <c r="H24" s="10" t="s">
        <v>0</v>
      </c>
      <c r="I24" s="35" t="s">
        <v>0</v>
      </c>
      <c r="J24" s="10" t="s">
        <v>0</v>
      </c>
      <c r="K24" s="10" t="s">
        <v>0</v>
      </c>
      <c r="L24" s="10" t="s">
        <v>0</v>
      </c>
      <c r="M24" s="36" t="s">
        <v>0</v>
      </c>
      <c r="N24" s="35" t="s">
        <v>0</v>
      </c>
      <c r="O24" s="35">
        <v>1.1008</v>
      </c>
    </row>
    <row r="25" spans="1:19">
      <c r="A25" s="12" t="s">
        <v>12</v>
      </c>
      <c r="B25" s="47" t="s">
        <v>104</v>
      </c>
      <c r="C25" s="48">
        <v>2</v>
      </c>
      <c r="D25" s="47">
        <v>3.21</v>
      </c>
      <c r="E25" s="47">
        <v>3.36</v>
      </c>
      <c r="F25" s="10" t="s">
        <v>0</v>
      </c>
      <c r="G25" s="10" t="s">
        <v>0</v>
      </c>
      <c r="H25" s="10" t="s">
        <v>0</v>
      </c>
      <c r="I25" s="35" t="s">
        <v>0</v>
      </c>
      <c r="J25" s="10" t="s">
        <v>0</v>
      </c>
      <c r="K25" s="10" t="s">
        <v>0</v>
      </c>
      <c r="L25" s="10" t="s">
        <v>0</v>
      </c>
      <c r="M25" s="36" t="s">
        <v>0</v>
      </c>
      <c r="N25" s="35" t="s">
        <v>0</v>
      </c>
      <c r="O25" s="35">
        <v>1.1157999999999999</v>
      </c>
    </row>
    <row r="26" spans="1:19">
      <c r="A26" s="12" t="s">
        <v>32</v>
      </c>
      <c r="B26" s="47" t="s">
        <v>105</v>
      </c>
      <c r="C26" s="48">
        <v>1.125</v>
      </c>
      <c r="D26" s="47">
        <v>3.3</v>
      </c>
      <c r="E26" s="47">
        <v>3.4</v>
      </c>
      <c r="F26" s="10" t="s">
        <v>0</v>
      </c>
      <c r="G26" s="10" t="s">
        <v>0</v>
      </c>
      <c r="H26" s="10" t="s">
        <v>0</v>
      </c>
      <c r="I26" s="35" t="s">
        <v>0</v>
      </c>
      <c r="J26" s="10" t="s">
        <v>0</v>
      </c>
      <c r="K26" s="10" t="s">
        <v>0</v>
      </c>
      <c r="L26" s="10" t="s">
        <v>0</v>
      </c>
      <c r="M26" s="36" t="s">
        <v>0</v>
      </c>
      <c r="N26" s="35" t="s">
        <v>0</v>
      </c>
      <c r="O26" s="35">
        <v>1.119</v>
      </c>
    </row>
    <row r="27" spans="1:19">
      <c r="A27" s="12" t="s">
        <v>234</v>
      </c>
      <c r="B27" s="47" t="s">
        <v>206</v>
      </c>
      <c r="C27" s="48">
        <v>0.5</v>
      </c>
      <c r="D27" s="47">
        <v>3.32</v>
      </c>
      <c r="E27" s="47">
        <v>3.39</v>
      </c>
      <c r="F27" s="10" t="s">
        <v>0</v>
      </c>
      <c r="G27" s="10" t="s">
        <v>0</v>
      </c>
      <c r="H27" s="10" t="s">
        <v>0</v>
      </c>
      <c r="I27" s="35" t="s">
        <v>0</v>
      </c>
      <c r="J27" s="10" t="s">
        <v>0</v>
      </c>
      <c r="K27" s="10" t="s">
        <v>0</v>
      </c>
      <c r="L27" s="10" t="s">
        <v>0</v>
      </c>
      <c r="M27" s="36" t="s">
        <v>0</v>
      </c>
      <c r="N27" s="35" t="s">
        <v>0</v>
      </c>
      <c r="O27" s="35">
        <v>1.1188</v>
      </c>
    </row>
    <row r="28" spans="1:19">
      <c r="A28" s="12" t="s">
        <v>218</v>
      </c>
      <c r="B28" s="47" t="s">
        <v>220</v>
      </c>
      <c r="C28" s="48">
        <v>1</v>
      </c>
      <c r="D28" s="47">
        <v>3.62</v>
      </c>
      <c r="E28" s="47">
        <v>3.72</v>
      </c>
      <c r="F28" s="10" t="s">
        <v>0</v>
      </c>
      <c r="G28" s="10" t="s">
        <v>0</v>
      </c>
      <c r="H28" s="10" t="s">
        <v>0</v>
      </c>
      <c r="I28" s="35" t="s">
        <v>0</v>
      </c>
      <c r="J28" s="10" t="s">
        <v>0</v>
      </c>
      <c r="K28" s="10" t="s">
        <v>0</v>
      </c>
      <c r="L28" s="10" t="s">
        <v>0</v>
      </c>
      <c r="M28" s="36" t="s">
        <v>0</v>
      </c>
      <c r="N28" s="35" t="s">
        <v>0</v>
      </c>
      <c r="O28" s="35">
        <v>1.1356999999999999</v>
      </c>
    </row>
    <row r="29" spans="1:19">
      <c r="A29" s="12" t="s">
        <v>13</v>
      </c>
      <c r="B29" s="47" t="s">
        <v>106</v>
      </c>
      <c r="C29" s="48">
        <v>3</v>
      </c>
      <c r="D29" s="47">
        <v>3.8</v>
      </c>
      <c r="E29" s="47">
        <v>4.12</v>
      </c>
      <c r="F29" s="10" t="s">
        <v>0</v>
      </c>
      <c r="G29" s="10" t="s">
        <v>0</v>
      </c>
      <c r="H29" s="10" t="s">
        <v>0</v>
      </c>
      <c r="I29" s="35" t="s">
        <v>0</v>
      </c>
      <c r="J29" s="10" t="s">
        <v>0</v>
      </c>
      <c r="K29" s="10" t="s">
        <v>0</v>
      </c>
      <c r="L29" s="10" t="s">
        <v>0</v>
      </c>
      <c r="M29" s="36" t="s">
        <v>0</v>
      </c>
      <c r="N29" s="35" t="s">
        <v>0</v>
      </c>
      <c r="O29" s="35">
        <v>1.1514</v>
      </c>
    </row>
    <row r="30" spans="1:19">
      <c r="A30" s="12" t="s">
        <v>256</v>
      </c>
      <c r="B30" s="47" t="s">
        <v>257</v>
      </c>
      <c r="C30" s="48">
        <v>1.25</v>
      </c>
      <c r="D30" s="47">
        <v>3.85</v>
      </c>
      <c r="E30" s="47">
        <v>3.97</v>
      </c>
      <c r="F30" s="10" t="s">
        <v>0</v>
      </c>
      <c r="G30" s="10" t="s">
        <v>0</v>
      </c>
      <c r="H30" s="10" t="s">
        <v>0</v>
      </c>
      <c r="I30" s="35" t="s">
        <v>0</v>
      </c>
      <c r="J30" s="10" t="s">
        <v>0</v>
      </c>
      <c r="K30" s="10" t="s">
        <v>0</v>
      </c>
      <c r="L30" s="10" t="s">
        <v>0</v>
      </c>
      <c r="M30" s="36" t="s">
        <v>0</v>
      </c>
      <c r="N30" s="35" t="s">
        <v>0</v>
      </c>
      <c r="O30" s="35">
        <v>1.1474</v>
      </c>
    </row>
    <row r="31" spans="1:19">
      <c r="A31" s="12" t="s">
        <v>1</v>
      </c>
      <c r="B31" s="47" t="s">
        <v>107</v>
      </c>
      <c r="C31" s="48">
        <v>1</v>
      </c>
      <c r="D31" s="47">
        <v>3.86</v>
      </c>
      <c r="E31" s="47">
        <v>3.96</v>
      </c>
      <c r="F31" s="10" t="s">
        <v>0</v>
      </c>
      <c r="G31" s="10" t="s">
        <v>0</v>
      </c>
      <c r="H31" s="10" t="s">
        <v>0</v>
      </c>
      <c r="I31" s="35" t="s">
        <v>0</v>
      </c>
      <c r="J31" s="10" t="s">
        <v>0</v>
      </c>
      <c r="K31" s="10" t="s">
        <v>0</v>
      </c>
      <c r="L31" s="10" t="s">
        <v>0</v>
      </c>
      <c r="M31" s="36" t="s">
        <v>0</v>
      </c>
      <c r="N31" s="35" t="s">
        <v>0</v>
      </c>
      <c r="O31" s="35">
        <v>1.1473</v>
      </c>
    </row>
    <row r="32" spans="1:19">
      <c r="A32" s="12" t="s">
        <v>59</v>
      </c>
      <c r="B32" s="47" t="s">
        <v>109</v>
      </c>
      <c r="C32" s="48">
        <v>1.375</v>
      </c>
      <c r="D32" s="47">
        <v>4.08</v>
      </c>
      <c r="E32" s="47">
        <v>4.26</v>
      </c>
      <c r="F32" s="10" t="s">
        <v>0</v>
      </c>
      <c r="G32" s="10" t="s">
        <v>0</v>
      </c>
      <c r="H32" s="10" t="s">
        <v>0</v>
      </c>
      <c r="I32" s="35" t="s">
        <v>0</v>
      </c>
      <c r="J32" s="10" t="s">
        <v>0</v>
      </c>
      <c r="K32" s="10" t="s">
        <v>0</v>
      </c>
      <c r="L32" s="10" t="s">
        <v>0</v>
      </c>
      <c r="M32" s="36" t="s">
        <v>0</v>
      </c>
      <c r="N32" s="35" t="s">
        <v>0</v>
      </c>
      <c r="O32" s="35">
        <v>1.1593</v>
      </c>
    </row>
    <row r="33" spans="1:15">
      <c r="A33" s="12" t="s">
        <v>14</v>
      </c>
      <c r="B33" s="47" t="s">
        <v>108</v>
      </c>
      <c r="C33" s="48">
        <v>2.5</v>
      </c>
      <c r="D33" s="47">
        <v>4.08</v>
      </c>
      <c r="E33" s="47">
        <v>4.3600000000000003</v>
      </c>
      <c r="F33" s="10" t="s">
        <v>0</v>
      </c>
      <c r="G33" s="10" t="s">
        <v>0</v>
      </c>
      <c r="H33" s="10" t="s">
        <v>0</v>
      </c>
      <c r="I33" s="35" t="s">
        <v>0</v>
      </c>
      <c r="J33" s="10" t="s">
        <v>0</v>
      </c>
      <c r="K33" s="10" t="s">
        <v>0</v>
      </c>
      <c r="L33" s="10" t="s">
        <v>0</v>
      </c>
      <c r="M33" s="36" t="s">
        <v>0</v>
      </c>
      <c r="N33" s="35" t="s">
        <v>0</v>
      </c>
      <c r="O33" s="35">
        <v>1.1613</v>
      </c>
    </row>
    <row r="34" spans="1:15">
      <c r="A34" s="12" t="s">
        <v>272</v>
      </c>
      <c r="B34" s="47" t="s">
        <v>271</v>
      </c>
      <c r="C34" s="48">
        <v>1</v>
      </c>
      <c r="D34" s="47">
        <v>4.1399999999999997</v>
      </c>
      <c r="E34" s="47">
        <v>4.29</v>
      </c>
      <c r="F34" s="10" t="s">
        <v>0</v>
      </c>
      <c r="G34" s="10" t="s">
        <v>0</v>
      </c>
      <c r="H34" s="10" t="s">
        <v>0</v>
      </c>
      <c r="I34" s="35" t="s">
        <v>0</v>
      </c>
      <c r="J34" s="10" t="s">
        <v>0</v>
      </c>
      <c r="K34" s="10" t="s">
        <v>0</v>
      </c>
      <c r="L34" s="10" t="s">
        <v>0</v>
      </c>
      <c r="M34" s="36" t="s">
        <v>0</v>
      </c>
      <c r="N34" s="35" t="s">
        <v>0</v>
      </c>
      <c r="O34" s="35">
        <v>1.1607000000000001</v>
      </c>
    </row>
    <row r="35" spans="1:15">
      <c r="A35" s="12" t="s">
        <v>34</v>
      </c>
      <c r="B35" s="47" t="s">
        <v>110</v>
      </c>
      <c r="C35" s="48">
        <v>1</v>
      </c>
      <c r="D35" s="47">
        <v>4.2</v>
      </c>
      <c r="E35" s="47">
        <v>4.3499999999999996</v>
      </c>
      <c r="F35" s="10" t="s">
        <v>0</v>
      </c>
      <c r="G35" s="10" t="s">
        <v>0</v>
      </c>
      <c r="H35" s="10" t="s">
        <v>0</v>
      </c>
      <c r="I35" s="35" t="s">
        <v>0</v>
      </c>
      <c r="J35" s="10" t="s">
        <v>0</v>
      </c>
      <c r="K35" s="10" t="s">
        <v>0</v>
      </c>
      <c r="L35" s="10" t="s">
        <v>0</v>
      </c>
      <c r="M35" s="36" t="s">
        <v>0</v>
      </c>
      <c r="N35" s="35" t="s">
        <v>0</v>
      </c>
      <c r="O35" s="35">
        <v>1.1629</v>
      </c>
    </row>
    <row r="36" spans="1:15">
      <c r="A36" s="12" t="s">
        <v>321</v>
      </c>
      <c r="B36" s="47" t="s">
        <v>322</v>
      </c>
      <c r="C36" s="48">
        <v>1</v>
      </c>
      <c r="D36" s="47">
        <v>4.49</v>
      </c>
      <c r="E36" s="47">
        <v>4.6399999999999997</v>
      </c>
      <c r="F36" s="10" t="s">
        <v>0</v>
      </c>
      <c r="G36" s="10" t="s">
        <v>0</v>
      </c>
      <c r="H36" s="10" t="s">
        <v>0</v>
      </c>
      <c r="I36" s="35" t="s">
        <v>0</v>
      </c>
      <c r="J36" s="10" t="s">
        <v>0</v>
      </c>
      <c r="K36" s="10" t="s">
        <v>0</v>
      </c>
      <c r="L36" s="10" t="s">
        <v>0</v>
      </c>
      <c r="M36" s="36" t="s">
        <v>0</v>
      </c>
      <c r="N36" s="35" t="s">
        <v>0</v>
      </c>
      <c r="O36" s="35">
        <v>1.1725000000000001</v>
      </c>
    </row>
    <row r="37" spans="1:15">
      <c r="A37" s="12" t="s">
        <v>2</v>
      </c>
      <c r="B37" s="47" t="s">
        <v>112</v>
      </c>
      <c r="C37" s="48">
        <v>0.875</v>
      </c>
      <c r="D37" s="47">
        <v>4.53</v>
      </c>
      <c r="E37" s="47">
        <v>4.68</v>
      </c>
      <c r="F37" s="10" t="s">
        <v>0</v>
      </c>
      <c r="G37" s="10" t="s">
        <v>0</v>
      </c>
      <c r="H37" s="10" t="s">
        <v>0</v>
      </c>
      <c r="I37" s="35" t="s">
        <v>0</v>
      </c>
      <c r="J37" s="10" t="s">
        <v>0</v>
      </c>
      <c r="K37" s="10" t="s">
        <v>0</v>
      </c>
      <c r="L37" s="10" t="s">
        <v>0</v>
      </c>
      <c r="M37" s="36" t="s">
        <v>0</v>
      </c>
      <c r="N37" s="35" t="s">
        <v>0</v>
      </c>
      <c r="O37" s="35">
        <v>1.1738</v>
      </c>
    </row>
    <row r="38" spans="1:15">
      <c r="A38" s="12" t="s">
        <v>15</v>
      </c>
      <c r="B38" s="47" t="s">
        <v>111</v>
      </c>
      <c r="C38" s="48">
        <v>2.625</v>
      </c>
      <c r="D38" s="47">
        <v>4.5599999999999996</v>
      </c>
      <c r="E38" s="47">
        <v>4.8600000000000003</v>
      </c>
      <c r="F38" s="10" t="s">
        <v>0</v>
      </c>
      <c r="G38" s="10" t="s">
        <v>0</v>
      </c>
      <c r="H38" s="10" t="s">
        <v>0</v>
      </c>
      <c r="I38" s="35" t="s">
        <v>0</v>
      </c>
      <c r="J38" s="10" t="s">
        <v>0</v>
      </c>
      <c r="K38" s="10" t="s">
        <v>0</v>
      </c>
      <c r="L38" s="10" t="s">
        <v>0</v>
      </c>
      <c r="M38" s="36" t="s">
        <v>0</v>
      </c>
      <c r="N38" s="35" t="s">
        <v>0</v>
      </c>
      <c r="O38" s="35">
        <v>1.1761999999999999</v>
      </c>
    </row>
    <row r="39" spans="1:15">
      <c r="A39" s="12" t="s">
        <v>308</v>
      </c>
      <c r="B39" s="47" t="s">
        <v>323</v>
      </c>
      <c r="C39" s="48">
        <v>1.125</v>
      </c>
      <c r="D39" s="47">
        <v>4.78</v>
      </c>
      <c r="E39" s="47">
        <v>4.95</v>
      </c>
      <c r="F39" s="10" t="s">
        <v>0</v>
      </c>
      <c r="G39" s="10" t="s">
        <v>0</v>
      </c>
      <c r="H39" s="10" t="s">
        <v>0</v>
      </c>
      <c r="I39" s="35" t="s">
        <v>0</v>
      </c>
      <c r="J39" s="10" t="s">
        <v>0</v>
      </c>
      <c r="K39" s="10" t="s">
        <v>0</v>
      </c>
      <c r="L39" s="10" t="s">
        <v>0</v>
      </c>
      <c r="M39" s="36" t="s">
        <v>0</v>
      </c>
      <c r="N39" s="35" t="s">
        <v>0</v>
      </c>
      <c r="O39" s="35">
        <v>1.1808000000000001</v>
      </c>
    </row>
    <row r="40" spans="1:15">
      <c r="A40" s="12" t="s">
        <v>235</v>
      </c>
      <c r="B40" s="47" t="s">
        <v>193</v>
      </c>
      <c r="C40" s="48">
        <v>0.25</v>
      </c>
      <c r="D40" s="47">
        <v>4.79</v>
      </c>
      <c r="E40" s="47">
        <v>4.88</v>
      </c>
      <c r="F40" s="10" t="s">
        <v>0</v>
      </c>
      <c r="G40" s="10" t="s">
        <v>0</v>
      </c>
      <c r="H40" s="10" t="s">
        <v>0</v>
      </c>
      <c r="I40" s="35" t="s">
        <v>0</v>
      </c>
      <c r="J40" s="10" t="s">
        <v>0</v>
      </c>
      <c r="K40" s="10" t="s">
        <v>0</v>
      </c>
      <c r="L40" s="10" t="s">
        <v>0</v>
      </c>
      <c r="M40" s="36" t="s">
        <v>0</v>
      </c>
      <c r="N40" s="35" t="s">
        <v>0</v>
      </c>
      <c r="O40" s="35">
        <v>1.1805000000000001</v>
      </c>
    </row>
    <row r="41" spans="1:15">
      <c r="A41" s="12" t="s">
        <v>28</v>
      </c>
      <c r="B41" s="47" t="s">
        <v>114</v>
      </c>
      <c r="C41" s="48">
        <v>0.875</v>
      </c>
      <c r="D41" s="47">
        <v>4.8499999999999996</v>
      </c>
      <c r="E41" s="47">
        <v>5.04</v>
      </c>
      <c r="F41" s="10" t="s">
        <v>0</v>
      </c>
      <c r="G41" s="10" t="s">
        <v>0</v>
      </c>
      <c r="H41" s="10" t="s">
        <v>0</v>
      </c>
      <c r="I41" s="35" t="s">
        <v>0</v>
      </c>
      <c r="J41" s="10" t="s">
        <v>0</v>
      </c>
      <c r="K41" s="10" t="s">
        <v>0</v>
      </c>
      <c r="L41" s="10" t="s">
        <v>0</v>
      </c>
      <c r="M41" s="36" t="s">
        <v>0</v>
      </c>
      <c r="N41" s="35" t="s">
        <v>0</v>
      </c>
      <c r="O41" s="35">
        <v>1.1833</v>
      </c>
    </row>
    <row r="42" spans="1:15">
      <c r="A42" s="12" t="s">
        <v>16</v>
      </c>
      <c r="B42" s="47" t="s">
        <v>113</v>
      </c>
      <c r="C42" s="48">
        <v>2.125</v>
      </c>
      <c r="D42" s="47">
        <v>5.01</v>
      </c>
      <c r="E42" s="47">
        <v>5.37</v>
      </c>
      <c r="F42" s="10" t="s">
        <v>0</v>
      </c>
      <c r="G42" s="10" t="s">
        <v>0</v>
      </c>
      <c r="H42" s="10" t="s">
        <v>0</v>
      </c>
      <c r="I42" s="35" t="s">
        <v>0</v>
      </c>
      <c r="J42" s="10" t="s">
        <v>0</v>
      </c>
      <c r="K42" s="10" t="s">
        <v>0</v>
      </c>
      <c r="L42" s="10" t="s">
        <v>0</v>
      </c>
      <c r="M42" s="36" t="s">
        <v>0</v>
      </c>
      <c r="N42" s="35" t="s">
        <v>0</v>
      </c>
      <c r="O42" s="35">
        <v>1.1879</v>
      </c>
    </row>
    <row r="43" spans="1:15">
      <c r="A43" s="12" t="s">
        <v>3</v>
      </c>
      <c r="B43" s="47" t="s">
        <v>115</v>
      </c>
      <c r="C43" s="48">
        <v>0.75</v>
      </c>
      <c r="D43" s="47">
        <v>5.18</v>
      </c>
      <c r="E43" s="47">
        <v>5.36</v>
      </c>
      <c r="F43" s="10" t="s">
        <v>0</v>
      </c>
      <c r="G43" s="10" t="s">
        <v>0</v>
      </c>
      <c r="H43" s="10" t="s">
        <v>0</v>
      </c>
      <c r="I43" s="35" t="s">
        <v>0</v>
      </c>
      <c r="J43" s="10" t="s">
        <v>0</v>
      </c>
      <c r="K43" s="10" t="s">
        <v>0</v>
      </c>
      <c r="L43" s="10" t="s">
        <v>0</v>
      </c>
      <c r="M43" s="36" t="s">
        <v>0</v>
      </c>
      <c r="N43" s="35" t="s">
        <v>0</v>
      </c>
      <c r="O43" s="35">
        <v>1.1901999999999999</v>
      </c>
    </row>
    <row r="44" spans="1:15">
      <c r="A44" s="12" t="s">
        <v>17</v>
      </c>
      <c r="B44" s="47" t="s">
        <v>116</v>
      </c>
      <c r="C44" s="48">
        <v>2.125</v>
      </c>
      <c r="D44" s="47">
        <v>5.5</v>
      </c>
      <c r="E44" s="47">
        <v>5.86</v>
      </c>
      <c r="F44" s="10" t="s">
        <v>0</v>
      </c>
      <c r="G44" s="10" t="s">
        <v>0</v>
      </c>
      <c r="H44" s="10" t="s">
        <v>0</v>
      </c>
      <c r="I44" s="35" t="s">
        <v>0</v>
      </c>
      <c r="J44" s="10" t="s">
        <v>0</v>
      </c>
      <c r="K44" s="10" t="s">
        <v>0</v>
      </c>
      <c r="L44" s="10" t="s">
        <v>0</v>
      </c>
      <c r="M44" s="36" t="s">
        <v>0</v>
      </c>
      <c r="N44" s="35" t="s">
        <v>0</v>
      </c>
      <c r="O44" s="35">
        <v>1.1957</v>
      </c>
    </row>
    <row r="45" spans="1:15">
      <c r="A45" s="12" t="s">
        <v>4</v>
      </c>
      <c r="B45" s="47" t="s">
        <v>117</v>
      </c>
      <c r="C45" s="48">
        <v>0.625</v>
      </c>
      <c r="D45" s="47">
        <v>5.56</v>
      </c>
      <c r="E45" s="47">
        <v>5.73</v>
      </c>
      <c r="F45" s="10" t="s">
        <v>0</v>
      </c>
      <c r="G45" s="10" t="s">
        <v>0</v>
      </c>
      <c r="H45" s="10" t="s">
        <v>0</v>
      </c>
      <c r="I45" s="35" t="s">
        <v>0</v>
      </c>
      <c r="J45" s="10" t="s">
        <v>0</v>
      </c>
      <c r="K45" s="10" t="s">
        <v>0</v>
      </c>
      <c r="L45" s="10" t="s">
        <v>0</v>
      </c>
      <c r="M45" s="36" t="s">
        <v>0</v>
      </c>
      <c r="N45" s="35" t="s">
        <v>0</v>
      </c>
      <c r="O45" s="35">
        <v>1.1964999999999999</v>
      </c>
    </row>
    <row r="46" spans="1:15">
      <c r="A46" s="12" t="s">
        <v>6</v>
      </c>
      <c r="B46" s="47" t="s">
        <v>119</v>
      </c>
      <c r="C46" s="48">
        <v>0.625</v>
      </c>
      <c r="D46" s="47">
        <v>5.82</v>
      </c>
      <c r="E46" s="47">
        <v>6.03</v>
      </c>
      <c r="F46" s="10" t="s">
        <v>0</v>
      </c>
      <c r="G46" s="10" t="s">
        <v>0</v>
      </c>
      <c r="H46" s="10" t="s">
        <v>0</v>
      </c>
      <c r="I46" s="35" t="s">
        <v>0</v>
      </c>
      <c r="J46" s="10" t="s">
        <v>0</v>
      </c>
      <c r="K46" s="10" t="s">
        <v>0</v>
      </c>
      <c r="L46" s="10" t="s">
        <v>0</v>
      </c>
      <c r="M46" s="36" t="s">
        <v>0</v>
      </c>
      <c r="N46" s="35" t="s">
        <v>0</v>
      </c>
      <c r="O46" s="35">
        <v>1.2008000000000001</v>
      </c>
    </row>
    <row r="47" spans="1:15">
      <c r="A47" s="12" t="s">
        <v>18</v>
      </c>
      <c r="B47" s="47" t="s">
        <v>118</v>
      </c>
      <c r="C47" s="48">
        <v>1.875</v>
      </c>
      <c r="D47" s="47">
        <v>5.95</v>
      </c>
      <c r="E47" s="47">
        <v>6.39</v>
      </c>
      <c r="F47" s="10" t="s">
        <v>0</v>
      </c>
      <c r="G47" s="10" t="s">
        <v>0</v>
      </c>
      <c r="H47" s="10" t="s">
        <v>0</v>
      </c>
      <c r="I47" s="35" t="s">
        <v>0</v>
      </c>
      <c r="J47" s="10" t="s">
        <v>0</v>
      </c>
      <c r="K47" s="10" t="s">
        <v>0</v>
      </c>
      <c r="L47" s="10" t="s">
        <v>0</v>
      </c>
      <c r="M47" s="36" t="s">
        <v>0</v>
      </c>
      <c r="N47" s="35" t="s">
        <v>0</v>
      </c>
      <c r="O47" s="35">
        <v>1.2029000000000001</v>
      </c>
    </row>
    <row r="48" spans="1:15">
      <c r="A48" s="12" t="s">
        <v>236</v>
      </c>
      <c r="B48" s="47" t="s">
        <v>120</v>
      </c>
      <c r="C48" s="48">
        <v>0.5</v>
      </c>
      <c r="D48" s="47">
        <v>6.2</v>
      </c>
      <c r="E48" s="47">
        <v>6.38</v>
      </c>
      <c r="F48" s="10" t="s">
        <v>0</v>
      </c>
      <c r="G48" s="10" t="s">
        <v>0</v>
      </c>
      <c r="H48" s="10" t="s">
        <v>0</v>
      </c>
      <c r="I48" s="35" t="s">
        <v>0</v>
      </c>
      <c r="J48" s="10" t="s">
        <v>0</v>
      </c>
      <c r="K48" s="10" t="s">
        <v>0</v>
      </c>
      <c r="L48" s="10" t="s">
        <v>0</v>
      </c>
      <c r="M48" s="36" t="s">
        <v>0</v>
      </c>
      <c r="N48" s="35" t="s">
        <v>0</v>
      </c>
      <c r="O48" s="35">
        <v>1.2055</v>
      </c>
    </row>
    <row r="49" spans="1:15">
      <c r="A49" s="12" t="s">
        <v>19</v>
      </c>
      <c r="B49" s="47" t="s">
        <v>121</v>
      </c>
      <c r="C49" s="48">
        <v>1.75</v>
      </c>
      <c r="D49" s="47">
        <v>6.43</v>
      </c>
      <c r="E49" s="47">
        <v>6.85</v>
      </c>
      <c r="F49" s="10" t="s">
        <v>0</v>
      </c>
      <c r="G49" s="10" t="s">
        <v>0</v>
      </c>
      <c r="H49" s="10" t="s">
        <v>0</v>
      </c>
      <c r="I49" s="35" t="s">
        <v>0</v>
      </c>
      <c r="J49" s="10" t="s">
        <v>0</v>
      </c>
      <c r="K49" s="10" t="s">
        <v>0</v>
      </c>
      <c r="L49" s="10" t="s">
        <v>0</v>
      </c>
      <c r="M49" s="36" t="s">
        <v>0</v>
      </c>
      <c r="N49" s="35" t="s">
        <v>0</v>
      </c>
      <c r="O49" s="35">
        <v>1.2088000000000001</v>
      </c>
    </row>
    <row r="50" spans="1:15">
      <c r="A50" s="12" t="s">
        <v>237</v>
      </c>
      <c r="B50" s="47" t="s">
        <v>124</v>
      </c>
      <c r="C50" s="48">
        <v>0.375</v>
      </c>
      <c r="D50" s="47">
        <v>6.52</v>
      </c>
      <c r="E50" s="47">
        <v>6.68</v>
      </c>
      <c r="F50" s="10" t="s">
        <v>0</v>
      </c>
      <c r="G50" s="10" t="s">
        <v>0</v>
      </c>
      <c r="H50" s="10" t="s">
        <v>0</v>
      </c>
      <c r="I50" s="35" t="s">
        <v>0</v>
      </c>
      <c r="J50" s="10" t="s">
        <v>0</v>
      </c>
      <c r="K50" s="10" t="s">
        <v>0</v>
      </c>
      <c r="L50" s="10" t="s">
        <v>0</v>
      </c>
      <c r="M50" s="36" t="s">
        <v>0</v>
      </c>
      <c r="N50" s="35" t="s">
        <v>0</v>
      </c>
      <c r="O50" s="35">
        <v>1.2094</v>
      </c>
    </row>
    <row r="51" spans="1:15">
      <c r="A51" s="12" t="s">
        <v>49</v>
      </c>
      <c r="B51" s="47" t="s">
        <v>122</v>
      </c>
      <c r="C51" s="48">
        <v>2.125</v>
      </c>
      <c r="D51" s="47">
        <v>6.66</v>
      </c>
      <c r="E51" s="47">
        <v>7.27</v>
      </c>
      <c r="F51" s="10" t="s">
        <v>0</v>
      </c>
      <c r="G51" s="10" t="s">
        <v>0</v>
      </c>
      <c r="H51" s="10" t="s">
        <v>0</v>
      </c>
      <c r="I51" s="35" t="s">
        <v>0</v>
      </c>
      <c r="J51" s="10" t="s">
        <v>0</v>
      </c>
      <c r="K51" s="10" t="s">
        <v>0</v>
      </c>
      <c r="L51" s="10" t="s">
        <v>0</v>
      </c>
      <c r="M51" s="36" t="s">
        <v>0</v>
      </c>
      <c r="N51" s="35" t="s">
        <v>0</v>
      </c>
      <c r="O51" s="35">
        <v>1.2134</v>
      </c>
    </row>
    <row r="52" spans="1:15">
      <c r="A52" s="12" t="s">
        <v>238</v>
      </c>
      <c r="B52" s="47" t="s">
        <v>126</v>
      </c>
      <c r="C52" s="48">
        <v>0.25</v>
      </c>
      <c r="D52" s="47">
        <v>6.87</v>
      </c>
      <c r="E52" s="47">
        <v>7.03</v>
      </c>
      <c r="F52" s="10" t="s">
        <v>0</v>
      </c>
      <c r="G52" s="10" t="s">
        <v>0</v>
      </c>
      <c r="H52" s="10" t="s">
        <v>0</v>
      </c>
      <c r="I52" s="35" t="s">
        <v>0</v>
      </c>
      <c r="J52" s="10" t="s">
        <v>0</v>
      </c>
      <c r="K52" s="10" t="s">
        <v>0</v>
      </c>
      <c r="L52" s="10" t="s">
        <v>0</v>
      </c>
      <c r="M52" s="36" t="s">
        <v>0</v>
      </c>
      <c r="N52" s="35" t="s">
        <v>0</v>
      </c>
      <c r="O52" s="35">
        <v>1.2139</v>
      </c>
    </row>
    <row r="53" spans="1:15">
      <c r="A53" s="12" t="s">
        <v>20</v>
      </c>
      <c r="B53" s="47" t="s">
        <v>123</v>
      </c>
      <c r="C53" s="48">
        <v>3.625</v>
      </c>
      <c r="D53" s="47">
        <v>6.87</v>
      </c>
      <c r="E53" s="47">
        <v>7.78</v>
      </c>
      <c r="F53" s="10" t="s">
        <v>0</v>
      </c>
      <c r="G53" s="10" t="s">
        <v>0</v>
      </c>
      <c r="H53" s="10" t="s">
        <v>0</v>
      </c>
      <c r="I53" s="35" t="s">
        <v>0</v>
      </c>
      <c r="J53" s="10" t="s">
        <v>0</v>
      </c>
      <c r="K53" s="10" t="s">
        <v>0</v>
      </c>
      <c r="L53" s="10" t="s">
        <v>0</v>
      </c>
      <c r="M53" s="36" t="s">
        <v>0</v>
      </c>
      <c r="N53" s="35" t="s">
        <v>0</v>
      </c>
      <c r="O53" s="35">
        <v>1.2174</v>
      </c>
    </row>
    <row r="54" spans="1:15">
      <c r="A54" s="12" t="s">
        <v>57</v>
      </c>
      <c r="B54" s="47" t="s">
        <v>125</v>
      </c>
      <c r="C54" s="48">
        <v>1.75</v>
      </c>
      <c r="D54" s="47">
        <v>7.1</v>
      </c>
      <c r="E54" s="47">
        <v>7.64</v>
      </c>
      <c r="F54" s="10" t="s">
        <v>0</v>
      </c>
      <c r="G54" s="10" t="s">
        <v>0</v>
      </c>
      <c r="H54" s="10" t="s">
        <v>0</v>
      </c>
      <c r="I54" s="35" t="s">
        <v>0</v>
      </c>
      <c r="J54" s="10" t="s">
        <v>0</v>
      </c>
      <c r="K54" s="10" t="s">
        <v>0</v>
      </c>
      <c r="L54" s="10" t="s">
        <v>0</v>
      </c>
      <c r="M54" s="36" t="s">
        <v>0</v>
      </c>
      <c r="N54" s="35" t="s">
        <v>0</v>
      </c>
      <c r="O54" s="35">
        <v>1.2189000000000001</v>
      </c>
    </row>
    <row r="55" spans="1:15">
      <c r="A55" s="12" t="s">
        <v>239</v>
      </c>
      <c r="B55" s="47" t="s">
        <v>127</v>
      </c>
      <c r="C55" s="48">
        <v>0.25</v>
      </c>
      <c r="D55" s="47">
        <v>7.22</v>
      </c>
      <c r="E55" s="47">
        <v>7.38</v>
      </c>
      <c r="F55" s="10" t="s">
        <v>0</v>
      </c>
      <c r="G55" s="10" t="s">
        <v>0</v>
      </c>
      <c r="H55" s="10" t="s">
        <v>0</v>
      </c>
      <c r="I55" s="35" t="s">
        <v>0</v>
      </c>
      <c r="J55" s="10" t="s">
        <v>0</v>
      </c>
      <c r="K55" s="10" t="s">
        <v>0</v>
      </c>
      <c r="L55" s="10" t="s">
        <v>0</v>
      </c>
      <c r="M55" s="36" t="s">
        <v>0</v>
      </c>
      <c r="N55" s="35" t="s">
        <v>0</v>
      </c>
      <c r="O55" s="35">
        <v>1.2185999999999999</v>
      </c>
    </row>
    <row r="56" spans="1:15">
      <c r="A56" s="12" t="s">
        <v>60</v>
      </c>
      <c r="B56" s="47" t="s">
        <v>128</v>
      </c>
      <c r="C56" s="48">
        <v>1.875</v>
      </c>
      <c r="D56" s="47">
        <v>7.25</v>
      </c>
      <c r="E56" s="47">
        <v>7.83</v>
      </c>
      <c r="F56" s="10" t="s">
        <v>0</v>
      </c>
      <c r="G56" s="10" t="s">
        <v>0</v>
      </c>
      <c r="H56" s="10" t="s">
        <v>0</v>
      </c>
      <c r="I56" s="35" t="s">
        <v>0</v>
      </c>
      <c r="J56" s="10" t="s">
        <v>0</v>
      </c>
      <c r="K56" s="10" t="s">
        <v>0</v>
      </c>
      <c r="L56" s="10" t="s">
        <v>0</v>
      </c>
      <c r="M56" s="36" t="s">
        <v>0</v>
      </c>
      <c r="N56" s="35" t="s">
        <v>0</v>
      </c>
      <c r="O56" s="35">
        <v>1.2213000000000001</v>
      </c>
    </row>
    <row r="57" spans="1:15">
      <c r="A57" s="12" t="s">
        <v>240</v>
      </c>
      <c r="B57" s="47" t="s">
        <v>186</v>
      </c>
      <c r="C57" s="48">
        <v>0.375</v>
      </c>
      <c r="D57" s="47">
        <v>7.39</v>
      </c>
      <c r="E57" s="47">
        <v>7.59</v>
      </c>
      <c r="F57" s="10" t="s">
        <v>0</v>
      </c>
      <c r="G57" s="10" t="s">
        <v>0</v>
      </c>
      <c r="H57" s="10" t="s">
        <v>0</v>
      </c>
      <c r="I57" s="35" t="s">
        <v>0</v>
      </c>
      <c r="J57" s="10" t="s">
        <v>0</v>
      </c>
      <c r="K57" s="10" t="s">
        <v>0</v>
      </c>
      <c r="L57" s="10" t="s">
        <v>0</v>
      </c>
      <c r="M57" s="36" t="s">
        <v>0</v>
      </c>
      <c r="N57" s="35" t="s">
        <v>0</v>
      </c>
      <c r="O57" s="35">
        <v>1.2211000000000001</v>
      </c>
    </row>
    <row r="58" spans="1:15">
      <c r="A58" s="12" t="s">
        <v>228</v>
      </c>
      <c r="B58" s="47" t="s">
        <v>189</v>
      </c>
      <c r="C58" s="48">
        <v>0.375</v>
      </c>
      <c r="D58" s="47">
        <v>7.52</v>
      </c>
      <c r="E58" s="47">
        <v>7.72</v>
      </c>
      <c r="F58" s="10" t="s">
        <v>0</v>
      </c>
      <c r="G58" s="10" t="s">
        <v>0</v>
      </c>
      <c r="H58" s="10" t="s">
        <v>0</v>
      </c>
      <c r="I58" s="35" t="s">
        <v>0</v>
      </c>
      <c r="J58" s="10" t="s">
        <v>0</v>
      </c>
      <c r="K58" s="10" t="s">
        <v>0</v>
      </c>
      <c r="L58" s="10" t="s">
        <v>0</v>
      </c>
      <c r="M58" s="36" t="s">
        <v>0</v>
      </c>
      <c r="N58" s="35" t="s">
        <v>0</v>
      </c>
      <c r="O58" s="35">
        <v>1.2229000000000001</v>
      </c>
    </row>
    <row r="59" spans="1:15">
      <c r="A59" s="12" t="s">
        <v>42</v>
      </c>
      <c r="B59" s="47" t="s">
        <v>129</v>
      </c>
      <c r="C59" s="48">
        <v>1.625</v>
      </c>
      <c r="D59" s="47">
        <v>7.66</v>
      </c>
      <c r="E59" s="47">
        <v>8.2899999999999991</v>
      </c>
      <c r="F59" s="10" t="s">
        <v>0</v>
      </c>
      <c r="G59" s="10" t="s">
        <v>0</v>
      </c>
      <c r="H59" s="10" t="s">
        <v>0</v>
      </c>
      <c r="I59" s="35" t="s">
        <v>0</v>
      </c>
      <c r="J59" s="10" t="s">
        <v>0</v>
      </c>
      <c r="K59" s="10" t="s">
        <v>0</v>
      </c>
      <c r="L59" s="10" t="s">
        <v>0</v>
      </c>
      <c r="M59" s="36" t="s">
        <v>0</v>
      </c>
      <c r="N59" s="35" t="s">
        <v>0</v>
      </c>
      <c r="O59" s="35">
        <v>1.2283999999999999</v>
      </c>
    </row>
    <row r="60" spans="1:15">
      <c r="A60" s="12" t="s">
        <v>241</v>
      </c>
      <c r="B60" s="47" t="s">
        <v>198</v>
      </c>
      <c r="C60" s="48">
        <v>0.5</v>
      </c>
      <c r="D60" s="47">
        <v>7.77</v>
      </c>
      <c r="E60" s="47">
        <v>8.0500000000000007</v>
      </c>
      <c r="F60" s="10" t="s">
        <v>0</v>
      </c>
      <c r="G60" s="10" t="s">
        <v>0</v>
      </c>
      <c r="H60" s="10" t="s">
        <v>0</v>
      </c>
      <c r="I60" s="35" t="s">
        <v>0</v>
      </c>
      <c r="J60" s="10" t="s">
        <v>0</v>
      </c>
      <c r="K60" s="10" t="s">
        <v>0</v>
      </c>
      <c r="L60" s="10" t="s">
        <v>0</v>
      </c>
      <c r="M60" s="36" t="s">
        <v>0</v>
      </c>
      <c r="N60" s="35" t="s">
        <v>0</v>
      </c>
      <c r="O60" s="35">
        <v>1.2273000000000001</v>
      </c>
    </row>
    <row r="61" spans="1:15">
      <c r="A61" s="12" t="s">
        <v>25</v>
      </c>
      <c r="B61" s="47" t="s">
        <v>130</v>
      </c>
      <c r="C61" s="48">
        <v>1.625</v>
      </c>
      <c r="D61" s="47">
        <v>7.81</v>
      </c>
      <c r="E61" s="47">
        <v>8.4499999999999993</v>
      </c>
      <c r="F61" s="10" t="s">
        <v>0</v>
      </c>
      <c r="G61" s="10" t="s">
        <v>0</v>
      </c>
      <c r="H61" s="10" t="s">
        <v>0</v>
      </c>
      <c r="I61" s="35" t="s">
        <v>0</v>
      </c>
      <c r="J61" s="10" t="s">
        <v>0</v>
      </c>
      <c r="K61" s="10" t="s">
        <v>0</v>
      </c>
      <c r="L61" s="10" t="s">
        <v>0</v>
      </c>
      <c r="M61" s="36" t="s">
        <v>0</v>
      </c>
      <c r="N61" s="35" t="s">
        <v>0</v>
      </c>
      <c r="O61" s="35">
        <v>1.2306999999999999</v>
      </c>
    </row>
    <row r="62" spans="1:15">
      <c r="A62" s="12" t="s">
        <v>242</v>
      </c>
      <c r="B62" s="47" t="s">
        <v>207</v>
      </c>
      <c r="C62" s="48">
        <v>0.75</v>
      </c>
      <c r="D62" s="47">
        <v>7.9</v>
      </c>
      <c r="E62" s="47">
        <v>8.27</v>
      </c>
      <c r="F62" s="10" t="s">
        <v>0</v>
      </c>
      <c r="G62" s="10" t="s">
        <v>0</v>
      </c>
      <c r="H62" s="10" t="s">
        <v>0</v>
      </c>
      <c r="I62" s="35" t="s">
        <v>0</v>
      </c>
      <c r="J62" s="10" t="s">
        <v>0</v>
      </c>
      <c r="K62" s="10" t="s">
        <v>0</v>
      </c>
      <c r="L62" s="10" t="s">
        <v>0</v>
      </c>
      <c r="M62" s="36" t="s">
        <v>0</v>
      </c>
      <c r="N62" s="35" t="s">
        <v>0</v>
      </c>
      <c r="O62" s="35">
        <v>1.2299</v>
      </c>
    </row>
    <row r="63" spans="1:15">
      <c r="A63" s="12" t="s">
        <v>205</v>
      </c>
      <c r="B63" s="47" t="s">
        <v>208</v>
      </c>
      <c r="C63" s="48">
        <v>0.625</v>
      </c>
      <c r="D63" s="47">
        <v>8.0500000000000007</v>
      </c>
      <c r="E63" s="47">
        <v>8.3699999999999992</v>
      </c>
      <c r="F63" s="10" t="s">
        <v>0</v>
      </c>
      <c r="G63" s="10" t="s">
        <v>0</v>
      </c>
      <c r="H63" s="10" t="s">
        <v>0</v>
      </c>
      <c r="I63" s="35" t="s">
        <v>0</v>
      </c>
      <c r="J63" s="10" t="s">
        <v>0</v>
      </c>
      <c r="K63" s="10" t="s">
        <v>0</v>
      </c>
      <c r="L63" s="10" t="s">
        <v>0</v>
      </c>
      <c r="M63" s="36" t="s">
        <v>0</v>
      </c>
      <c r="N63" s="35" t="s">
        <v>0</v>
      </c>
      <c r="O63" s="35">
        <v>1.2319</v>
      </c>
    </row>
    <row r="64" spans="1:15">
      <c r="A64" s="12" t="s">
        <v>219</v>
      </c>
      <c r="B64" s="47" t="s">
        <v>221</v>
      </c>
      <c r="C64" s="48">
        <v>1.25</v>
      </c>
      <c r="D64" s="47">
        <v>8.1999999999999993</v>
      </c>
      <c r="E64" s="47">
        <v>8.74</v>
      </c>
      <c r="F64" s="10">
        <v>1.25</v>
      </c>
      <c r="G64" s="10">
        <v>1.2490000000000001</v>
      </c>
      <c r="H64" s="10">
        <v>1.2495000000000001</v>
      </c>
      <c r="I64" s="35">
        <v>4</v>
      </c>
      <c r="J64" s="10" t="s">
        <v>0</v>
      </c>
      <c r="K64" s="10" t="s">
        <v>0</v>
      </c>
      <c r="L64" s="10" t="s">
        <v>0</v>
      </c>
      <c r="M64" s="36" t="s">
        <v>0</v>
      </c>
      <c r="N64" s="35" t="s">
        <v>0</v>
      </c>
      <c r="O64" s="35">
        <v>1.2359</v>
      </c>
    </row>
    <row r="65" spans="1:15">
      <c r="A65" s="12" t="s">
        <v>262</v>
      </c>
      <c r="B65" s="47" t="s">
        <v>263</v>
      </c>
      <c r="C65" s="48">
        <v>1.75</v>
      </c>
      <c r="D65" s="47">
        <v>8.2100000000000009</v>
      </c>
      <c r="E65" s="47">
        <v>9.0399999999999991</v>
      </c>
      <c r="F65" s="10" t="s">
        <v>0</v>
      </c>
      <c r="G65" s="10" t="s">
        <v>0</v>
      </c>
      <c r="H65" s="10" t="s">
        <v>0</v>
      </c>
      <c r="I65" s="35" t="s">
        <v>0</v>
      </c>
      <c r="J65" s="10" t="s">
        <v>0</v>
      </c>
      <c r="K65" s="10" t="s">
        <v>0</v>
      </c>
      <c r="L65" s="10" t="s">
        <v>0</v>
      </c>
      <c r="M65" s="36" t="s">
        <v>0</v>
      </c>
      <c r="N65" s="35" t="s">
        <v>0</v>
      </c>
      <c r="O65" s="35">
        <v>1.2393000000000001</v>
      </c>
    </row>
    <row r="66" spans="1:15">
      <c r="A66" s="12" t="s">
        <v>29</v>
      </c>
      <c r="B66" s="47" t="s">
        <v>131</v>
      </c>
      <c r="C66" s="48">
        <v>1.5</v>
      </c>
      <c r="D66" s="47">
        <v>8.24</v>
      </c>
      <c r="E66" s="47">
        <v>8.85</v>
      </c>
      <c r="F66" s="10" t="s">
        <v>0</v>
      </c>
      <c r="G66" s="10" t="s">
        <v>0</v>
      </c>
      <c r="H66" s="10" t="s">
        <v>0</v>
      </c>
      <c r="I66" s="35" t="s">
        <v>0</v>
      </c>
      <c r="J66" s="10" t="s">
        <v>0</v>
      </c>
      <c r="K66" s="10" t="s">
        <v>0</v>
      </c>
      <c r="L66" s="10" t="s">
        <v>0</v>
      </c>
      <c r="M66" s="36" t="s">
        <v>0</v>
      </c>
      <c r="N66" s="35" t="s">
        <v>0</v>
      </c>
      <c r="O66" s="35">
        <v>1.2370000000000001</v>
      </c>
    </row>
    <row r="67" spans="1:15">
      <c r="A67" s="12" t="s">
        <v>52</v>
      </c>
      <c r="B67" s="47" t="s">
        <v>134</v>
      </c>
      <c r="C67" s="48">
        <v>1.5</v>
      </c>
      <c r="D67" s="47">
        <v>8.58</v>
      </c>
      <c r="E67" s="47">
        <v>9.32</v>
      </c>
      <c r="F67" s="10" t="s">
        <v>0</v>
      </c>
      <c r="G67" s="10" t="s">
        <v>0</v>
      </c>
      <c r="H67" s="10" t="s">
        <v>0</v>
      </c>
      <c r="I67" s="35" t="s">
        <v>0</v>
      </c>
      <c r="J67" s="10" t="s">
        <v>0</v>
      </c>
      <c r="K67" s="10" t="s">
        <v>0</v>
      </c>
      <c r="L67" s="10" t="s">
        <v>0</v>
      </c>
      <c r="M67" s="36" t="s">
        <v>0</v>
      </c>
      <c r="N67" s="35" t="s">
        <v>0</v>
      </c>
      <c r="O67" s="35">
        <v>1.2443</v>
      </c>
    </row>
    <row r="68" spans="1:15">
      <c r="A68" s="12" t="s">
        <v>275</v>
      </c>
      <c r="B68" s="47" t="s">
        <v>276</v>
      </c>
      <c r="C68" s="48">
        <v>1.25</v>
      </c>
      <c r="D68" s="47">
        <v>8.6199999999999992</v>
      </c>
      <c r="E68" s="47">
        <v>9.27</v>
      </c>
      <c r="F68" s="10" t="s">
        <v>0</v>
      </c>
      <c r="G68" s="10" t="s">
        <v>0</v>
      </c>
      <c r="H68" s="10" t="s">
        <v>0</v>
      </c>
      <c r="I68" s="35" t="s">
        <v>0</v>
      </c>
      <c r="J68" s="10" t="s">
        <v>0</v>
      </c>
      <c r="K68" s="10" t="s">
        <v>0</v>
      </c>
      <c r="L68" s="10" t="s">
        <v>0</v>
      </c>
      <c r="M68" s="36" t="s">
        <v>0</v>
      </c>
      <c r="N68" s="35" t="s">
        <v>0</v>
      </c>
      <c r="O68" s="35">
        <v>1.2442</v>
      </c>
    </row>
    <row r="69" spans="1:15">
      <c r="A69" s="12" t="s">
        <v>61</v>
      </c>
      <c r="B69" s="47" t="s">
        <v>133</v>
      </c>
      <c r="C69" s="48">
        <v>1.75</v>
      </c>
      <c r="D69" s="47">
        <v>8.6300000000000008</v>
      </c>
      <c r="E69" s="47">
        <v>9.4600000000000009</v>
      </c>
      <c r="F69" s="10" t="s">
        <v>0</v>
      </c>
      <c r="G69" s="10" t="s">
        <v>0</v>
      </c>
      <c r="H69" s="10" t="s">
        <v>0</v>
      </c>
      <c r="I69" s="35" t="s">
        <v>0</v>
      </c>
      <c r="J69" s="10" t="s">
        <v>0</v>
      </c>
      <c r="K69" s="10" t="s">
        <v>0</v>
      </c>
      <c r="L69" s="10" t="s">
        <v>0</v>
      </c>
      <c r="M69" s="36" t="s">
        <v>0</v>
      </c>
      <c r="N69" s="35" t="s">
        <v>0</v>
      </c>
      <c r="O69" s="35">
        <v>1.246</v>
      </c>
    </row>
    <row r="70" spans="1:15">
      <c r="A70" s="12" t="s">
        <v>273</v>
      </c>
      <c r="B70" s="47" t="s">
        <v>274</v>
      </c>
      <c r="C70" s="48">
        <v>1.125</v>
      </c>
      <c r="D70" s="47">
        <v>8.77</v>
      </c>
      <c r="E70" s="47">
        <v>9.3699999999999992</v>
      </c>
      <c r="F70" s="10" t="s">
        <v>0</v>
      </c>
      <c r="G70" s="10" t="s">
        <v>0</v>
      </c>
      <c r="H70" s="10" t="s">
        <v>0</v>
      </c>
      <c r="I70" s="35" t="s">
        <v>0</v>
      </c>
      <c r="J70" s="10" t="s">
        <v>0</v>
      </c>
      <c r="K70" s="10" t="s">
        <v>0</v>
      </c>
      <c r="L70" s="10" t="s">
        <v>0</v>
      </c>
      <c r="M70" s="36" t="s">
        <v>0</v>
      </c>
      <c r="N70" s="35" t="s">
        <v>0</v>
      </c>
      <c r="O70" s="35">
        <v>1.2462</v>
      </c>
    </row>
    <row r="71" spans="1:15">
      <c r="A71" s="12" t="s">
        <v>30</v>
      </c>
      <c r="B71" s="47" t="s">
        <v>135</v>
      </c>
      <c r="C71" s="48">
        <v>2</v>
      </c>
      <c r="D71" s="47">
        <v>8.89</v>
      </c>
      <c r="E71" s="47">
        <v>9.81</v>
      </c>
      <c r="F71" s="10" t="s">
        <v>0</v>
      </c>
      <c r="G71" s="10" t="s">
        <v>0</v>
      </c>
      <c r="H71" s="10" t="s">
        <v>0</v>
      </c>
      <c r="I71" s="35" t="s">
        <v>0</v>
      </c>
      <c r="J71" s="10" t="s">
        <v>0</v>
      </c>
      <c r="K71" s="10" t="s">
        <v>0</v>
      </c>
      <c r="L71" s="10" t="s">
        <v>0</v>
      </c>
      <c r="M71" s="36" t="s">
        <v>0</v>
      </c>
      <c r="N71" s="35" t="s">
        <v>0</v>
      </c>
      <c r="O71" s="35">
        <v>1.2509999999999999</v>
      </c>
    </row>
    <row r="72" spans="1:15">
      <c r="A72" s="12" t="s">
        <v>21</v>
      </c>
      <c r="B72" s="47" t="s">
        <v>132</v>
      </c>
      <c r="C72" s="48">
        <v>3.875</v>
      </c>
      <c r="D72" s="47">
        <v>8.93</v>
      </c>
      <c r="E72" s="47">
        <v>10.64</v>
      </c>
      <c r="F72" s="10" t="s">
        <v>0</v>
      </c>
      <c r="G72" s="10" t="s">
        <v>0</v>
      </c>
      <c r="H72" s="10" t="s">
        <v>0</v>
      </c>
      <c r="I72" s="35" t="s">
        <v>0</v>
      </c>
      <c r="J72" s="10" t="s">
        <v>0</v>
      </c>
      <c r="K72" s="10" t="s">
        <v>0</v>
      </c>
      <c r="L72" s="10" t="s">
        <v>0</v>
      </c>
      <c r="M72" s="36" t="s">
        <v>0</v>
      </c>
      <c r="N72" s="35" t="s">
        <v>0</v>
      </c>
      <c r="O72" s="35">
        <v>1.2598</v>
      </c>
    </row>
    <row r="73" spans="1:15">
      <c r="A73" s="12" t="s">
        <v>324</v>
      </c>
      <c r="B73" s="47" t="s">
        <v>325</v>
      </c>
      <c r="C73" s="48">
        <v>1.125</v>
      </c>
      <c r="D73" s="47">
        <v>9.07</v>
      </c>
      <c r="E73" s="47">
        <v>9.68</v>
      </c>
      <c r="F73" s="10" t="s">
        <v>0</v>
      </c>
      <c r="G73" s="10" t="s">
        <v>0</v>
      </c>
      <c r="H73" s="10" t="s">
        <v>0</v>
      </c>
      <c r="I73" s="35" t="s">
        <v>0</v>
      </c>
      <c r="J73" s="10" t="s">
        <v>0</v>
      </c>
      <c r="K73" s="10" t="s">
        <v>0</v>
      </c>
      <c r="L73" s="10" t="s">
        <v>0</v>
      </c>
      <c r="M73" s="36" t="s">
        <v>0</v>
      </c>
      <c r="N73" s="35" t="s">
        <v>0</v>
      </c>
      <c r="O73" s="35">
        <v>1.2513000000000001</v>
      </c>
    </row>
    <row r="74" spans="1:15">
      <c r="A74" s="12" t="s">
        <v>537</v>
      </c>
      <c r="B74" s="47" t="s">
        <v>855</v>
      </c>
      <c r="C74" s="48">
        <v>1.25</v>
      </c>
      <c r="D74" s="47">
        <v>9.16</v>
      </c>
      <c r="E74" s="47">
        <v>10</v>
      </c>
      <c r="F74" s="10" t="s">
        <v>0</v>
      </c>
      <c r="G74" s="10" t="s">
        <v>0</v>
      </c>
      <c r="H74" s="10" t="s">
        <v>0</v>
      </c>
      <c r="I74" s="35" t="s">
        <v>0</v>
      </c>
      <c r="J74" s="10" t="s">
        <v>0</v>
      </c>
      <c r="K74" s="10" t="s">
        <v>0</v>
      </c>
      <c r="L74" s="10" t="s">
        <v>0</v>
      </c>
      <c r="M74" s="36" t="s">
        <v>0</v>
      </c>
      <c r="N74" s="35" t="s">
        <v>0</v>
      </c>
      <c r="O74" s="35">
        <v>1.2531000000000001</v>
      </c>
    </row>
    <row r="75" spans="1:15">
      <c r="A75" s="12" t="s">
        <v>62</v>
      </c>
      <c r="B75" s="47" t="s">
        <v>136</v>
      </c>
      <c r="C75" s="48">
        <v>2</v>
      </c>
      <c r="D75" s="47">
        <v>9.23</v>
      </c>
      <c r="E75" s="47">
        <v>10.32</v>
      </c>
      <c r="F75" s="10" t="s">
        <v>0</v>
      </c>
      <c r="G75" s="10" t="s">
        <v>0</v>
      </c>
      <c r="H75" s="10" t="s">
        <v>0</v>
      </c>
      <c r="I75" s="35" t="s">
        <v>0</v>
      </c>
      <c r="J75" s="10" t="s">
        <v>0</v>
      </c>
      <c r="K75" s="10" t="s">
        <v>0</v>
      </c>
      <c r="L75" s="10" t="s">
        <v>0</v>
      </c>
      <c r="M75" s="36" t="s">
        <v>0</v>
      </c>
      <c r="N75" s="35" t="s">
        <v>0</v>
      </c>
      <c r="O75" s="35">
        <v>1.2594000000000001</v>
      </c>
    </row>
    <row r="76" spans="1:15">
      <c r="A76" s="12" t="s">
        <v>541</v>
      </c>
      <c r="B76" s="47" t="s">
        <v>855</v>
      </c>
      <c r="C76" s="48">
        <v>1.25</v>
      </c>
      <c r="D76" s="47">
        <v>9.34</v>
      </c>
      <c r="E76" s="47">
        <v>10</v>
      </c>
      <c r="F76" s="10" t="s">
        <v>0</v>
      </c>
      <c r="G76" s="10" t="s">
        <v>0</v>
      </c>
      <c r="H76" s="10" t="s">
        <v>0</v>
      </c>
      <c r="I76" s="35" t="s">
        <v>0</v>
      </c>
      <c r="J76" s="10" t="s">
        <v>0</v>
      </c>
      <c r="K76" s="10" t="s">
        <v>0</v>
      </c>
      <c r="L76" s="10" t="s">
        <v>0</v>
      </c>
      <c r="M76" s="36" t="s">
        <v>0</v>
      </c>
      <c r="N76" s="35" t="s">
        <v>0</v>
      </c>
      <c r="O76" s="35">
        <v>1.2563</v>
      </c>
    </row>
    <row r="77" spans="1:15">
      <c r="A77" s="12" t="s">
        <v>43</v>
      </c>
      <c r="B77" s="47" t="s">
        <v>137</v>
      </c>
      <c r="C77" s="48">
        <v>1.875</v>
      </c>
      <c r="D77" s="47">
        <v>9.51</v>
      </c>
      <c r="E77" s="47">
        <v>10.55</v>
      </c>
      <c r="F77" s="10" t="s">
        <v>0</v>
      </c>
      <c r="G77" s="10" t="s">
        <v>0</v>
      </c>
      <c r="H77" s="10" t="s">
        <v>0</v>
      </c>
      <c r="I77" s="35" t="s">
        <v>0</v>
      </c>
      <c r="J77" s="10" t="s">
        <v>0</v>
      </c>
      <c r="K77" s="10" t="s">
        <v>0</v>
      </c>
      <c r="L77" s="10" t="s">
        <v>0</v>
      </c>
      <c r="M77" s="36" t="s">
        <v>0</v>
      </c>
      <c r="N77" s="35" t="s">
        <v>0</v>
      </c>
      <c r="O77" s="35">
        <v>1.2637</v>
      </c>
    </row>
    <row r="78" spans="1:15">
      <c r="A78" s="12" t="s">
        <v>64</v>
      </c>
      <c r="B78" s="47" t="s">
        <v>138</v>
      </c>
      <c r="C78" s="48">
        <v>2.125</v>
      </c>
      <c r="D78" s="47">
        <v>9.67</v>
      </c>
      <c r="E78" s="47">
        <v>10.82</v>
      </c>
      <c r="F78" s="10" t="s">
        <v>0</v>
      </c>
      <c r="G78" s="10" t="s">
        <v>0</v>
      </c>
      <c r="H78" s="10" t="s">
        <v>0</v>
      </c>
      <c r="I78" s="35" t="s">
        <v>0</v>
      </c>
      <c r="J78" s="10" t="s">
        <v>0</v>
      </c>
      <c r="K78" s="10" t="s">
        <v>0</v>
      </c>
      <c r="L78" s="10" t="s">
        <v>0</v>
      </c>
      <c r="M78" s="36" t="s">
        <v>0</v>
      </c>
      <c r="N78" s="35" t="s">
        <v>0</v>
      </c>
      <c r="O78" s="35">
        <v>1.2675000000000001</v>
      </c>
    </row>
    <row r="79" spans="1:15">
      <c r="A79" s="12" t="s">
        <v>63</v>
      </c>
      <c r="B79" s="47" t="s">
        <v>139</v>
      </c>
      <c r="C79" s="48">
        <v>2.25</v>
      </c>
      <c r="D79" s="47">
        <v>9.8000000000000007</v>
      </c>
      <c r="E79" s="47">
        <v>10.99</v>
      </c>
      <c r="F79" s="10" t="s">
        <v>0</v>
      </c>
      <c r="G79" s="10" t="s">
        <v>0</v>
      </c>
      <c r="H79" s="10" t="s">
        <v>0</v>
      </c>
      <c r="I79" s="35" t="s">
        <v>0</v>
      </c>
      <c r="J79" s="10" t="s">
        <v>0</v>
      </c>
      <c r="K79" s="10" t="s">
        <v>0</v>
      </c>
      <c r="L79" s="10" t="s">
        <v>0</v>
      </c>
      <c r="M79" s="36" t="s">
        <v>0</v>
      </c>
      <c r="N79" s="35" t="s">
        <v>0</v>
      </c>
      <c r="O79" s="35">
        <v>1.2701</v>
      </c>
    </row>
    <row r="80" spans="1:15">
      <c r="A80" s="12" t="s">
        <v>26</v>
      </c>
      <c r="B80" s="47" t="s">
        <v>140</v>
      </c>
      <c r="C80" s="48">
        <v>2</v>
      </c>
      <c r="D80" s="47">
        <v>10.02</v>
      </c>
      <c r="E80" s="47">
        <v>11.3</v>
      </c>
      <c r="F80" s="10" t="s">
        <v>0</v>
      </c>
      <c r="G80" s="10" t="s">
        <v>0</v>
      </c>
      <c r="H80" s="10" t="s">
        <v>0</v>
      </c>
      <c r="I80" s="35" t="s">
        <v>0</v>
      </c>
      <c r="J80" s="10" t="s">
        <v>0</v>
      </c>
      <c r="K80" s="10" t="s">
        <v>0</v>
      </c>
      <c r="L80" s="10" t="s">
        <v>0</v>
      </c>
      <c r="M80" s="36" t="s">
        <v>0</v>
      </c>
      <c r="N80" s="35" t="s">
        <v>0</v>
      </c>
      <c r="O80" s="35">
        <v>1.2761</v>
      </c>
    </row>
    <row r="81" spans="1:15">
      <c r="A81" s="12" t="s">
        <v>48</v>
      </c>
      <c r="B81" s="47" t="s">
        <v>141</v>
      </c>
      <c r="C81" s="48">
        <v>2.125</v>
      </c>
      <c r="D81" s="47">
        <v>10.18</v>
      </c>
      <c r="E81" s="47">
        <v>11.53</v>
      </c>
      <c r="F81" s="10" t="s">
        <v>0</v>
      </c>
      <c r="G81" s="10" t="s">
        <v>0</v>
      </c>
      <c r="H81" s="10" t="s">
        <v>0</v>
      </c>
      <c r="I81" s="35" t="s">
        <v>0</v>
      </c>
      <c r="J81" s="10" t="s">
        <v>0</v>
      </c>
      <c r="K81" s="10" t="s">
        <v>0</v>
      </c>
      <c r="L81" s="10" t="s">
        <v>0</v>
      </c>
      <c r="M81" s="36" t="s">
        <v>0</v>
      </c>
      <c r="N81" s="35" t="s">
        <v>0</v>
      </c>
      <c r="O81" s="35">
        <v>1.2796000000000001</v>
      </c>
    </row>
    <row r="82" spans="1:15">
      <c r="A82" s="12" t="s">
        <v>53</v>
      </c>
      <c r="B82" s="47" t="s">
        <v>142</v>
      </c>
      <c r="C82" s="48">
        <v>1.75</v>
      </c>
      <c r="D82" s="47">
        <v>10.7</v>
      </c>
      <c r="E82" s="47">
        <v>12.06</v>
      </c>
      <c r="F82" s="10" t="s">
        <v>0</v>
      </c>
      <c r="G82" s="10" t="s">
        <v>0</v>
      </c>
      <c r="H82" s="10" t="s">
        <v>0</v>
      </c>
      <c r="I82" s="35" t="s">
        <v>0</v>
      </c>
      <c r="J82" s="10" t="s">
        <v>0</v>
      </c>
      <c r="K82" s="10" t="s">
        <v>0</v>
      </c>
      <c r="L82" s="10" t="s">
        <v>0</v>
      </c>
      <c r="M82" s="36" t="s">
        <v>0</v>
      </c>
      <c r="N82" s="35" t="s">
        <v>0</v>
      </c>
      <c r="O82" s="35">
        <v>1.2904</v>
      </c>
    </row>
    <row r="83" spans="1:15">
      <c r="A83" s="12" t="s">
        <v>38</v>
      </c>
      <c r="B83" s="47" t="s">
        <v>143</v>
      </c>
      <c r="C83" s="48">
        <v>1.375</v>
      </c>
      <c r="D83" s="47">
        <v>11.15</v>
      </c>
      <c r="E83" s="47">
        <v>12.3</v>
      </c>
      <c r="F83" s="10" t="s">
        <v>0</v>
      </c>
      <c r="G83" s="10" t="s">
        <v>0</v>
      </c>
      <c r="H83" s="10" t="s">
        <v>0</v>
      </c>
      <c r="I83" s="35" t="s">
        <v>0</v>
      </c>
      <c r="J83" s="10" t="s">
        <v>0</v>
      </c>
      <c r="K83" s="10" t="s">
        <v>0</v>
      </c>
      <c r="L83" s="10" t="s">
        <v>0</v>
      </c>
      <c r="M83" s="36" t="s">
        <v>0</v>
      </c>
      <c r="N83" s="35" t="s">
        <v>0</v>
      </c>
      <c r="O83" s="35">
        <v>1.2962</v>
      </c>
    </row>
    <row r="84" spans="1:15">
      <c r="A84" s="12" t="s">
        <v>33</v>
      </c>
      <c r="B84" s="47" t="s">
        <v>144</v>
      </c>
      <c r="C84" s="48">
        <v>1.25</v>
      </c>
      <c r="D84" s="47">
        <v>11.44</v>
      </c>
      <c r="E84" s="47">
        <v>12.51</v>
      </c>
      <c r="F84" s="10" t="s">
        <v>0</v>
      </c>
      <c r="G84" s="10" t="s">
        <v>0</v>
      </c>
      <c r="H84" s="10" t="s">
        <v>0</v>
      </c>
      <c r="I84" s="35" t="s">
        <v>0</v>
      </c>
      <c r="J84" s="10" t="s">
        <v>0</v>
      </c>
      <c r="K84" s="10" t="s">
        <v>0</v>
      </c>
      <c r="L84" s="10" t="s">
        <v>0</v>
      </c>
      <c r="M84" s="36" t="s">
        <v>0</v>
      </c>
      <c r="N84" s="35" t="s">
        <v>0</v>
      </c>
      <c r="O84" s="35">
        <v>1.3005</v>
      </c>
    </row>
    <row r="85" spans="1:15">
      <c r="A85" s="12" t="s">
        <v>44</v>
      </c>
      <c r="B85" s="47" t="s">
        <v>146</v>
      </c>
      <c r="C85" s="48">
        <v>1.125</v>
      </c>
      <c r="D85" s="47">
        <v>11.79</v>
      </c>
      <c r="E85" s="47">
        <v>12.79</v>
      </c>
      <c r="F85" s="10" t="s">
        <v>0</v>
      </c>
      <c r="G85" s="10" t="s">
        <v>0</v>
      </c>
      <c r="H85" s="10" t="s">
        <v>0</v>
      </c>
      <c r="I85" s="35" t="s">
        <v>0</v>
      </c>
      <c r="J85" s="10" t="s">
        <v>0</v>
      </c>
      <c r="K85" s="10" t="s">
        <v>0</v>
      </c>
      <c r="L85" s="10" t="s">
        <v>0</v>
      </c>
      <c r="M85" s="36" t="s">
        <v>0</v>
      </c>
      <c r="N85" s="35" t="s">
        <v>0</v>
      </c>
      <c r="O85" s="35">
        <v>1.3061</v>
      </c>
    </row>
    <row r="86" spans="1:15">
      <c r="A86" s="12" t="s">
        <v>35</v>
      </c>
      <c r="B86" s="47" t="s">
        <v>145</v>
      </c>
      <c r="C86" s="48">
        <v>1.75</v>
      </c>
      <c r="D86" s="47">
        <v>11.81</v>
      </c>
      <c r="E86" s="47">
        <v>13.38</v>
      </c>
      <c r="F86" s="10" t="s">
        <v>0</v>
      </c>
      <c r="G86" s="10" t="s">
        <v>0</v>
      </c>
      <c r="H86" s="10" t="s">
        <v>0</v>
      </c>
      <c r="I86" s="35" t="s">
        <v>0</v>
      </c>
      <c r="J86" s="10" t="s">
        <v>0</v>
      </c>
      <c r="K86" s="10" t="s">
        <v>0</v>
      </c>
      <c r="L86" s="10" t="s">
        <v>0</v>
      </c>
      <c r="M86" s="36" t="s">
        <v>0</v>
      </c>
      <c r="N86" s="35" t="s">
        <v>0</v>
      </c>
      <c r="O86" s="35">
        <v>1.3138000000000001</v>
      </c>
    </row>
    <row r="87" spans="1:15">
      <c r="A87" s="12" t="s">
        <v>65</v>
      </c>
      <c r="B87" s="47" t="s">
        <v>147</v>
      </c>
      <c r="C87" s="48">
        <v>1.5</v>
      </c>
      <c r="D87" s="47">
        <v>12.45</v>
      </c>
      <c r="E87" s="47">
        <v>13.87</v>
      </c>
      <c r="F87" s="10" t="s">
        <v>0</v>
      </c>
      <c r="G87" s="10" t="s">
        <v>0</v>
      </c>
      <c r="H87" s="10" t="s">
        <v>0</v>
      </c>
      <c r="I87" s="35" t="s">
        <v>0</v>
      </c>
      <c r="J87" s="10" t="s">
        <v>0</v>
      </c>
      <c r="K87" s="10" t="s">
        <v>0</v>
      </c>
      <c r="L87" s="10" t="s">
        <v>0</v>
      </c>
      <c r="M87" s="36" t="s">
        <v>0</v>
      </c>
      <c r="N87" s="35" t="s">
        <v>0</v>
      </c>
      <c r="O87" s="35">
        <v>1.3239000000000001</v>
      </c>
    </row>
    <row r="88" spans="1:15">
      <c r="A88" s="12" t="s">
        <v>66</v>
      </c>
      <c r="B88" s="47" t="s">
        <v>148</v>
      </c>
      <c r="C88" s="48">
        <v>1.375</v>
      </c>
      <c r="D88" s="47">
        <v>12.93</v>
      </c>
      <c r="E88" s="47">
        <v>14.44</v>
      </c>
      <c r="F88" s="10" t="s">
        <v>0</v>
      </c>
      <c r="G88" s="10" t="s">
        <v>0</v>
      </c>
      <c r="H88" s="10" t="s">
        <v>0</v>
      </c>
      <c r="I88" s="35" t="s">
        <v>0</v>
      </c>
      <c r="J88" s="10" t="s">
        <v>0</v>
      </c>
      <c r="K88" s="10" t="s">
        <v>0</v>
      </c>
      <c r="L88" s="10" t="s">
        <v>0</v>
      </c>
      <c r="M88" s="36" t="s">
        <v>0</v>
      </c>
      <c r="N88" s="35" t="s">
        <v>0</v>
      </c>
      <c r="O88" s="35">
        <v>1.3348</v>
      </c>
    </row>
    <row r="89" spans="1:15">
      <c r="A89" s="12" t="s">
        <v>67</v>
      </c>
      <c r="B89" s="47" t="s">
        <v>150</v>
      </c>
      <c r="C89" s="48">
        <v>1.125</v>
      </c>
      <c r="D89" s="47">
        <v>13.64</v>
      </c>
      <c r="E89" s="47">
        <v>14.96</v>
      </c>
      <c r="F89" s="10" t="s">
        <v>0</v>
      </c>
      <c r="G89" s="10" t="s">
        <v>0</v>
      </c>
      <c r="H89" s="10" t="s">
        <v>0</v>
      </c>
      <c r="I89" s="35" t="s">
        <v>0</v>
      </c>
      <c r="J89" s="10" t="s">
        <v>0</v>
      </c>
      <c r="K89" s="10" t="s">
        <v>0</v>
      </c>
      <c r="L89" s="10" t="s">
        <v>0</v>
      </c>
      <c r="M89" s="36" t="s">
        <v>0</v>
      </c>
      <c r="N89" s="35" t="s">
        <v>0</v>
      </c>
      <c r="O89" s="35">
        <v>1.3460000000000001</v>
      </c>
    </row>
    <row r="90" spans="1:15">
      <c r="A90" s="12" t="s">
        <v>22</v>
      </c>
      <c r="B90" s="47" t="s">
        <v>149</v>
      </c>
      <c r="C90" s="48">
        <v>2.25</v>
      </c>
      <c r="D90" s="47">
        <v>13.64</v>
      </c>
      <c r="E90" s="47">
        <v>16.32</v>
      </c>
      <c r="F90" s="10" t="s">
        <v>0</v>
      </c>
      <c r="G90" s="10" t="s">
        <v>0</v>
      </c>
      <c r="H90" s="10" t="s">
        <v>0</v>
      </c>
      <c r="I90" s="35" t="s">
        <v>0</v>
      </c>
      <c r="J90" s="10" t="s">
        <v>0</v>
      </c>
      <c r="K90" s="10" t="s">
        <v>0</v>
      </c>
      <c r="L90" s="10" t="s">
        <v>0</v>
      </c>
      <c r="M90" s="36" t="s">
        <v>0</v>
      </c>
      <c r="N90" s="35" t="s">
        <v>0</v>
      </c>
      <c r="O90" s="35">
        <v>1.3624000000000001</v>
      </c>
    </row>
    <row r="91" spans="1:15">
      <c r="A91" s="12" t="s">
        <v>243</v>
      </c>
      <c r="B91" s="47" t="s">
        <v>151</v>
      </c>
      <c r="C91" s="48">
        <v>1.125</v>
      </c>
      <c r="D91" s="47">
        <v>13.83</v>
      </c>
      <c r="E91" s="47">
        <v>15.32</v>
      </c>
      <c r="F91" s="10" t="s">
        <v>0</v>
      </c>
      <c r="G91" s="10" t="s">
        <v>0</v>
      </c>
      <c r="H91" s="10" t="s">
        <v>0</v>
      </c>
      <c r="I91" s="35" t="s">
        <v>0</v>
      </c>
      <c r="J91" s="10" t="s">
        <v>0</v>
      </c>
      <c r="K91" s="10" t="s">
        <v>0</v>
      </c>
      <c r="L91" s="10" t="s">
        <v>0</v>
      </c>
      <c r="M91" s="36" t="s">
        <v>0</v>
      </c>
      <c r="N91" s="35" t="s">
        <v>0</v>
      </c>
      <c r="O91" s="35">
        <v>1.3524</v>
      </c>
    </row>
    <row r="92" spans="1:15">
      <c r="A92" s="12" t="s">
        <v>244</v>
      </c>
      <c r="B92" s="47" t="s">
        <v>152</v>
      </c>
      <c r="C92" s="48">
        <v>1.125</v>
      </c>
      <c r="D92" s="47">
        <v>13.93</v>
      </c>
      <c r="E92" s="47">
        <v>15.41</v>
      </c>
      <c r="F92" s="10" t="s">
        <v>0</v>
      </c>
      <c r="G92" s="10" t="s">
        <v>0</v>
      </c>
      <c r="H92" s="10" t="s">
        <v>0</v>
      </c>
      <c r="I92" s="35" t="s">
        <v>0</v>
      </c>
      <c r="J92" s="10" t="s">
        <v>0</v>
      </c>
      <c r="K92" s="10" t="s">
        <v>0</v>
      </c>
      <c r="L92" s="10" t="s">
        <v>0</v>
      </c>
      <c r="M92" s="36" t="s">
        <v>0</v>
      </c>
      <c r="N92" s="35" t="s">
        <v>0</v>
      </c>
      <c r="O92" s="35">
        <v>1.3542000000000001</v>
      </c>
    </row>
    <row r="93" spans="1:15">
      <c r="A93" s="12" t="s">
        <v>45</v>
      </c>
      <c r="B93" s="47" t="s">
        <v>153</v>
      </c>
      <c r="C93" s="48">
        <v>2.125</v>
      </c>
      <c r="D93" s="47">
        <v>14.36</v>
      </c>
      <c r="E93" s="47">
        <v>17.23</v>
      </c>
      <c r="F93" s="10" t="s">
        <v>0</v>
      </c>
      <c r="G93" s="10" t="s">
        <v>0</v>
      </c>
      <c r="H93" s="10" t="s">
        <v>0</v>
      </c>
      <c r="I93" s="35" t="s">
        <v>0</v>
      </c>
      <c r="J93" s="10" t="s">
        <v>0</v>
      </c>
      <c r="K93" s="10" t="s">
        <v>0</v>
      </c>
      <c r="L93" s="10" t="s">
        <v>0</v>
      </c>
      <c r="M93" s="36" t="s">
        <v>0</v>
      </c>
      <c r="N93" s="35" t="s">
        <v>0</v>
      </c>
      <c r="O93" s="35">
        <v>1.3788</v>
      </c>
    </row>
    <row r="94" spans="1:15">
      <c r="A94" s="12" t="s">
        <v>23</v>
      </c>
      <c r="B94" s="47" t="s">
        <v>154</v>
      </c>
      <c r="C94" s="48">
        <v>2</v>
      </c>
      <c r="D94" s="47">
        <v>14.62</v>
      </c>
      <c r="E94" s="47">
        <v>17.39</v>
      </c>
      <c r="F94" s="10" t="s">
        <v>0</v>
      </c>
      <c r="G94" s="10" t="s">
        <v>0</v>
      </c>
      <c r="H94" s="10" t="s">
        <v>0</v>
      </c>
      <c r="I94" s="35" t="s">
        <v>0</v>
      </c>
      <c r="J94" s="10" t="s">
        <v>0</v>
      </c>
      <c r="K94" s="10" t="s">
        <v>0</v>
      </c>
      <c r="L94" s="10" t="s">
        <v>0</v>
      </c>
      <c r="M94" s="36" t="s">
        <v>0</v>
      </c>
      <c r="N94" s="35" t="s">
        <v>0</v>
      </c>
      <c r="O94" s="35">
        <v>1.3822000000000001</v>
      </c>
    </row>
    <row r="95" spans="1:15">
      <c r="A95" s="12" t="s">
        <v>39</v>
      </c>
      <c r="B95" s="47" t="s">
        <v>155</v>
      </c>
      <c r="C95" s="48">
        <v>0.75</v>
      </c>
      <c r="D95" s="47">
        <v>14.8</v>
      </c>
      <c r="E95" s="47">
        <v>15.92</v>
      </c>
      <c r="F95" s="10" t="s">
        <v>0</v>
      </c>
      <c r="G95" s="10" t="s">
        <v>0</v>
      </c>
      <c r="H95" s="10" t="s">
        <v>0</v>
      </c>
      <c r="I95" s="35" t="s">
        <v>0</v>
      </c>
      <c r="J95" s="10" t="s">
        <v>0</v>
      </c>
      <c r="K95" s="10" t="s">
        <v>0</v>
      </c>
      <c r="L95" s="10" t="s">
        <v>0</v>
      </c>
      <c r="M95" s="36" t="s">
        <v>0</v>
      </c>
      <c r="N95" s="35" t="s">
        <v>0</v>
      </c>
      <c r="O95" s="35">
        <v>1.3662000000000001</v>
      </c>
    </row>
    <row r="96" spans="1:15">
      <c r="A96" s="12" t="s">
        <v>245</v>
      </c>
      <c r="B96" s="47" t="s">
        <v>157</v>
      </c>
      <c r="C96" s="48">
        <v>0.75</v>
      </c>
      <c r="D96" s="47">
        <v>15.04</v>
      </c>
      <c r="E96" s="47">
        <v>16.29</v>
      </c>
      <c r="F96" s="10" t="s">
        <v>0</v>
      </c>
      <c r="G96" s="10" t="s">
        <v>0</v>
      </c>
      <c r="H96" s="10" t="s">
        <v>0</v>
      </c>
      <c r="I96" s="35" t="s">
        <v>0</v>
      </c>
      <c r="J96" s="10" t="s">
        <v>0</v>
      </c>
      <c r="K96" s="10" t="s">
        <v>0</v>
      </c>
      <c r="L96" s="10" t="s">
        <v>0</v>
      </c>
      <c r="M96" s="36" t="s">
        <v>0</v>
      </c>
      <c r="N96" s="35" t="s">
        <v>0</v>
      </c>
      <c r="O96" s="35">
        <v>1.3729</v>
      </c>
    </row>
    <row r="97" spans="1:15">
      <c r="A97" s="12" t="s">
        <v>46</v>
      </c>
      <c r="B97" s="47" t="s">
        <v>156</v>
      </c>
      <c r="C97" s="48">
        <v>1.875</v>
      </c>
      <c r="D97" s="47">
        <v>15.22</v>
      </c>
      <c r="E97" s="47">
        <v>17.88</v>
      </c>
      <c r="F97" s="10" t="s">
        <v>0</v>
      </c>
      <c r="G97" s="10" t="s">
        <v>0</v>
      </c>
      <c r="H97" s="10" t="s">
        <v>0</v>
      </c>
      <c r="I97" s="35" t="s">
        <v>0</v>
      </c>
      <c r="J97" s="10" t="s">
        <v>0</v>
      </c>
      <c r="K97" s="10" t="s">
        <v>0</v>
      </c>
      <c r="L97" s="10" t="s">
        <v>0</v>
      </c>
      <c r="M97" s="36" t="s">
        <v>0</v>
      </c>
      <c r="N97" s="35" t="s">
        <v>0</v>
      </c>
      <c r="O97" s="35">
        <v>1.3915999999999999</v>
      </c>
    </row>
    <row r="98" spans="1:15">
      <c r="A98" s="12" t="s">
        <v>246</v>
      </c>
      <c r="B98" s="47" t="s">
        <v>159</v>
      </c>
      <c r="C98" s="48">
        <v>0.5</v>
      </c>
      <c r="D98" s="47">
        <v>15.49</v>
      </c>
      <c r="E98" s="47">
        <v>16.43</v>
      </c>
      <c r="F98" s="10" t="s">
        <v>0</v>
      </c>
      <c r="G98" s="10" t="s">
        <v>0</v>
      </c>
      <c r="H98" s="10" t="s">
        <v>0</v>
      </c>
      <c r="I98" s="35" t="s">
        <v>0</v>
      </c>
      <c r="J98" s="10" t="s">
        <v>0</v>
      </c>
      <c r="K98" s="10" t="s">
        <v>0</v>
      </c>
      <c r="L98" s="10" t="s">
        <v>0</v>
      </c>
      <c r="M98" s="36" t="s">
        <v>0</v>
      </c>
      <c r="N98" s="35" t="s">
        <v>0</v>
      </c>
      <c r="O98" s="35">
        <v>1.3775999999999999</v>
      </c>
    </row>
    <row r="99" spans="1:15">
      <c r="A99" s="12" t="s">
        <v>24</v>
      </c>
      <c r="B99" s="47" t="s">
        <v>158</v>
      </c>
      <c r="C99" s="48">
        <v>1.75</v>
      </c>
      <c r="D99" s="47">
        <v>15.56</v>
      </c>
      <c r="E99" s="47">
        <v>18.36</v>
      </c>
      <c r="F99" s="10" t="s">
        <v>0</v>
      </c>
      <c r="G99" s="10" t="s">
        <v>0</v>
      </c>
      <c r="H99" s="10" t="s">
        <v>0</v>
      </c>
      <c r="I99" s="35" t="s">
        <v>0</v>
      </c>
      <c r="J99" s="10" t="s">
        <v>0</v>
      </c>
      <c r="K99" s="10" t="s">
        <v>0</v>
      </c>
      <c r="L99" s="10" t="s">
        <v>0</v>
      </c>
      <c r="M99" s="36" t="s">
        <v>0</v>
      </c>
      <c r="N99" s="35" t="s">
        <v>0</v>
      </c>
      <c r="O99" s="35">
        <v>1.4005000000000001</v>
      </c>
    </row>
    <row r="100" spans="1:15">
      <c r="A100" s="12" t="s">
        <v>68</v>
      </c>
      <c r="B100" s="47" t="s">
        <v>160</v>
      </c>
      <c r="C100" s="48">
        <v>2.5</v>
      </c>
      <c r="D100" s="47">
        <v>15.97</v>
      </c>
      <c r="E100" s="47">
        <v>19.829999999999998</v>
      </c>
      <c r="F100" s="10" t="s">
        <v>0</v>
      </c>
      <c r="G100" s="10" t="s">
        <v>0</v>
      </c>
      <c r="H100" s="10" t="s">
        <v>0</v>
      </c>
      <c r="I100" s="35" t="s">
        <v>0</v>
      </c>
      <c r="J100" s="10" t="s">
        <v>0</v>
      </c>
      <c r="K100" s="10" t="s">
        <v>0</v>
      </c>
      <c r="L100" s="10" t="s">
        <v>0</v>
      </c>
      <c r="M100" s="36" t="s">
        <v>0</v>
      </c>
      <c r="N100" s="35" t="s">
        <v>0</v>
      </c>
      <c r="O100" s="35">
        <v>1.4174</v>
      </c>
    </row>
    <row r="101" spans="1:15">
      <c r="A101" s="12" t="s">
        <v>247</v>
      </c>
      <c r="B101" s="47" t="s">
        <v>162</v>
      </c>
      <c r="C101" s="48">
        <v>0.5</v>
      </c>
      <c r="D101" s="47">
        <v>16.010000000000002</v>
      </c>
      <c r="E101" s="47">
        <v>16.96</v>
      </c>
      <c r="F101" s="10" t="s">
        <v>0</v>
      </c>
      <c r="G101" s="10" t="s">
        <v>0</v>
      </c>
      <c r="H101" s="10" t="s">
        <v>0</v>
      </c>
      <c r="I101" s="35" t="s">
        <v>0</v>
      </c>
      <c r="J101" s="10" t="s">
        <v>0</v>
      </c>
      <c r="K101" s="10" t="s">
        <v>0</v>
      </c>
      <c r="L101" s="10" t="s">
        <v>0</v>
      </c>
      <c r="M101" s="36" t="s">
        <v>0</v>
      </c>
      <c r="N101" s="35" t="s">
        <v>0</v>
      </c>
      <c r="O101" s="35">
        <v>1.3874</v>
      </c>
    </row>
    <row r="102" spans="1:15">
      <c r="A102" s="12" t="s">
        <v>261</v>
      </c>
      <c r="B102" s="47" t="s">
        <v>258</v>
      </c>
      <c r="C102" s="48">
        <v>1.875</v>
      </c>
      <c r="D102" s="47">
        <v>16.04</v>
      </c>
      <c r="E102" s="47">
        <v>18.989999999999998</v>
      </c>
      <c r="F102" s="10" t="s">
        <v>0</v>
      </c>
      <c r="G102" s="10" t="s">
        <v>0</v>
      </c>
      <c r="H102" s="10" t="s">
        <v>0</v>
      </c>
      <c r="I102" s="35" t="s">
        <v>0</v>
      </c>
      <c r="J102" s="10" t="s">
        <v>0</v>
      </c>
      <c r="K102" s="10" t="s">
        <v>0</v>
      </c>
      <c r="L102" s="10" t="s">
        <v>0</v>
      </c>
      <c r="M102" s="36" t="s">
        <v>0</v>
      </c>
      <c r="N102" s="35" t="s">
        <v>0</v>
      </c>
      <c r="O102" s="35">
        <v>1.4097999999999999</v>
      </c>
    </row>
    <row r="103" spans="1:15">
      <c r="A103" s="12" t="s">
        <v>69</v>
      </c>
      <c r="B103" s="47" t="s">
        <v>161</v>
      </c>
      <c r="C103" s="48">
        <v>1.625</v>
      </c>
      <c r="D103" s="47">
        <v>16.21</v>
      </c>
      <c r="E103" s="47">
        <v>18.89</v>
      </c>
      <c r="F103" s="10" t="s">
        <v>0</v>
      </c>
      <c r="G103" s="10" t="s">
        <v>0</v>
      </c>
      <c r="H103" s="10" t="s">
        <v>0</v>
      </c>
      <c r="I103" s="35" t="s">
        <v>0</v>
      </c>
      <c r="J103" s="10" t="s">
        <v>0</v>
      </c>
      <c r="K103" s="10" t="s">
        <v>0</v>
      </c>
      <c r="L103" s="10" t="s">
        <v>0</v>
      </c>
      <c r="M103" s="36" t="s">
        <v>0</v>
      </c>
      <c r="N103" s="35" t="s">
        <v>0</v>
      </c>
      <c r="O103" s="35">
        <v>1.4104000000000001</v>
      </c>
    </row>
    <row r="104" spans="1:15">
      <c r="A104" s="12" t="s">
        <v>249</v>
      </c>
      <c r="B104" s="47" t="s">
        <v>168</v>
      </c>
      <c r="C104" s="48">
        <v>0.5</v>
      </c>
      <c r="D104" s="47">
        <v>16.27</v>
      </c>
      <c r="E104" s="47">
        <v>17.32</v>
      </c>
      <c r="F104" s="10" t="s">
        <v>0</v>
      </c>
      <c r="G104" s="10" t="s">
        <v>0</v>
      </c>
      <c r="H104" s="10" t="s">
        <v>0</v>
      </c>
      <c r="I104" s="35" t="s">
        <v>0</v>
      </c>
      <c r="J104" s="10" t="s">
        <v>0</v>
      </c>
      <c r="K104" s="10" t="s">
        <v>0</v>
      </c>
      <c r="L104" s="10" t="s">
        <v>0</v>
      </c>
      <c r="M104" s="36" t="s">
        <v>0</v>
      </c>
      <c r="N104" s="35" t="s">
        <v>0</v>
      </c>
      <c r="O104" s="35">
        <v>1.3940999999999999</v>
      </c>
    </row>
    <row r="105" spans="1:15">
      <c r="A105" s="12" t="s">
        <v>40</v>
      </c>
      <c r="B105" s="47" t="s">
        <v>163</v>
      </c>
      <c r="C105" s="48">
        <v>1.75</v>
      </c>
      <c r="D105" s="47">
        <v>16.309999999999999</v>
      </c>
      <c r="E105" s="47">
        <v>19.399999999999999</v>
      </c>
      <c r="F105" s="10" t="s">
        <v>0</v>
      </c>
      <c r="G105" s="10" t="s">
        <v>0</v>
      </c>
      <c r="H105" s="10" t="s">
        <v>0</v>
      </c>
      <c r="I105" s="35" t="s">
        <v>0</v>
      </c>
      <c r="J105" s="10" t="s">
        <v>0</v>
      </c>
      <c r="K105" s="10" t="s">
        <v>0</v>
      </c>
      <c r="L105" s="10" t="s">
        <v>0</v>
      </c>
      <c r="M105" s="36" t="s">
        <v>0</v>
      </c>
      <c r="N105" s="35" t="s">
        <v>0</v>
      </c>
      <c r="O105" s="35">
        <v>1.4175</v>
      </c>
    </row>
    <row r="106" spans="1:15">
      <c r="A106" s="12" t="s">
        <v>216</v>
      </c>
      <c r="B106" s="47" t="s">
        <v>167</v>
      </c>
      <c r="C106" s="48">
        <v>0.375</v>
      </c>
      <c r="D106" s="47">
        <v>16.38</v>
      </c>
      <c r="E106" s="47">
        <v>17.239999999999998</v>
      </c>
      <c r="F106" s="10" t="s">
        <v>0</v>
      </c>
      <c r="G106" s="10" t="s">
        <v>0</v>
      </c>
      <c r="H106" s="10" t="s">
        <v>0</v>
      </c>
      <c r="I106" s="35" t="s">
        <v>0</v>
      </c>
      <c r="J106" s="10" t="s">
        <v>0</v>
      </c>
      <c r="K106" s="10" t="s">
        <v>0</v>
      </c>
      <c r="L106" s="10" t="s">
        <v>0</v>
      </c>
      <c r="M106" s="36" t="s">
        <v>0</v>
      </c>
      <c r="N106" s="35" t="s">
        <v>0</v>
      </c>
      <c r="O106" s="35">
        <v>1.3936999999999999</v>
      </c>
    </row>
    <row r="107" spans="1:15">
      <c r="A107" s="12" t="s">
        <v>213</v>
      </c>
      <c r="B107" s="47" t="s">
        <v>209</v>
      </c>
      <c r="C107" s="48">
        <v>1</v>
      </c>
      <c r="D107" s="47">
        <v>16.38</v>
      </c>
      <c r="E107" s="47">
        <v>18.29</v>
      </c>
      <c r="F107" s="10" t="s">
        <v>0</v>
      </c>
      <c r="G107" s="10" t="s">
        <v>0</v>
      </c>
      <c r="H107" s="10" t="s">
        <v>0</v>
      </c>
      <c r="I107" s="35" t="s">
        <v>0</v>
      </c>
      <c r="J107" s="10" t="s">
        <v>0</v>
      </c>
      <c r="K107" s="10" t="s">
        <v>0</v>
      </c>
      <c r="L107" s="10" t="s">
        <v>0</v>
      </c>
      <c r="M107" s="36" t="s">
        <v>0</v>
      </c>
      <c r="N107" s="35" t="s">
        <v>0</v>
      </c>
      <c r="O107" s="35">
        <v>1.4063000000000001</v>
      </c>
    </row>
    <row r="108" spans="1:15">
      <c r="A108" s="12" t="s">
        <v>248</v>
      </c>
      <c r="B108" s="47" t="s">
        <v>187</v>
      </c>
      <c r="C108" s="48">
        <v>0.625</v>
      </c>
      <c r="D108" s="47">
        <v>16.399999999999999</v>
      </c>
      <c r="E108" s="47">
        <v>17.63</v>
      </c>
      <c r="F108" s="10" t="s">
        <v>0</v>
      </c>
      <c r="G108" s="10" t="s">
        <v>0</v>
      </c>
      <c r="H108" s="10" t="s">
        <v>0</v>
      </c>
      <c r="I108" s="35" t="s">
        <v>0</v>
      </c>
      <c r="J108" s="10" t="s">
        <v>0</v>
      </c>
      <c r="K108" s="10" t="s">
        <v>0</v>
      </c>
      <c r="L108" s="10" t="s">
        <v>0</v>
      </c>
      <c r="M108" s="36" t="s">
        <v>0</v>
      </c>
      <c r="N108" s="35" t="s">
        <v>0</v>
      </c>
      <c r="O108" s="35">
        <v>1.3984000000000001</v>
      </c>
    </row>
    <row r="109" spans="1:15">
      <c r="A109" s="12" t="s">
        <v>47</v>
      </c>
      <c r="B109" s="47" t="s">
        <v>164</v>
      </c>
      <c r="C109" s="48">
        <v>2.125</v>
      </c>
      <c r="D109" s="47">
        <v>16.579999999999998</v>
      </c>
      <c r="E109" s="47">
        <v>20.39</v>
      </c>
      <c r="F109" s="10" t="s">
        <v>0</v>
      </c>
      <c r="G109" s="10" t="s">
        <v>0</v>
      </c>
      <c r="H109" s="10" t="s">
        <v>0</v>
      </c>
      <c r="I109" s="35" t="s">
        <v>0</v>
      </c>
      <c r="J109" s="10" t="s">
        <v>0</v>
      </c>
      <c r="K109" s="10" t="s">
        <v>0</v>
      </c>
      <c r="L109" s="10" t="s">
        <v>0</v>
      </c>
      <c r="M109" s="36" t="s">
        <v>0</v>
      </c>
      <c r="N109" s="35" t="s">
        <v>0</v>
      </c>
      <c r="O109" s="35">
        <v>1.4294</v>
      </c>
    </row>
    <row r="110" spans="1:15">
      <c r="A110" s="12" t="s">
        <v>215</v>
      </c>
      <c r="B110" s="47" t="s">
        <v>210</v>
      </c>
      <c r="C110" s="48">
        <v>0.875</v>
      </c>
      <c r="D110" s="47">
        <v>16.68</v>
      </c>
      <c r="E110" s="47">
        <v>18.41</v>
      </c>
      <c r="F110" s="10" t="s">
        <v>0</v>
      </c>
      <c r="G110" s="10" t="s">
        <v>0</v>
      </c>
      <c r="H110" s="10" t="s">
        <v>0</v>
      </c>
      <c r="I110" s="35" t="s">
        <v>0</v>
      </c>
      <c r="J110" s="10" t="s">
        <v>0</v>
      </c>
      <c r="K110" s="10" t="s">
        <v>0</v>
      </c>
      <c r="L110" s="10" t="s">
        <v>0</v>
      </c>
      <c r="M110" s="36" t="s">
        <v>0</v>
      </c>
      <c r="N110" s="35" t="s">
        <v>0</v>
      </c>
      <c r="O110" s="35">
        <v>1.4097</v>
      </c>
    </row>
    <row r="111" spans="1:15">
      <c r="A111" s="12" t="s">
        <v>250</v>
      </c>
      <c r="B111" s="47" t="s">
        <v>199</v>
      </c>
      <c r="C111" s="48">
        <v>0.625</v>
      </c>
      <c r="D111" s="47">
        <v>16.75</v>
      </c>
      <c r="E111" s="47">
        <v>18.11</v>
      </c>
      <c r="F111" s="10" t="s">
        <v>0</v>
      </c>
      <c r="G111" s="10" t="s">
        <v>0</v>
      </c>
      <c r="H111" s="10" t="s">
        <v>0</v>
      </c>
      <c r="I111" s="35" t="s">
        <v>0</v>
      </c>
      <c r="J111" s="10" t="s">
        <v>0</v>
      </c>
      <c r="K111" s="10" t="s">
        <v>0</v>
      </c>
      <c r="L111" s="10" t="s">
        <v>0</v>
      </c>
      <c r="M111" s="36" t="s">
        <v>0</v>
      </c>
      <c r="N111" s="35" t="s">
        <v>0</v>
      </c>
      <c r="O111" s="35">
        <v>1.4069</v>
      </c>
    </row>
    <row r="112" spans="1:15">
      <c r="A112" s="12" t="s">
        <v>277</v>
      </c>
      <c r="B112" s="47" t="s">
        <v>278</v>
      </c>
      <c r="C112" s="48">
        <v>1.375</v>
      </c>
      <c r="D112" s="47">
        <v>16.78</v>
      </c>
      <c r="E112" s="47">
        <v>19.41</v>
      </c>
      <c r="F112" s="10" t="s">
        <v>0</v>
      </c>
      <c r="G112" s="10" t="s">
        <v>0</v>
      </c>
      <c r="H112" s="10" t="s">
        <v>0</v>
      </c>
      <c r="I112" s="35" t="s">
        <v>0</v>
      </c>
      <c r="J112" s="10" t="s">
        <v>0</v>
      </c>
      <c r="K112" s="10" t="s">
        <v>0</v>
      </c>
      <c r="L112" s="10" t="s">
        <v>0</v>
      </c>
      <c r="M112" s="36" t="s">
        <v>0</v>
      </c>
      <c r="N112" s="35" t="s">
        <v>0</v>
      </c>
      <c r="O112" s="35">
        <v>1.4214</v>
      </c>
    </row>
    <row r="113" spans="1:15">
      <c r="A113" s="12" t="s">
        <v>70</v>
      </c>
      <c r="B113" s="47" t="s">
        <v>170</v>
      </c>
      <c r="C113" s="48">
        <v>2.25</v>
      </c>
      <c r="D113" s="47">
        <v>16.850000000000001</v>
      </c>
      <c r="E113" s="47">
        <v>21.14</v>
      </c>
      <c r="F113" s="10" t="s">
        <v>0</v>
      </c>
      <c r="G113" s="10" t="s">
        <v>0</v>
      </c>
      <c r="H113" s="10" t="s">
        <v>0</v>
      </c>
      <c r="I113" s="35" t="s">
        <v>0</v>
      </c>
      <c r="J113" s="10" t="s">
        <v>0</v>
      </c>
      <c r="K113" s="10" t="s">
        <v>0</v>
      </c>
      <c r="L113" s="10" t="s">
        <v>0</v>
      </c>
      <c r="M113" s="36" t="s">
        <v>0</v>
      </c>
      <c r="N113" s="35" t="s">
        <v>0</v>
      </c>
      <c r="O113" s="35">
        <v>1.4394</v>
      </c>
    </row>
    <row r="114" spans="1:15">
      <c r="A114" s="12" t="s">
        <v>71</v>
      </c>
      <c r="B114" s="47" t="s">
        <v>165</v>
      </c>
      <c r="C114" s="48">
        <v>2.25</v>
      </c>
      <c r="D114" s="47">
        <v>16.87</v>
      </c>
      <c r="E114" s="47">
        <v>20.83</v>
      </c>
      <c r="F114" s="10" t="s">
        <v>0</v>
      </c>
      <c r="G114" s="10" t="s">
        <v>0</v>
      </c>
      <c r="H114" s="10" t="s">
        <v>0</v>
      </c>
      <c r="I114" s="35" t="s">
        <v>0</v>
      </c>
      <c r="J114" s="10" t="s">
        <v>0</v>
      </c>
      <c r="K114" s="10" t="s">
        <v>0</v>
      </c>
      <c r="L114" s="10" t="s">
        <v>0</v>
      </c>
      <c r="M114" s="36" t="s">
        <v>0</v>
      </c>
      <c r="N114" s="35" t="s">
        <v>0</v>
      </c>
      <c r="O114" s="35">
        <v>1.4348000000000001</v>
      </c>
    </row>
    <row r="115" spans="1:15">
      <c r="A115" s="12" t="s">
        <v>54</v>
      </c>
      <c r="B115" s="47" t="s">
        <v>166</v>
      </c>
      <c r="C115" s="48">
        <v>2.375</v>
      </c>
      <c r="D115" s="47">
        <v>16.920000000000002</v>
      </c>
      <c r="E115" s="47">
        <v>21.36</v>
      </c>
      <c r="F115" s="10" t="s">
        <v>0</v>
      </c>
      <c r="G115" s="10" t="s">
        <v>0</v>
      </c>
      <c r="H115" s="10" t="s">
        <v>0</v>
      </c>
      <c r="I115" s="35" t="s">
        <v>0</v>
      </c>
      <c r="J115" s="10" t="s">
        <v>0</v>
      </c>
      <c r="K115" s="10" t="s">
        <v>0</v>
      </c>
      <c r="L115" s="10" t="s">
        <v>0</v>
      </c>
      <c r="M115" s="36" t="s">
        <v>0</v>
      </c>
      <c r="N115" s="35" t="s">
        <v>0</v>
      </c>
      <c r="O115" s="35">
        <v>1.4413</v>
      </c>
    </row>
    <row r="116" spans="1:15">
      <c r="A116" s="12" t="s">
        <v>251</v>
      </c>
      <c r="B116" s="47" t="s">
        <v>194</v>
      </c>
      <c r="C116" s="48">
        <v>0.5</v>
      </c>
      <c r="D116" s="47">
        <v>16.93</v>
      </c>
      <c r="E116" s="47">
        <v>17.989999999999998</v>
      </c>
      <c r="F116" s="10" t="s">
        <v>0</v>
      </c>
      <c r="G116" s="10" t="s">
        <v>0</v>
      </c>
      <c r="H116" s="10" t="s">
        <v>0</v>
      </c>
      <c r="I116" s="35" t="s">
        <v>0</v>
      </c>
      <c r="J116" s="10" t="s">
        <v>0</v>
      </c>
      <c r="K116" s="10" t="s">
        <v>0</v>
      </c>
      <c r="L116" s="10" t="s">
        <v>0</v>
      </c>
      <c r="M116" s="36" t="s">
        <v>0</v>
      </c>
      <c r="N116" s="35" t="s">
        <v>0</v>
      </c>
      <c r="O116" s="35">
        <v>1.4060999999999999</v>
      </c>
    </row>
    <row r="117" spans="1:15">
      <c r="A117" s="12" t="s">
        <v>72</v>
      </c>
      <c r="B117" s="47" t="s">
        <v>169</v>
      </c>
      <c r="C117" s="48">
        <v>2</v>
      </c>
      <c r="D117" s="47">
        <v>16.96</v>
      </c>
      <c r="E117" s="47">
        <v>20.65</v>
      </c>
      <c r="F117" s="10" t="s">
        <v>0</v>
      </c>
      <c r="G117" s="10" t="s">
        <v>0</v>
      </c>
      <c r="H117" s="10" t="s">
        <v>0</v>
      </c>
      <c r="I117" s="35" t="s">
        <v>0</v>
      </c>
      <c r="J117" s="10" t="s">
        <v>0</v>
      </c>
      <c r="K117" s="10" t="s">
        <v>0</v>
      </c>
      <c r="L117" s="10" t="s">
        <v>0</v>
      </c>
      <c r="M117" s="36" t="s">
        <v>0</v>
      </c>
      <c r="N117" s="35" t="s">
        <v>0</v>
      </c>
      <c r="O117" s="35">
        <v>1.4345000000000001</v>
      </c>
    </row>
    <row r="118" spans="1:15">
      <c r="A118" s="12" t="s">
        <v>73</v>
      </c>
      <c r="B118" s="47" t="s">
        <v>171</v>
      </c>
      <c r="C118" s="48">
        <v>2.375</v>
      </c>
      <c r="D118" s="47">
        <v>17.16</v>
      </c>
      <c r="E118" s="47">
        <v>21.61</v>
      </c>
      <c r="F118" s="10" t="s">
        <v>0</v>
      </c>
      <c r="G118" s="10" t="s">
        <v>0</v>
      </c>
      <c r="H118" s="10" t="s">
        <v>0</v>
      </c>
      <c r="I118" s="35" t="s">
        <v>0</v>
      </c>
      <c r="J118" s="10" t="s">
        <v>0</v>
      </c>
      <c r="K118" s="10" t="s">
        <v>0</v>
      </c>
      <c r="L118" s="10" t="s">
        <v>0</v>
      </c>
      <c r="M118" s="36" t="s">
        <v>0</v>
      </c>
      <c r="N118" s="35" t="s">
        <v>0</v>
      </c>
      <c r="O118" s="35">
        <v>1.4449000000000001</v>
      </c>
    </row>
    <row r="119" spans="1:15">
      <c r="A119" s="12" t="s">
        <v>326</v>
      </c>
      <c r="B119" s="47" t="s">
        <v>327</v>
      </c>
      <c r="C119" s="48">
        <v>1.375</v>
      </c>
      <c r="D119" s="47">
        <v>17.32</v>
      </c>
      <c r="E119" s="47">
        <v>19.96</v>
      </c>
      <c r="F119" s="10" t="s">
        <v>0</v>
      </c>
      <c r="G119" s="10" t="s">
        <v>0</v>
      </c>
      <c r="H119" s="10" t="s">
        <v>0</v>
      </c>
      <c r="I119" s="35" t="s">
        <v>0</v>
      </c>
      <c r="J119" s="10" t="s">
        <v>0</v>
      </c>
      <c r="K119" s="10" t="s">
        <v>0</v>
      </c>
      <c r="L119" s="10" t="s">
        <v>0</v>
      </c>
      <c r="M119" s="36" t="s">
        <v>0</v>
      </c>
      <c r="N119" s="35" t="s">
        <v>0</v>
      </c>
      <c r="O119" s="35">
        <v>1.4305000000000001</v>
      </c>
    </row>
    <row r="120" spans="1:15">
      <c r="A120" s="12" t="s">
        <v>74</v>
      </c>
      <c r="B120" s="47" t="s">
        <v>172</v>
      </c>
      <c r="C120" s="48">
        <v>2.25</v>
      </c>
      <c r="D120" s="47">
        <v>17.53</v>
      </c>
      <c r="E120" s="47">
        <v>21.85</v>
      </c>
      <c r="F120" s="10" t="s">
        <v>0</v>
      </c>
      <c r="G120" s="10" t="s">
        <v>0</v>
      </c>
      <c r="H120" s="10" t="s">
        <v>0</v>
      </c>
      <c r="I120" s="35" t="s">
        <v>0</v>
      </c>
      <c r="J120" s="10" t="s">
        <v>0</v>
      </c>
      <c r="K120" s="10" t="s">
        <v>0</v>
      </c>
      <c r="L120" s="10" t="s">
        <v>0</v>
      </c>
      <c r="M120" s="36" t="s">
        <v>0</v>
      </c>
      <c r="N120" s="35" t="s">
        <v>0</v>
      </c>
      <c r="O120" s="35">
        <v>1.4496</v>
      </c>
    </row>
    <row r="121" spans="1:15">
      <c r="A121" s="12" t="s">
        <v>75</v>
      </c>
      <c r="B121" s="47" t="s">
        <v>173</v>
      </c>
      <c r="C121" s="48">
        <v>2</v>
      </c>
      <c r="D121" s="47">
        <v>18.440000000000001</v>
      </c>
      <c r="E121" s="47">
        <v>23.14</v>
      </c>
      <c r="F121" s="10" t="s">
        <v>0</v>
      </c>
      <c r="G121" s="10" t="s">
        <v>0</v>
      </c>
      <c r="H121" s="10" t="s">
        <v>0</v>
      </c>
      <c r="I121" s="35" t="s">
        <v>0</v>
      </c>
      <c r="J121" s="10" t="s">
        <v>0</v>
      </c>
      <c r="K121" s="10" t="s">
        <v>0</v>
      </c>
      <c r="L121" s="10" t="s">
        <v>0</v>
      </c>
      <c r="M121" s="36" t="s">
        <v>0</v>
      </c>
      <c r="N121" s="35" t="s">
        <v>0</v>
      </c>
      <c r="O121" s="35">
        <v>1.4703999999999999</v>
      </c>
    </row>
    <row r="122" spans="1:15">
      <c r="A122" s="12" t="s">
        <v>76</v>
      </c>
      <c r="B122" s="47" t="s">
        <v>174</v>
      </c>
      <c r="C122" s="48">
        <v>1.625</v>
      </c>
      <c r="D122" s="47">
        <v>18.79</v>
      </c>
      <c r="E122" s="47">
        <v>22.62</v>
      </c>
      <c r="F122" s="10" t="s">
        <v>0</v>
      </c>
      <c r="G122" s="10" t="s">
        <v>0</v>
      </c>
      <c r="H122" s="10" t="s">
        <v>0</v>
      </c>
      <c r="I122" s="35" t="s">
        <v>0</v>
      </c>
      <c r="J122" s="10" t="s">
        <v>0</v>
      </c>
      <c r="K122" s="10" t="s">
        <v>0</v>
      </c>
      <c r="L122" s="10" t="s">
        <v>0</v>
      </c>
      <c r="M122" s="36" t="s">
        <v>0</v>
      </c>
      <c r="N122" s="35" t="s">
        <v>0</v>
      </c>
      <c r="O122" s="35">
        <v>1.4678</v>
      </c>
    </row>
    <row r="123" spans="1:15">
      <c r="A123" s="12" t="s">
        <v>77</v>
      </c>
      <c r="B123" s="47" t="s">
        <v>175</v>
      </c>
      <c r="C123" s="48">
        <v>1.875</v>
      </c>
      <c r="D123" s="47">
        <v>19.100000000000001</v>
      </c>
      <c r="E123" s="47">
        <v>23.64</v>
      </c>
      <c r="F123" s="10" t="s">
        <v>0</v>
      </c>
      <c r="G123" s="10" t="s">
        <v>0</v>
      </c>
      <c r="H123" s="10" t="s">
        <v>0</v>
      </c>
      <c r="I123" s="35" t="s">
        <v>0</v>
      </c>
      <c r="J123" s="10" t="s">
        <v>0</v>
      </c>
      <c r="K123" s="10" t="s">
        <v>0</v>
      </c>
      <c r="L123" s="10" t="s">
        <v>0</v>
      </c>
      <c r="M123" s="36" t="s">
        <v>0</v>
      </c>
      <c r="N123" s="35" t="s">
        <v>0</v>
      </c>
      <c r="O123" s="35">
        <v>1.4784999999999999</v>
      </c>
    </row>
    <row r="124" spans="1:15">
      <c r="A124" s="12" t="s">
        <v>78</v>
      </c>
      <c r="B124" s="47" t="s">
        <v>176</v>
      </c>
      <c r="C124" s="48">
        <v>1.375</v>
      </c>
      <c r="D124" s="47">
        <v>19.38</v>
      </c>
      <c r="E124" s="47">
        <v>22.83</v>
      </c>
      <c r="F124" s="10" t="s">
        <v>0</v>
      </c>
      <c r="G124" s="10" t="s">
        <v>0</v>
      </c>
      <c r="H124" s="10" t="s">
        <v>0</v>
      </c>
      <c r="I124" s="35" t="s">
        <v>0</v>
      </c>
      <c r="J124" s="10" t="s">
        <v>0</v>
      </c>
      <c r="K124" s="10" t="s">
        <v>0</v>
      </c>
      <c r="L124" s="10" t="s">
        <v>0</v>
      </c>
      <c r="M124" s="36" t="s">
        <v>0</v>
      </c>
      <c r="N124" s="35" t="s">
        <v>0</v>
      </c>
      <c r="O124" s="35">
        <v>1.474</v>
      </c>
    </row>
    <row r="125" spans="1:15">
      <c r="A125" s="12" t="s">
        <v>79</v>
      </c>
      <c r="B125" s="47" t="s">
        <v>177</v>
      </c>
      <c r="C125" s="48">
        <v>1.625</v>
      </c>
      <c r="D125" s="47">
        <v>19.66</v>
      </c>
      <c r="E125" s="47">
        <v>24.14</v>
      </c>
      <c r="F125" s="10" t="s">
        <v>0</v>
      </c>
      <c r="G125" s="10" t="s">
        <v>0</v>
      </c>
      <c r="H125" s="10" t="s">
        <v>0</v>
      </c>
      <c r="I125" s="35" t="s">
        <v>0</v>
      </c>
      <c r="J125" s="10" t="s">
        <v>0</v>
      </c>
      <c r="K125" s="10" t="s">
        <v>0</v>
      </c>
      <c r="L125" s="10" t="s">
        <v>0</v>
      </c>
      <c r="M125" s="36" t="s">
        <v>0</v>
      </c>
      <c r="N125" s="35" t="s">
        <v>0</v>
      </c>
      <c r="O125" s="35">
        <v>1.4883</v>
      </c>
    </row>
    <row r="126" spans="1:15">
      <c r="A126" s="12" t="s">
        <v>80</v>
      </c>
      <c r="B126" s="47" t="s">
        <v>178</v>
      </c>
      <c r="C126" s="48">
        <v>1.5</v>
      </c>
      <c r="D126" s="47">
        <v>20.350000000000001</v>
      </c>
      <c r="E126" s="47">
        <v>24.62</v>
      </c>
      <c r="F126" s="10" t="s">
        <v>0</v>
      </c>
      <c r="G126" s="10" t="s">
        <v>0</v>
      </c>
      <c r="H126" s="10" t="s">
        <v>0</v>
      </c>
      <c r="I126" s="35" t="s">
        <v>0</v>
      </c>
      <c r="J126" s="10" t="s">
        <v>0</v>
      </c>
      <c r="K126" s="10" t="s">
        <v>0</v>
      </c>
      <c r="L126" s="10" t="s">
        <v>0</v>
      </c>
      <c r="M126" s="36" t="s">
        <v>0</v>
      </c>
      <c r="N126" s="35" t="s">
        <v>0</v>
      </c>
      <c r="O126" s="35">
        <v>1.4963</v>
      </c>
    </row>
    <row r="127" spans="1:15">
      <c r="A127" s="12" t="s">
        <v>56</v>
      </c>
      <c r="B127" s="47" t="s">
        <v>179</v>
      </c>
      <c r="C127" s="48">
        <v>1.375</v>
      </c>
      <c r="D127" s="47">
        <v>20.75</v>
      </c>
      <c r="E127" s="47">
        <v>25.1</v>
      </c>
      <c r="F127" s="10" t="s">
        <v>0</v>
      </c>
      <c r="G127" s="10" t="s">
        <v>0</v>
      </c>
      <c r="H127" s="10" t="s">
        <v>0</v>
      </c>
      <c r="I127" s="35" t="s">
        <v>0</v>
      </c>
      <c r="J127" s="10" t="s">
        <v>0</v>
      </c>
      <c r="K127" s="10" t="s">
        <v>0</v>
      </c>
      <c r="L127" s="10" t="s">
        <v>0</v>
      </c>
      <c r="M127" s="36" t="s">
        <v>0</v>
      </c>
      <c r="N127" s="35" t="s">
        <v>0</v>
      </c>
      <c r="O127" s="35">
        <v>1.5043</v>
      </c>
    </row>
    <row r="128" spans="1:15">
      <c r="A128" s="12" t="s">
        <v>267</v>
      </c>
      <c r="B128" s="47" t="s">
        <v>264</v>
      </c>
      <c r="C128" s="48">
        <v>2.375</v>
      </c>
      <c r="D128" s="47">
        <v>21.39</v>
      </c>
      <c r="E128" s="47">
        <v>29.1</v>
      </c>
      <c r="F128" s="10" t="s">
        <v>0</v>
      </c>
      <c r="G128" s="10" t="s">
        <v>0</v>
      </c>
      <c r="H128" s="10" t="s">
        <v>0</v>
      </c>
      <c r="I128" s="35" t="s">
        <v>0</v>
      </c>
      <c r="J128" s="10" t="s">
        <v>0</v>
      </c>
      <c r="K128" s="10" t="s">
        <v>0</v>
      </c>
      <c r="L128" s="10" t="s">
        <v>0</v>
      </c>
      <c r="M128" s="36" t="s">
        <v>0</v>
      </c>
      <c r="N128" s="35" t="s">
        <v>0</v>
      </c>
      <c r="O128" s="35">
        <v>1.5309999999999999</v>
      </c>
    </row>
    <row r="129" spans="1:15">
      <c r="A129" s="12" t="s">
        <v>81</v>
      </c>
      <c r="B129" s="47" t="s">
        <v>180</v>
      </c>
      <c r="C129" s="48">
        <v>1.125</v>
      </c>
      <c r="D129" s="47">
        <v>21.79</v>
      </c>
      <c r="E129" s="47">
        <v>25.62</v>
      </c>
      <c r="F129" s="10" t="s">
        <v>0</v>
      </c>
      <c r="G129" s="10" t="s">
        <v>0</v>
      </c>
      <c r="H129" s="10" t="s">
        <v>0</v>
      </c>
      <c r="I129" s="35" t="s">
        <v>0</v>
      </c>
      <c r="J129" s="10" t="s">
        <v>0</v>
      </c>
      <c r="K129" s="10" t="s">
        <v>0</v>
      </c>
      <c r="L129" s="10" t="s">
        <v>0</v>
      </c>
      <c r="M129" s="36" t="s">
        <v>0</v>
      </c>
      <c r="N129" s="35" t="s">
        <v>0</v>
      </c>
      <c r="O129" s="35">
        <v>1.5145999999999999</v>
      </c>
    </row>
    <row r="130" spans="1:15">
      <c r="A130" s="12" t="s">
        <v>223</v>
      </c>
      <c r="B130" s="47" t="s">
        <v>222</v>
      </c>
      <c r="C130" s="48">
        <v>2</v>
      </c>
      <c r="D130" s="47">
        <v>21.96</v>
      </c>
      <c r="E130" s="47">
        <v>28.62</v>
      </c>
      <c r="F130" s="10" t="s">
        <v>0</v>
      </c>
      <c r="G130" s="10" t="s">
        <v>0</v>
      </c>
      <c r="H130" s="10" t="s">
        <v>0</v>
      </c>
      <c r="I130" s="35" t="s">
        <v>0</v>
      </c>
      <c r="J130" s="10" t="s">
        <v>0</v>
      </c>
      <c r="K130" s="10" t="s">
        <v>0</v>
      </c>
      <c r="L130" s="10" t="s">
        <v>0</v>
      </c>
      <c r="M130" s="36" t="s">
        <v>0</v>
      </c>
      <c r="N130" s="35" t="s">
        <v>0</v>
      </c>
      <c r="O130" s="35">
        <v>1.5322</v>
      </c>
    </row>
    <row r="131" spans="1:15">
      <c r="A131" s="12" t="s">
        <v>50</v>
      </c>
      <c r="B131" s="47" t="s">
        <v>181</v>
      </c>
      <c r="C131" s="48">
        <v>1</v>
      </c>
      <c r="D131" s="47">
        <v>22.29</v>
      </c>
      <c r="E131" s="47">
        <v>26.09</v>
      </c>
      <c r="F131" s="10" t="s">
        <v>0</v>
      </c>
      <c r="G131" s="10" t="s">
        <v>0</v>
      </c>
      <c r="H131" s="10" t="s">
        <v>0</v>
      </c>
      <c r="I131" s="35" t="s">
        <v>0</v>
      </c>
      <c r="J131" s="10" t="s">
        <v>0</v>
      </c>
      <c r="K131" s="10" t="s">
        <v>0</v>
      </c>
      <c r="L131" s="10" t="s">
        <v>0</v>
      </c>
      <c r="M131" s="36" t="s">
        <v>0</v>
      </c>
      <c r="N131" s="35" t="s">
        <v>0</v>
      </c>
      <c r="O131" s="35">
        <v>1.5226</v>
      </c>
    </row>
    <row r="132" spans="1:15">
      <c r="A132" s="12" t="s">
        <v>252</v>
      </c>
      <c r="B132" s="47" t="s">
        <v>182</v>
      </c>
      <c r="C132" s="48">
        <v>0.75</v>
      </c>
      <c r="D132" s="47">
        <v>23.47</v>
      </c>
      <c r="E132" s="47">
        <v>26.6</v>
      </c>
      <c r="F132" s="10" t="s">
        <v>0</v>
      </c>
      <c r="G132" s="10" t="s">
        <v>0</v>
      </c>
      <c r="H132" s="10" t="s">
        <v>0</v>
      </c>
      <c r="I132" s="35" t="s">
        <v>0</v>
      </c>
      <c r="J132" s="10" t="s">
        <v>0</v>
      </c>
      <c r="K132" s="10" t="s">
        <v>0</v>
      </c>
      <c r="L132" s="10" t="s">
        <v>0</v>
      </c>
      <c r="M132" s="36" t="s">
        <v>0</v>
      </c>
      <c r="N132" s="35" t="s">
        <v>0</v>
      </c>
      <c r="O132" s="35">
        <v>1.5333000000000001</v>
      </c>
    </row>
    <row r="133" spans="1:15">
      <c r="A133" s="12" t="s">
        <v>253</v>
      </c>
      <c r="B133" s="47" t="s">
        <v>202</v>
      </c>
      <c r="C133" s="48">
        <v>1.125</v>
      </c>
      <c r="D133" s="47">
        <v>23.49</v>
      </c>
      <c r="E133" s="47">
        <v>28.22</v>
      </c>
      <c r="F133" s="10" t="s">
        <v>0</v>
      </c>
      <c r="G133" s="10" t="s">
        <v>0</v>
      </c>
      <c r="H133" s="10" t="s">
        <v>0</v>
      </c>
      <c r="I133" s="35" t="s">
        <v>0</v>
      </c>
      <c r="J133" s="10" t="s">
        <v>0</v>
      </c>
      <c r="K133" s="10" t="s">
        <v>0</v>
      </c>
      <c r="L133" s="10" t="s">
        <v>0</v>
      </c>
      <c r="M133" s="36" t="s">
        <v>0</v>
      </c>
      <c r="N133" s="35" t="s">
        <v>0</v>
      </c>
      <c r="O133" s="35">
        <v>1.5431999999999999</v>
      </c>
    </row>
    <row r="134" spans="1:15">
      <c r="A134" s="12" t="s">
        <v>328</v>
      </c>
      <c r="B134" s="47" t="s">
        <v>329</v>
      </c>
      <c r="C134" s="48">
        <v>1.5</v>
      </c>
      <c r="D134" s="47">
        <v>23.57</v>
      </c>
      <c r="E134" s="47">
        <v>29.6</v>
      </c>
      <c r="F134" s="10" t="s">
        <v>0</v>
      </c>
      <c r="G134" s="10" t="s">
        <v>0</v>
      </c>
      <c r="H134" s="10" t="s">
        <v>0</v>
      </c>
      <c r="I134" s="35" t="s">
        <v>0</v>
      </c>
      <c r="J134" s="10" t="s">
        <v>0</v>
      </c>
      <c r="K134" s="10" t="s">
        <v>0</v>
      </c>
      <c r="L134" s="10" t="s">
        <v>0</v>
      </c>
      <c r="M134" s="36" t="s">
        <v>0</v>
      </c>
      <c r="N134" s="35" t="s">
        <v>0</v>
      </c>
      <c r="O134" s="35">
        <v>1.5487</v>
      </c>
    </row>
    <row r="135" spans="1:15">
      <c r="A135" s="12" t="s">
        <v>638</v>
      </c>
      <c r="B135" s="47" t="s">
        <v>856</v>
      </c>
      <c r="C135" s="48">
        <v>1.5</v>
      </c>
      <c r="D135" s="47">
        <v>23.96</v>
      </c>
      <c r="E135" s="47">
        <v>30</v>
      </c>
      <c r="F135" s="10" t="s">
        <v>0</v>
      </c>
      <c r="G135" s="10" t="s">
        <v>0</v>
      </c>
      <c r="H135" s="10" t="s">
        <v>0</v>
      </c>
      <c r="I135" s="35" t="s">
        <v>0</v>
      </c>
      <c r="J135" s="10" t="s">
        <v>0</v>
      </c>
      <c r="K135" s="10" t="s">
        <v>0</v>
      </c>
      <c r="L135" s="10" t="s">
        <v>0</v>
      </c>
      <c r="M135" s="36" t="s">
        <v>0</v>
      </c>
      <c r="N135" s="35" t="s">
        <v>0</v>
      </c>
      <c r="O135" s="35">
        <v>1.5519000000000001</v>
      </c>
    </row>
    <row r="136" spans="1:15">
      <c r="A136" s="12" t="s">
        <v>254</v>
      </c>
      <c r="B136" s="47" t="s">
        <v>184</v>
      </c>
      <c r="C136" s="48">
        <v>0.625</v>
      </c>
      <c r="D136" s="47">
        <v>24.43</v>
      </c>
      <c r="E136" s="47">
        <v>27.39</v>
      </c>
      <c r="F136" s="10" t="s">
        <v>0</v>
      </c>
      <c r="G136" s="10" t="s">
        <v>0</v>
      </c>
      <c r="H136" s="10" t="s">
        <v>0</v>
      </c>
      <c r="I136" s="35" t="s">
        <v>0</v>
      </c>
      <c r="J136" s="10" t="s">
        <v>0</v>
      </c>
      <c r="K136" s="10" t="s">
        <v>0</v>
      </c>
      <c r="L136" s="10" t="s">
        <v>0</v>
      </c>
      <c r="M136" s="36" t="s">
        <v>0</v>
      </c>
      <c r="N136" s="35" t="s">
        <v>0</v>
      </c>
      <c r="O136" s="35">
        <v>1.5448</v>
      </c>
    </row>
    <row r="137" spans="1:15">
      <c r="A137" s="13" t="s">
        <v>255</v>
      </c>
      <c r="B137" s="47" t="s">
        <v>183</v>
      </c>
      <c r="C137" s="48">
        <v>0.375</v>
      </c>
      <c r="D137" s="47">
        <v>25.09</v>
      </c>
      <c r="E137" s="47">
        <v>27.15</v>
      </c>
      <c r="F137" s="10" t="s">
        <v>0</v>
      </c>
      <c r="G137" s="10" t="s">
        <v>0</v>
      </c>
      <c r="H137" s="10" t="s">
        <v>0</v>
      </c>
      <c r="I137" s="35" t="s">
        <v>0</v>
      </c>
      <c r="J137" s="10" t="s">
        <v>0</v>
      </c>
      <c r="K137" s="10" t="s">
        <v>0</v>
      </c>
      <c r="L137" s="10" t="s">
        <v>0</v>
      </c>
      <c r="M137" s="36" t="s">
        <v>0</v>
      </c>
      <c r="N137" s="35" t="s">
        <v>0</v>
      </c>
      <c r="O137" s="35">
        <v>1.5474000000000001</v>
      </c>
    </row>
    <row r="138" spans="1:15">
      <c r="A138" s="12" t="s">
        <v>686</v>
      </c>
      <c r="B138" s="14" t="s">
        <v>816</v>
      </c>
      <c r="C138" s="44">
        <v>1.62</v>
      </c>
      <c r="D138" s="44">
        <v>1.65</v>
      </c>
      <c r="E138" s="10"/>
      <c r="F138" s="10">
        <v>1.52</v>
      </c>
      <c r="G138" s="10">
        <v>1.52</v>
      </c>
      <c r="H138" s="10">
        <v>1.52</v>
      </c>
      <c r="I138" s="35">
        <v>2</v>
      </c>
      <c r="J138" s="10" t="s">
        <v>0</v>
      </c>
      <c r="K138" s="10" t="s">
        <v>0</v>
      </c>
      <c r="L138" s="10" t="s">
        <v>0</v>
      </c>
      <c r="M138" s="36" t="s">
        <v>0</v>
      </c>
      <c r="N138" s="35" t="s">
        <v>0</v>
      </c>
      <c r="O138" s="35" t="e">
        <v>#N/A</v>
      </c>
    </row>
    <row r="139" spans="1:15">
      <c r="A139" s="12" t="s">
        <v>650</v>
      </c>
      <c r="B139" s="14" t="s">
        <v>651</v>
      </c>
      <c r="C139" s="44">
        <v>4.32</v>
      </c>
      <c r="D139" s="44">
        <v>4.54</v>
      </c>
      <c r="E139" s="10"/>
      <c r="F139" s="10">
        <v>1.57</v>
      </c>
      <c r="G139" s="10">
        <v>1.57</v>
      </c>
      <c r="H139" s="10">
        <v>1.57</v>
      </c>
      <c r="I139" s="35">
        <v>8.5</v>
      </c>
      <c r="J139" s="10" t="s">
        <v>0</v>
      </c>
      <c r="K139" s="10" t="s">
        <v>0</v>
      </c>
      <c r="L139" s="10" t="s">
        <v>0</v>
      </c>
      <c r="M139" s="36" t="s">
        <v>0</v>
      </c>
      <c r="N139" s="35" t="s">
        <v>0</v>
      </c>
      <c r="O139" s="35" t="e">
        <v>#N/A</v>
      </c>
    </row>
    <row r="140" spans="1:15">
      <c r="A140" s="12" t="s">
        <v>852</v>
      </c>
      <c r="B140" s="14" t="s">
        <v>857</v>
      </c>
      <c r="C140" s="44">
        <v>0.98</v>
      </c>
      <c r="D140" s="44">
        <v>1</v>
      </c>
      <c r="E140" s="10"/>
      <c r="F140" s="10">
        <v>1.5149999999999999</v>
      </c>
      <c r="G140" s="10">
        <v>1.5149999999999999</v>
      </c>
      <c r="H140" s="10">
        <v>1.5149999999999999</v>
      </c>
      <c r="I140" s="35">
        <v>1</v>
      </c>
      <c r="J140" s="10">
        <v>1.5249999999999999</v>
      </c>
      <c r="K140" s="10">
        <v>1.5249999999999999</v>
      </c>
      <c r="L140" s="10">
        <v>1.5249999999999999</v>
      </c>
      <c r="M140" s="36">
        <v>1</v>
      </c>
      <c r="N140" s="35">
        <v>1</v>
      </c>
      <c r="O140" s="35" t="e">
        <v>#N/A</v>
      </c>
    </row>
    <row r="141" spans="1:15">
      <c r="A141" s="12" t="s">
        <v>854</v>
      </c>
      <c r="B141" s="14" t="s">
        <v>858</v>
      </c>
      <c r="C141" s="44">
        <v>0.57999999999999996</v>
      </c>
      <c r="D141" s="44">
        <v>0.59</v>
      </c>
      <c r="E141" s="10"/>
      <c r="F141" s="10">
        <v>1.5</v>
      </c>
      <c r="G141" s="10">
        <v>1.5</v>
      </c>
      <c r="H141" s="10">
        <v>1.5</v>
      </c>
      <c r="I141" s="35">
        <v>2</v>
      </c>
      <c r="J141" s="10">
        <v>1.51</v>
      </c>
      <c r="K141" s="10">
        <v>1.51</v>
      </c>
      <c r="L141" s="10">
        <v>1.51</v>
      </c>
      <c r="M141" s="36">
        <v>1</v>
      </c>
      <c r="N141" s="35">
        <v>2</v>
      </c>
      <c r="O141" s="35"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33">
    <pageSetUpPr fitToPage="1"/>
  </sheetPr>
  <dimension ref="A1:T361"/>
  <sheetViews>
    <sheetView zoomScale="90" zoomScaleNormal="90" workbookViewId="0">
      <pane xSplit="1" ySplit="3" topLeftCell="B10" activePane="bottomRight" state="frozen"/>
      <selection sqref="A1:P65536"/>
      <selection pane="topRight" sqref="A1:P65536"/>
      <selection pane="bottomLeft" sqref="A1:P65536"/>
      <selection pane="bottomRight" activeCell="R20" sqref="R20:T22"/>
    </sheetView>
  </sheetViews>
  <sheetFormatPr defaultRowHeight="16.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40" customWidth="1"/>
    <col min="18" max="18" width="8.625" style="40" customWidth="1"/>
    <col min="19" max="20" width="11.5" style="43"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c r="F1" s="107" t="s">
        <v>859</v>
      </c>
      <c r="G1" s="108"/>
      <c r="H1" s="108"/>
      <c r="I1" s="109"/>
      <c r="J1" s="107" t="s">
        <v>860</v>
      </c>
      <c r="K1" s="108"/>
      <c r="L1" s="108"/>
      <c r="M1" s="108"/>
      <c r="N1" s="109"/>
      <c r="O1" s="8" t="s">
        <v>861</v>
      </c>
      <c r="Q1" s="110" t="s">
        <v>862</v>
      </c>
      <c r="R1" s="111"/>
      <c r="S1" s="111"/>
      <c r="T1" s="111"/>
    </row>
    <row r="2" spans="1:20" ht="28.5">
      <c r="D2" s="24" t="s">
        <v>863</v>
      </c>
      <c r="E2" s="24" t="s">
        <v>864</v>
      </c>
      <c r="F2" s="112" t="s">
        <v>865</v>
      </c>
      <c r="G2" s="113"/>
      <c r="H2" s="113"/>
      <c r="I2" s="25" t="s">
        <v>866</v>
      </c>
      <c r="J2" s="112" t="s">
        <v>865</v>
      </c>
      <c r="K2" s="113"/>
      <c r="L2" s="113"/>
      <c r="M2" s="25" t="s">
        <v>867</v>
      </c>
      <c r="N2" s="25" t="s">
        <v>866</v>
      </c>
      <c r="O2" s="114" t="s">
        <v>868</v>
      </c>
      <c r="Q2" s="26" t="s">
        <v>869</v>
      </c>
      <c r="R2" s="27"/>
      <c r="S2" s="28"/>
      <c r="T2" s="28"/>
    </row>
    <row r="3" spans="1:20" ht="45.75">
      <c r="B3" s="8" t="s">
        <v>870</v>
      </c>
      <c r="C3" s="8" t="s">
        <v>871</v>
      </c>
      <c r="D3" s="9" t="s">
        <v>98</v>
      </c>
      <c r="E3" s="9" t="s">
        <v>299</v>
      </c>
      <c r="F3" s="29" t="s">
        <v>872</v>
      </c>
      <c r="G3" s="29" t="s">
        <v>873</v>
      </c>
      <c r="H3" s="29" t="s">
        <v>874</v>
      </c>
      <c r="I3" s="30" t="s">
        <v>875</v>
      </c>
      <c r="J3" s="29" t="s">
        <v>876</v>
      </c>
      <c r="K3" s="29" t="s">
        <v>873</v>
      </c>
      <c r="L3" s="29" t="s">
        <v>877</v>
      </c>
      <c r="M3" s="31" t="s">
        <v>301</v>
      </c>
      <c r="N3" s="30" t="s">
        <v>875</v>
      </c>
      <c r="O3" s="114"/>
      <c r="Q3" s="32" t="s">
        <v>878</v>
      </c>
      <c r="R3" s="33" t="s">
        <v>302</v>
      </c>
      <c r="S3" s="34" t="s">
        <v>879</v>
      </c>
      <c r="T3" s="34" t="s">
        <v>303</v>
      </c>
    </row>
    <row r="4" spans="1:20">
      <c r="A4" s="12" t="s">
        <v>36</v>
      </c>
      <c r="B4" s="12" t="s">
        <v>880</v>
      </c>
      <c r="C4" s="55">
        <v>0.75</v>
      </c>
      <c r="D4" s="10">
        <v>0.13</v>
      </c>
      <c r="E4" s="10">
        <v>0.13</v>
      </c>
      <c r="F4" s="10" t="s">
        <v>0</v>
      </c>
      <c r="G4" s="10" t="s">
        <v>0</v>
      </c>
      <c r="H4" s="10" t="s">
        <v>0</v>
      </c>
      <c r="I4" s="35" t="s">
        <v>0</v>
      </c>
      <c r="J4" s="10" t="s">
        <v>0</v>
      </c>
      <c r="K4" s="10" t="s">
        <v>0</v>
      </c>
      <c r="L4" s="10" t="s">
        <v>0</v>
      </c>
      <c r="M4" s="36" t="s">
        <v>0</v>
      </c>
      <c r="N4" s="35" t="s">
        <v>0</v>
      </c>
      <c r="O4" s="35">
        <v>0.99529999999999996</v>
      </c>
      <c r="Q4" s="37" t="s">
        <v>46</v>
      </c>
      <c r="R4" s="37" t="s">
        <v>881</v>
      </c>
      <c r="S4" s="38">
        <v>300000000</v>
      </c>
      <c r="T4" s="38">
        <v>300000000</v>
      </c>
    </row>
    <row r="5" spans="1:20">
      <c r="A5" s="12" t="s">
        <v>27</v>
      </c>
      <c r="B5" s="12" t="s">
        <v>882</v>
      </c>
      <c r="C5" s="55">
        <v>0.625</v>
      </c>
      <c r="D5" s="10">
        <v>0.27</v>
      </c>
      <c r="E5" s="10">
        <v>0.27</v>
      </c>
      <c r="F5" s="10" t="s">
        <v>0</v>
      </c>
      <c r="G5" s="10" t="s">
        <v>0</v>
      </c>
      <c r="H5" s="10" t="s">
        <v>0</v>
      </c>
      <c r="I5" s="35" t="s">
        <v>0</v>
      </c>
      <c r="J5" s="10" t="s">
        <v>0</v>
      </c>
      <c r="K5" s="10" t="s">
        <v>0</v>
      </c>
      <c r="L5" s="10" t="s">
        <v>0</v>
      </c>
      <c r="M5" s="36" t="s">
        <v>0</v>
      </c>
      <c r="N5" s="35" t="s">
        <v>0</v>
      </c>
      <c r="O5" s="35">
        <v>0.99429999999999996</v>
      </c>
      <c r="Q5" s="12" t="s">
        <v>0</v>
      </c>
      <c r="R5" s="12" t="s">
        <v>883</v>
      </c>
      <c r="S5" s="39">
        <v>100000000</v>
      </c>
      <c r="T5" s="39">
        <v>100000000</v>
      </c>
    </row>
    <row r="6" spans="1:20">
      <c r="A6" s="12" t="s">
        <v>9</v>
      </c>
      <c r="B6" s="12" t="s">
        <v>884</v>
      </c>
      <c r="C6" s="55">
        <v>3</v>
      </c>
      <c r="D6" s="10">
        <v>0.34</v>
      </c>
      <c r="E6" s="10">
        <v>0.35</v>
      </c>
      <c r="F6" s="10" t="s">
        <v>0</v>
      </c>
      <c r="G6" s="10" t="s">
        <v>0</v>
      </c>
      <c r="H6" s="10" t="s">
        <v>0</v>
      </c>
      <c r="I6" s="35" t="s">
        <v>0</v>
      </c>
      <c r="J6" s="10" t="s">
        <v>0</v>
      </c>
      <c r="K6" s="10" t="s">
        <v>0</v>
      </c>
      <c r="L6" s="10" t="s">
        <v>0</v>
      </c>
      <c r="M6" s="36" t="s">
        <v>0</v>
      </c>
      <c r="N6" s="35" t="s">
        <v>0</v>
      </c>
      <c r="O6" s="35">
        <v>0.99560000000000004</v>
      </c>
      <c r="Q6" s="37" t="s">
        <v>246</v>
      </c>
      <c r="R6" s="37" t="s">
        <v>881</v>
      </c>
      <c r="S6" s="38">
        <v>500000000</v>
      </c>
      <c r="T6" s="38">
        <v>0</v>
      </c>
    </row>
    <row r="7" spans="1:20">
      <c r="A7" s="12" t="s">
        <v>51</v>
      </c>
      <c r="B7" s="12" t="s">
        <v>885</v>
      </c>
      <c r="C7" s="55">
        <v>1.5</v>
      </c>
      <c r="D7" s="10">
        <v>0.4</v>
      </c>
      <c r="E7" s="10">
        <v>0.41</v>
      </c>
      <c r="F7" s="10" t="s">
        <v>0</v>
      </c>
      <c r="G7" s="10" t="s">
        <v>0</v>
      </c>
      <c r="H7" s="10" t="s">
        <v>0</v>
      </c>
      <c r="I7" s="35" t="s">
        <v>0</v>
      </c>
      <c r="J7" s="10">
        <v>0.87</v>
      </c>
      <c r="K7" s="10">
        <v>0.87</v>
      </c>
      <c r="L7" s="10">
        <v>0.87</v>
      </c>
      <c r="M7" s="36">
        <v>1</v>
      </c>
      <c r="N7" s="35">
        <v>6</v>
      </c>
      <c r="O7" s="35">
        <v>0.997</v>
      </c>
      <c r="Q7" s="12" t="s">
        <v>0</v>
      </c>
      <c r="R7" s="12" t="s">
        <v>886</v>
      </c>
      <c r="S7" s="39">
        <v>0</v>
      </c>
      <c r="T7" s="39">
        <v>500000000</v>
      </c>
    </row>
    <row r="8" spans="1:20">
      <c r="A8" s="12" t="s">
        <v>229</v>
      </c>
      <c r="B8" s="12" t="s">
        <v>887</v>
      </c>
      <c r="C8" s="55">
        <v>0.75</v>
      </c>
      <c r="D8" s="10">
        <v>0.48</v>
      </c>
      <c r="E8" s="10">
        <v>0.49</v>
      </c>
      <c r="F8" s="10" t="s">
        <v>0</v>
      </c>
      <c r="G8" s="10" t="s">
        <v>0</v>
      </c>
      <c r="H8" s="10" t="s">
        <v>0</v>
      </c>
      <c r="I8" s="35" t="s">
        <v>0</v>
      </c>
      <c r="J8" s="10" t="s">
        <v>0</v>
      </c>
      <c r="K8" s="10" t="s">
        <v>0</v>
      </c>
      <c r="L8" s="10" t="s">
        <v>0</v>
      </c>
      <c r="M8" s="36" t="s">
        <v>0</v>
      </c>
      <c r="N8" s="35" t="s">
        <v>0</v>
      </c>
      <c r="O8" s="35">
        <v>0.999</v>
      </c>
      <c r="Q8" s="37" t="s">
        <v>228</v>
      </c>
      <c r="R8" s="37" t="s">
        <v>888</v>
      </c>
      <c r="S8" s="38">
        <v>150000000</v>
      </c>
      <c r="T8" s="38">
        <v>0</v>
      </c>
    </row>
    <row r="9" spans="1:20">
      <c r="A9" s="12" t="s">
        <v>5</v>
      </c>
      <c r="B9" s="12" t="s">
        <v>889</v>
      </c>
      <c r="C9" s="55">
        <v>0.5</v>
      </c>
      <c r="D9" s="10">
        <v>0.77</v>
      </c>
      <c r="E9" s="10">
        <v>0.78</v>
      </c>
      <c r="F9" s="10" t="s">
        <v>0</v>
      </c>
      <c r="G9" s="10" t="s">
        <v>0</v>
      </c>
      <c r="H9" s="10" t="s">
        <v>0</v>
      </c>
      <c r="I9" s="35" t="s">
        <v>0</v>
      </c>
      <c r="J9" s="10">
        <v>0.92</v>
      </c>
      <c r="K9" s="10">
        <v>0.92</v>
      </c>
      <c r="L9" s="10">
        <v>0.92</v>
      </c>
      <c r="M9" s="36">
        <v>1</v>
      </c>
      <c r="N9" s="35">
        <v>1.5</v>
      </c>
      <c r="O9" s="35">
        <v>1.0066999999999999</v>
      </c>
      <c r="Q9" s="12" t="s">
        <v>0</v>
      </c>
      <c r="R9" s="12" t="s">
        <v>890</v>
      </c>
      <c r="S9" s="39">
        <v>0</v>
      </c>
      <c r="T9" s="39">
        <v>150000000</v>
      </c>
    </row>
    <row r="10" spans="1:20">
      <c r="A10" s="12" t="s">
        <v>41</v>
      </c>
      <c r="B10" s="12" t="s">
        <v>891</v>
      </c>
      <c r="C10" s="55">
        <v>1.625</v>
      </c>
      <c r="D10" s="10">
        <v>0.96</v>
      </c>
      <c r="E10" s="10">
        <v>0.98</v>
      </c>
      <c r="F10" s="10" t="s">
        <v>0</v>
      </c>
      <c r="G10" s="10" t="s">
        <v>0</v>
      </c>
      <c r="H10" s="10" t="s">
        <v>0</v>
      </c>
      <c r="I10" s="35" t="s">
        <v>0</v>
      </c>
      <c r="J10" s="10" t="s">
        <v>0</v>
      </c>
      <c r="K10" s="10" t="s">
        <v>0</v>
      </c>
      <c r="L10" s="10" t="s">
        <v>0</v>
      </c>
      <c r="M10" s="36" t="s">
        <v>0</v>
      </c>
      <c r="N10" s="35" t="s">
        <v>0</v>
      </c>
      <c r="O10" s="35">
        <v>1.0115000000000001</v>
      </c>
      <c r="Q10" s="37" t="s">
        <v>219</v>
      </c>
      <c r="R10" s="37" t="s">
        <v>888</v>
      </c>
      <c r="S10" s="38">
        <v>400000000</v>
      </c>
      <c r="T10" s="38">
        <v>0</v>
      </c>
    </row>
    <row r="11" spans="1:20">
      <c r="A11" s="12" t="s">
        <v>10</v>
      </c>
      <c r="B11" s="12" t="s">
        <v>892</v>
      </c>
      <c r="C11" s="55">
        <v>3</v>
      </c>
      <c r="D11" s="10">
        <v>1.08</v>
      </c>
      <c r="E11" s="10">
        <v>1.1200000000000001</v>
      </c>
      <c r="F11" s="10" t="s">
        <v>0</v>
      </c>
      <c r="G11" s="10" t="s">
        <v>0</v>
      </c>
      <c r="H11" s="10" t="s">
        <v>0</v>
      </c>
      <c r="I11" s="35" t="s">
        <v>0</v>
      </c>
      <c r="J11" s="10" t="s">
        <v>0</v>
      </c>
      <c r="K11" s="10" t="s">
        <v>0</v>
      </c>
      <c r="L11" s="10" t="s">
        <v>0</v>
      </c>
      <c r="M11" s="36" t="s">
        <v>0</v>
      </c>
      <c r="N11" s="35" t="s">
        <v>0</v>
      </c>
      <c r="O11" s="35">
        <v>1.0145999999999999</v>
      </c>
      <c r="Q11" s="12" t="s">
        <v>0</v>
      </c>
      <c r="R11" s="12" t="s">
        <v>893</v>
      </c>
      <c r="S11" s="39">
        <v>0</v>
      </c>
      <c r="T11" s="39">
        <v>400000000</v>
      </c>
    </row>
    <row r="12" spans="1:20">
      <c r="A12" s="12" t="s">
        <v>227</v>
      </c>
      <c r="B12" s="12" t="s">
        <v>894</v>
      </c>
      <c r="C12" s="55">
        <v>0.5</v>
      </c>
      <c r="D12" s="10">
        <v>1.25</v>
      </c>
      <c r="E12" s="10">
        <v>1.27</v>
      </c>
      <c r="F12" s="10" t="s">
        <v>0</v>
      </c>
      <c r="G12" s="10" t="s">
        <v>0</v>
      </c>
      <c r="H12" s="10" t="s">
        <v>0</v>
      </c>
      <c r="I12" s="35" t="s">
        <v>0</v>
      </c>
      <c r="J12" s="10">
        <v>0.93</v>
      </c>
      <c r="K12" s="10">
        <v>0.93</v>
      </c>
      <c r="L12" s="10">
        <v>0.93</v>
      </c>
      <c r="M12" s="36">
        <v>1</v>
      </c>
      <c r="N12" s="35">
        <v>1</v>
      </c>
      <c r="O12" s="35">
        <v>1.018</v>
      </c>
      <c r="Q12" s="37" t="s">
        <v>261</v>
      </c>
      <c r="R12" s="37" t="s">
        <v>888</v>
      </c>
      <c r="S12" s="38">
        <v>200000000</v>
      </c>
      <c r="T12" s="38">
        <v>250000000</v>
      </c>
    </row>
    <row r="13" spans="1:20">
      <c r="A13" s="12" t="s">
        <v>7</v>
      </c>
      <c r="B13" s="12" t="s">
        <v>895</v>
      </c>
      <c r="C13" s="55">
        <v>2.375</v>
      </c>
      <c r="D13" s="10">
        <v>1.35</v>
      </c>
      <c r="E13" s="10">
        <v>1.39</v>
      </c>
      <c r="F13" s="10" t="s">
        <v>0</v>
      </c>
      <c r="G13" s="10" t="s">
        <v>0</v>
      </c>
      <c r="H13" s="10" t="s">
        <v>0</v>
      </c>
      <c r="I13" s="35" t="s">
        <v>0</v>
      </c>
      <c r="J13" s="10" t="s">
        <v>0</v>
      </c>
      <c r="K13" s="10" t="s">
        <v>0</v>
      </c>
      <c r="L13" s="10" t="s">
        <v>0</v>
      </c>
      <c r="M13" s="36" t="s">
        <v>0</v>
      </c>
      <c r="N13" s="35" t="s">
        <v>0</v>
      </c>
      <c r="O13" s="35">
        <v>1.0208999999999999</v>
      </c>
      <c r="Q13" s="12" t="s">
        <v>0</v>
      </c>
      <c r="R13" s="12" t="s">
        <v>886</v>
      </c>
      <c r="S13" s="39">
        <v>50000000</v>
      </c>
      <c r="T13" s="39">
        <v>0</v>
      </c>
    </row>
    <row r="14" spans="1:20">
      <c r="A14" s="12" t="s">
        <v>269</v>
      </c>
      <c r="B14" s="12" t="s">
        <v>896</v>
      </c>
      <c r="C14" s="55">
        <v>1</v>
      </c>
      <c r="D14" s="10">
        <v>1.36</v>
      </c>
      <c r="E14" s="10">
        <v>1.39</v>
      </c>
      <c r="F14" s="10" t="s">
        <v>0</v>
      </c>
      <c r="G14" s="10" t="s">
        <v>0</v>
      </c>
      <c r="H14" s="10" t="s">
        <v>0</v>
      </c>
      <c r="I14" s="35" t="s">
        <v>0</v>
      </c>
      <c r="J14" s="10" t="s">
        <v>0</v>
      </c>
      <c r="K14" s="10" t="s">
        <v>0</v>
      </c>
      <c r="L14" s="10" t="s">
        <v>0</v>
      </c>
      <c r="M14" s="36" t="s">
        <v>0</v>
      </c>
      <c r="N14" s="35" t="s">
        <v>0</v>
      </c>
      <c r="O14" s="35">
        <v>1.0207999999999999</v>
      </c>
      <c r="Q14" s="37" t="s">
        <v>277</v>
      </c>
      <c r="R14" s="37" t="s">
        <v>888</v>
      </c>
      <c r="S14" s="38">
        <v>100000000</v>
      </c>
      <c r="T14" s="38">
        <v>200000000</v>
      </c>
    </row>
    <row r="15" spans="1:20">
      <c r="A15" s="12" t="s">
        <v>31</v>
      </c>
      <c r="B15" s="12" t="s">
        <v>897</v>
      </c>
      <c r="C15" s="55">
        <v>1.625</v>
      </c>
      <c r="D15" s="10">
        <v>1.4</v>
      </c>
      <c r="E15" s="10">
        <v>1.44</v>
      </c>
      <c r="F15" s="10" t="s">
        <v>0</v>
      </c>
      <c r="G15" s="10" t="s">
        <v>0</v>
      </c>
      <c r="H15" s="10" t="s">
        <v>0</v>
      </c>
      <c r="I15" s="35" t="s">
        <v>0</v>
      </c>
      <c r="J15" s="10" t="s">
        <v>0</v>
      </c>
      <c r="K15" s="10" t="s">
        <v>0</v>
      </c>
      <c r="L15" s="10" t="s">
        <v>0</v>
      </c>
      <c r="M15" s="36" t="s">
        <v>0</v>
      </c>
      <c r="N15" s="35" t="s">
        <v>0</v>
      </c>
      <c r="O15" s="35">
        <v>1.0221</v>
      </c>
      <c r="Q15" s="12" t="s">
        <v>0</v>
      </c>
      <c r="R15" s="12" t="s">
        <v>886</v>
      </c>
      <c r="S15" s="39">
        <v>100000000</v>
      </c>
      <c r="T15" s="39">
        <v>0</v>
      </c>
    </row>
    <row r="16" spans="1:20">
      <c r="A16" s="12" t="s">
        <v>230</v>
      </c>
      <c r="B16" s="12" t="s">
        <v>898</v>
      </c>
      <c r="C16" s="55">
        <v>0.25</v>
      </c>
      <c r="D16" s="10">
        <v>1.76</v>
      </c>
      <c r="E16" s="10">
        <v>1.78</v>
      </c>
      <c r="F16" s="10" t="s">
        <v>0</v>
      </c>
      <c r="G16" s="10" t="s">
        <v>0</v>
      </c>
      <c r="H16" s="10" t="s">
        <v>0</v>
      </c>
      <c r="I16" s="35" t="s">
        <v>0</v>
      </c>
      <c r="J16" s="10" t="s">
        <v>0</v>
      </c>
      <c r="K16" s="10" t="s">
        <v>0</v>
      </c>
      <c r="L16" s="10" t="s">
        <v>0</v>
      </c>
      <c r="M16" s="36" t="s">
        <v>0</v>
      </c>
      <c r="N16" s="35" t="s">
        <v>0</v>
      </c>
      <c r="O16" s="35">
        <v>1.0328999999999999</v>
      </c>
      <c r="Q16" s="37" t="s">
        <v>321</v>
      </c>
      <c r="R16" s="37" t="s">
        <v>888</v>
      </c>
      <c r="S16" s="38">
        <v>600000000</v>
      </c>
      <c r="T16" s="38">
        <v>400000000</v>
      </c>
    </row>
    <row r="17" spans="1:20">
      <c r="A17" s="12" t="s">
        <v>37</v>
      </c>
      <c r="B17" s="12" t="s">
        <v>899</v>
      </c>
      <c r="C17" s="55">
        <v>1.125</v>
      </c>
      <c r="D17" s="10">
        <v>1.9</v>
      </c>
      <c r="E17" s="10">
        <v>1.93</v>
      </c>
      <c r="F17" s="10" t="s">
        <v>0</v>
      </c>
      <c r="G17" s="10" t="s">
        <v>0</v>
      </c>
      <c r="H17" s="10" t="s">
        <v>0</v>
      </c>
      <c r="I17" s="35" t="s">
        <v>0</v>
      </c>
      <c r="J17" s="10" t="s">
        <v>0</v>
      </c>
      <c r="K17" s="10" t="s">
        <v>0</v>
      </c>
      <c r="L17" s="10" t="s">
        <v>0</v>
      </c>
      <c r="M17" s="36" t="s">
        <v>0</v>
      </c>
      <c r="N17" s="35" t="s">
        <v>0</v>
      </c>
      <c r="O17" s="35">
        <v>1.0386</v>
      </c>
      <c r="Q17" s="12" t="s">
        <v>0</v>
      </c>
      <c r="R17" s="12" t="s">
        <v>886</v>
      </c>
      <c r="S17" s="39">
        <v>0</v>
      </c>
      <c r="T17" s="39">
        <v>200000000</v>
      </c>
    </row>
    <row r="18" spans="1:20">
      <c r="A18" s="12" t="s">
        <v>231</v>
      </c>
      <c r="B18" s="12" t="s">
        <v>900</v>
      </c>
      <c r="C18" s="55">
        <v>0.125</v>
      </c>
      <c r="D18" s="10">
        <v>2.15</v>
      </c>
      <c r="E18" s="10">
        <v>2.17</v>
      </c>
      <c r="F18" s="10" t="s">
        <v>0</v>
      </c>
      <c r="G18" s="10" t="s">
        <v>0</v>
      </c>
      <c r="H18" s="10" t="s">
        <v>0</v>
      </c>
      <c r="I18" s="35" t="s">
        <v>0</v>
      </c>
      <c r="J18" s="10" t="s">
        <v>0</v>
      </c>
      <c r="K18" s="10" t="s">
        <v>0</v>
      </c>
      <c r="L18" s="10" t="s">
        <v>0</v>
      </c>
      <c r="M18" s="36" t="s">
        <v>0</v>
      </c>
      <c r="N18" s="35" t="s">
        <v>0</v>
      </c>
      <c r="O18" s="35">
        <v>1.0497000000000001</v>
      </c>
      <c r="Q18" s="37" t="s">
        <v>541</v>
      </c>
      <c r="R18" s="37" t="s">
        <v>881</v>
      </c>
      <c r="S18" s="38">
        <v>100000000</v>
      </c>
      <c r="T18" s="38">
        <v>0</v>
      </c>
    </row>
    <row r="19" spans="1:20">
      <c r="A19" s="12" t="s">
        <v>232</v>
      </c>
      <c r="B19" s="12" t="s">
        <v>901</v>
      </c>
      <c r="C19" s="55">
        <v>0.25</v>
      </c>
      <c r="D19" s="10">
        <v>2.2400000000000002</v>
      </c>
      <c r="E19" s="10">
        <v>2.27</v>
      </c>
      <c r="F19" s="10" t="s">
        <v>0</v>
      </c>
      <c r="G19" s="10" t="s">
        <v>0</v>
      </c>
      <c r="H19" s="10" t="s">
        <v>0</v>
      </c>
      <c r="I19" s="35" t="s">
        <v>0</v>
      </c>
      <c r="J19" s="10" t="s">
        <v>0</v>
      </c>
      <c r="K19" s="10" t="s">
        <v>0</v>
      </c>
      <c r="L19" s="10" t="s">
        <v>0</v>
      </c>
      <c r="M19" s="36" t="s">
        <v>0</v>
      </c>
      <c r="N19" s="35" t="s">
        <v>0</v>
      </c>
      <c r="O19" s="35">
        <v>1.0547</v>
      </c>
      <c r="Q19" s="12" t="s">
        <v>0</v>
      </c>
      <c r="R19" s="12" t="s">
        <v>886</v>
      </c>
      <c r="S19" s="39">
        <v>0</v>
      </c>
      <c r="T19" s="39">
        <v>100000000</v>
      </c>
    </row>
    <row r="20" spans="1:20">
      <c r="A20" s="12" t="s">
        <v>8</v>
      </c>
      <c r="B20" s="12" t="s">
        <v>902</v>
      </c>
      <c r="C20" s="55">
        <v>1.875</v>
      </c>
      <c r="D20" s="10">
        <v>2.31</v>
      </c>
      <c r="E20" s="10">
        <v>2.39</v>
      </c>
      <c r="F20" s="10" t="s">
        <v>0</v>
      </c>
      <c r="G20" s="10" t="s">
        <v>0</v>
      </c>
      <c r="H20" s="10" t="s">
        <v>0</v>
      </c>
      <c r="I20" s="35" t="s">
        <v>0</v>
      </c>
      <c r="J20" s="10" t="s">
        <v>0</v>
      </c>
      <c r="K20" s="10" t="s">
        <v>0</v>
      </c>
      <c r="L20" s="10" t="s">
        <v>0</v>
      </c>
      <c r="M20" s="36" t="s">
        <v>0</v>
      </c>
      <c r="N20" s="35" t="s">
        <v>0</v>
      </c>
      <c r="O20" s="35">
        <v>1.0605</v>
      </c>
      <c r="Q20" s="37" t="s">
        <v>537</v>
      </c>
      <c r="R20" s="37" t="s">
        <v>888</v>
      </c>
      <c r="S20" s="38">
        <v>600000000</v>
      </c>
      <c r="T20" s="38">
        <v>250000000</v>
      </c>
    </row>
    <row r="21" spans="1:20">
      <c r="A21" s="12" t="s">
        <v>58</v>
      </c>
      <c r="B21" s="12" t="s">
        <v>903</v>
      </c>
      <c r="C21" s="55">
        <v>0.75</v>
      </c>
      <c r="D21" s="10">
        <v>2.36</v>
      </c>
      <c r="E21" s="10">
        <v>2.41</v>
      </c>
      <c r="F21" s="10" t="s">
        <v>0</v>
      </c>
      <c r="G21" s="10" t="s">
        <v>0</v>
      </c>
      <c r="H21" s="10" t="s">
        <v>0</v>
      </c>
      <c r="I21" s="35" t="s">
        <v>0</v>
      </c>
      <c r="J21" s="10" t="s">
        <v>0</v>
      </c>
      <c r="K21" s="10" t="s">
        <v>0</v>
      </c>
      <c r="L21" s="10" t="s">
        <v>0</v>
      </c>
      <c r="M21" s="36" t="s">
        <v>0</v>
      </c>
      <c r="N21" s="35" t="s">
        <v>0</v>
      </c>
      <c r="O21" s="35">
        <v>1.0622</v>
      </c>
      <c r="Q21" s="12" t="s">
        <v>0</v>
      </c>
      <c r="R21" s="12" t="s">
        <v>890</v>
      </c>
      <c r="S21" s="39">
        <v>50000000</v>
      </c>
      <c r="T21" s="39">
        <v>0</v>
      </c>
    </row>
    <row r="22" spans="1:20">
      <c r="A22" s="12" t="s">
        <v>233</v>
      </c>
      <c r="B22" s="12" t="s">
        <v>904</v>
      </c>
      <c r="C22" s="55">
        <v>0.25</v>
      </c>
      <c r="D22" s="10">
        <v>2.77</v>
      </c>
      <c r="E22" s="10">
        <v>2.81</v>
      </c>
      <c r="F22" s="10" t="s">
        <v>0</v>
      </c>
      <c r="G22" s="10" t="s">
        <v>0</v>
      </c>
      <c r="H22" s="10" t="s">
        <v>0</v>
      </c>
      <c r="I22" s="35" t="s">
        <v>0</v>
      </c>
      <c r="J22" s="10" t="s">
        <v>0</v>
      </c>
      <c r="K22" s="10" t="s">
        <v>0</v>
      </c>
      <c r="L22" s="10" t="s">
        <v>0</v>
      </c>
      <c r="M22" s="36" t="s">
        <v>0</v>
      </c>
      <c r="N22" s="35" t="s">
        <v>0</v>
      </c>
      <c r="O22" s="35">
        <v>1.0879000000000001</v>
      </c>
      <c r="Q22" s="12" t="s">
        <v>0</v>
      </c>
      <c r="R22" s="12" t="s">
        <v>883</v>
      </c>
      <c r="S22" s="39">
        <v>250000000</v>
      </c>
      <c r="T22" s="39">
        <v>650000000</v>
      </c>
    </row>
    <row r="23" spans="1:20">
      <c r="A23" s="12" t="s">
        <v>55</v>
      </c>
      <c r="B23" s="12" t="s">
        <v>905</v>
      </c>
      <c r="C23" s="55">
        <v>0.625</v>
      </c>
      <c r="D23" s="10">
        <v>2.87</v>
      </c>
      <c r="E23" s="10">
        <v>2.92</v>
      </c>
      <c r="F23" s="10" t="s">
        <v>0</v>
      </c>
      <c r="G23" s="10" t="s">
        <v>0</v>
      </c>
      <c r="H23" s="10" t="s">
        <v>0</v>
      </c>
      <c r="I23" s="35" t="s">
        <v>0</v>
      </c>
      <c r="J23" s="10" t="s">
        <v>0</v>
      </c>
      <c r="K23" s="10" t="s">
        <v>0</v>
      </c>
      <c r="L23" s="10" t="s">
        <v>0</v>
      </c>
      <c r="M23" s="36" t="s">
        <v>0</v>
      </c>
      <c r="N23" s="35" t="s">
        <v>0</v>
      </c>
      <c r="O23" s="35">
        <v>1.0949</v>
      </c>
      <c r="Q23" s="37" t="s">
        <v>906</v>
      </c>
      <c r="R23" s="37" t="s">
        <v>881</v>
      </c>
      <c r="S23" s="38">
        <v>200000000</v>
      </c>
      <c r="T23" s="38">
        <v>0</v>
      </c>
    </row>
    <row r="24" spans="1:20">
      <c r="A24" s="12" t="s">
        <v>11</v>
      </c>
      <c r="B24" s="12" t="s">
        <v>907</v>
      </c>
      <c r="C24" s="55">
        <v>2.125</v>
      </c>
      <c r="D24" s="10">
        <v>2.94</v>
      </c>
      <c r="E24" s="10">
        <v>3.1</v>
      </c>
      <c r="F24" s="10" t="s">
        <v>0</v>
      </c>
      <c r="G24" s="10" t="s">
        <v>0</v>
      </c>
      <c r="H24" s="10" t="s">
        <v>0</v>
      </c>
      <c r="I24" s="35" t="s">
        <v>0</v>
      </c>
      <c r="J24" s="10" t="s">
        <v>0</v>
      </c>
      <c r="K24" s="10" t="s">
        <v>0</v>
      </c>
      <c r="L24" s="10" t="s">
        <v>0</v>
      </c>
      <c r="M24" s="36" t="s">
        <v>0</v>
      </c>
      <c r="N24" s="35" t="s">
        <v>0</v>
      </c>
      <c r="O24" s="35">
        <v>1.1053999999999999</v>
      </c>
      <c r="Q24" s="12" t="s">
        <v>0</v>
      </c>
      <c r="R24" s="12" t="s">
        <v>883</v>
      </c>
      <c r="S24" s="39">
        <v>0</v>
      </c>
      <c r="T24" s="39">
        <v>200000000</v>
      </c>
    </row>
    <row r="25" spans="1:20">
      <c r="A25" s="12" t="s">
        <v>12</v>
      </c>
      <c r="B25" s="12" t="s">
        <v>908</v>
      </c>
      <c r="C25" s="55">
        <v>2</v>
      </c>
      <c r="D25" s="10">
        <v>3.21</v>
      </c>
      <c r="E25" s="10">
        <v>3.36</v>
      </c>
      <c r="F25" s="10" t="s">
        <v>0</v>
      </c>
      <c r="G25" s="10" t="s">
        <v>0</v>
      </c>
      <c r="H25" s="10" t="s">
        <v>0</v>
      </c>
      <c r="I25" s="35" t="s">
        <v>0</v>
      </c>
      <c r="J25" s="10" t="s">
        <v>0</v>
      </c>
      <c r="K25" s="10" t="s">
        <v>0</v>
      </c>
      <c r="L25" s="10" t="s">
        <v>0</v>
      </c>
      <c r="M25" s="36" t="s">
        <v>0</v>
      </c>
      <c r="N25" s="35" t="s">
        <v>0</v>
      </c>
      <c r="O25" s="35">
        <v>1.1222000000000001</v>
      </c>
      <c r="Q25" s="37" t="s">
        <v>909</v>
      </c>
      <c r="R25" s="37" t="s">
        <v>888</v>
      </c>
      <c r="S25" s="38">
        <v>100000000</v>
      </c>
      <c r="T25" s="38">
        <v>0</v>
      </c>
    </row>
    <row r="26" spans="1:20">
      <c r="A26" s="12" t="s">
        <v>32</v>
      </c>
      <c r="B26" s="12" t="s">
        <v>910</v>
      </c>
      <c r="C26" s="55">
        <v>1.125</v>
      </c>
      <c r="D26" s="10">
        <v>3.3</v>
      </c>
      <c r="E26" s="10">
        <v>3.4</v>
      </c>
      <c r="F26" s="10" t="s">
        <v>0</v>
      </c>
      <c r="G26" s="10" t="s">
        <v>0</v>
      </c>
      <c r="H26" s="10" t="s">
        <v>0</v>
      </c>
      <c r="I26" s="35" t="s">
        <v>0</v>
      </c>
      <c r="J26" s="10" t="s">
        <v>0</v>
      </c>
      <c r="K26" s="10" t="s">
        <v>0</v>
      </c>
      <c r="L26" s="10" t="s">
        <v>0</v>
      </c>
      <c r="M26" s="36" t="s">
        <v>0</v>
      </c>
      <c r="N26" s="35" t="s">
        <v>0</v>
      </c>
      <c r="O26" s="35">
        <v>1.1257999999999999</v>
      </c>
      <c r="Q26" s="12" t="s">
        <v>0</v>
      </c>
      <c r="R26" s="12" t="s">
        <v>886</v>
      </c>
      <c r="S26" s="39">
        <v>0</v>
      </c>
      <c r="T26" s="39">
        <v>100000000</v>
      </c>
    </row>
    <row r="27" spans="1:20">
      <c r="A27" s="12" t="s">
        <v>234</v>
      </c>
      <c r="B27" s="12" t="s">
        <v>911</v>
      </c>
      <c r="C27" s="55">
        <v>0.5</v>
      </c>
      <c r="D27" s="10">
        <v>3.32</v>
      </c>
      <c r="E27" s="10">
        <v>3.39</v>
      </c>
      <c r="F27" s="10" t="s">
        <v>0</v>
      </c>
      <c r="G27" s="10" t="s">
        <v>0</v>
      </c>
      <c r="H27" s="10" t="s">
        <v>0</v>
      </c>
      <c r="I27" s="35" t="s">
        <v>0</v>
      </c>
      <c r="J27" s="10" t="s">
        <v>0</v>
      </c>
      <c r="K27" s="10" t="s">
        <v>0</v>
      </c>
      <c r="L27" s="10" t="s">
        <v>0</v>
      </c>
      <c r="M27" s="36" t="s">
        <v>0</v>
      </c>
      <c r="N27" s="35" t="s">
        <v>0</v>
      </c>
      <c r="O27" s="35">
        <v>1.1254</v>
      </c>
      <c r="Q27" s="37" t="s">
        <v>912</v>
      </c>
      <c r="R27" s="37" t="s">
        <v>888</v>
      </c>
      <c r="S27" s="38">
        <v>100000000</v>
      </c>
      <c r="T27" s="38">
        <v>0</v>
      </c>
    </row>
    <row r="28" spans="1:20">
      <c r="A28" s="12" t="s">
        <v>218</v>
      </c>
      <c r="B28" s="12" t="s">
        <v>913</v>
      </c>
      <c r="C28" s="55">
        <v>1</v>
      </c>
      <c r="D28" s="10">
        <v>3.61</v>
      </c>
      <c r="E28" s="10">
        <v>3.71</v>
      </c>
      <c r="F28" s="10" t="s">
        <v>0</v>
      </c>
      <c r="G28" s="10" t="s">
        <v>0</v>
      </c>
      <c r="H28" s="10" t="s">
        <v>0</v>
      </c>
      <c r="I28" s="35" t="s">
        <v>0</v>
      </c>
      <c r="J28" s="10" t="s">
        <v>0</v>
      </c>
      <c r="K28" s="10" t="s">
        <v>0</v>
      </c>
      <c r="L28" s="10" t="s">
        <v>0</v>
      </c>
      <c r="M28" s="36" t="s">
        <v>0</v>
      </c>
      <c r="N28" s="35" t="s">
        <v>0</v>
      </c>
      <c r="O28" s="35">
        <v>1.1445000000000001</v>
      </c>
      <c r="Q28" s="12" t="s">
        <v>0</v>
      </c>
      <c r="R28" s="12" t="s">
        <v>883</v>
      </c>
      <c r="S28" s="39">
        <v>0</v>
      </c>
      <c r="T28" s="39">
        <v>100000000</v>
      </c>
    </row>
    <row r="29" spans="1:20">
      <c r="A29" s="12" t="s">
        <v>13</v>
      </c>
      <c r="B29" s="12" t="s">
        <v>914</v>
      </c>
      <c r="C29" s="55">
        <v>3</v>
      </c>
      <c r="D29" s="10">
        <v>3.8</v>
      </c>
      <c r="E29" s="10">
        <v>4.1100000000000003</v>
      </c>
      <c r="F29" s="10" t="s">
        <v>0</v>
      </c>
      <c r="G29" s="10" t="s">
        <v>0</v>
      </c>
      <c r="H29" s="10" t="s">
        <v>0</v>
      </c>
      <c r="I29" s="35" t="s">
        <v>0</v>
      </c>
      <c r="J29" s="10" t="s">
        <v>0</v>
      </c>
      <c r="K29" s="10" t="s">
        <v>0</v>
      </c>
      <c r="L29" s="10" t="s">
        <v>0</v>
      </c>
      <c r="M29" s="36" t="s">
        <v>0</v>
      </c>
      <c r="N29" s="35" t="s">
        <v>0</v>
      </c>
      <c r="O29" s="35">
        <v>1.1624000000000001</v>
      </c>
      <c r="Q29" s="37" t="s">
        <v>915</v>
      </c>
      <c r="R29" s="37" t="s">
        <v>881</v>
      </c>
      <c r="S29" s="38">
        <v>200000000</v>
      </c>
      <c r="T29" s="38">
        <v>200000000</v>
      </c>
    </row>
    <row r="30" spans="1:20">
      <c r="A30" s="12" t="s">
        <v>256</v>
      </c>
      <c r="B30" s="12" t="s">
        <v>916</v>
      </c>
      <c r="C30" s="55">
        <v>1.25</v>
      </c>
      <c r="D30" s="10">
        <v>3.85</v>
      </c>
      <c r="E30" s="10">
        <v>3.96</v>
      </c>
      <c r="F30" s="10" t="s">
        <v>0</v>
      </c>
      <c r="G30" s="10" t="s">
        <v>0</v>
      </c>
      <c r="H30" s="10" t="s">
        <v>0</v>
      </c>
      <c r="I30" s="35" t="s">
        <v>0</v>
      </c>
      <c r="J30" s="10" t="s">
        <v>0</v>
      </c>
      <c r="K30" s="10" t="s">
        <v>0</v>
      </c>
      <c r="L30" s="10" t="s">
        <v>0</v>
      </c>
      <c r="M30" s="36" t="s">
        <v>0</v>
      </c>
      <c r="N30" s="35" t="s">
        <v>0</v>
      </c>
      <c r="O30" s="35">
        <v>1.1577</v>
      </c>
      <c r="Q30" s="37" t="s">
        <v>917</v>
      </c>
      <c r="R30" s="37" t="s">
        <v>888</v>
      </c>
      <c r="S30" s="38">
        <v>200000000</v>
      </c>
      <c r="T30" s="38">
        <v>0</v>
      </c>
    </row>
    <row r="31" spans="1:20">
      <c r="A31" s="12" t="s">
        <v>1</v>
      </c>
      <c r="B31" s="12" t="s">
        <v>918</v>
      </c>
      <c r="C31" s="55">
        <v>1</v>
      </c>
      <c r="D31" s="10">
        <v>3.85</v>
      </c>
      <c r="E31" s="10">
        <v>3.96</v>
      </c>
      <c r="F31" s="10" t="s">
        <v>0</v>
      </c>
      <c r="G31" s="10" t="s">
        <v>0</v>
      </c>
      <c r="H31" s="10" t="s">
        <v>0</v>
      </c>
      <c r="I31" s="35" t="s">
        <v>0</v>
      </c>
      <c r="J31" s="10" t="s">
        <v>0</v>
      </c>
      <c r="K31" s="10" t="s">
        <v>0</v>
      </c>
      <c r="L31" s="10" t="s">
        <v>0</v>
      </c>
      <c r="M31" s="36" t="s">
        <v>0</v>
      </c>
      <c r="N31" s="35" t="s">
        <v>0</v>
      </c>
      <c r="O31" s="35">
        <v>1.1576</v>
      </c>
      <c r="Q31" s="12" t="s">
        <v>0</v>
      </c>
      <c r="R31" s="12" t="s">
        <v>883</v>
      </c>
      <c r="S31" s="39">
        <v>0</v>
      </c>
      <c r="T31" s="39">
        <v>200000000</v>
      </c>
    </row>
    <row r="32" spans="1:20">
      <c r="A32" s="12" t="s">
        <v>59</v>
      </c>
      <c r="B32" s="12" t="s">
        <v>919</v>
      </c>
      <c r="C32" s="55">
        <v>1.375</v>
      </c>
      <c r="D32" s="10">
        <v>4.08</v>
      </c>
      <c r="E32" s="10">
        <v>4.26</v>
      </c>
      <c r="F32" s="10" t="s">
        <v>0</v>
      </c>
      <c r="G32" s="10" t="s">
        <v>0</v>
      </c>
      <c r="H32" s="10" t="s">
        <v>0</v>
      </c>
      <c r="I32" s="35" t="s">
        <v>0</v>
      </c>
      <c r="J32" s="10" t="s">
        <v>0</v>
      </c>
      <c r="K32" s="10" t="s">
        <v>0</v>
      </c>
      <c r="L32" s="10" t="s">
        <v>0</v>
      </c>
      <c r="M32" s="36" t="s">
        <v>0</v>
      </c>
      <c r="N32" s="35" t="s">
        <v>0</v>
      </c>
      <c r="O32" s="35">
        <v>1.1712</v>
      </c>
      <c r="Q32" s="72" t="s">
        <v>920</v>
      </c>
      <c r="R32" s="72" t="s">
        <v>886</v>
      </c>
      <c r="S32" s="73">
        <v>400000000</v>
      </c>
      <c r="T32" s="73">
        <v>400000000</v>
      </c>
    </row>
    <row r="33" spans="1:20">
      <c r="A33" s="12" t="s">
        <v>14</v>
      </c>
      <c r="B33" s="12" t="s">
        <v>921</v>
      </c>
      <c r="C33" s="55">
        <v>2.5</v>
      </c>
      <c r="D33" s="10">
        <v>4.08</v>
      </c>
      <c r="E33" s="10">
        <v>4.3600000000000003</v>
      </c>
      <c r="F33" s="10" t="s">
        <v>0</v>
      </c>
      <c r="G33" s="10" t="s">
        <v>0</v>
      </c>
      <c r="H33" s="10" t="s">
        <v>0</v>
      </c>
      <c r="I33" s="35" t="s">
        <v>0</v>
      </c>
      <c r="J33" s="10" t="s">
        <v>0</v>
      </c>
      <c r="K33" s="10" t="s">
        <v>0</v>
      </c>
      <c r="L33" s="10" t="s">
        <v>0</v>
      </c>
      <c r="M33" s="36" t="s">
        <v>0</v>
      </c>
      <c r="N33" s="35" t="s">
        <v>0</v>
      </c>
      <c r="O33" s="35">
        <v>1.1735</v>
      </c>
      <c r="S33" s="41"/>
      <c r="T33" s="41"/>
    </row>
    <row r="34" spans="1:20">
      <c r="A34" s="12" t="s">
        <v>272</v>
      </c>
      <c r="B34" s="12" t="s">
        <v>922</v>
      </c>
      <c r="C34" s="55">
        <v>1</v>
      </c>
      <c r="D34" s="10">
        <v>4.1399999999999997</v>
      </c>
      <c r="E34" s="10">
        <v>4.28</v>
      </c>
      <c r="F34" s="10" t="s">
        <v>0</v>
      </c>
      <c r="G34" s="10" t="s">
        <v>0</v>
      </c>
      <c r="H34" s="10" t="s">
        <v>0</v>
      </c>
      <c r="I34" s="35" t="s">
        <v>0</v>
      </c>
      <c r="J34" s="10" t="s">
        <v>0</v>
      </c>
      <c r="K34" s="10" t="s">
        <v>0</v>
      </c>
      <c r="L34" s="10" t="s">
        <v>0</v>
      </c>
      <c r="M34" s="36" t="s">
        <v>0</v>
      </c>
      <c r="N34" s="35" t="s">
        <v>0</v>
      </c>
      <c r="O34" s="35">
        <v>1.1728000000000001</v>
      </c>
      <c r="Q34" s="42"/>
      <c r="R34" s="42"/>
      <c r="S34" s="42"/>
      <c r="T34" s="42"/>
    </row>
    <row r="35" spans="1:20">
      <c r="A35" s="12" t="s">
        <v>34</v>
      </c>
      <c r="B35" s="12" t="s">
        <v>923</v>
      </c>
      <c r="C35" s="55">
        <v>1</v>
      </c>
      <c r="D35" s="10">
        <v>4.1900000000000004</v>
      </c>
      <c r="E35" s="10">
        <v>4.34</v>
      </c>
      <c r="F35" s="10" t="s">
        <v>0</v>
      </c>
      <c r="G35" s="10" t="s">
        <v>0</v>
      </c>
      <c r="H35" s="10" t="s">
        <v>0</v>
      </c>
      <c r="I35" s="35" t="s">
        <v>0</v>
      </c>
      <c r="J35" s="10" t="s">
        <v>0</v>
      </c>
      <c r="K35" s="10" t="s">
        <v>0</v>
      </c>
      <c r="L35" s="10" t="s">
        <v>0</v>
      </c>
      <c r="M35" s="36" t="s">
        <v>0</v>
      </c>
      <c r="N35" s="35" t="s">
        <v>0</v>
      </c>
      <c r="O35" s="35">
        <v>1.1752</v>
      </c>
    </row>
    <row r="36" spans="1:20">
      <c r="A36" s="12" t="s">
        <v>321</v>
      </c>
      <c r="B36" s="12" t="s">
        <v>924</v>
      </c>
      <c r="C36" s="55">
        <v>1</v>
      </c>
      <c r="D36" s="10">
        <v>4.4800000000000004</v>
      </c>
      <c r="E36" s="10">
        <v>4.6399999999999997</v>
      </c>
      <c r="F36" s="10">
        <v>1.2010000000000001</v>
      </c>
      <c r="G36" s="10">
        <v>1.19</v>
      </c>
      <c r="H36" s="10">
        <v>1.1968000000000001</v>
      </c>
      <c r="I36" s="35">
        <v>11</v>
      </c>
      <c r="J36" s="10" t="s">
        <v>0</v>
      </c>
      <c r="K36" s="10" t="s">
        <v>0</v>
      </c>
      <c r="L36" s="10" t="s">
        <v>0</v>
      </c>
      <c r="M36" s="36" t="s">
        <v>0</v>
      </c>
      <c r="N36" s="35" t="s">
        <v>0</v>
      </c>
      <c r="O36" s="35">
        <v>1.1861999999999999</v>
      </c>
    </row>
    <row r="37" spans="1:20">
      <c r="A37" s="12" t="s">
        <v>2</v>
      </c>
      <c r="B37" s="12" t="s">
        <v>925</v>
      </c>
      <c r="C37" s="55">
        <v>0.875</v>
      </c>
      <c r="D37" s="10">
        <v>4.53</v>
      </c>
      <c r="E37" s="10">
        <v>4.67</v>
      </c>
      <c r="F37" s="10" t="s">
        <v>0</v>
      </c>
      <c r="G37" s="10" t="s">
        <v>0</v>
      </c>
      <c r="H37" s="10" t="s">
        <v>0</v>
      </c>
      <c r="I37" s="35" t="s">
        <v>0</v>
      </c>
      <c r="J37" s="10" t="s">
        <v>0</v>
      </c>
      <c r="K37" s="10" t="s">
        <v>0</v>
      </c>
      <c r="L37" s="10" t="s">
        <v>0</v>
      </c>
      <c r="M37" s="36" t="s">
        <v>0</v>
      </c>
      <c r="N37" s="35" t="s">
        <v>0</v>
      </c>
      <c r="O37" s="35">
        <v>1.1876</v>
      </c>
    </row>
    <row r="38" spans="1:20">
      <c r="A38" s="12" t="s">
        <v>15</v>
      </c>
      <c r="B38" s="12" t="s">
        <v>926</v>
      </c>
      <c r="C38" s="55">
        <v>2.625</v>
      </c>
      <c r="D38" s="10">
        <v>4.5599999999999996</v>
      </c>
      <c r="E38" s="10">
        <v>4.8600000000000003</v>
      </c>
      <c r="F38" s="10" t="s">
        <v>0</v>
      </c>
      <c r="G38" s="10" t="s">
        <v>0</v>
      </c>
      <c r="H38" s="10" t="s">
        <v>0</v>
      </c>
      <c r="I38" s="35" t="s">
        <v>0</v>
      </c>
      <c r="J38" s="10" t="s">
        <v>0</v>
      </c>
      <c r="K38" s="10" t="s">
        <v>0</v>
      </c>
      <c r="L38" s="10" t="s">
        <v>0</v>
      </c>
      <c r="M38" s="36" t="s">
        <v>0</v>
      </c>
      <c r="N38" s="35" t="s">
        <v>0</v>
      </c>
      <c r="O38" s="35">
        <v>1.1902999999999999</v>
      </c>
    </row>
    <row r="39" spans="1:20">
      <c r="A39" s="12" t="s">
        <v>308</v>
      </c>
      <c r="B39" s="12" t="s">
        <v>927</v>
      </c>
      <c r="C39" s="55">
        <v>1.125</v>
      </c>
      <c r="D39" s="10">
        <v>4.78</v>
      </c>
      <c r="E39" s="10">
        <v>4.95</v>
      </c>
      <c r="F39" s="10" t="s">
        <v>0</v>
      </c>
      <c r="G39" s="10" t="s">
        <v>0</v>
      </c>
      <c r="H39" s="10" t="s">
        <v>0</v>
      </c>
      <c r="I39" s="35" t="s">
        <v>0</v>
      </c>
      <c r="J39" s="10" t="s">
        <v>0</v>
      </c>
      <c r="K39" s="10" t="s">
        <v>0</v>
      </c>
      <c r="L39" s="10" t="s">
        <v>0</v>
      </c>
      <c r="M39" s="36" t="s">
        <v>0</v>
      </c>
      <c r="N39" s="35" t="s">
        <v>0</v>
      </c>
      <c r="O39" s="35">
        <v>1.1953</v>
      </c>
    </row>
    <row r="40" spans="1:20">
      <c r="A40" s="12" t="s">
        <v>235</v>
      </c>
      <c r="B40" s="12" t="s">
        <v>928</v>
      </c>
      <c r="C40" s="55">
        <v>0.25</v>
      </c>
      <c r="D40" s="10">
        <v>4.79</v>
      </c>
      <c r="E40" s="10">
        <v>4.87</v>
      </c>
      <c r="F40" s="10" t="s">
        <v>0</v>
      </c>
      <c r="G40" s="10" t="s">
        <v>0</v>
      </c>
      <c r="H40" s="10" t="s">
        <v>0</v>
      </c>
      <c r="I40" s="35" t="s">
        <v>0</v>
      </c>
      <c r="J40" s="10" t="s">
        <v>0</v>
      </c>
      <c r="K40" s="10" t="s">
        <v>0</v>
      </c>
      <c r="L40" s="10" t="s">
        <v>0</v>
      </c>
      <c r="M40" s="36" t="s">
        <v>0</v>
      </c>
      <c r="N40" s="35" t="s">
        <v>0</v>
      </c>
      <c r="O40" s="35">
        <v>1.1949000000000001</v>
      </c>
    </row>
    <row r="41" spans="1:20">
      <c r="A41" s="12" t="s">
        <v>28</v>
      </c>
      <c r="B41" s="12" t="s">
        <v>929</v>
      </c>
      <c r="C41" s="55">
        <v>0.875</v>
      </c>
      <c r="D41" s="10">
        <v>4.84</v>
      </c>
      <c r="E41" s="10">
        <v>5.03</v>
      </c>
      <c r="F41" s="10" t="s">
        <v>0</v>
      </c>
      <c r="G41" s="10" t="s">
        <v>0</v>
      </c>
      <c r="H41" s="10" t="s">
        <v>0</v>
      </c>
      <c r="I41" s="35" t="s">
        <v>0</v>
      </c>
      <c r="J41" s="10" t="s">
        <v>0</v>
      </c>
      <c r="K41" s="10" t="s">
        <v>0</v>
      </c>
      <c r="L41" s="10" t="s">
        <v>0</v>
      </c>
      <c r="M41" s="36" t="s">
        <v>0</v>
      </c>
      <c r="N41" s="35" t="s">
        <v>0</v>
      </c>
      <c r="O41" s="35">
        <v>1.198</v>
      </c>
    </row>
    <row r="42" spans="1:20">
      <c r="A42" s="12" t="s">
        <v>16</v>
      </c>
      <c r="B42" s="12" t="s">
        <v>930</v>
      </c>
      <c r="C42" s="55">
        <v>2.125</v>
      </c>
      <c r="D42" s="10">
        <v>5.01</v>
      </c>
      <c r="E42" s="10">
        <v>5.37</v>
      </c>
      <c r="F42" s="10" t="s">
        <v>0</v>
      </c>
      <c r="G42" s="10" t="s">
        <v>0</v>
      </c>
      <c r="H42" s="10" t="s">
        <v>0</v>
      </c>
      <c r="I42" s="35" t="s">
        <v>0</v>
      </c>
      <c r="J42" s="10" t="s">
        <v>0</v>
      </c>
      <c r="K42" s="10" t="s">
        <v>0</v>
      </c>
      <c r="L42" s="10" t="s">
        <v>0</v>
      </c>
      <c r="M42" s="36" t="s">
        <v>0</v>
      </c>
      <c r="N42" s="35" t="s">
        <v>0</v>
      </c>
      <c r="O42" s="35">
        <v>1.2030000000000001</v>
      </c>
    </row>
    <row r="43" spans="1:20">
      <c r="A43" s="12" t="s">
        <v>3</v>
      </c>
      <c r="B43" s="12" t="s">
        <v>931</v>
      </c>
      <c r="C43" s="55">
        <v>0.75</v>
      </c>
      <c r="D43" s="10">
        <v>5.18</v>
      </c>
      <c r="E43" s="10">
        <v>5.36</v>
      </c>
      <c r="F43" s="10" t="s">
        <v>0</v>
      </c>
      <c r="G43" s="10" t="s">
        <v>0</v>
      </c>
      <c r="H43" s="10" t="s">
        <v>0</v>
      </c>
      <c r="I43" s="35" t="s">
        <v>0</v>
      </c>
      <c r="J43" s="10" t="s">
        <v>0</v>
      </c>
      <c r="K43" s="10" t="s">
        <v>0</v>
      </c>
      <c r="L43" s="10" t="s">
        <v>0</v>
      </c>
      <c r="M43" s="36" t="s">
        <v>0</v>
      </c>
      <c r="N43" s="35" t="s">
        <v>0</v>
      </c>
      <c r="O43" s="35">
        <v>1.2056</v>
      </c>
    </row>
    <row r="44" spans="1:20">
      <c r="A44" s="12" t="s">
        <v>17</v>
      </c>
      <c r="B44" s="12" t="s">
        <v>932</v>
      </c>
      <c r="C44" s="55">
        <v>2.125</v>
      </c>
      <c r="D44" s="10">
        <v>5.49</v>
      </c>
      <c r="E44" s="10">
        <v>5.85</v>
      </c>
      <c r="F44" s="10" t="s">
        <v>0</v>
      </c>
      <c r="G44" s="10" t="s">
        <v>0</v>
      </c>
      <c r="H44" s="10" t="s">
        <v>0</v>
      </c>
      <c r="I44" s="35" t="s">
        <v>0</v>
      </c>
      <c r="J44" s="10" t="s">
        <v>0</v>
      </c>
      <c r="K44" s="10" t="s">
        <v>0</v>
      </c>
      <c r="L44" s="10" t="s">
        <v>0</v>
      </c>
      <c r="M44" s="36" t="s">
        <v>0</v>
      </c>
      <c r="N44" s="35" t="s">
        <v>0</v>
      </c>
      <c r="O44" s="35">
        <v>1.2115</v>
      </c>
    </row>
    <row r="45" spans="1:20">
      <c r="A45" s="12" t="s">
        <v>4</v>
      </c>
      <c r="B45" s="12" t="s">
        <v>933</v>
      </c>
      <c r="C45" s="55">
        <v>0.625</v>
      </c>
      <c r="D45" s="10">
        <v>5.56</v>
      </c>
      <c r="E45" s="10">
        <v>5.72</v>
      </c>
      <c r="F45" s="10" t="s">
        <v>0</v>
      </c>
      <c r="G45" s="10" t="s">
        <v>0</v>
      </c>
      <c r="H45" s="10" t="s">
        <v>0</v>
      </c>
      <c r="I45" s="35" t="s">
        <v>0</v>
      </c>
      <c r="J45" s="10" t="s">
        <v>0</v>
      </c>
      <c r="K45" s="10" t="s">
        <v>0</v>
      </c>
      <c r="L45" s="10" t="s">
        <v>0</v>
      </c>
      <c r="M45" s="36" t="s">
        <v>0</v>
      </c>
      <c r="N45" s="35" t="s">
        <v>0</v>
      </c>
      <c r="O45" s="35">
        <v>1.2123999999999999</v>
      </c>
    </row>
    <row r="46" spans="1:20">
      <c r="A46" s="12" t="s">
        <v>6</v>
      </c>
      <c r="B46" s="12" t="s">
        <v>934</v>
      </c>
      <c r="C46" s="55">
        <v>0.625</v>
      </c>
      <c r="D46" s="10">
        <v>5.82</v>
      </c>
      <c r="E46" s="10">
        <v>6.02</v>
      </c>
      <c r="F46" s="10" t="s">
        <v>0</v>
      </c>
      <c r="G46" s="10" t="s">
        <v>0</v>
      </c>
      <c r="H46" s="10" t="s">
        <v>0</v>
      </c>
      <c r="I46" s="35" t="s">
        <v>0</v>
      </c>
      <c r="J46" s="10" t="s">
        <v>0</v>
      </c>
      <c r="K46" s="10" t="s">
        <v>0</v>
      </c>
      <c r="L46" s="10" t="s">
        <v>0</v>
      </c>
      <c r="M46" s="36" t="s">
        <v>0</v>
      </c>
      <c r="N46" s="35" t="s">
        <v>0</v>
      </c>
      <c r="O46" s="35">
        <v>1.2173</v>
      </c>
    </row>
    <row r="47" spans="1:20">
      <c r="A47" s="12" t="s">
        <v>18</v>
      </c>
      <c r="B47" s="12" t="s">
        <v>935</v>
      </c>
      <c r="C47" s="55">
        <v>1.875</v>
      </c>
      <c r="D47" s="10">
        <v>5.94</v>
      </c>
      <c r="E47" s="10">
        <v>6.38</v>
      </c>
      <c r="F47" s="10" t="s">
        <v>0</v>
      </c>
      <c r="G47" s="10" t="s">
        <v>0</v>
      </c>
      <c r="H47" s="10" t="s">
        <v>0</v>
      </c>
      <c r="I47" s="35" t="s">
        <v>0</v>
      </c>
      <c r="J47" s="10" t="s">
        <v>0</v>
      </c>
      <c r="K47" s="10" t="s">
        <v>0</v>
      </c>
      <c r="L47" s="10" t="s">
        <v>0</v>
      </c>
      <c r="M47" s="36" t="s">
        <v>0</v>
      </c>
      <c r="N47" s="35" t="s">
        <v>0</v>
      </c>
      <c r="O47" s="35">
        <v>1.2203999999999999</v>
      </c>
    </row>
    <row r="48" spans="1:20">
      <c r="A48" s="12" t="s">
        <v>236</v>
      </c>
      <c r="B48" s="12" t="s">
        <v>936</v>
      </c>
      <c r="C48" s="55">
        <v>0.5</v>
      </c>
      <c r="D48" s="10">
        <v>6.2</v>
      </c>
      <c r="E48" s="10">
        <v>6.38</v>
      </c>
      <c r="F48" s="10" t="s">
        <v>0</v>
      </c>
      <c r="G48" s="10" t="s">
        <v>0</v>
      </c>
      <c r="H48" s="10" t="s">
        <v>0</v>
      </c>
      <c r="I48" s="35" t="s">
        <v>0</v>
      </c>
      <c r="J48" s="10" t="s">
        <v>0</v>
      </c>
      <c r="K48" s="10" t="s">
        <v>0</v>
      </c>
      <c r="L48" s="10" t="s">
        <v>0</v>
      </c>
      <c r="M48" s="36" t="s">
        <v>0</v>
      </c>
      <c r="N48" s="35" t="s">
        <v>0</v>
      </c>
      <c r="O48" s="35">
        <v>1.2232000000000001</v>
      </c>
    </row>
    <row r="49" spans="1:15">
      <c r="A49" s="12" t="s">
        <v>19</v>
      </c>
      <c r="B49" s="12" t="s">
        <v>937</v>
      </c>
      <c r="C49" s="55">
        <v>1.75</v>
      </c>
      <c r="D49" s="10">
        <v>6.43</v>
      </c>
      <c r="E49" s="10">
        <v>6.85</v>
      </c>
      <c r="F49" s="10" t="s">
        <v>0</v>
      </c>
      <c r="G49" s="10" t="s">
        <v>0</v>
      </c>
      <c r="H49" s="10" t="s">
        <v>0</v>
      </c>
      <c r="I49" s="35" t="s">
        <v>0</v>
      </c>
      <c r="J49" s="10" t="s">
        <v>0</v>
      </c>
      <c r="K49" s="10" t="s">
        <v>0</v>
      </c>
      <c r="L49" s="10" t="s">
        <v>0</v>
      </c>
      <c r="M49" s="36" t="s">
        <v>0</v>
      </c>
      <c r="N49" s="35" t="s">
        <v>0</v>
      </c>
      <c r="O49" s="35">
        <v>1.2290000000000001</v>
      </c>
    </row>
    <row r="50" spans="1:15">
      <c r="A50" s="12" t="s">
        <v>237</v>
      </c>
      <c r="B50" s="12" t="s">
        <v>938</v>
      </c>
      <c r="C50" s="55">
        <v>0.375</v>
      </c>
      <c r="D50" s="10">
        <v>6.52</v>
      </c>
      <c r="E50" s="10">
        <v>6.68</v>
      </c>
      <c r="F50" s="10" t="s">
        <v>0</v>
      </c>
      <c r="G50" s="10" t="s">
        <v>0</v>
      </c>
      <c r="H50" s="10" t="s">
        <v>0</v>
      </c>
      <c r="I50" s="35" t="s">
        <v>0</v>
      </c>
      <c r="J50" s="10" t="s">
        <v>0</v>
      </c>
      <c r="K50" s="10" t="s">
        <v>0</v>
      </c>
      <c r="L50" s="10" t="s">
        <v>0</v>
      </c>
      <c r="M50" s="36" t="s">
        <v>0</v>
      </c>
      <c r="N50" s="35" t="s">
        <v>0</v>
      </c>
      <c r="O50" s="35">
        <v>1.2286999999999999</v>
      </c>
    </row>
    <row r="51" spans="1:15">
      <c r="A51" s="12" t="s">
        <v>49</v>
      </c>
      <c r="B51" s="12" t="s">
        <v>939</v>
      </c>
      <c r="C51" s="55">
        <v>2.125</v>
      </c>
      <c r="D51" s="10">
        <v>6.65</v>
      </c>
      <c r="E51" s="10">
        <v>7.27</v>
      </c>
      <c r="F51" s="10" t="s">
        <v>0</v>
      </c>
      <c r="G51" s="10" t="s">
        <v>0</v>
      </c>
      <c r="H51" s="10" t="s">
        <v>0</v>
      </c>
      <c r="I51" s="35" t="s">
        <v>0</v>
      </c>
      <c r="J51" s="10" t="s">
        <v>0</v>
      </c>
      <c r="K51" s="10" t="s">
        <v>0</v>
      </c>
      <c r="L51" s="10" t="s">
        <v>0</v>
      </c>
      <c r="M51" s="36" t="s">
        <v>0</v>
      </c>
      <c r="N51" s="35" t="s">
        <v>0</v>
      </c>
      <c r="O51" s="35">
        <v>1.2370000000000001</v>
      </c>
    </row>
    <row r="52" spans="1:15">
      <c r="A52" s="12" t="s">
        <v>238</v>
      </c>
      <c r="B52" s="12" t="s">
        <v>940</v>
      </c>
      <c r="C52" s="55">
        <v>0.25</v>
      </c>
      <c r="D52" s="10">
        <v>6.86</v>
      </c>
      <c r="E52" s="10">
        <v>7.02</v>
      </c>
      <c r="F52" s="10" t="s">
        <v>0</v>
      </c>
      <c r="G52" s="10" t="s">
        <v>0</v>
      </c>
      <c r="H52" s="10" t="s">
        <v>0</v>
      </c>
      <c r="I52" s="35" t="s">
        <v>0</v>
      </c>
      <c r="J52" s="10" t="s">
        <v>0</v>
      </c>
      <c r="K52" s="10" t="s">
        <v>0</v>
      </c>
      <c r="L52" s="10" t="s">
        <v>0</v>
      </c>
      <c r="M52" s="36" t="s">
        <v>0</v>
      </c>
      <c r="N52" s="35" t="s">
        <v>0</v>
      </c>
      <c r="O52" s="35">
        <v>1.2359</v>
      </c>
    </row>
    <row r="53" spans="1:15">
      <c r="A53" s="12" t="s">
        <v>20</v>
      </c>
      <c r="B53" s="12" t="s">
        <v>941</v>
      </c>
      <c r="C53" s="55">
        <v>3.625</v>
      </c>
      <c r="D53" s="10">
        <v>6.86</v>
      </c>
      <c r="E53" s="10">
        <v>7.78</v>
      </c>
      <c r="F53" s="10" t="s">
        <v>0</v>
      </c>
      <c r="G53" s="10" t="s">
        <v>0</v>
      </c>
      <c r="H53" s="10" t="s">
        <v>0</v>
      </c>
      <c r="I53" s="35" t="s">
        <v>0</v>
      </c>
      <c r="J53" s="10" t="s">
        <v>0</v>
      </c>
      <c r="K53" s="10" t="s">
        <v>0</v>
      </c>
      <c r="L53" s="10" t="s">
        <v>0</v>
      </c>
      <c r="M53" s="36" t="s">
        <v>0</v>
      </c>
      <c r="N53" s="35" t="s">
        <v>0</v>
      </c>
      <c r="O53" s="35">
        <v>1.2454000000000001</v>
      </c>
    </row>
    <row r="54" spans="1:15">
      <c r="A54" s="12" t="s">
        <v>57</v>
      </c>
      <c r="B54" s="12" t="s">
        <v>942</v>
      </c>
      <c r="C54" s="55">
        <v>1.75</v>
      </c>
      <c r="D54" s="10">
        <v>7.09</v>
      </c>
      <c r="E54" s="10">
        <v>7.64</v>
      </c>
      <c r="F54" s="10" t="s">
        <v>0</v>
      </c>
      <c r="G54" s="10" t="s">
        <v>0</v>
      </c>
      <c r="H54" s="10" t="s">
        <v>0</v>
      </c>
      <c r="I54" s="35" t="s">
        <v>0</v>
      </c>
      <c r="J54" s="10" t="s">
        <v>0</v>
      </c>
      <c r="K54" s="10" t="s">
        <v>0</v>
      </c>
      <c r="L54" s="10" t="s">
        <v>0</v>
      </c>
      <c r="M54" s="36" t="s">
        <v>0</v>
      </c>
      <c r="N54" s="35" t="s">
        <v>0</v>
      </c>
      <c r="O54" s="35">
        <v>1.2464</v>
      </c>
    </row>
    <row r="55" spans="1:15">
      <c r="A55" s="12" t="s">
        <v>239</v>
      </c>
      <c r="B55" s="12" t="s">
        <v>943</v>
      </c>
      <c r="C55" s="55">
        <v>0.25</v>
      </c>
      <c r="D55" s="10">
        <v>7.22</v>
      </c>
      <c r="E55" s="10">
        <v>7.38</v>
      </c>
      <c r="F55" s="10" t="s">
        <v>0</v>
      </c>
      <c r="G55" s="10" t="s">
        <v>0</v>
      </c>
      <c r="H55" s="10" t="s">
        <v>0</v>
      </c>
      <c r="I55" s="35" t="s">
        <v>0</v>
      </c>
      <c r="J55" s="10" t="s">
        <v>0</v>
      </c>
      <c r="K55" s="10" t="s">
        <v>0</v>
      </c>
      <c r="L55" s="10" t="s">
        <v>0</v>
      </c>
      <c r="M55" s="36" t="s">
        <v>0</v>
      </c>
      <c r="N55" s="35" t="s">
        <v>0</v>
      </c>
      <c r="O55" s="35">
        <v>1.2441</v>
      </c>
    </row>
    <row r="56" spans="1:15">
      <c r="A56" s="12" t="s">
        <v>60</v>
      </c>
      <c r="B56" s="12" t="s">
        <v>944</v>
      </c>
      <c r="C56" s="55">
        <v>1.875</v>
      </c>
      <c r="D56" s="10">
        <v>7.25</v>
      </c>
      <c r="E56" s="10">
        <v>7.82</v>
      </c>
      <c r="F56" s="10" t="s">
        <v>0</v>
      </c>
      <c r="G56" s="10" t="s">
        <v>0</v>
      </c>
      <c r="H56" s="10" t="s">
        <v>0</v>
      </c>
      <c r="I56" s="35" t="s">
        <v>0</v>
      </c>
      <c r="J56" s="10" t="s">
        <v>0</v>
      </c>
      <c r="K56" s="10" t="s">
        <v>0</v>
      </c>
      <c r="L56" s="10" t="s">
        <v>0</v>
      </c>
      <c r="M56" s="36" t="s">
        <v>0</v>
      </c>
      <c r="N56" s="35" t="s">
        <v>0</v>
      </c>
      <c r="O56" s="35">
        <v>1.2504</v>
      </c>
    </row>
    <row r="57" spans="1:15">
      <c r="A57" s="12" t="s">
        <v>240</v>
      </c>
      <c r="B57" s="12" t="s">
        <v>945</v>
      </c>
      <c r="C57" s="55">
        <v>0.375</v>
      </c>
      <c r="D57" s="10">
        <v>7.38</v>
      </c>
      <c r="E57" s="10">
        <v>7.58</v>
      </c>
      <c r="F57" s="10" t="s">
        <v>0</v>
      </c>
      <c r="G57" s="10" t="s">
        <v>0</v>
      </c>
      <c r="H57" s="10" t="s">
        <v>0</v>
      </c>
      <c r="I57" s="35" t="s">
        <v>0</v>
      </c>
      <c r="J57" s="10" t="s">
        <v>0</v>
      </c>
      <c r="K57" s="10" t="s">
        <v>0</v>
      </c>
      <c r="L57" s="10" t="s">
        <v>0</v>
      </c>
      <c r="M57" s="36" t="s">
        <v>0</v>
      </c>
      <c r="N57" s="35" t="s">
        <v>0</v>
      </c>
      <c r="O57" s="35">
        <v>1.2486999999999999</v>
      </c>
    </row>
    <row r="58" spans="1:15">
      <c r="A58" s="12" t="s">
        <v>228</v>
      </c>
      <c r="B58" s="12" t="s">
        <v>946</v>
      </c>
      <c r="C58" s="55">
        <v>0.375</v>
      </c>
      <c r="D58" s="10">
        <v>7.51</v>
      </c>
      <c r="E58" s="10">
        <v>7.71</v>
      </c>
      <c r="F58" s="10">
        <v>1.256</v>
      </c>
      <c r="G58" s="10">
        <v>1.2549999999999999</v>
      </c>
      <c r="H58" s="10">
        <v>1.2555000000000001</v>
      </c>
      <c r="I58" s="35">
        <v>3</v>
      </c>
      <c r="J58" s="10" t="s">
        <v>0</v>
      </c>
      <c r="K58" s="10" t="s">
        <v>0</v>
      </c>
      <c r="L58" s="10" t="s">
        <v>0</v>
      </c>
      <c r="M58" s="36" t="s">
        <v>0</v>
      </c>
      <c r="N58" s="35" t="s">
        <v>0</v>
      </c>
      <c r="O58" s="35">
        <v>1.2517</v>
      </c>
    </row>
    <row r="59" spans="1:15">
      <c r="A59" s="12" t="s">
        <v>42</v>
      </c>
      <c r="B59" s="12" t="s">
        <v>947</v>
      </c>
      <c r="C59" s="55">
        <v>1.625</v>
      </c>
      <c r="D59" s="10">
        <v>7.65</v>
      </c>
      <c r="E59" s="10">
        <v>8.2899999999999991</v>
      </c>
      <c r="F59" s="10" t="s">
        <v>0</v>
      </c>
      <c r="G59" s="10" t="s">
        <v>0</v>
      </c>
      <c r="H59" s="10" t="s">
        <v>0</v>
      </c>
      <c r="I59" s="35" t="s">
        <v>0</v>
      </c>
      <c r="J59" s="10" t="s">
        <v>0</v>
      </c>
      <c r="K59" s="10" t="s">
        <v>0</v>
      </c>
      <c r="L59" s="10" t="s">
        <v>0</v>
      </c>
      <c r="M59" s="36" t="s">
        <v>0</v>
      </c>
      <c r="N59" s="35" t="s">
        <v>0</v>
      </c>
      <c r="O59" s="35">
        <v>1.2612000000000001</v>
      </c>
    </row>
    <row r="60" spans="1:15">
      <c r="A60" s="12" t="s">
        <v>241</v>
      </c>
      <c r="B60" s="12" t="s">
        <v>948</v>
      </c>
      <c r="C60" s="55">
        <v>0.5</v>
      </c>
      <c r="D60" s="10">
        <v>7.76</v>
      </c>
      <c r="E60" s="10">
        <v>8.0399999999999991</v>
      </c>
      <c r="F60" s="10" t="s">
        <v>0</v>
      </c>
      <c r="G60" s="10" t="s">
        <v>0</v>
      </c>
      <c r="H60" s="10" t="s">
        <v>0</v>
      </c>
      <c r="I60" s="35" t="s">
        <v>0</v>
      </c>
      <c r="J60" s="10" t="s">
        <v>0</v>
      </c>
      <c r="K60" s="10" t="s">
        <v>0</v>
      </c>
      <c r="L60" s="10" t="s">
        <v>0</v>
      </c>
      <c r="M60" s="36" t="s">
        <v>0</v>
      </c>
      <c r="N60" s="35" t="s">
        <v>0</v>
      </c>
      <c r="O60" s="35">
        <v>1.2592000000000001</v>
      </c>
    </row>
    <row r="61" spans="1:15">
      <c r="A61" s="12" t="s">
        <v>25</v>
      </c>
      <c r="B61" s="12" t="s">
        <v>949</v>
      </c>
      <c r="C61" s="55">
        <v>1.625</v>
      </c>
      <c r="D61" s="10">
        <v>7.8</v>
      </c>
      <c r="E61" s="10">
        <v>8.44</v>
      </c>
      <c r="F61" s="10" t="s">
        <v>0</v>
      </c>
      <c r="G61" s="10" t="s">
        <v>0</v>
      </c>
      <c r="H61" s="10" t="s">
        <v>0</v>
      </c>
      <c r="I61" s="35" t="s">
        <v>0</v>
      </c>
      <c r="J61" s="10" t="s">
        <v>0</v>
      </c>
      <c r="K61" s="10" t="s">
        <v>0</v>
      </c>
      <c r="L61" s="10" t="s">
        <v>0</v>
      </c>
      <c r="M61" s="36" t="s">
        <v>0</v>
      </c>
      <c r="N61" s="35" t="s">
        <v>0</v>
      </c>
      <c r="O61" s="35">
        <v>1.2642</v>
      </c>
    </row>
    <row r="62" spans="1:15">
      <c r="A62" s="12" t="s">
        <v>242</v>
      </c>
      <c r="B62" s="12" t="s">
        <v>950</v>
      </c>
      <c r="C62" s="55">
        <v>0.75</v>
      </c>
      <c r="D62" s="10">
        <v>7.89</v>
      </c>
      <c r="E62" s="10">
        <v>8.26</v>
      </c>
      <c r="F62" s="10" t="s">
        <v>0</v>
      </c>
      <c r="G62" s="10" t="s">
        <v>0</v>
      </c>
      <c r="H62" s="10" t="s">
        <v>0</v>
      </c>
      <c r="I62" s="35" t="s">
        <v>0</v>
      </c>
      <c r="J62" s="10" t="s">
        <v>0</v>
      </c>
      <c r="K62" s="10" t="s">
        <v>0</v>
      </c>
      <c r="L62" s="10" t="s">
        <v>0</v>
      </c>
      <c r="M62" s="36" t="s">
        <v>0</v>
      </c>
      <c r="N62" s="35" t="s">
        <v>0</v>
      </c>
      <c r="O62" s="35">
        <v>1.2632000000000001</v>
      </c>
    </row>
    <row r="63" spans="1:15">
      <c r="A63" s="12" t="s">
        <v>205</v>
      </c>
      <c r="B63" s="12" t="s">
        <v>951</v>
      </c>
      <c r="C63" s="55">
        <v>0.625</v>
      </c>
      <c r="D63" s="10">
        <v>8.0399999999999991</v>
      </c>
      <c r="E63" s="10">
        <v>8.3699999999999992</v>
      </c>
      <c r="F63" s="10" t="s">
        <v>0</v>
      </c>
      <c r="G63" s="10" t="s">
        <v>0</v>
      </c>
      <c r="H63" s="10" t="s">
        <v>0</v>
      </c>
      <c r="I63" s="35" t="s">
        <v>0</v>
      </c>
      <c r="J63" s="10" t="s">
        <v>0</v>
      </c>
      <c r="K63" s="10" t="s">
        <v>0</v>
      </c>
      <c r="L63" s="10" t="s">
        <v>0</v>
      </c>
      <c r="M63" s="36" t="s">
        <v>0</v>
      </c>
      <c r="N63" s="35" t="s">
        <v>0</v>
      </c>
      <c r="O63" s="35">
        <v>1.2657</v>
      </c>
    </row>
    <row r="64" spans="1:15">
      <c r="A64" s="12" t="s">
        <v>219</v>
      </c>
      <c r="B64" s="12" t="s">
        <v>952</v>
      </c>
      <c r="C64" s="55">
        <v>1.25</v>
      </c>
      <c r="D64" s="10">
        <v>8.1999999999999993</v>
      </c>
      <c r="E64" s="10">
        <v>8.73</v>
      </c>
      <c r="F64" s="10">
        <v>1.268</v>
      </c>
      <c r="G64" s="10">
        <v>1.2669999999999999</v>
      </c>
      <c r="H64" s="10">
        <v>1.2675000000000001</v>
      </c>
      <c r="I64" s="35">
        <v>8</v>
      </c>
      <c r="J64" s="10" t="s">
        <v>0</v>
      </c>
      <c r="K64" s="10" t="s">
        <v>0</v>
      </c>
      <c r="L64" s="10" t="s">
        <v>0</v>
      </c>
      <c r="M64" s="36" t="s">
        <v>0</v>
      </c>
      <c r="N64" s="35" t="s">
        <v>0</v>
      </c>
      <c r="O64" s="35">
        <v>1.2705</v>
      </c>
    </row>
    <row r="65" spans="1:15">
      <c r="A65" s="12" t="s">
        <v>262</v>
      </c>
      <c r="B65" s="12" t="s">
        <v>953</v>
      </c>
      <c r="C65" s="55">
        <v>1.75</v>
      </c>
      <c r="D65" s="10">
        <v>8.2100000000000009</v>
      </c>
      <c r="E65" s="10">
        <v>9.0299999999999994</v>
      </c>
      <c r="F65" s="10" t="s">
        <v>0</v>
      </c>
      <c r="G65" s="10" t="s">
        <v>0</v>
      </c>
      <c r="H65" s="10" t="s">
        <v>0</v>
      </c>
      <c r="I65" s="35" t="s">
        <v>0</v>
      </c>
      <c r="J65" s="10" t="s">
        <v>0</v>
      </c>
      <c r="K65" s="10" t="s">
        <v>0</v>
      </c>
      <c r="L65" s="10" t="s">
        <v>0</v>
      </c>
      <c r="M65" s="36" t="s">
        <v>0</v>
      </c>
      <c r="N65" s="35" t="s">
        <v>0</v>
      </c>
      <c r="O65" s="35">
        <v>1.2739</v>
      </c>
    </row>
    <row r="66" spans="1:15">
      <c r="A66" s="12" t="s">
        <v>29</v>
      </c>
      <c r="B66" s="12" t="s">
        <v>954</v>
      </c>
      <c r="C66" s="55">
        <v>1.5</v>
      </c>
      <c r="D66" s="10">
        <v>8.23</v>
      </c>
      <c r="E66" s="10">
        <v>8.85</v>
      </c>
      <c r="F66" s="10" t="s">
        <v>0</v>
      </c>
      <c r="G66" s="10" t="s">
        <v>0</v>
      </c>
      <c r="H66" s="10" t="s">
        <v>0</v>
      </c>
      <c r="I66" s="35" t="s">
        <v>0</v>
      </c>
      <c r="J66" s="10" t="s">
        <v>0</v>
      </c>
      <c r="K66" s="10" t="s">
        <v>0</v>
      </c>
      <c r="L66" s="10" t="s">
        <v>0</v>
      </c>
      <c r="M66" s="36" t="s">
        <v>0</v>
      </c>
      <c r="N66" s="35" t="s">
        <v>0</v>
      </c>
      <c r="O66" s="35">
        <v>1.2717000000000001</v>
      </c>
    </row>
    <row r="67" spans="1:15">
      <c r="A67" s="12" t="s">
        <v>52</v>
      </c>
      <c r="B67" s="12" t="s">
        <v>955</v>
      </c>
      <c r="C67" s="55">
        <v>1.5</v>
      </c>
      <c r="D67" s="10">
        <v>8.57</v>
      </c>
      <c r="E67" s="10">
        <v>9.31</v>
      </c>
      <c r="F67" s="10" t="s">
        <v>0</v>
      </c>
      <c r="G67" s="10" t="s">
        <v>0</v>
      </c>
      <c r="H67" s="10" t="s">
        <v>0</v>
      </c>
      <c r="I67" s="35" t="s">
        <v>0</v>
      </c>
      <c r="J67" s="10" t="s">
        <v>0</v>
      </c>
      <c r="K67" s="10" t="s">
        <v>0</v>
      </c>
      <c r="L67" s="10" t="s">
        <v>0</v>
      </c>
      <c r="M67" s="36" t="s">
        <v>0</v>
      </c>
      <c r="N67" s="35" t="s">
        <v>0</v>
      </c>
      <c r="O67" s="35">
        <v>1.2788999999999999</v>
      </c>
    </row>
    <row r="68" spans="1:15">
      <c r="A68" s="12" t="s">
        <v>275</v>
      </c>
      <c r="B68" s="12" t="s">
        <v>956</v>
      </c>
      <c r="C68" s="55">
        <v>1.25</v>
      </c>
      <c r="D68" s="10">
        <v>8.61</v>
      </c>
      <c r="E68" s="10">
        <v>9.27</v>
      </c>
      <c r="F68" s="10" t="s">
        <v>0</v>
      </c>
      <c r="G68" s="10" t="s">
        <v>0</v>
      </c>
      <c r="H68" s="10" t="s">
        <v>0</v>
      </c>
      <c r="I68" s="35" t="s">
        <v>0</v>
      </c>
      <c r="J68" s="10" t="s">
        <v>0</v>
      </c>
      <c r="K68" s="10" t="s">
        <v>0</v>
      </c>
      <c r="L68" s="10" t="s">
        <v>0</v>
      </c>
      <c r="M68" s="36" t="s">
        <v>0</v>
      </c>
      <c r="N68" s="35" t="s">
        <v>0</v>
      </c>
      <c r="O68" s="35">
        <v>1.2788999999999999</v>
      </c>
    </row>
    <row r="69" spans="1:15">
      <c r="A69" s="12" t="s">
        <v>61</v>
      </c>
      <c r="B69" s="12" t="s">
        <v>957</v>
      </c>
      <c r="C69" s="55">
        <v>1.75</v>
      </c>
      <c r="D69" s="10">
        <v>8.6300000000000008</v>
      </c>
      <c r="E69" s="10">
        <v>9.4600000000000009</v>
      </c>
      <c r="F69" s="10" t="s">
        <v>0</v>
      </c>
      <c r="G69" s="10" t="s">
        <v>0</v>
      </c>
      <c r="H69" s="10" t="s">
        <v>0</v>
      </c>
      <c r="I69" s="35" t="s">
        <v>0</v>
      </c>
      <c r="J69" s="10" t="s">
        <v>0</v>
      </c>
      <c r="K69" s="10" t="s">
        <v>0</v>
      </c>
      <c r="L69" s="10" t="s">
        <v>0</v>
      </c>
      <c r="M69" s="36" t="s">
        <v>0</v>
      </c>
      <c r="N69" s="35" t="s">
        <v>0</v>
      </c>
      <c r="O69" s="35">
        <v>1.2801</v>
      </c>
    </row>
    <row r="70" spans="1:15">
      <c r="A70" s="12" t="s">
        <v>273</v>
      </c>
      <c r="B70" s="12" t="s">
        <v>958</v>
      </c>
      <c r="C70" s="55">
        <v>1.125</v>
      </c>
      <c r="D70" s="10">
        <v>8.76</v>
      </c>
      <c r="E70" s="10">
        <v>9.3699999999999992</v>
      </c>
      <c r="F70" s="10" t="s">
        <v>0</v>
      </c>
      <c r="G70" s="10" t="s">
        <v>0</v>
      </c>
      <c r="H70" s="10" t="s">
        <v>0</v>
      </c>
      <c r="I70" s="35" t="s">
        <v>0</v>
      </c>
      <c r="J70" s="10" t="s">
        <v>0</v>
      </c>
      <c r="K70" s="10" t="s">
        <v>0</v>
      </c>
      <c r="L70" s="10" t="s">
        <v>0</v>
      </c>
      <c r="M70" s="36" t="s">
        <v>0</v>
      </c>
      <c r="N70" s="35" t="s">
        <v>0</v>
      </c>
      <c r="O70" s="35">
        <v>1.2808999999999999</v>
      </c>
    </row>
    <row r="71" spans="1:15">
      <c r="A71" s="12" t="s">
        <v>30</v>
      </c>
      <c r="B71" s="12" t="s">
        <v>959</v>
      </c>
      <c r="C71" s="55">
        <v>2</v>
      </c>
      <c r="D71" s="10">
        <v>8.8800000000000008</v>
      </c>
      <c r="E71" s="10">
        <v>9.8000000000000007</v>
      </c>
      <c r="F71" s="10" t="s">
        <v>0</v>
      </c>
      <c r="G71" s="10" t="s">
        <v>0</v>
      </c>
      <c r="H71" s="10" t="s">
        <v>0</v>
      </c>
      <c r="I71" s="35" t="s">
        <v>0</v>
      </c>
      <c r="J71" s="10" t="s">
        <v>0</v>
      </c>
      <c r="K71" s="10" t="s">
        <v>0</v>
      </c>
      <c r="L71" s="10" t="s">
        <v>0</v>
      </c>
      <c r="M71" s="36" t="s">
        <v>0</v>
      </c>
      <c r="N71" s="35" t="s">
        <v>0</v>
      </c>
      <c r="O71" s="35">
        <v>1.2843</v>
      </c>
    </row>
    <row r="72" spans="1:15">
      <c r="A72" s="12" t="s">
        <v>21</v>
      </c>
      <c r="B72" s="12" t="s">
        <v>960</v>
      </c>
      <c r="C72" s="55">
        <v>3.875</v>
      </c>
      <c r="D72" s="10">
        <v>8.92</v>
      </c>
      <c r="E72" s="10">
        <v>10.64</v>
      </c>
      <c r="F72" s="10" t="s">
        <v>0</v>
      </c>
      <c r="G72" s="10" t="s">
        <v>0</v>
      </c>
      <c r="H72" s="10" t="s">
        <v>0</v>
      </c>
      <c r="I72" s="35" t="s">
        <v>0</v>
      </c>
      <c r="J72" s="10" t="s">
        <v>0</v>
      </c>
      <c r="K72" s="10" t="s">
        <v>0</v>
      </c>
      <c r="L72" s="10" t="s">
        <v>0</v>
      </c>
      <c r="M72" s="36" t="s">
        <v>0</v>
      </c>
      <c r="N72" s="35" t="s">
        <v>0</v>
      </c>
      <c r="O72" s="35">
        <v>1.2902</v>
      </c>
    </row>
    <row r="73" spans="1:15">
      <c r="A73" s="12" t="s">
        <v>324</v>
      </c>
      <c r="B73" s="12" t="s">
        <v>961</v>
      </c>
      <c r="C73" s="55">
        <v>1.125</v>
      </c>
      <c r="D73" s="10">
        <v>9.07</v>
      </c>
      <c r="E73" s="10">
        <v>9.68</v>
      </c>
      <c r="F73" s="10" t="s">
        <v>0</v>
      </c>
      <c r="G73" s="10" t="s">
        <v>0</v>
      </c>
      <c r="H73" s="10" t="s">
        <v>0</v>
      </c>
      <c r="I73" s="35" t="s">
        <v>0</v>
      </c>
      <c r="J73" s="10" t="s">
        <v>0</v>
      </c>
      <c r="K73" s="10" t="s">
        <v>0</v>
      </c>
      <c r="L73" s="10" t="s">
        <v>0</v>
      </c>
      <c r="M73" s="36" t="s">
        <v>0</v>
      </c>
      <c r="N73" s="35" t="s">
        <v>0</v>
      </c>
      <c r="O73" s="35">
        <v>1.2853000000000001</v>
      </c>
    </row>
    <row r="74" spans="1:15">
      <c r="A74" s="12" t="s">
        <v>537</v>
      </c>
      <c r="B74" s="12" t="s">
        <v>962</v>
      </c>
      <c r="C74" s="55">
        <v>1.25</v>
      </c>
      <c r="D74" s="10">
        <v>9.16</v>
      </c>
      <c r="E74" s="10">
        <v>10</v>
      </c>
      <c r="F74" s="10">
        <v>1.3</v>
      </c>
      <c r="G74" s="10">
        <v>1.288</v>
      </c>
      <c r="H74" s="10">
        <v>1.2928999999999999</v>
      </c>
      <c r="I74" s="35">
        <v>11</v>
      </c>
      <c r="J74" s="10" t="s">
        <v>0</v>
      </c>
      <c r="K74" s="10" t="s">
        <v>0</v>
      </c>
      <c r="L74" s="10" t="s">
        <v>0</v>
      </c>
      <c r="M74" s="36" t="s">
        <v>0</v>
      </c>
      <c r="N74" s="35" t="s">
        <v>0</v>
      </c>
      <c r="O74" s="35">
        <v>1.2868999999999999</v>
      </c>
    </row>
    <row r="75" spans="1:15">
      <c r="A75" s="12" t="s">
        <v>62</v>
      </c>
      <c r="B75" s="12" t="s">
        <v>963</v>
      </c>
      <c r="C75" s="55">
        <v>2</v>
      </c>
      <c r="D75" s="10">
        <v>9.2200000000000006</v>
      </c>
      <c r="E75" s="10">
        <v>10.32</v>
      </c>
      <c r="F75" s="10" t="s">
        <v>0</v>
      </c>
      <c r="G75" s="10" t="s">
        <v>0</v>
      </c>
      <c r="H75" s="10" t="s">
        <v>0</v>
      </c>
      <c r="I75" s="35" t="s">
        <v>0</v>
      </c>
      <c r="J75" s="10" t="s">
        <v>0</v>
      </c>
      <c r="K75" s="10" t="s">
        <v>0</v>
      </c>
      <c r="L75" s="10" t="s">
        <v>0</v>
      </c>
      <c r="M75" s="36" t="s">
        <v>0</v>
      </c>
      <c r="N75" s="35" t="s">
        <v>0</v>
      </c>
      <c r="O75" s="35">
        <v>1.2915000000000001</v>
      </c>
    </row>
    <row r="76" spans="1:15">
      <c r="A76" s="12" t="s">
        <v>541</v>
      </c>
      <c r="B76" s="12" t="s">
        <v>962</v>
      </c>
      <c r="C76" s="55">
        <v>1.25</v>
      </c>
      <c r="D76" s="10">
        <v>9.34</v>
      </c>
      <c r="E76" s="10">
        <v>10</v>
      </c>
      <c r="F76" s="10">
        <v>1.29</v>
      </c>
      <c r="G76" s="10">
        <v>1.29</v>
      </c>
      <c r="H76" s="10">
        <v>1.29</v>
      </c>
      <c r="I76" s="35">
        <v>1</v>
      </c>
      <c r="J76" s="10" t="s">
        <v>0</v>
      </c>
      <c r="K76" s="10" t="s">
        <v>0</v>
      </c>
      <c r="L76" s="10" t="s">
        <v>0</v>
      </c>
      <c r="M76" s="36" t="s">
        <v>0</v>
      </c>
      <c r="N76" s="35" t="s">
        <v>0</v>
      </c>
      <c r="O76" s="35">
        <v>1.2896000000000001</v>
      </c>
    </row>
    <row r="77" spans="1:15">
      <c r="A77" s="12" t="s">
        <v>43</v>
      </c>
      <c r="B77" s="12" t="s">
        <v>964</v>
      </c>
      <c r="C77" s="55">
        <v>1.875</v>
      </c>
      <c r="D77" s="10">
        <v>9.5</v>
      </c>
      <c r="E77" s="10">
        <v>10.55</v>
      </c>
      <c r="F77" s="10" t="s">
        <v>0</v>
      </c>
      <c r="G77" s="10" t="s">
        <v>0</v>
      </c>
      <c r="H77" s="10" t="s">
        <v>0</v>
      </c>
      <c r="I77" s="35" t="s">
        <v>0</v>
      </c>
      <c r="J77" s="10" t="s">
        <v>0</v>
      </c>
      <c r="K77" s="10" t="s">
        <v>0</v>
      </c>
      <c r="L77" s="10" t="s">
        <v>0</v>
      </c>
      <c r="M77" s="36" t="s">
        <v>0</v>
      </c>
      <c r="N77" s="35" t="s">
        <v>0</v>
      </c>
      <c r="O77" s="35">
        <v>1.2951999999999999</v>
      </c>
    </row>
    <row r="78" spans="1:15">
      <c r="A78" s="12" t="s">
        <v>64</v>
      </c>
      <c r="B78" s="12" t="s">
        <v>965</v>
      </c>
      <c r="C78" s="55">
        <v>2.125</v>
      </c>
      <c r="D78" s="10">
        <v>9.67</v>
      </c>
      <c r="E78" s="10">
        <v>10.82</v>
      </c>
      <c r="F78" s="10" t="s">
        <v>0</v>
      </c>
      <c r="G78" s="10" t="s">
        <v>0</v>
      </c>
      <c r="H78" s="10" t="s">
        <v>0</v>
      </c>
      <c r="I78" s="35" t="s">
        <v>0</v>
      </c>
      <c r="J78" s="10" t="s">
        <v>0</v>
      </c>
      <c r="K78" s="10" t="s">
        <v>0</v>
      </c>
      <c r="L78" s="10" t="s">
        <v>0</v>
      </c>
      <c r="M78" s="36" t="s">
        <v>0</v>
      </c>
      <c r="N78" s="35" t="s">
        <v>0</v>
      </c>
      <c r="O78" s="35">
        <v>1.2982</v>
      </c>
    </row>
    <row r="79" spans="1:15">
      <c r="A79" s="12" t="s">
        <v>63</v>
      </c>
      <c r="B79" s="12" t="s">
        <v>966</v>
      </c>
      <c r="C79" s="55">
        <v>2.25</v>
      </c>
      <c r="D79" s="10">
        <v>9.7899999999999991</v>
      </c>
      <c r="E79" s="10">
        <v>10.99</v>
      </c>
      <c r="F79" s="10" t="s">
        <v>0</v>
      </c>
      <c r="G79" s="10" t="s">
        <v>0</v>
      </c>
      <c r="H79" s="10" t="s">
        <v>0</v>
      </c>
      <c r="I79" s="35" t="s">
        <v>0</v>
      </c>
      <c r="J79" s="10" t="s">
        <v>0</v>
      </c>
      <c r="K79" s="10" t="s">
        <v>0</v>
      </c>
      <c r="L79" s="10" t="s">
        <v>0</v>
      </c>
      <c r="M79" s="36" t="s">
        <v>0</v>
      </c>
      <c r="N79" s="35" t="s">
        <v>0</v>
      </c>
      <c r="O79" s="35">
        <v>1.3001</v>
      </c>
    </row>
    <row r="80" spans="1:15">
      <c r="A80" s="12" t="s">
        <v>26</v>
      </c>
      <c r="B80" s="12" t="s">
        <v>967</v>
      </c>
      <c r="C80" s="55">
        <v>2</v>
      </c>
      <c r="D80" s="10">
        <v>10.01</v>
      </c>
      <c r="E80" s="10">
        <v>11.3</v>
      </c>
      <c r="F80" s="10" t="s">
        <v>0</v>
      </c>
      <c r="G80" s="10" t="s">
        <v>0</v>
      </c>
      <c r="H80" s="10" t="s">
        <v>0</v>
      </c>
      <c r="I80" s="35" t="s">
        <v>0</v>
      </c>
      <c r="J80" s="10" t="s">
        <v>0</v>
      </c>
      <c r="K80" s="10" t="s">
        <v>0</v>
      </c>
      <c r="L80" s="10" t="s">
        <v>0</v>
      </c>
      <c r="M80" s="36" t="s">
        <v>0</v>
      </c>
      <c r="N80" s="35" t="s">
        <v>0</v>
      </c>
      <c r="O80" s="35">
        <v>1.3052999999999999</v>
      </c>
    </row>
    <row r="81" spans="1:15">
      <c r="A81" s="12" t="s">
        <v>48</v>
      </c>
      <c r="B81" s="12" t="s">
        <v>968</v>
      </c>
      <c r="C81" s="55">
        <v>2.125</v>
      </c>
      <c r="D81" s="10">
        <v>10.17</v>
      </c>
      <c r="E81" s="10">
        <v>11.52</v>
      </c>
      <c r="F81" s="10" t="s">
        <v>0</v>
      </c>
      <c r="G81" s="10" t="s">
        <v>0</v>
      </c>
      <c r="H81" s="10" t="s">
        <v>0</v>
      </c>
      <c r="I81" s="35" t="s">
        <v>0</v>
      </c>
      <c r="J81" s="10" t="s">
        <v>0</v>
      </c>
      <c r="K81" s="10" t="s">
        <v>0</v>
      </c>
      <c r="L81" s="10" t="s">
        <v>0</v>
      </c>
      <c r="M81" s="36" t="s">
        <v>0</v>
      </c>
      <c r="N81" s="35" t="s">
        <v>0</v>
      </c>
      <c r="O81" s="35">
        <v>1.3080000000000001</v>
      </c>
    </row>
    <row r="82" spans="1:15">
      <c r="A82" s="12" t="s">
        <v>53</v>
      </c>
      <c r="B82" s="12" t="s">
        <v>969</v>
      </c>
      <c r="C82" s="55">
        <v>1.75</v>
      </c>
      <c r="D82" s="10">
        <v>10.69</v>
      </c>
      <c r="E82" s="10">
        <v>12.06</v>
      </c>
      <c r="F82" s="10" t="s">
        <v>0</v>
      </c>
      <c r="G82" s="10" t="s">
        <v>0</v>
      </c>
      <c r="H82" s="10" t="s">
        <v>0</v>
      </c>
      <c r="I82" s="35" t="s">
        <v>0</v>
      </c>
      <c r="J82" s="10" t="s">
        <v>0</v>
      </c>
      <c r="K82" s="10" t="s">
        <v>0</v>
      </c>
      <c r="L82" s="10" t="s">
        <v>0</v>
      </c>
      <c r="M82" s="36" t="s">
        <v>0</v>
      </c>
      <c r="N82" s="35" t="s">
        <v>0</v>
      </c>
      <c r="O82" s="35">
        <v>1.3169</v>
      </c>
    </row>
    <row r="83" spans="1:15">
      <c r="A83" s="12" t="s">
        <v>38</v>
      </c>
      <c r="B83" s="12" t="s">
        <v>970</v>
      </c>
      <c r="C83" s="55">
        <v>1.375</v>
      </c>
      <c r="D83" s="10">
        <v>11.15</v>
      </c>
      <c r="E83" s="10">
        <v>12.3</v>
      </c>
      <c r="F83" s="10" t="s">
        <v>0</v>
      </c>
      <c r="G83" s="10" t="s">
        <v>0</v>
      </c>
      <c r="H83" s="10" t="s">
        <v>0</v>
      </c>
      <c r="I83" s="35" t="s">
        <v>0</v>
      </c>
      <c r="J83" s="10" t="s">
        <v>0</v>
      </c>
      <c r="K83" s="10" t="s">
        <v>0</v>
      </c>
      <c r="L83" s="10" t="s">
        <v>0</v>
      </c>
      <c r="M83" s="36" t="s">
        <v>0</v>
      </c>
      <c r="N83" s="35" t="s">
        <v>0</v>
      </c>
      <c r="O83" s="35">
        <v>1.3218000000000001</v>
      </c>
    </row>
    <row r="84" spans="1:15">
      <c r="A84" s="12" t="s">
        <v>33</v>
      </c>
      <c r="B84" s="12" t="s">
        <v>971</v>
      </c>
      <c r="C84" s="55">
        <v>1.25</v>
      </c>
      <c r="D84" s="10">
        <v>11.43</v>
      </c>
      <c r="E84" s="10">
        <v>12.51</v>
      </c>
      <c r="F84" s="10" t="s">
        <v>0</v>
      </c>
      <c r="G84" s="10" t="s">
        <v>0</v>
      </c>
      <c r="H84" s="10" t="s">
        <v>0</v>
      </c>
      <c r="I84" s="35" t="s">
        <v>0</v>
      </c>
      <c r="J84" s="10" t="s">
        <v>0</v>
      </c>
      <c r="K84" s="10" t="s">
        <v>0</v>
      </c>
      <c r="L84" s="10" t="s">
        <v>0</v>
      </c>
      <c r="M84" s="36" t="s">
        <v>0</v>
      </c>
      <c r="N84" s="35" t="s">
        <v>0</v>
      </c>
      <c r="O84" s="35">
        <v>1.3252999999999999</v>
      </c>
    </row>
    <row r="85" spans="1:15">
      <c r="A85" s="12" t="s">
        <v>44</v>
      </c>
      <c r="B85" s="12" t="s">
        <v>972</v>
      </c>
      <c r="C85" s="55">
        <v>1.125</v>
      </c>
      <c r="D85" s="10">
        <v>11.78</v>
      </c>
      <c r="E85" s="10">
        <v>12.79</v>
      </c>
      <c r="F85" s="10" t="s">
        <v>0</v>
      </c>
      <c r="G85" s="10" t="s">
        <v>0</v>
      </c>
      <c r="H85" s="10" t="s">
        <v>0</v>
      </c>
      <c r="I85" s="35" t="s">
        <v>0</v>
      </c>
      <c r="J85" s="10" t="s">
        <v>0</v>
      </c>
      <c r="K85" s="10" t="s">
        <v>0</v>
      </c>
      <c r="L85" s="10" t="s">
        <v>0</v>
      </c>
      <c r="M85" s="36" t="s">
        <v>0</v>
      </c>
      <c r="N85" s="35" t="s">
        <v>0</v>
      </c>
      <c r="O85" s="35">
        <v>1.3299000000000001</v>
      </c>
    </row>
    <row r="86" spans="1:15">
      <c r="A86" s="12" t="s">
        <v>35</v>
      </c>
      <c r="B86" s="12" t="s">
        <v>973</v>
      </c>
      <c r="C86" s="55">
        <v>1.75</v>
      </c>
      <c r="D86" s="10">
        <v>11.8</v>
      </c>
      <c r="E86" s="10">
        <v>13.38</v>
      </c>
      <c r="F86" s="10" t="s">
        <v>0</v>
      </c>
      <c r="G86" s="10" t="s">
        <v>0</v>
      </c>
      <c r="H86" s="10" t="s">
        <v>0</v>
      </c>
      <c r="I86" s="35" t="s">
        <v>0</v>
      </c>
      <c r="J86" s="10" t="s">
        <v>0</v>
      </c>
      <c r="K86" s="10" t="s">
        <v>0</v>
      </c>
      <c r="L86" s="10" t="s">
        <v>0</v>
      </c>
      <c r="M86" s="36" t="s">
        <v>0</v>
      </c>
      <c r="N86" s="35" t="s">
        <v>0</v>
      </c>
      <c r="O86" s="35">
        <v>1.3351999999999999</v>
      </c>
    </row>
    <row r="87" spans="1:15">
      <c r="A87" s="12" t="s">
        <v>65</v>
      </c>
      <c r="B87" s="12" t="s">
        <v>974</v>
      </c>
      <c r="C87" s="55">
        <v>1.5</v>
      </c>
      <c r="D87" s="10">
        <v>12.45</v>
      </c>
      <c r="E87" s="10">
        <v>13.87</v>
      </c>
      <c r="F87" s="10" t="s">
        <v>0</v>
      </c>
      <c r="G87" s="10" t="s">
        <v>0</v>
      </c>
      <c r="H87" s="10" t="s">
        <v>0</v>
      </c>
      <c r="I87" s="35" t="s">
        <v>0</v>
      </c>
      <c r="J87" s="10" t="s">
        <v>0</v>
      </c>
      <c r="K87" s="10" t="s">
        <v>0</v>
      </c>
      <c r="L87" s="10" t="s">
        <v>0</v>
      </c>
      <c r="M87" s="36" t="s">
        <v>0</v>
      </c>
      <c r="N87" s="35" t="s">
        <v>0</v>
      </c>
      <c r="O87" s="35">
        <v>1.3431</v>
      </c>
    </row>
    <row r="88" spans="1:15">
      <c r="A88" s="12" t="s">
        <v>66</v>
      </c>
      <c r="B88" s="12" t="s">
        <v>975</v>
      </c>
      <c r="C88" s="55">
        <v>1.375</v>
      </c>
      <c r="D88" s="10">
        <v>12.92</v>
      </c>
      <c r="E88" s="10">
        <v>14.43</v>
      </c>
      <c r="F88" s="10" t="s">
        <v>0</v>
      </c>
      <c r="G88" s="10" t="s">
        <v>0</v>
      </c>
      <c r="H88" s="10" t="s">
        <v>0</v>
      </c>
      <c r="I88" s="35" t="s">
        <v>0</v>
      </c>
      <c r="J88" s="10" t="s">
        <v>0</v>
      </c>
      <c r="K88" s="10" t="s">
        <v>0</v>
      </c>
      <c r="L88" s="10" t="s">
        <v>0</v>
      </c>
      <c r="M88" s="36" t="s">
        <v>0</v>
      </c>
      <c r="N88" s="35" t="s">
        <v>0</v>
      </c>
      <c r="O88" s="35">
        <v>1.3515999999999999</v>
      </c>
    </row>
    <row r="89" spans="1:15">
      <c r="A89" s="12" t="s">
        <v>22</v>
      </c>
      <c r="B89" s="12" t="s">
        <v>976</v>
      </c>
      <c r="C89" s="55">
        <v>2.25</v>
      </c>
      <c r="D89" s="10">
        <v>13.63</v>
      </c>
      <c r="E89" s="10">
        <v>16.309999999999999</v>
      </c>
      <c r="F89" s="10" t="s">
        <v>0</v>
      </c>
      <c r="G89" s="10" t="s">
        <v>0</v>
      </c>
      <c r="H89" s="10" t="s">
        <v>0</v>
      </c>
      <c r="I89" s="35" t="s">
        <v>0</v>
      </c>
      <c r="J89" s="10" t="s">
        <v>0</v>
      </c>
      <c r="K89" s="10" t="s">
        <v>0</v>
      </c>
      <c r="L89" s="10" t="s">
        <v>0</v>
      </c>
      <c r="M89" s="36" t="s">
        <v>0</v>
      </c>
      <c r="N89" s="35" t="s">
        <v>0</v>
      </c>
      <c r="O89" s="35">
        <v>1.3714</v>
      </c>
    </row>
    <row r="90" spans="1:15">
      <c r="A90" s="12" t="s">
        <v>67</v>
      </c>
      <c r="B90" s="12" t="s">
        <v>977</v>
      </c>
      <c r="C90" s="55">
        <v>1.125</v>
      </c>
      <c r="D90" s="10">
        <v>13.64</v>
      </c>
      <c r="E90" s="10">
        <v>14.96</v>
      </c>
      <c r="F90" s="10" t="s">
        <v>0</v>
      </c>
      <c r="G90" s="10" t="s">
        <v>0</v>
      </c>
      <c r="H90" s="10" t="s">
        <v>0</v>
      </c>
      <c r="I90" s="35" t="s">
        <v>0</v>
      </c>
      <c r="J90" s="10" t="s">
        <v>0</v>
      </c>
      <c r="K90" s="10" t="s">
        <v>0</v>
      </c>
      <c r="L90" s="10" t="s">
        <v>0</v>
      </c>
      <c r="M90" s="36" t="s">
        <v>0</v>
      </c>
      <c r="N90" s="35" t="s">
        <v>0</v>
      </c>
      <c r="O90" s="35">
        <v>1.3602000000000001</v>
      </c>
    </row>
    <row r="91" spans="1:15">
      <c r="A91" s="12" t="s">
        <v>243</v>
      </c>
      <c r="B91" s="12" t="s">
        <v>978</v>
      </c>
      <c r="C91" s="55">
        <v>1.125</v>
      </c>
      <c r="D91" s="10">
        <v>13.83</v>
      </c>
      <c r="E91" s="10">
        <v>15.31</v>
      </c>
      <c r="F91" s="10" t="s">
        <v>0</v>
      </c>
      <c r="G91" s="10" t="s">
        <v>0</v>
      </c>
      <c r="H91" s="10" t="s">
        <v>0</v>
      </c>
      <c r="I91" s="35" t="s">
        <v>0</v>
      </c>
      <c r="J91" s="10" t="s">
        <v>0</v>
      </c>
      <c r="K91" s="10" t="s">
        <v>0</v>
      </c>
      <c r="L91" s="10" t="s">
        <v>0</v>
      </c>
      <c r="M91" s="36" t="s">
        <v>0</v>
      </c>
      <c r="N91" s="35" t="s">
        <v>0</v>
      </c>
      <c r="O91" s="35">
        <v>1.365</v>
      </c>
    </row>
    <row r="92" spans="1:15">
      <c r="A92" s="12" t="s">
        <v>244</v>
      </c>
      <c r="B92" s="12" t="s">
        <v>979</v>
      </c>
      <c r="C92" s="55">
        <v>1.125</v>
      </c>
      <c r="D92" s="10">
        <v>13.92</v>
      </c>
      <c r="E92" s="10">
        <v>15.41</v>
      </c>
      <c r="F92" s="10" t="s">
        <v>0</v>
      </c>
      <c r="G92" s="10" t="s">
        <v>0</v>
      </c>
      <c r="H92" s="10" t="s">
        <v>0</v>
      </c>
      <c r="I92" s="35" t="s">
        <v>0</v>
      </c>
      <c r="J92" s="10" t="s">
        <v>0</v>
      </c>
      <c r="K92" s="10" t="s">
        <v>0</v>
      </c>
      <c r="L92" s="10" t="s">
        <v>0</v>
      </c>
      <c r="M92" s="36" t="s">
        <v>0</v>
      </c>
      <c r="N92" s="35" t="s">
        <v>0</v>
      </c>
      <c r="O92" s="35">
        <v>1.3663000000000001</v>
      </c>
    </row>
    <row r="93" spans="1:15">
      <c r="A93" s="12" t="s">
        <v>45</v>
      </c>
      <c r="B93" s="12" t="s">
        <v>980</v>
      </c>
      <c r="C93" s="55">
        <v>2.125</v>
      </c>
      <c r="D93" s="10">
        <v>14.36</v>
      </c>
      <c r="E93" s="10">
        <v>17.23</v>
      </c>
      <c r="F93" s="10" t="s">
        <v>0</v>
      </c>
      <c r="G93" s="10" t="s">
        <v>0</v>
      </c>
      <c r="H93" s="10" t="s">
        <v>0</v>
      </c>
      <c r="I93" s="35" t="s">
        <v>0</v>
      </c>
      <c r="J93" s="10" t="s">
        <v>0</v>
      </c>
      <c r="K93" s="10" t="s">
        <v>0</v>
      </c>
      <c r="L93" s="10" t="s">
        <v>0</v>
      </c>
      <c r="M93" s="36" t="s">
        <v>0</v>
      </c>
      <c r="N93" s="35" t="s">
        <v>0</v>
      </c>
      <c r="O93" s="35">
        <v>1.3834</v>
      </c>
    </row>
    <row r="94" spans="1:15">
      <c r="A94" s="12" t="s">
        <v>23</v>
      </c>
      <c r="B94" s="12" t="s">
        <v>981</v>
      </c>
      <c r="C94" s="55">
        <v>2</v>
      </c>
      <c r="D94" s="10">
        <v>14.62</v>
      </c>
      <c r="E94" s="10">
        <v>17.38</v>
      </c>
      <c r="F94" s="10" t="s">
        <v>0</v>
      </c>
      <c r="G94" s="10" t="s">
        <v>0</v>
      </c>
      <c r="H94" s="10" t="s">
        <v>0</v>
      </c>
      <c r="I94" s="35" t="s">
        <v>0</v>
      </c>
      <c r="J94" s="10" t="s">
        <v>0</v>
      </c>
      <c r="K94" s="10" t="s">
        <v>0</v>
      </c>
      <c r="L94" s="10" t="s">
        <v>0</v>
      </c>
      <c r="M94" s="36" t="s">
        <v>0</v>
      </c>
      <c r="N94" s="35" t="s">
        <v>0</v>
      </c>
      <c r="O94" s="35">
        <v>1.3861000000000001</v>
      </c>
    </row>
    <row r="95" spans="1:15">
      <c r="A95" s="12" t="s">
        <v>39</v>
      </c>
      <c r="B95" s="12" t="s">
        <v>982</v>
      </c>
      <c r="C95" s="55">
        <v>0.75</v>
      </c>
      <c r="D95" s="10">
        <v>14.8</v>
      </c>
      <c r="E95" s="10">
        <v>15.92</v>
      </c>
      <c r="F95" s="10" t="s">
        <v>0</v>
      </c>
      <c r="G95" s="10" t="s">
        <v>0</v>
      </c>
      <c r="H95" s="10" t="s">
        <v>0</v>
      </c>
      <c r="I95" s="35" t="s">
        <v>0</v>
      </c>
      <c r="J95" s="10" t="s">
        <v>0</v>
      </c>
      <c r="K95" s="10" t="s">
        <v>0</v>
      </c>
      <c r="L95" s="10" t="s">
        <v>0</v>
      </c>
      <c r="M95" s="36" t="s">
        <v>0</v>
      </c>
      <c r="N95" s="35" t="s">
        <v>0</v>
      </c>
      <c r="O95" s="35">
        <v>1.3755999999999999</v>
      </c>
    </row>
    <row r="96" spans="1:15">
      <c r="A96" s="12" t="s">
        <v>245</v>
      </c>
      <c r="B96" s="12" t="s">
        <v>983</v>
      </c>
      <c r="C96" s="55">
        <v>0.75</v>
      </c>
      <c r="D96" s="10">
        <v>15.04</v>
      </c>
      <c r="E96" s="10">
        <v>16.28</v>
      </c>
      <c r="F96" s="10" t="s">
        <v>0</v>
      </c>
      <c r="G96" s="10" t="s">
        <v>0</v>
      </c>
      <c r="H96" s="10" t="s">
        <v>0</v>
      </c>
      <c r="I96" s="35" t="s">
        <v>0</v>
      </c>
      <c r="J96" s="10" t="s">
        <v>0</v>
      </c>
      <c r="K96" s="10" t="s">
        <v>0</v>
      </c>
      <c r="L96" s="10" t="s">
        <v>0</v>
      </c>
      <c r="M96" s="36" t="s">
        <v>0</v>
      </c>
      <c r="N96" s="35" t="s">
        <v>0</v>
      </c>
      <c r="O96" s="35">
        <v>1.3805000000000001</v>
      </c>
    </row>
    <row r="97" spans="1:15">
      <c r="A97" s="12" t="s">
        <v>46</v>
      </c>
      <c r="B97" s="12" t="s">
        <v>984</v>
      </c>
      <c r="C97" s="55">
        <v>1.875</v>
      </c>
      <c r="D97" s="10">
        <v>15.22</v>
      </c>
      <c r="E97" s="10">
        <v>17.88</v>
      </c>
      <c r="F97" s="10">
        <v>1.401</v>
      </c>
      <c r="G97" s="10">
        <v>1.4</v>
      </c>
      <c r="H97" s="10">
        <v>1.4004000000000001</v>
      </c>
      <c r="I97" s="35">
        <v>7</v>
      </c>
      <c r="J97" s="10">
        <v>1.405</v>
      </c>
      <c r="K97" s="10">
        <v>1.405</v>
      </c>
      <c r="L97" s="10">
        <v>1.405</v>
      </c>
      <c r="M97" s="36">
        <v>1</v>
      </c>
      <c r="N97" s="35">
        <v>1</v>
      </c>
      <c r="O97" s="35">
        <v>1.393</v>
      </c>
    </row>
    <row r="98" spans="1:15">
      <c r="A98" s="12" t="s">
        <v>246</v>
      </c>
      <c r="B98" s="12" t="s">
        <v>985</v>
      </c>
      <c r="C98" s="55">
        <v>0.5</v>
      </c>
      <c r="D98" s="10">
        <v>15.49</v>
      </c>
      <c r="E98" s="10">
        <v>16.420000000000002</v>
      </c>
      <c r="F98" s="10">
        <v>1.38</v>
      </c>
      <c r="G98" s="10">
        <v>1.38</v>
      </c>
      <c r="H98" s="10">
        <v>1.38</v>
      </c>
      <c r="I98" s="35">
        <v>5</v>
      </c>
      <c r="J98" s="10">
        <v>1.38</v>
      </c>
      <c r="K98" s="10">
        <v>1.38</v>
      </c>
      <c r="L98" s="10">
        <v>1.38</v>
      </c>
      <c r="M98" s="36">
        <v>1</v>
      </c>
      <c r="N98" s="35">
        <v>1</v>
      </c>
      <c r="O98" s="35">
        <v>1.3842000000000001</v>
      </c>
    </row>
    <row r="99" spans="1:15">
      <c r="A99" s="12" t="s">
        <v>24</v>
      </c>
      <c r="B99" s="12" t="s">
        <v>986</v>
      </c>
      <c r="C99" s="55">
        <v>1.75</v>
      </c>
      <c r="D99" s="10">
        <v>15.56</v>
      </c>
      <c r="E99" s="10">
        <v>18.36</v>
      </c>
      <c r="F99" s="10" t="s">
        <v>0</v>
      </c>
      <c r="G99" s="10" t="s">
        <v>0</v>
      </c>
      <c r="H99" s="10" t="s">
        <v>0</v>
      </c>
      <c r="I99" s="35" t="s">
        <v>0</v>
      </c>
      <c r="J99" s="10" t="s">
        <v>0</v>
      </c>
      <c r="K99" s="10" t="s">
        <v>0</v>
      </c>
      <c r="L99" s="10" t="s">
        <v>0</v>
      </c>
      <c r="M99" s="36" t="s">
        <v>0</v>
      </c>
      <c r="N99" s="35" t="s">
        <v>0</v>
      </c>
      <c r="O99" s="35">
        <v>1.3995</v>
      </c>
    </row>
    <row r="100" spans="1:15">
      <c r="A100" s="12" t="s">
        <v>68</v>
      </c>
      <c r="B100" s="12" t="s">
        <v>987</v>
      </c>
      <c r="C100" s="55">
        <v>2.5</v>
      </c>
      <c r="D100" s="10">
        <v>15.97</v>
      </c>
      <c r="E100" s="10">
        <v>19.82</v>
      </c>
      <c r="F100" s="10" t="s">
        <v>0</v>
      </c>
      <c r="G100" s="10" t="s">
        <v>0</v>
      </c>
      <c r="H100" s="10" t="s">
        <v>0</v>
      </c>
      <c r="I100" s="35" t="s">
        <v>0</v>
      </c>
      <c r="J100" s="10" t="s">
        <v>0</v>
      </c>
      <c r="K100" s="10" t="s">
        <v>0</v>
      </c>
      <c r="L100" s="10" t="s">
        <v>0</v>
      </c>
      <c r="M100" s="36" t="s">
        <v>0</v>
      </c>
      <c r="N100" s="35" t="s">
        <v>0</v>
      </c>
      <c r="O100" s="35">
        <v>1.4109</v>
      </c>
    </row>
    <row r="101" spans="1:15">
      <c r="A101" s="12" t="s">
        <v>247</v>
      </c>
      <c r="B101" s="12" t="s">
        <v>988</v>
      </c>
      <c r="C101" s="55">
        <v>0.5</v>
      </c>
      <c r="D101" s="10">
        <v>16</v>
      </c>
      <c r="E101" s="10">
        <v>16.95</v>
      </c>
      <c r="F101" s="10" t="s">
        <v>0</v>
      </c>
      <c r="G101" s="10" t="s">
        <v>0</v>
      </c>
      <c r="H101" s="10" t="s">
        <v>0</v>
      </c>
      <c r="I101" s="35" t="s">
        <v>0</v>
      </c>
      <c r="J101" s="10" t="s">
        <v>0</v>
      </c>
      <c r="K101" s="10" t="s">
        <v>0</v>
      </c>
      <c r="L101" s="10" t="s">
        <v>0</v>
      </c>
      <c r="M101" s="36" t="s">
        <v>0</v>
      </c>
      <c r="N101" s="35" t="s">
        <v>0</v>
      </c>
      <c r="O101" s="35">
        <v>1.3913</v>
      </c>
    </row>
    <row r="102" spans="1:15">
      <c r="A102" s="12" t="s">
        <v>261</v>
      </c>
      <c r="B102" s="12" t="s">
        <v>989</v>
      </c>
      <c r="C102" s="55">
        <v>1.875</v>
      </c>
      <c r="D102" s="10">
        <v>16.04</v>
      </c>
      <c r="E102" s="10">
        <v>18.98</v>
      </c>
      <c r="F102" s="10">
        <v>1.419</v>
      </c>
      <c r="G102" s="10">
        <v>1.415</v>
      </c>
      <c r="H102" s="10">
        <v>1.4158999999999999</v>
      </c>
      <c r="I102" s="35">
        <v>5</v>
      </c>
      <c r="J102" s="10" t="s">
        <v>0</v>
      </c>
      <c r="K102" s="10" t="s">
        <v>0</v>
      </c>
      <c r="L102" s="10" t="s">
        <v>0</v>
      </c>
      <c r="M102" s="36" t="s">
        <v>0</v>
      </c>
      <c r="N102" s="35" t="s">
        <v>0</v>
      </c>
      <c r="O102" s="35">
        <v>1.4059999999999999</v>
      </c>
    </row>
    <row r="103" spans="1:15">
      <c r="A103" s="12" t="s">
        <v>69</v>
      </c>
      <c r="B103" s="12" t="s">
        <v>990</v>
      </c>
      <c r="C103" s="55">
        <v>1.625</v>
      </c>
      <c r="D103" s="10">
        <v>16.21</v>
      </c>
      <c r="E103" s="10">
        <v>18.88</v>
      </c>
      <c r="F103" s="10" t="s">
        <v>0</v>
      </c>
      <c r="G103" s="10" t="s">
        <v>0</v>
      </c>
      <c r="H103" s="10" t="s">
        <v>0</v>
      </c>
      <c r="I103" s="35" t="s">
        <v>0</v>
      </c>
      <c r="J103" s="10" t="s">
        <v>0</v>
      </c>
      <c r="K103" s="10" t="s">
        <v>0</v>
      </c>
      <c r="L103" s="10" t="s">
        <v>0</v>
      </c>
      <c r="M103" s="36" t="s">
        <v>0</v>
      </c>
      <c r="N103" s="35" t="s">
        <v>0</v>
      </c>
      <c r="O103" s="35">
        <v>1.4067000000000001</v>
      </c>
    </row>
    <row r="104" spans="1:15">
      <c r="A104" s="12" t="s">
        <v>249</v>
      </c>
      <c r="B104" s="12" t="s">
        <v>991</v>
      </c>
      <c r="C104" s="55">
        <v>0.5</v>
      </c>
      <c r="D104" s="10">
        <v>16.27</v>
      </c>
      <c r="E104" s="10">
        <v>17.32</v>
      </c>
      <c r="F104" s="10" t="s">
        <v>0</v>
      </c>
      <c r="G104" s="10" t="s">
        <v>0</v>
      </c>
      <c r="H104" s="10" t="s">
        <v>0</v>
      </c>
      <c r="I104" s="35" t="s">
        <v>0</v>
      </c>
      <c r="J104" s="10" t="s">
        <v>0</v>
      </c>
      <c r="K104" s="10" t="s">
        <v>0</v>
      </c>
      <c r="L104" s="10" t="s">
        <v>0</v>
      </c>
      <c r="M104" s="36" t="s">
        <v>0</v>
      </c>
      <c r="N104" s="35" t="s">
        <v>0</v>
      </c>
      <c r="O104" s="35">
        <v>1.3960999999999999</v>
      </c>
    </row>
    <row r="105" spans="1:15">
      <c r="A105" s="12" t="s">
        <v>40</v>
      </c>
      <c r="B105" s="12" t="s">
        <v>992</v>
      </c>
      <c r="C105" s="55">
        <v>1.75</v>
      </c>
      <c r="D105" s="10">
        <v>16.309999999999999</v>
      </c>
      <c r="E105" s="10">
        <v>19.39</v>
      </c>
      <c r="F105" s="10" t="s">
        <v>0</v>
      </c>
      <c r="G105" s="10" t="s">
        <v>0</v>
      </c>
      <c r="H105" s="10" t="s">
        <v>0</v>
      </c>
      <c r="I105" s="35" t="s">
        <v>0</v>
      </c>
      <c r="J105" s="10" t="s">
        <v>0</v>
      </c>
      <c r="K105" s="10" t="s">
        <v>0</v>
      </c>
      <c r="L105" s="10" t="s">
        <v>0</v>
      </c>
      <c r="M105" s="36" t="s">
        <v>0</v>
      </c>
      <c r="N105" s="35" t="s">
        <v>0</v>
      </c>
      <c r="O105" s="35">
        <v>1.4116</v>
      </c>
    </row>
    <row r="106" spans="1:15">
      <c r="A106" s="12" t="s">
        <v>216</v>
      </c>
      <c r="B106" s="12" t="s">
        <v>993</v>
      </c>
      <c r="C106" s="55">
        <v>0.375</v>
      </c>
      <c r="D106" s="10">
        <v>16.37</v>
      </c>
      <c r="E106" s="10">
        <v>17.23</v>
      </c>
      <c r="F106" s="10" t="s">
        <v>0</v>
      </c>
      <c r="G106" s="10" t="s">
        <v>0</v>
      </c>
      <c r="H106" s="10" t="s">
        <v>0</v>
      </c>
      <c r="I106" s="35" t="s">
        <v>0</v>
      </c>
      <c r="J106" s="10" t="s">
        <v>0</v>
      </c>
      <c r="K106" s="10" t="s">
        <v>0</v>
      </c>
      <c r="L106" s="10" t="s">
        <v>0</v>
      </c>
      <c r="M106" s="36" t="s">
        <v>0</v>
      </c>
      <c r="N106" s="35" t="s">
        <v>0</v>
      </c>
      <c r="O106" s="35">
        <v>1.3959999999999999</v>
      </c>
    </row>
    <row r="107" spans="1:15">
      <c r="A107" s="12" t="s">
        <v>213</v>
      </c>
      <c r="B107" s="12" t="s">
        <v>994</v>
      </c>
      <c r="C107" s="55">
        <v>1</v>
      </c>
      <c r="D107" s="10">
        <v>16.38</v>
      </c>
      <c r="E107" s="10">
        <v>18.29</v>
      </c>
      <c r="F107" s="10" t="s">
        <v>0</v>
      </c>
      <c r="G107" s="10" t="s">
        <v>0</v>
      </c>
      <c r="H107" s="10" t="s">
        <v>0</v>
      </c>
      <c r="I107" s="35" t="s">
        <v>0</v>
      </c>
      <c r="J107" s="10" t="s">
        <v>0</v>
      </c>
      <c r="K107" s="10" t="s">
        <v>0</v>
      </c>
      <c r="L107" s="10" t="s">
        <v>0</v>
      </c>
      <c r="M107" s="36" t="s">
        <v>0</v>
      </c>
      <c r="N107" s="35" t="s">
        <v>0</v>
      </c>
      <c r="O107" s="35">
        <v>1.4044000000000001</v>
      </c>
    </row>
    <row r="108" spans="1:15">
      <c r="A108" s="12" t="s">
        <v>248</v>
      </c>
      <c r="B108" s="12" t="s">
        <v>995</v>
      </c>
      <c r="C108" s="55">
        <v>0.625</v>
      </c>
      <c r="D108" s="10">
        <v>16.39</v>
      </c>
      <c r="E108" s="10">
        <v>17.62</v>
      </c>
      <c r="F108" s="10" t="s">
        <v>0</v>
      </c>
      <c r="G108" s="10" t="s">
        <v>0</v>
      </c>
      <c r="H108" s="10" t="s">
        <v>0</v>
      </c>
      <c r="I108" s="35" t="s">
        <v>0</v>
      </c>
      <c r="J108" s="10" t="s">
        <v>0</v>
      </c>
      <c r="K108" s="10" t="s">
        <v>0</v>
      </c>
      <c r="L108" s="10" t="s">
        <v>0</v>
      </c>
      <c r="M108" s="36" t="s">
        <v>0</v>
      </c>
      <c r="N108" s="35" t="s">
        <v>0</v>
      </c>
      <c r="O108" s="35">
        <v>1.3991</v>
      </c>
    </row>
    <row r="109" spans="1:15">
      <c r="A109" s="12" t="s">
        <v>47</v>
      </c>
      <c r="B109" s="12" t="s">
        <v>996</v>
      </c>
      <c r="C109" s="55">
        <v>2.125</v>
      </c>
      <c r="D109" s="10">
        <v>16.579999999999998</v>
      </c>
      <c r="E109" s="10">
        <v>20.39</v>
      </c>
      <c r="F109" s="10" t="s">
        <v>0</v>
      </c>
      <c r="G109" s="10" t="s">
        <v>0</v>
      </c>
      <c r="H109" s="10" t="s">
        <v>0</v>
      </c>
      <c r="I109" s="35" t="s">
        <v>0</v>
      </c>
      <c r="J109" s="10" t="s">
        <v>0</v>
      </c>
      <c r="K109" s="10" t="s">
        <v>0</v>
      </c>
      <c r="L109" s="10" t="s">
        <v>0</v>
      </c>
      <c r="M109" s="36" t="s">
        <v>0</v>
      </c>
      <c r="N109" s="35" t="s">
        <v>0</v>
      </c>
      <c r="O109" s="35">
        <v>1.4197</v>
      </c>
    </row>
    <row r="110" spans="1:15">
      <c r="A110" s="12" t="s">
        <v>215</v>
      </c>
      <c r="B110" s="12" t="s">
        <v>997</v>
      </c>
      <c r="C110" s="55">
        <v>0.875</v>
      </c>
      <c r="D110" s="10">
        <v>16.68</v>
      </c>
      <c r="E110" s="10">
        <v>18.41</v>
      </c>
      <c r="F110" s="10" t="s">
        <v>0</v>
      </c>
      <c r="G110" s="10" t="s">
        <v>0</v>
      </c>
      <c r="H110" s="10" t="s">
        <v>0</v>
      </c>
      <c r="I110" s="35" t="s">
        <v>0</v>
      </c>
      <c r="J110" s="10" t="s">
        <v>0</v>
      </c>
      <c r="K110" s="10" t="s">
        <v>0</v>
      </c>
      <c r="L110" s="10" t="s">
        <v>0</v>
      </c>
      <c r="M110" s="36" t="s">
        <v>0</v>
      </c>
      <c r="N110" s="35" t="s">
        <v>0</v>
      </c>
      <c r="O110" s="35">
        <v>1.4069</v>
      </c>
    </row>
    <row r="111" spans="1:15">
      <c r="A111" s="12" t="s">
        <v>250</v>
      </c>
      <c r="B111" s="12" t="s">
        <v>998</v>
      </c>
      <c r="C111" s="55">
        <v>0.625</v>
      </c>
      <c r="D111" s="10">
        <v>16.75</v>
      </c>
      <c r="E111" s="10">
        <v>18.100000000000001</v>
      </c>
      <c r="F111" s="10" t="s">
        <v>0</v>
      </c>
      <c r="G111" s="10" t="s">
        <v>0</v>
      </c>
      <c r="H111" s="10" t="s">
        <v>0</v>
      </c>
      <c r="I111" s="35" t="s">
        <v>0</v>
      </c>
      <c r="J111" s="10" t="s">
        <v>0</v>
      </c>
      <c r="K111" s="10" t="s">
        <v>0</v>
      </c>
      <c r="L111" s="10" t="s">
        <v>0</v>
      </c>
      <c r="M111" s="36" t="s">
        <v>0</v>
      </c>
      <c r="N111" s="35" t="s">
        <v>0</v>
      </c>
      <c r="O111" s="35">
        <v>1.4053</v>
      </c>
    </row>
    <row r="112" spans="1:15">
      <c r="A112" s="12" t="s">
        <v>277</v>
      </c>
      <c r="B112" s="12" t="s">
        <v>999</v>
      </c>
      <c r="C112" s="55">
        <v>1.375</v>
      </c>
      <c r="D112" s="10">
        <v>16.78</v>
      </c>
      <c r="E112" s="10">
        <v>19.41</v>
      </c>
      <c r="F112" s="10">
        <v>1.4259999999999999</v>
      </c>
      <c r="G112" s="10">
        <v>1.425</v>
      </c>
      <c r="H112" s="10">
        <v>1.4255</v>
      </c>
      <c r="I112" s="35">
        <v>4</v>
      </c>
      <c r="J112" s="10">
        <v>1.425</v>
      </c>
      <c r="K112" s="10">
        <v>1.425</v>
      </c>
      <c r="L112" s="10">
        <v>1.425</v>
      </c>
      <c r="M112" s="36">
        <v>1</v>
      </c>
      <c r="N112" s="35">
        <v>1</v>
      </c>
      <c r="O112" s="35">
        <v>1.4148000000000001</v>
      </c>
    </row>
    <row r="113" spans="1:15">
      <c r="A113" s="12" t="s">
        <v>70</v>
      </c>
      <c r="B113" s="12" t="s">
        <v>1000</v>
      </c>
      <c r="C113" s="55">
        <v>2.25</v>
      </c>
      <c r="D113" s="10">
        <v>16.850000000000001</v>
      </c>
      <c r="E113" s="10">
        <v>21.14</v>
      </c>
      <c r="F113" s="10" t="s">
        <v>0</v>
      </c>
      <c r="G113" s="10" t="s">
        <v>0</v>
      </c>
      <c r="H113" s="10" t="s">
        <v>0</v>
      </c>
      <c r="I113" s="35" t="s">
        <v>0</v>
      </c>
      <c r="J113" s="10" t="s">
        <v>0</v>
      </c>
      <c r="K113" s="10" t="s">
        <v>0</v>
      </c>
      <c r="L113" s="10" t="s">
        <v>0</v>
      </c>
      <c r="M113" s="36" t="s">
        <v>0</v>
      </c>
      <c r="N113" s="35" t="s">
        <v>0</v>
      </c>
      <c r="O113" s="35">
        <v>1.4265000000000001</v>
      </c>
    </row>
    <row r="114" spans="1:15">
      <c r="A114" s="12" t="s">
        <v>71</v>
      </c>
      <c r="B114" s="12" t="s">
        <v>1001</v>
      </c>
      <c r="C114" s="55">
        <v>2.25</v>
      </c>
      <c r="D114" s="10">
        <v>16.87</v>
      </c>
      <c r="E114" s="10">
        <v>20.83</v>
      </c>
      <c r="F114" s="10" t="s">
        <v>0</v>
      </c>
      <c r="G114" s="10" t="s">
        <v>0</v>
      </c>
      <c r="H114" s="10" t="s">
        <v>0</v>
      </c>
      <c r="I114" s="35" t="s">
        <v>0</v>
      </c>
      <c r="J114" s="10" t="s">
        <v>0</v>
      </c>
      <c r="K114" s="10" t="s">
        <v>0</v>
      </c>
      <c r="L114" s="10" t="s">
        <v>0</v>
      </c>
      <c r="M114" s="36" t="s">
        <v>0</v>
      </c>
      <c r="N114" s="35" t="s">
        <v>0</v>
      </c>
      <c r="O114" s="35">
        <v>1.4234</v>
      </c>
    </row>
    <row r="115" spans="1:15">
      <c r="A115" s="12" t="s">
        <v>54</v>
      </c>
      <c r="B115" s="12" t="s">
        <v>1002</v>
      </c>
      <c r="C115" s="55">
        <v>2.375</v>
      </c>
      <c r="D115" s="10">
        <v>16.93</v>
      </c>
      <c r="E115" s="10">
        <v>21.36</v>
      </c>
      <c r="F115" s="10" t="s">
        <v>0</v>
      </c>
      <c r="G115" s="10" t="s">
        <v>0</v>
      </c>
      <c r="H115" s="10" t="s">
        <v>0</v>
      </c>
      <c r="I115" s="35" t="s">
        <v>0</v>
      </c>
      <c r="J115" s="10" t="s">
        <v>0</v>
      </c>
      <c r="K115" s="10" t="s">
        <v>0</v>
      </c>
      <c r="L115" s="10" t="s">
        <v>0</v>
      </c>
      <c r="M115" s="36" t="s">
        <v>0</v>
      </c>
      <c r="N115" s="35" t="s">
        <v>0</v>
      </c>
      <c r="O115" s="35">
        <v>1.4278</v>
      </c>
    </row>
    <row r="116" spans="1:15">
      <c r="A116" s="12" t="s">
        <v>251</v>
      </c>
      <c r="B116" s="12" t="s">
        <v>1003</v>
      </c>
      <c r="C116" s="55">
        <v>0.5</v>
      </c>
      <c r="D116" s="10">
        <v>16.920000000000002</v>
      </c>
      <c r="E116" s="10">
        <v>17.98</v>
      </c>
      <c r="F116" s="10" t="s">
        <v>0</v>
      </c>
      <c r="G116" s="10" t="s">
        <v>0</v>
      </c>
      <c r="H116" s="10" t="s">
        <v>0</v>
      </c>
      <c r="I116" s="35" t="s">
        <v>0</v>
      </c>
      <c r="J116" s="10" t="s">
        <v>0</v>
      </c>
      <c r="K116" s="10" t="s">
        <v>0</v>
      </c>
      <c r="L116" s="10" t="s">
        <v>0</v>
      </c>
      <c r="M116" s="36" t="s">
        <v>0</v>
      </c>
      <c r="N116" s="35" t="s">
        <v>0</v>
      </c>
      <c r="O116" s="35">
        <v>1.4048</v>
      </c>
    </row>
    <row r="117" spans="1:15">
      <c r="A117" s="12" t="s">
        <v>72</v>
      </c>
      <c r="B117" s="12" t="s">
        <v>1004</v>
      </c>
      <c r="C117" s="55">
        <v>2</v>
      </c>
      <c r="D117" s="10">
        <v>16.96</v>
      </c>
      <c r="E117" s="10">
        <v>20.64</v>
      </c>
      <c r="F117" s="10" t="s">
        <v>0</v>
      </c>
      <c r="G117" s="10" t="s">
        <v>0</v>
      </c>
      <c r="H117" s="10" t="s">
        <v>0</v>
      </c>
      <c r="I117" s="35" t="s">
        <v>0</v>
      </c>
      <c r="J117" s="10" t="s">
        <v>0</v>
      </c>
      <c r="K117" s="10" t="s">
        <v>0</v>
      </c>
      <c r="L117" s="10" t="s">
        <v>0</v>
      </c>
      <c r="M117" s="36" t="s">
        <v>0</v>
      </c>
      <c r="N117" s="35" t="s">
        <v>0</v>
      </c>
      <c r="O117" s="35">
        <v>1.4234</v>
      </c>
    </row>
    <row r="118" spans="1:15">
      <c r="A118" s="12" t="s">
        <v>73</v>
      </c>
      <c r="B118" s="12" t="s">
        <v>1005</v>
      </c>
      <c r="C118" s="55">
        <v>2.375</v>
      </c>
      <c r="D118" s="10">
        <v>17.170000000000002</v>
      </c>
      <c r="E118" s="10">
        <v>21.61</v>
      </c>
      <c r="F118" s="10" t="s">
        <v>0</v>
      </c>
      <c r="G118" s="10" t="s">
        <v>0</v>
      </c>
      <c r="H118" s="10" t="s">
        <v>0</v>
      </c>
      <c r="I118" s="35" t="s">
        <v>0</v>
      </c>
      <c r="J118" s="10" t="s">
        <v>0</v>
      </c>
      <c r="K118" s="10" t="s">
        <v>0</v>
      </c>
      <c r="L118" s="10" t="s">
        <v>0</v>
      </c>
      <c r="M118" s="36" t="s">
        <v>0</v>
      </c>
      <c r="N118" s="35" t="s">
        <v>0</v>
      </c>
      <c r="O118" s="35">
        <v>1.4301999999999999</v>
      </c>
    </row>
    <row r="119" spans="1:15">
      <c r="A119" s="12" t="s">
        <v>326</v>
      </c>
      <c r="B119" s="12" t="s">
        <v>1006</v>
      </c>
      <c r="C119" s="55">
        <v>1.375</v>
      </c>
      <c r="D119" s="10">
        <v>17.32</v>
      </c>
      <c r="E119" s="10">
        <v>19.96</v>
      </c>
      <c r="F119" s="10" t="s">
        <v>0</v>
      </c>
      <c r="G119" s="10" t="s">
        <v>0</v>
      </c>
      <c r="H119" s="10" t="s">
        <v>0</v>
      </c>
      <c r="I119" s="35" t="s">
        <v>0</v>
      </c>
      <c r="J119" s="10" t="s">
        <v>0</v>
      </c>
      <c r="K119" s="10" t="s">
        <v>0</v>
      </c>
      <c r="L119" s="10" t="s">
        <v>0</v>
      </c>
      <c r="M119" s="36" t="s">
        <v>0</v>
      </c>
      <c r="N119" s="35" t="s">
        <v>0</v>
      </c>
      <c r="O119" s="35">
        <v>1.4211</v>
      </c>
    </row>
    <row r="120" spans="1:15">
      <c r="A120" s="12" t="s">
        <v>74</v>
      </c>
      <c r="B120" s="12" t="s">
        <v>1007</v>
      </c>
      <c r="C120" s="55">
        <v>2.25</v>
      </c>
      <c r="D120" s="10">
        <v>17.54</v>
      </c>
      <c r="E120" s="10">
        <v>21.85</v>
      </c>
      <c r="F120" s="10" t="s">
        <v>0</v>
      </c>
      <c r="G120" s="10" t="s">
        <v>0</v>
      </c>
      <c r="H120" s="10" t="s">
        <v>0</v>
      </c>
      <c r="I120" s="35" t="s">
        <v>0</v>
      </c>
      <c r="J120" s="10" t="s">
        <v>0</v>
      </c>
      <c r="K120" s="10" t="s">
        <v>0</v>
      </c>
      <c r="L120" s="10" t="s">
        <v>0</v>
      </c>
      <c r="M120" s="36" t="s">
        <v>0</v>
      </c>
      <c r="N120" s="35" t="s">
        <v>0</v>
      </c>
      <c r="O120" s="35">
        <v>1.4336</v>
      </c>
    </row>
    <row r="121" spans="1:15">
      <c r="A121" s="12" t="s">
        <v>75</v>
      </c>
      <c r="B121" s="12" t="s">
        <v>1008</v>
      </c>
      <c r="C121" s="55">
        <v>2</v>
      </c>
      <c r="D121" s="10">
        <v>18.45</v>
      </c>
      <c r="E121" s="10">
        <v>23.14</v>
      </c>
      <c r="F121" s="10" t="s">
        <v>0</v>
      </c>
      <c r="G121" s="10" t="s">
        <v>0</v>
      </c>
      <c r="H121" s="10" t="s">
        <v>0</v>
      </c>
      <c r="I121" s="35" t="s">
        <v>0</v>
      </c>
      <c r="J121" s="10" t="s">
        <v>0</v>
      </c>
      <c r="K121" s="10" t="s">
        <v>0</v>
      </c>
      <c r="L121" s="10" t="s">
        <v>0</v>
      </c>
      <c r="M121" s="36" t="s">
        <v>0</v>
      </c>
      <c r="N121" s="35" t="s">
        <v>1009</v>
      </c>
      <c r="O121" s="35">
        <v>1.448</v>
      </c>
    </row>
    <row r="122" spans="1:15">
      <c r="A122" s="12" t="s">
        <v>76</v>
      </c>
      <c r="B122" s="12" t="s">
        <v>1010</v>
      </c>
      <c r="C122" s="55">
        <v>1.625</v>
      </c>
      <c r="D122" s="10">
        <v>18.8</v>
      </c>
      <c r="E122" s="10">
        <v>22.62</v>
      </c>
      <c r="F122" s="10" t="s">
        <v>0</v>
      </c>
      <c r="G122" s="10" t="s">
        <v>0</v>
      </c>
      <c r="H122" s="10" t="s">
        <v>0</v>
      </c>
      <c r="I122" s="35" t="s">
        <v>0</v>
      </c>
      <c r="J122" s="10" t="s">
        <v>0</v>
      </c>
      <c r="K122" s="10" t="s">
        <v>0</v>
      </c>
      <c r="L122" s="10" t="s">
        <v>0</v>
      </c>
      <c r="M122" s="36" t="s">
        <v>0</v>
      </c>
      <c r="N122" s="35" t="s">
        <v>0</v>
      </c>
      <c r="O122" s="35">
        <v>1.4466000000000001</v>
      </c>
    </row>
    <row r="123" spans="1:15">
      <c r="A123" s="12" t="s">
        <v>77</v>
      </c>
      <c r="B123" s="12" t="s">
        <v>1011</v>
      </c>
      <c r="C123" s="55">
        <v>1.875</v>
      </c>
      <c r="D123" s="10">
        <v>19.12</v>
      </c>
      <c r="E123" s="10">
        <v>23.64</v>
      </c>
      <c r="F123" s="10" t="s">
        <v>0</v>
      </c>
      <c r="G123" s="10" t="s">
        <v>0</v>
      </c>
      <c r="H123" s="10" t="s">
        <v>0</v>
      </c>
      <c r="I123" s="35" t="s">
        <v>0</v>
      </c>
      <c r="J123" s="10" t="s">
        <v>0</v>
      </c>
      <c r="K123" s="10" t="s">
        <v>0</v>
      </c>
      <c r="L123" s="10" t="s">
        <v>0</v>
      </c>
      <c r="M123" s="36" t="s">
        <v>0</v>
      </c>
      <c r="N123" s="35" t="s">
        <v>0</v>
      </c>
      <c r="O123" s="35">
        <v>1.4537</v>
      </c>
    </row>
    <row r="124" spans="1:15">
      <c r="A124" s="12" t="s">
        <v>78</v>
      </c>
      <c r="B124" s="12" t="s">
        <v>1012</v>
      </c>
      <c r="C124" s="55">
        <v>1.375</v>
      </c>
      <c r="D124" s="10">
        <v>19.39</v>
      </c>
      <c r="E124" s="10">
        <v>22.83</v>
      </c>
      <c r="F124" s="10" t="s">
        <v>0</v>
      </c>
      <c r="G124" s="10" t="s">
        <v>0</v>
      </c>
      <c r="H124" s="10" t="s">
        <v>0</v>
      </c>
      <c r="I124" s="35" t="s">
        <v>0</v>
      </c>
      <c r="J124" s="10" t="s">
        <v>0</v>
      </c>
      <c r="K124" s="10" t="s">
        <v>0</v>
      </c>
      <c r="L124" s="10" t="s">
        <v>0</v>
      </c>
      <c r="M124" s="36" t="s">
        <v>0</v>
      </c>
      <c r="N124" s="35" t="s">
        <v>0</v>
      </c>
      <c r="O124" s="35">
        <v>1.4511000000000001</v>
      </c>
    </row>
    <row r="125" spans="1:15">
      <c r="A125" s="12" t="s">
        <v>79</v>
      </c>
      <c r="B125" s="12" t="s">
        <v>1013</v>
      </c>
      <c r="C125" s="55">
        <v>1.625</v>
      </c>
      <c r="D125" s="10">
        <v>19.68</v>
      </c>
      <c r="E125" s="10">
        <v>24.13</v>
      </c>
      <c r="F125" s="10" t="s">
        <v>0</v>
      </c>
      <c r="G125" s="10" t="s">
        <v>0</v>
      </c>
      <c r="H125" s="10" t="s">
        <v>0</v>
      </c>
      <c r="I125" s="35" t="s">
        <v>0</v>
      </c>
      <c r="J125" s="10" t="s">
        <v>0</v>
      </c>
      <c r="K125" s="10" t="s">
        <v>0</v>
      </c>
      <c r="L125" s="10" t="s">
        <v>0</v>
      </c>
      <c r="M125" s="36" t="s">
        <v>0</v>
      </c>
      <c r="N125" s="35" t="s">
        <v>0</v>
      </c>
      <c r="O125" s="35">
        <v>1.4604999999999999</v>
      </c>
    </row>
    <row r="126" spans="1:15">
      <c r="A126" s="12" t="s">
        <v>80</v>
      </c>
      <c r="B126" s="12" t="s">
        <v>1014</v>
      </c>
      <c r="C126" s="55">
        <v>1.5</v>
      </c>
      <c r="D126" s="10">
        <v>20.36</v>
      </c>
      <c r="E126" s="10">
        <v>24.62</v>
      </c>
      <c r="F126" s="10" t="s">
        <v>0</v>
      </c>
      <c r="G126" s="10" t="s">
        <v>0</v>
      </c>
      <c r="H126" s="10" t="s">
        <v>0</v>
      </c>
      <c r="I126" s="35" t="s">
        <v>0</v>
      </c>
      <c r="J126" s="10" t="s">
        <v>0</v>
      </c>
      <c r="K126" s="10" t="s">
        <v>0</v>
      </c>
      <c r="L126" s="10" t="s">
        <v>0</v>
      </c>
      <c r="M126" s="36" t="s">
        <v>0</v>
      </c>
      <c r="N126" s="35" t="s">
        <v>0</v>
      </c>
      <c r="O126" s="35">
        <v>1.4659</v>
      </c>
    </row>
    <row r="127" spans="1:15">
      <c r="A127" s="12" t="s">
        <v>56</v>
      </c>
      <c r="B127" s="12" t="s">
        <v>1015</v>
      </c>
      <c r="C127" s="55">
        <v>1.375</v>
      </c>
      <c r="D127" s="10">
        <v>20.77</v>
      </c>
      <c r="E127" s="10">
        <v>25.1</v>
      </c>
      <c r="F127" s="10" t="s">
        <v>0</v>
      </c>
      <c r="G127" s="10" t="s">
        <v>0</v>
      </c>
      <c r="H127" s="10" t="s">
        <v>0</v>
      </c>
      <c r="I127" s="35" t="s">
        <v>0</v>
      </c>
      <c r="J127" s="10" t="s">
        <v>0</v>
      </c>
      <c r="K127" s="10" t="s">
        <v>0</v>
      </c>
      <c r="L127" s="10" t="s">
        <v>0</v>
      </c>
      <c r="M127" s="36" t="s">
        <v>0</v>
      </c>
      <c r="N127" s="35" t="s">
        <v>0</v>
      </c>
      <c r="O127" s="35">
        <v>1.4713000000000001</v>
      </c>
    </row>
    <row r="128" spans="1:15">
      <c r="A128" s="12" t="s">
        <v>267</v>
      </c>
      <c r="B128" s="12" t="s">
        <v>1016</v>
      </c>
      <c r="C128" s="55">
        <v>2.375</v>
      </c>
      <c r="D128" s="10">
        <v>21.43</v>
      </c>
      <c r="E128" s="10">
        <v>29.1</v>
      </c>
      <c r="F128" s="10" t="s">
        <v>0</v>
      </c>
      <c r="G128" s="10" t="s">
        <v>0</v>
      </c>
      <c r="H128" s="10" t="s">
        <v>0</v>
      </c>
      <c r="I128" s="35" t="s">
        <v>0</v>
      </c>
      <c r="J128" s="10" t="s">
        <v>0</v>
      </c>
      <c r="K128" s="10" t="s">
        <v>0</v>
      </c>
      <c r="L128" s="10" t="s">
        <v>0</v>
      </c>
      <c r="M128" s="36" t="s">
        <v>0</v>
      </c>
      <c r="N128" s="35" t="s">
        <v>0</v>
      </c>
      <c r="O128" s="35">
        <v>1.4865999999999999</v>
      </c>
    </row>
    <row r="129" spans="1:15">
      <c r="A129" s="12" t="s">
        <v>81</v>
      </c>
      <c r="B129" s="12" t="s">
        <v>1017</v>
      </c>
      <c r="C129" s="55">
        <v>1.125</v>
      </c>
      <c r="D129" s="10">
        <v>21.81</v>
      </c>
      <c r="E129" s="10">
        <v>25.61</v>
      </c>
      <c r="F129" s="10" t="s">
        <v>0</v>
      </c>
      <c r="G129" s="10" t="s">
        <v>0</v>
      </c>
      <c r="H129" s="10" t="s">
        <v>0</v>
      </c>
      <c r="I129" s="35" t="s">
        <v>0</v>
      </c>
      <c r="J129" s="10" t="s">
        <v>0</v>
      </c>
      <c r="K129" s="10" t="s">
        <v>0</v>
      </c>
      <c r="L129" s="10" t="s">
        <v>0</v>
      </c>
      <c r="M129" s="36" t="s">
        <v>0</v>
      </c>
      <c r="N129" s="35" t="s">
        <v>0</v>
      </c>
      <c r="O129" s="35">
        <v>1.4782999999999999</v>
      </c>
    </row>
    <row r="130" spans="1:15">
      <c r="A130" s="12" t="s">
        <v>223</v>
      </c>
      <c r="B130" s="12" t="s">
        <v>1018</v>
      </c>
      <c r="C130" s="55">
        <v>2</v>
      </c>
      <c r="D130" s="10">
        <v>22.01</v>
      </c>
      <c r="E130" s="10">
        <v>28.62</v>
      </c>
      <c r="F130" s="10" t="s">
        <v>0</v>
      </c>
      <c r="G130" s="10" t="s">
        <v>0</v>
      </c>
      <c r="H130" s="10" t="s">
        <v>0</v>
      </c>
      <c r="I130" s="35" t="s">
        <v>0</v>
      </c>
      <c r="J130" s="10" t="s">
        <v>0</v>
      </c>
      <c r="K130" s="10" t="s">
        <v>0</v>
      </c>
      <c r="L130" s="10" t="s">
        <v>0</v>
      </c>
      <c r="M130" s="36" t="s">
        <v>0</v>
      </c>
      <c r="N130" s="35" t="s">
        <v>0</v>
      </c>
      <c r="O130" s="35">
        <v>1.488</v>
      </c>
    </row>
    <row r="131" spans="1:15">
      <c r="A131" s="12" t="s">
        <v>50</v>
      </c>
      <c r="B131" s="12" t="s">
        <v>1019</v>
      </c>
      <c r="C131" s="55">
        <v>1</v>
      </c>
      <c r="D131" s="10">
        <v>22.32</v>
      </c>
      <c r="E131" s="10">
        <v>26.09</v>
      </c>
      <c r="F131" s="10" t="s">
        <v>0</v>
      </c>
      <c r="G131" s="10" t="s">
        <v>0</v>
      </c>
      <c r="H131" s="10" t="s">
        <v>0</v>
      </c>
      <c r="I131" s="35" t="s">
        <v>0</v>
      </c>
      <c r="J131" s="10" t="s">
        <v>0</v>
      </c>
      <c r="K131" s="10" t="s">
        <v>0</v>
      </c>
      <c r="L131" s="10" t="s">
        <v>0</v>
      </c>
      <c r="M131" s="36" t="s">
        <v>0</v>
      </c>
      <c r="N131" s="35" t="s">
        <v>0</v>
      </c>
      <c r="O131" s="35">
        <v>1.4837</v>
      </c>
    </row>
    <row r="132" spans="1:15">
      <c r="A132" s="12" t="s">
        <v>252</v>
      </c>
      <c r="B132" s="12" t="s">
        <v>1020</v>
      </c>
      <c r="C132" s="55">
        <v>0.75</v>
      </c>
      <c r="D132" s="10">
        <v>23.5</v>
      </c>
      <c r="E132" s="10">
        <v>26.6</v>
      </c>
      <c r="F132" s="10" t="s">
        <v>0</v>
      </c>
      <c r="G132" s="10" t="s">
        <v>0</v>
      </c>
      <c r="H132" s="10" t="s">
        <v>0</v>
      </c>
      <c r="I132" s="35" t="s">
        <v>0</v>
      </c>
      <c r="J132" s="10" t="s">
        <v>0</v>
      </c>
      <c r="K132" s="10" t="s">
        <v>0</v>
      </c>
      <c r="L132" s="10" t="s">
        <v>0</v>
      </c>
      <c r="M132" s="36" t="s">
        <v>0</v>
      </c>
      <c r="N132" s="35" t="s">
        <v>0</v>
      </c>
      <c r="O132" s="35">
        <v>1.4907999999999999</v>
      </c>
    </row>
    <row r="133" spans="1:15">
      <c r="A133" s="12" t="s">
        <v>253</v>
      </c>
      <c r="B133" s="12" t="s">
        <v>1021</v>
      </c>
      <c r="C133" s="55">
        <v>1.125</v>
      </c>
      <c r="D133" s="10">
        <v>23.53</v>
      </c>
      <c r="E133" s="10">
        <v>28.21</v>
      </c>
      <c r="F133" s="10" t="s">
        <v>0</v>
      </c>
      <c r="G133" s="10" t="s">
        <v>0</v>
      </c>
      <c r="H133" s="10" t="s">
        <v>0</v>
      </c>
      <c r="I133" s="35" t="s">
        <v>0</v>
      </c>
      <c r="J133" s="10" t="s">
        <v>0</v>
      </c>
      <c r="K133" s="10" t="s">
        <v>0</v>
      </c>
      <c r="L133" s="10" t="s">
        <v>0</v>
      </c>
      <c r="M133" s="36" t="s">
        <v>0</v>
      </c>
      <c r="N133" s="35" t="s">
        <v>0</v>
      </c>
      <c r="O133" s="35">
        <v>1.4962</v>
      </c>
    </row>
    <row r="134" spans="1:15">
      <c r="A134" s="12" t="s">
        <v>328</v>
      </c>
      <c r="B134" s="12" t="s">
        <v>1022</v>
      </c>
      <c r="C134" s="55">
        <v>1.5</v>
      </c>
      <c r="D134" s="10">
        <v>23.62</v>
      </c>
      <c r="E134" s="10">
        <v>29.6</v>
      </c>
      <c r="F134" s="10" t="s">
        <v>0</v>
      </c>
      <c r="G134" s="10" t="s">
        <v>0</v>
      </c>
      <c r="H134" s="10" t="s">
        <v>0</v>
      </c>
      <c r="I134" s="35" t="s">
        <v>0</v>
      </c>
      <c r="J134" s="10" t="s">
        <v>0</v>
      </c>
      <c r="K134" s="10" t="s">
        <v>0</v>
      </c>
      <c r="L134" s="10" t="s">
        <v>0</v>
      </c>
      <c r="M134" s="36" t="s">
        <v>0</v>
      </c>
      <c r="N134" s="35" t="s">
        <v>0</v>
      </c>
      <c r="O134" s="35">
        <v>1.4984999999999999</v>
      </c>
    </row>
    <row r="135" spans="1:15">
      <c r="A135" s="12" t="s">
        <v>638</v>
      </c>
      <c r="B135" s="12" t="s">
        <v>1023</v>
      </c>
      <c r="C135" s="55">
        <v>1.5</v>
      </c>
      <c r="D135" s="10">
        <v>24.02</v>
      </c>
      <c r="E135" s="10">
        <v>30</v>
      </c>
      <c r="F135" s="10" t="s">
        <v>0</v>
      </c>
      <c r="G135" s="10" t="s">
        <v>0</v>
      </c>
      <c r="H135" s="10" t="s">
        <v>0</v>
      </c>
      <c r="I135" s="35" t="s">
        <v>0</v>
      </c>
      <c r="J135" s="10" t="s">
        <v>0</v>
      </c>
      <c r="K135" s="10" t="s">
        <v>0</v>
      </c>
      <c r="L135" s="10" t="s">
        <v>0</v>
      </c>
      <c r="M135" s="36" t="s">
        <v>0</v>
      </c>
      <c r="N135" s="35" t="s">
        <v>0</v>
      </c>
      <c r="O135" s="35">
        <v>1.5004</v>
      </c>
    </row>
    <row r="136" spans="1:15">
      <c r="A136" s="12" t="s">
        <v>254</v>
      </c>
      <c r="B136" s="12" t="s">
        <v>1024</v>
      </c>
      <c r="C136" s="55">
        <v>0.625</v>
      </c>
      <c r="D136" s="10">
        <v>24.46</v>
      </c>
      <c r="E136" s="10">
        <v>27.39</v>
      </c>
      <c r="F136" s="10" t="s">
        <v>0</v>
      </c>
      <c r="G136" s="10" t="s">
        <v>0</v>
      </c>
      <c r="H136" s="10" t="s">
        <v>0</v>
      </c>
      <c r="I136" s="35" t="s">
        <v>0</v>
      </c>
      <c r="J136" s="10" t="s">
        <v>0</v>
      </c>
      <c r="K136" s="10" t="s">
        <v>0</v>
      </c>
      <c r="L136" s="10" t="s">
        <v>0</v>
      </c>
      <c r="M136" s="36" t="s">
        <v>0</v>
      </c>
      <c r="N136" s="35" t="s">
        <v>0</v>
      </c>
      <c r="O136" s="35">
        <v>1.4981</v>
      </c>
    </row>
    <row r="137" spans="1:15">
      <c r="A137" s="13" t="s">
        <v>255</v>
      </c>
      <c r="B137" s="13" t="s">
        <v>1025</v>
      </c>
      <c r="C137" s="62">
        <v>0.375</v>
      </c>
      <c r="D137" s="10">
        <v>25.11</v>
      </c>
      <c r="E137" s="10">
        <v>27.14</v>
      </c>
      <c r="F137" s="10" t="s">
        <v>0</v>
      </c>
      <c r="G137" s="10" t="s">
        <v>0</v>
      </c>
      <c r="H137" s="10" t="s">
        <v>0</v>
      </c>
      <c r="I137" s="35" t="s">
        <v>0</v>
      </c>
      <c r="J137" s="10" t="s">
        <v>0</v>
      </c>
      <c r="K137" s="10" t="s">
        <v>0</v>
      </c>
      <c r="L137" s="10" t="s">
        <v>0</v>
      </c>
      <c r="M137" s="36" t="s">
        <v>0</v>
      </c>
      <c r="N137" s="35" t="s">
        <v>0</v>
      </c>
      <c r="O137" s="35">
        <v>1.5004</v>
      </c>
    </row>
    <row r="138" spans="1:15">
      <c r="A138" s="12" t="s">
        <v>909</v>
      </c>
      <c r="B138" s="14" t="s">
        <v>1026</v>
      </c>
      <c r="C138" s="44">
        <v>3.17</v>
      </c>
      <c r="D138" s="44">
        <v>3.27</v>
      </c>
      <c r="E138" s="10"/>
      <c r="F138" s="10">
        <v>1.62</v>
      </c>
      <c r="G138" s="10">
        <v>1.62</v>
      </c>
      <c r="H138" s="10">
        <v>1.62</v>
      </c>
      <c r="I138" s="35">
        <v>1</v>
      </c>
      <c r="J138" s="10" t="s">
        <v>0</v>
      </c>
      <c r="K138" s="10" t="s">
        <v>0</v>
      </c>
      <c r="L138" s="10" t="s">
        <v>0</v>
      </c>
      <c r="M138" s="36" t="s">
        <v>0</v>
      </c>
      <c r="N138" s="35" t="s">
        <v>0</v>
      </c>
      <c r="O138" s="35" t="e">
        <v>#N/A</v>
      </c>
    </row>
    <row r="139" spans="1:15">
      <c r="A139" s="12" t="s">
        <v>906</v>
      </c>
      <c r="B139" s="14" t="s">
        <v>1027</v>
      </c>
      <c r="C139" s="12" t="s">
        <v>268</v>
      </c>
      <c r="D139" s="15">
        <v>0.52</v>
      </c>
      <c r="E139" s="10"/>
      <c r="F139" s="10">
        <v>1.5</v>
      </c>
      <c r="G139" s="10">
        <v>1.5</v>
      </c>
      <c r="H139" s="10">
        <v>1.5</v>
      </c>
      <c r="I139" s="35">
        <v>2</v>
      </c>
      <c r="J139" s="10">
        <v>1.51</v>
      </c>
      <c r="K139" s="10">
        <v>1.51</v>
      </c>
      <c r="L139" s="10">
        <v>1.51</v>
      </c>
      <c r="M139" s="36">
        <v>1</v>
      </c>
      <c r="N139" s="35">
        <v>2</v>
      </c>
      <c r="O139" s="35" t="e">
        <v>#N/A</v>
      </c>
    </row>
    <row r="140" spans="1:15">
      <c r="A140" s="12" t="s">
        <v>912</v>
      </c>
      <c r="B140" s="14" t="s">
        <v>1028</v>
      </c>
      <c r="C140" s="12" t="s">
        <v>268</v>
      </c>
      <c r="D140" s="15">
        <v>0.6</v>
      </c>
      <c r="E140" s="10"/>
      <c r="F140" s="10">
        <v>1.5</v>
      </c>
      <c r="G140" s="10">
        <v>1.5</v>
      </c>
      <c r="H140" s="10">
        <v>1.5</v>
      </c>
      <c r="I140" s="35">
        <v>1</v>
      </c>
      <c r="J140" s="10">
        <v>1.51</v>
      </c>
      <c r="K140" s="10">
        <v>1.51</v>
      </c>
      <c r="L140" s="10">
        <v>1.51</v>
      </c>
      <c r="M140" s="36">
        <v>1</v>
      </c>
      <c r="N140" s="35">
        <v>1</v>
      </c>
      <c r="O140" s="35" t="e">
        <v>#N/A</v>
      </c>
    </row>
    <row r="141" spans="1:15">
      <c r="A141" s="12" t="s">
        <v>915</v>
      </c>
      <c r="B141" s="14" t="s">
        <v>1029</v>
      </c>
      <c r="C141" s="12" t="s">
        <v>268</v>
      </c>
      <c r="D141" s="15">
        <v>2.67</v>
      </c>
      <c r="E141" s="10"/>
      <c r="F141" s="10">
        <v>1.56</v>
      </c>
      <c r="G141" s="10">
        <v>1.56</v>
      </c>
      <c r="H141" s="10">
        <v>1.56</v>
      </c>
      <c r="I141" s="35">
        <v>2</v>
      </c>
      <c r="J141" s="10">
        <v>1.5620000000000001</v>
      </c>
      <c r="K141" s="10">
        <v>1.5620000000000001</v>
      </c>
      <c r="L141" s="10">
        <v>1.5620000000000001</v>
      </c>
      <c r="M141" s="36">
        <v>1</v>
      </c>
      <c r="N141" s="35">
        <v>2</v>
      </c>
      <c r="O141" s="35" t="e">
        <v>#N/A</v>
      </c>
    </row>
    <row r="142" spans="1:15">
      <c r="A142" s="12" t="s">
        <v>694</v>
      </c>
      <c r="B142" s="14" t="s">
        <v>818</v>
      </c>
      <c r="C142" s="12" t="s">
        <v>268</v>
      </c>
      <c r="D142" s="15">
        <v>4.05</v>
      </c>
      <c r="E142" s="10"/>
      <c r="F142" s="10" t="s">
        <v>0</v>
      </c>
      <c r="G142" s="10" t="s">
        <v>0</v>
      </c>
      <c r="H142" s="10" t="s">
        <v>0</v>
      </c>
      <c r="I142" s="35" t="s">
        <v>0</v>
      </c>
      <c r="J142" s="10">
        <v>1.52</v>
      </c>
      <c r="K142" s="10">
        <v>1.52</v>
      </c>
      <c r="L142" s="10">
        <v>1.52</v>
      </c>
      <c r="M142" s="36">
        <v>1</v>
      </c>
      <c r="N142" s="35">
        <v>3</v>
      </c>
      <c r="O142" s="35" t="e">
        <v>#N/A</v>
      </c>
    </row>
    <row r="143" spans="1:15">
      <c r="A143" s="12" t="s">
        <v>917</v>
      </c>
      <c r="B143" s="14" t="s">
        <v>1030</v>
      </c>
      <c r="C143" s="12" t="s">
        <v>268</v>
      </c>
      <c r="D143" s="15">
        <v>1.1399999999999999</v>
      </c>
      <c r="E143" s="10"/>
      <c r="F143" s="10">
        <v>1.53</v>
      </c>
      <c r="G143" s="10">
        <v>1.53</v>
      </c>
      <c r="H143" s="10">
        <v>1.53</v>
      </c>
      <c r="I143" s="35">
        <v>2</v>
      </c>
      <c r="J143" s="10">
        <v>1.54</v>
      </c>
      <c r="K143" s="10">
        <v>1.54</v>
      </c>
      <c r="L143" s="10">
        <v>1.54</v>
      </c>
      <c r="M143" s="36">
        <v>1</v>
      </c>
      <c r="N143" s="35">
        <v>2</v>
      </c>
      <c r="O143" s="35" t="e">
        <v>#N/A</v>
      </c>
    </row>
    <row r="144" spans="1:15">
      <c r="A144" s="12" t="s">
        <v>920</v>
      </c>
      <c r="B144" s="14" t="s">
        <v>1031</v>
      </c>
      <c r="C144" s="12" t="s">
        <v>268</v>
      </c>
      <c r="D144" s="15">
        <v>1.07</v>
      </c>
      <c r="E144" s="10"/>
      <c r="F144" s="10">
        <v>1.522</v>
      </c>
      <c r="G144" s="10">
        <v>1.522</v>
      </c>
      <c r="H144" s="10">
        <v>1.522</v>
      </c>
      <c r="I144" s="35">
        <v>4</v>
      </c>
      <c r="J144" s="10">
        <v>1.5349999999999999</v>
      </c>
      <c r="K144" s="10">
        <v>1.52</v>
      </c>
      <c r="L144" s="10">
        <v>1.5275000000000001</v>
      </c>
      <c r="M144" s="36">
        <v>2</v>
      </c>
      <c r="N144" s="35">
        <v>8</v>
      </c>
      <c r="O144" s="35" t="e">
        <v>#N/A</v>
      </c>
    </row>
    <row r="145" spans="1:15">
      <c r="A145" s="12" t="s">
        <v>1032</v>
      </c>
      <c r="B145" s="14" t="s">
        <v>1033</v>
      </c>
      <c r="C145" s="12" t="s">
        <v>1034</v>
      </c>
      <c r="D145" s="15">
        <v>7.33</v>
      </c>
      <c r="E145" s="10"/>
      <c r="F145" s="10" t="s">
        <v>0</v>
      </c>
      <c r="G145" s="10" t="s">
        <v>0</v>
      </c>
      <c r="H145" s="10" t="s">
        <v>0</v>
      </c>
      <c r="I145" s="35" t="s">
        <v>0</v>
      </c>
      <c r="J145" s="10">
        <v>6.1</v>
      </c>
      <c r="K145" s="10">
        <v>6.1</v>
      </c>
      <c r="L145" s="10">
        <v>6.1</v>
      </c>
      <c r="M145" s="36">
        <v>20</v>
      </c>
      <c r="N145" s="35">
        <v>0.27</v>
      </c>
      <c r="O145" s="35" t="e">
        <v>#N/A</v>
      </c>
    </row>
    <row r="146" spans="1:15">
      <c r="A146" s="12" t="s">
        <v>1035</v>
      </c>
      <c r="B146" s="14" t="s">
        <v>1036</v>
      </c>
      <c r="C146" s="12" t="s">
        <v>1034</v>
      </c>
      <c r="D146" s="15">
        <v>0</v>
      </c>
      <c r="E146" s="10"/>
      <c r="F146" s="10" t="s">
        <v>0</v>
      </c>
      <c r="G146" s="10" t="s">
        <v>0</v>
      </c>
      <c r="H146" s="10" t="s">
        <v>0</v>
      </c>
      <c r="I146" s="35" t="s">
        <v>0</v>
      </c>
      <c r="J146" s="10" t="s">
        <v>330</v>
      </c>
      <c r="K146" s="10" t="s">
        <v>330</v>
      </c>
      <c r="L146" s="10" t="s">
        <v>330</v>
      </c>
      <c r="M146" s="36">
        <v>1</v>
      </c>
      <c r="N146" s="35">
        <v>0.02</v>
      </c>
      <c r="O146" s="35" t="e">
        <v>#N/A</v>
      </c>
    </row>
    <row r="147" spans="1:15">
      <c r="M147" s="45"/>
    </row>
    <row r="148" spans="1:15">
      <c r="M148" s="45"/>
    </row>
    <row r="149" spans="1:15">
      <c r="M149" s="45"/>
    </row>
    <row r="150" spans="1:15">
      <c r="M150" s="45"/>
    </row>
    <row r="151" spans="1:15">
      <c r="M151" s="45"/>
    </row>
    <row r="152" spans="1:15">
      <c r="M152" s="45"/>
    </row>
    <row r="153" spans="1:15">
      <c r="M153" s="45"/>
    </row>
    <row r="154" spans="1:15">
      <c r="M154" s="45"/>
    </row>
    <row r="155" spans="1:15">
      <c r="M155" s="45"/>
    </row>
    <row r="156" spans="1:15">
      <c r="M156" s="45"/>
    </row>
    <row r="157" spans="1:15">
      <c r="M157" s="45"/>
    </row>
    <row r="158" spans="1:15">
      <c r="M158" s="45"/>
    </row>
    <row r="159" spans="1:15">
      <c r="M159" s="45"/>
    </row>
    <row r="160" spans="1:15">
      <c r="M160" s="45"/>
    </row>
    <row r="161" spans="13:13">
      <c r="M161" s="45"/>
    </row>
    <row r="162" spans="13:13">
      <c r="M162" s="45"/>
    </row>
    <row r="163" spans="13:13">
      <c r="M163" s="45"/>
    </row>
    <row r="164" spans="13:13">
      <c r="M164" s="45"/>
    </row>
    <row r="165" spans="13:13">
      <c r="M165" s="45"/>
    </row>
    <row r="166" spans="13:13">
      <c r="M166" s="45"/>
    </row>
    <row r="167" spans="13:13">
      <c r="M167" s="45"/>
    </row>
    <row r="168" spans="13:13">
      <c r="M168" s="45"/>
    </row>
    <row r="169" spans="13:13">
      <c r="M169" s="45"/>
    </row>
    <row r="170" spans="13:13">
      <c r="M170" s="45"/>
    </row>
    <row r="171" spans="13:13">
      <c r="M171" s="45"/>
    </row>
    <row r="172" spans="13:13">
      <c r="M172" s="45"/>
    </row>
    <row r="173" spans="13:13">
      <c r="M173" s="45"/>
    </row>
    <row r="174" spans="13:13">
      <c r="M174" s="45"/>
    </row>
    <row r="175" spans="13:13">
      <c r="M175" s="45"/>
    </row>
    <row r="176" spans="13:13">
      <c r="M176" s="45"/>
    </row>
    <row r="177" spans="13:13">
      <c r="M177" s="45"/>
    </row>
    <row r="178" spans="13:13">
      <c r="M178" s="45"/>
    </row>
    <row r="179" spans="13:13">
      <c r="M179" s="45"/>
    </row>
    <row r="180" spans="13:13">
      <c r="M180" s="45"/>
    </row>
    <row r="181" spans="13:13">
      <c r="M181" s="45"/>
    </row>
    <row r="182" spans="13:13">
      <c r="M182" s="45"/>
    </row>
    <row r="183" spans="13:13">
      <c r="M183" s="45"/>
    </row>
    <row r="184" spans="13:13">
      <c r="M184" s="45"/>
    </row>
    <row r="185" spans="13:13">
      <c r="M185" s="45"/>
    </row>
    <row r="186" spans="13:13">
      <c r="M186" s="45"/>
    </row>
    <row r="187" spans="13:13">
      <c r="M187" s="45"/>
    </row>
    <row r="188" spans="13:13">
      <c r="M188" s="45"/>
    </row>
    <row r="189" spans="13:13">
      <c r="M189" s="45"/>
    </row>
    <row r="190" spans="13:13">
      <c r="M190" s="45"/>
    </row>
    <row r="191" spans="13:13">
      <c r="M191" s="45"/>
    </row>
    <row r="192" spans="13:13">
      <c r="M192" s="45"/>
    </row>
    <row r="193" spans="13:13">
      <c r="M193" s="45"/>
    </row>
    <row r="194" spans="13:13">
      <c r="M194" s="45"/>
    </row>
    <row r="195" spans="13:13">
      <c r="M195" s="45"/>
    </row>
    <row r="196" spans="13:13">
      <c r="M196" s="45"/>
    </row>
    <row r="197" spans="13:13">
      <c r="M197" s="45"/>
    </row>
    <row r="198" spans="13:13">
      <c r="M198" s="45"/>
    </row>
    <row r="199" spans="13:13">
      <c r="M199" s="45"/>
    </row>
    <row r="200" spans="13:13">
      <c r="M200" s="45"/>
    </row>
    <row r="201" spans="13:13">
      <c r="M201" s="45"/>
    </row>
    <row r="202" spans="13:13">
      <c r="M202" s="45"/>
    </row>
    <row r="203" spans="13:13">
      <c r="M203" s="45"/>
    </row>
    <row r="204" spans="13:13">
      <c r="M204" s="45"/>
    </row>
    <row r="205" spans="13:13">
      <c r="M205" s="45"/>
    </row>
    <row r="206" spans="13:13">
      <c r="M206" s="45"/>
    </row>
    <row r="207" spans="13:13">
      <c r="M207" s="45"/>
    </row>
    <row r="208" spans="13:13">
      <c r="M208" s="45"/>
    </row>
    <row r="209" spans="13:13">
      <c r="M209" s="45"/>
    </row>
    <row r="210" spans="13:13">
      <c r="M210" s="45"/>
    </row>
    <row r="211" spans="13:13">
      <c r="M211" s="45"/>
    </row>
    <row r="212" spans="13:13">
      <c r="M212" s="45"/>
    </row>
    <row r="213" spans="13:13">
      <c r="M213" s="45"/>
    </row>
    <row r="214" spans="13:13">
      <c r="M214" s="45"/>
    </row>
    <row r="215" spans="13:13">
      <c r="M215" s="45"/>
    </row>
    <row r="216" spans="13:13">
      <c r="M216" s="45"/>
    </row>
    <row r="217" spans="13:13">
      <c r="M217" s="45"/>
    </row>
    <row r="218" spans="13:13">
      <c r="M218" s="45"/>
    </row>
    <row r="219" spans="13:13">
      <c r="M219" s="45"/>
    </row>
    <row r="220" spans="13:13">
      <c r="M220" s="45"/>
    </row>
    <row r="221" spans="13:13">
      <c r="M221" s="45"/>
    </row>
    <row r="222" spans="13:13">
      <c r="M222" s="45"/>
    </row>
    <row r="223" spans="13:13">
      <c r="M223" s="45"/>
    </row>
    <row r="224" spans="13:13">
      <c r="M224" s="45"/>
    </row>
    <row r="225" spans="13:13">
      <c r="M225" s="45"/>
    </row>
    <row r="226" spans="13:13">
      <c r="M226" s="45"/>
    </row>
    <row r="227" spans="13:13">
      <c r="M227" s="45"/>
    </row>
    <row r="228" spans="13:13">
      <c r="M228" s="45"/>
    </row>
    <row r="229" spans="13:13">
      <c r="M229" s="45"/>
    </row>
    <row r="230" spans="13:13">
      <c r="M230" s="45"/>
    </row>
    <row r="231" spans="13:13">
      <c r="M231" s="45"/>
    </row>
    <row r="232" spans="13:13">
      <c r="M232" s="45"/>
    </row>
    <row r="233" spans="13:13">
      <c r="M233" s="45"/>
    </row>
    <row r="234" spans="13:13">
      <c r="M234" s="45"/>
    </row>
    <row r="235" spans="13:13">
      <c r="M235" s="45"/>
    </row>
    <row r="236" spans="13:13">
      <c r="M236" s="45"/>
    </row>
    <row r="237" spans="13:13">
      <c r="M237" s="45"/>
    </row>
    <row r="238" spans="13:13">
      <c r="M238" s="45"/>
    </row>
    <row r="239" spans="13:13">
      <c r="M239" s="45"/>
    </row>
    <row r="240" spans="13:13">
      <c r="M240" s="45"/>
    </row>
    <row r="241" spans="13:13">
      <c r="M241" s="45"/>
    </row>
    <row r="242" spans="13:13">
      <c r="M242" s="45"/>
    </row>
    <row r="243" spans="13:13">
      <c r="M243" s="45"/>
    </row>
    <row r="244" spans="13:13">
      <c r="M244" s="45"/>
    </row>
    <row r="245" spans="13:13">
      <c r="M245" s="45"/>
    </row>
    <row r="246" spans="13:13">
      <c r="M246" s="45"/>
    </row>
    <row r="247" spans="13:13">
      <c r="M247" s="45"/>
    </row>
    <row r="248" spans="13:13">
      <c r="M248" s="45"/>
    </row>
    <row r="249" spans="13:13">
      <c r="M249" s="45"/>
    </row>
    <row r="250" spans="13:13">
      <c r="M250" s="45"/>
    </row>
    <row r="251" spans="13:13">
      <c r="M251" s="45"/>
    </row>
    <row r="252" spans="13:13">
      <c r="M252" s="45"/>
    </row>
    <row r="253" spans="13:13">
      <c r="M253" s="45"/>
    </row>
    <row r="254" spans="13:13">
      <c r="M254" s="45"/>
    </row>
    <row r="255" spans="13:13">
      <c r="M255" s="45"/>
    </row>
    <row r="256" spans="13:13">
      <c r="M256" s="45"/>
    </row>
    <row r="257" spans="13:13">
      <c r="M257" s="45"/>
    </row>
    <row r="258" spans="13:13">
      <c r="M258" s="45"/>
    </row>
    <row r="259" spans="13:13">
      <c r="M259" s="45"/>
    </row>
    <row r="260" spans="13:13">
      <c r="M260" s="45"/>
    </row>
    <row r="261" spans="13:13">
      <c r="M261" s="45"/>
    </row>
    <row r="262" spans="13:13">
      <c r="M262" s="45"/>
    </row>
    <row r="263" spans="13:13">
      <c r="M263" s="45"/>
    </row>
    <row r="264" spans="13:13">
      <c r="M264" s="45"/>
    </row>
    <row r="265" spans="13:13">
      <c r="M265" s="45"/>
    </row>
    <row r="266" spans="13:13">
      <c r="M266" s="45"/>
    </row>
    <row r="267" spans="13:13">
      <c r="M267" s="45"/>
    </row>
    <row r="268" spans="13:13">
      <c r="M268" s="45"/>
    </row>
    <row r="269" spans="13:13">
      <c r="M269" s="45"/>
    </row>
    <row r="270" spans="13:13">
      <c r="M270" s="45"/>
    </row>
    <row r="271" spans="13:13">
      <c r="M271" s="45"/>
    </row>
    <row r="272" spans="13:13">
      <c r="M272" s="45"/>
    </row>
    <row r="273" spans="13:13">
      <c r="M273" s="45"/>
    </row>
    <row r="274" spans="13:13">
      <c r="M274" s="45"/>
    </row>
    <row r="275" spans="13:13">
      <c r="M275" s="45"/>
    </row>
    <row r="276" spans="13:13">
      <c r="M276" s="45"/>
    </row>
    <row r="277" spans="13:13">
      <c r="M277" s="45"/>
    </row>
    <row r="278" spans="13:13">
      <c r="M278" s="45"/>
    </row>
    <row r="279" spans="13:13">
      <c r="M279" s="45"/>
    </row>
    <row r="280" spans="13:13">
      <c r="M280" s="45"/>
    </row>
    <row r="281" spans="13:13">
      <c r="M281" s="45"/>
    </row>
    <row r="282" spans="13:13">
      <c r="M282" s="45"/>
    </row>
    <row r="283" spans="13:13">
      <c r="M283" s="45"/>
    </row>
    <row r="284" spans="13:13">
      <c r="M284" s="45"/>
    </row>
    <row r="285" spans="13:13">
      <c r="M285" s="45"/>
    </row>
    <row r="286" spans="13:13">
      <c r="M286" s="45"/>
    </row>
    <row r="287" spans="13:13">
      <c r="M287" s="45"/>
    </row>
    <row r="288" spans="13:13">
      <c r="M288" s="45"/>
    </row>
    <row r="289" spans="13:13">
      <c r="M289" s="45"/>
    </row>
    <row r="290" spans="13:13">
      <c r="M290" s="45"/>
    </row>
    <row r="291" spans="13:13">
      <c r="M291" s="45"/>
    </row>
    <row r="292" spans="13:13">
      <c r="M292" s="45"/>
    </row>
    <row r="293" spans="13:13">
      <c r="M293" s="45"/>
    </row>
    <row r="294" spans="13:13">
      <c r="M294" s="45"/>
    </row>
    <row r="295" spans="13:13">
      <c r="M295" s="45"/>
    </row>
    <row r="296" spans="13:13">
      <c r="M296" s="45"/>
    </row>
    <row r="297" spans="13:13">
      <c r="M297" s="45"/>
    </row>
    <row r="298" spans="13:13">
      <c r="M298" s="45"/>
    </row>
    <row r="299" spans="13:13">
      <c r="M299" s="45"/>
    </row>
    <row r="300" spans="13:13">
      <c r="M300" s="45"/>
    </row>
    <row r="301" spans="13:13">
      <c r="M301" s="45"/>
    </row>
    <row r="302" spans="13:13">
      <c r="M302" s="45"/>
    </row>
    <row r="303" spans="13:13">
      <c r="M303" s="45"/>
    </row>
    <row r="304" spans="13:13">
      <c r="M304" s="45"/>
    </row>
    <row r="305" spans="13:13">
      <c r="M305" s="45"/>
    </row>
    <row r="306" spans="13:13">
      <c r="M306" s="45"/>
    </row>
    <row r="307" spans="13:13">
      <c r="M307" s="45"/>
    </row>
    <row r="308" spans="13:13">
      <c r="M308" s="45"/>
    </row>
    <row r="309" spans="13:13">
      <c r="M309" s="45"/>
    </row>
    <row r="310" spans="13:13">
      <c r="M310" s="45"/>
    </row>
    <row r="311" spans="13:13">
      <c r="M311" s="45"/>
    </row>
    <row r="312" spans="13:13">
      <c r="M312" s="45"/>
    </row>
    <row r="313" spans="13:13">
      <c r="M313" s="45"/>
    </row>
    <row r="314" spans="13:13">
      <c r="M314" s="45"/>
    </row>
    <row r="315" spans="13:13">
      <c r="M315" s="45"/>
    </row>
    <row r="316" spans="13:13">
      <c r="M316" s="45"/>
    </row>
    <row r="317" spans="13:13">
      <c r="M317" s="45"/>
    </row>
    <row r="318" spans="13:13">
      <c r="M318" s="45"/>
    </row>
    <row r="319" spans="13:13">
      <c r="M319" s="45"/>
    </row>
    <row r="320" spans="13:13">
      <c r="M320" s="45"/>
    </row>
    <row r="321" spans="13:13">
      <c r="M321" s="45"/>
    </row>
    <row r="322" spans="13:13">
      <c r="M322" s="45"/>
    </row>
    <row r="323" spans="13:13">
      <c r="M323" s="45"/>
    </row>
    <row r="324" spans="13:13">
      <c r="M324" s="45"/>
    </row>
    <row r="325" spans="13:13">
      <c r="M325" s="45"/>
    </row>
    <row r="326" spans="13:13">
      <c r="M326" s="45"/>
    </row>
    <row r="327" spans="13:13">
      <c r="M327" s="45"/>
    </row>
    <row r="328" spans="13:13">
      <c r="M328" s="45"/>
    </row>
    <row r="329" spans="13:13">
      <c r="M329" s="45"/>
    </row>
    <row r="330" spans="13:13">
      <c r="M330" s="45"/>
    </row>
    <row r="331" spans="13:13">
      <c r="M331" s="45"/>
    </row>
    <row r="332" spans="13:13">
      <c r="M332" s="45"/>
    </row>
    <row r="333" spans="13:13">
      <c r="M333" s="45"/>
    </row>
    <row r="334" spans="13:13">
      <c r="M334" s="45"/>
    </row>
    <row r="335" spans="13:13">
      <c r="M335" s="45"/>
    </row>
    <row r="336" spans="13:13">
      <c r="M336" s="45"/>
    </row>
    <row r="337" spans="13:13">
      <c r="M337" s="45"/>
    </row>
    <row r="338" spans="13:13">
      <c r="M338" s="45"/>
    </row>
    <row r="339" spans="13:13">
      <c r="M339" s="45"/>
    </row>
    <row r="340" spans="13:13">
      <c r="M340" s="45"/>
    </row>
    <row r="341" spans="13:13">
      <c r="M341" s="45"/>
    </row>
    <row r="342" spans="13:13">
      <c r="M342" s="45"/>
    </row>
    <row r="343" spans="13:13">
      <c r="M343" s="45"/>
    </row>
    <row r="344" spans="13:13">
      <c r="M344" s="45"/>
    </row>
    <row r="345" spans="13:13">
      <c r="M345" s="45"/>
    </row>
    <row r="346" spans="13:13">
      <c r="M346" s="45"/>
    </row>
    <row r="347" spans="13:13">
      <c r="M347" s="45"/>
    </row>
    <row r="348" spans="13:13">
      <c r="M348" s="45"/>
    </row>
    <row r="349" spans="13:13">
      <c r="M349" s="45"/>
    </row>
    <row r="350" spans="13:13">
      <c r="M350" s="45"/>
    </row>
    <row r="351" spans="13:13">
      <c r="M351" s="45"/>
    </row>
    <row r="352" spans="13:13">
      <c r="M352" s="45"/>
    </row>
    <row r="353" spans="13:13">
      <c r="M353" s="45"/>
    </row>
    <row r="354" spans="13:13">
      <c r="M354" s="45"/>
    </row>
    <row r="355" spans="13:13">
      <c r="M355" s="45"/>
    </row>
    <row r="356" spans="13:13">
      <c r="M356" s="45"/>
    </row>
    <row r="357" spans="13:13">
      <c r="M357" s="45"/>
    </row>
    <row r="358" spans="13:13">
      <c r="M358" s="45"/>
    </row>
    <row r="359" spans="13:13">
      <c r="M359" s="45"/>
    </row>
    <row r="360" spans="13:13">
      <c r="M360" s="45"/>
    </row>
    <row r="361" spans="13:13">
      <c r="M361" s="45"/>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0">
    <pageSetUpPr fitToPage="1"/>
  </sheetPr>
  <dimension ref="A1:T458"/>
  <sheetViews>
    <sheetView zoomScale="90" workbookViewId="0">
      <pane xSplit="1" ySplit="3" topLeftCell="B4" activePane="bottomRight" state="frozen"/>
      <selection sqref="A1:IV65536"/>
      <selection pane="topRight" sqref="A1:IV65536"/>
      <selection pane="bottomLeft" sqref="A1:IV65536"/>
      <selection pane="bottomRight" activeCell="E6" sqref="E6"/>
    </sheetView>
  </sheetViews>
  <sheetFormatPr defaultRowHeight="16.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8.625" style="40" customWidth="1"/>
    <col min="19" max="19" width="11.375" style="43" bestFit="1" customWidth="1"/>
    <col min="20" max="20" width="11.25" style="43"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c r="F1" s="107" t="s">
        <v>654</v>
      </c>
      <c r="G1" s="108"/>
      <c r="H1" s="108"/>
      <c r="I1" s="109"/>
      <c r="J1" s="107" t="s">
        <v>1037</v>
      </c>
      <c r="K1" s="108"/>
      <c r="L1" s="108"/>
      <c r="M1" s="108"/>
      <c r="N1" s="109"/>
      <c r="O1" s="8" t="str">
        <f>[5]公平價格!A2</f>
        <v>日期 Date：112/10/05</v>
      </c>
      <c r="Q1" s="110" t="s">
        <v>827</v>
      </c>
      <c r="R1" s="111"/>
      <c r="S1" s="111"/>
      <c r="T1" s="111"/>
    </row>
    <row r="2" spans="1:20" ht="28.5">
      <c r="D2" s="24" t="s">
        <v>1038</v>
      </c>
      <c r="E2" s="24" t="s">
        <v>298</v>
      </c>
      <c r="F2" s="112" t="s">
        <v>342</v>
      </c>
      <c r="G2" s="113"/>
      <c r="H2" s="113"/>
      <c r="I2" s="25" t="s">
        <v>343</v>
      </c>
      <c r="J2" s="112" t="s">
        <v>342</v>
      </c>
      <c r="K2" s="113"/>
      <c r="L2" s="113"/>
      <c r="M2" s="25" t="s">
        <v>344</v>
      </c>
      <c r="N2" s="25" t="s">
        <v>1039</v>
      </c>
      <c r="O2" s="114" t="s">
        <v>345</v>
      </c>
      <c r="Q2" s="26" t="s">
        <v>1040</v>
      </c>
      <c r="R2" s="27"/>
      <c r="S2" s="28"/>
      <c r="T2" s="28"/>
    </row>
    <row r="3" spans="1:20" ht="45.75">
      <c r="B3" s="8" t="s">
        <v>1041</v>
      </c>
      <c r="C3" s="8" t="s">
        <v>346</v>
      </c>
      <c r="D3" s="9" t="s">
        <v>98</v>
      </c>
      <c r="E3" s="9" t="s">
        <v>299</v>
      </c>
      <c r="F3" s="29" t="s">
        <v>653</v>
      </c>
      <c r="G3" s="29" t="s">
        <v>1042</v>
      </c>
      <c r="H3" s="29" t="s">
        <v>1043</v>
      </c>
      <c r="I3" s="30" t="s">
        <v>1044</v>
      </c>
      <c r="J3" s="29" t="s">
        <v>1045</v>
      </c>
      <c r="K3" s="29" t="s">
        <v>347</v>
      </c>
      <c r="L3" s="29" t="s">
        <v>300</v>
      </c>
      <c r="M3" s="31" t="s">
        <v>301</v>
      </c>
      <c r="N3" s="30" t="s">
        <v>348</v>
      </c>
      <c r="O3" s="114"/>
      <c r="Q3" s="32" t="s">
        <v>349</v>
      </c>
      <c r="R3" s="33" t="s">
        <v>302</v>
      </c>
      <c r="S3" s="34" t="s">
        <v>350</v>
      </c>
      <c r="T3" s="34" t="s">
        <v>303</v>
      </c>
    </row>
    <row r="4" spans="1:20">
      <c r="A4" s="74" t="s">
        <v>36</v>
      </c>
      <c r="B4" s="47" t="s">
        <v>304</v>
      </c>
      <c r="C4" s="48">
        <v>0.75</v>
      </c>
      <c r="D4" s="47">
        <v>0.12</v>
      </c>
      <c r="E4" s="47">
        <v>0.13</v>
      </c>
      <c r="F4" s="10" t="s">
        <v>0</v>
      </c>
      <c r="G4" s="10" t="s">
        <v>0</v>
      </c>
      <c r="H4" s="10" t="s">
        <v>0</v>
      </c>
      <c r="I4" s="35" t="s">
        <v>0</v>
      </c>
      <c r="J4" s="10" t="s">
        <v>0</v>
      </c>
      <c r="K4" s="10" t="s">
        <v>0</v>
      </c>
      <c r="L4" s="10" t="s">
        <v>0</v>
      </c>
      <c r="M4" s="36" t="s">
        <v>0</v>
      </c>
      <c r="N4" s="35" t="s">
        <v>0</v>
      </c>
      <c r="O4" s="35">
        <v>0.95189999999999997</v>
      </c>
      <c r="Q4" s="37" t="s">
        <v>5</v>
      </c>
      <c r="R4" s="37" t="s">
        <v>1046</v>
      </c>
      <c r="S4" s="38">
        <v>400000000</v>
      </c>
      <c r="T4" s="38">
        <v>550000000</v>
      </c>
    </row>
    <row r="5" spans="1:20">
      <c r="A5" s="74" t="s">
        <v>27</v>
      </c>
      <c r="B5" s="47" t="s">
        <v>305</v>
      </c>
      <c r="C5" s="48">
        <v>0.625</v>
      </c>
      <c r="D5" s="47">
        <v>0.26</v>
      </c>
      <c r="E5" s="47">
        <v>0.27</v>
      </c>
      <c r="F5" s="10" t="s">
        <v>0</v>
      </c>
      <c r="G5" s="10" t="s">
        <v>0</v>
      </c>
      <c r="H5" s="10" t="s">
        <v>0</v>
      </c>
      <c r="I5" s="35" t="s">
        <v>0</v>
      </c>
      <c r="J5" s="10" t="s">
        <v>0</v>
      </c>
      <c r="K5" s="10" t="s">
        <v>0</v>
      </c>
      <c r="L5" s="10" t="s">
        <v>0</v>
      </c>
      <c r="M5" s="36" t="s">
        <v>0</v>
      </c>
      <c r="N5" s="35" t="s">
        <v>0</v>
      </c>
      <c r="O5" s="35">
        <v>0.95240000000000002</v>
      </c>
      <c r="Q5" s="12" t="s">
        <v>0</v>
      </c>
      <c r="R5" s="12" t="s">
        <v>1047</v>
      </c>
      <c r="S5" s="39">
        <v>150000000</v>
      </c>
      <c r="T5" s="39">
        <v>0</v>
      </c>
    </row>
    <row r="6" spans="1:20">
      <c r="A6" s="74" t="s">
        <v>9</v>
      </c>
      <c r="B6" s="47" t="s">
        <v>306</v>
      </c>
      <c r="C6" s="48">
        <v>3</v>
      </c>
      <c r="D6" s="47">
        <v>0.33</v>
      </c>
      <c r="E6" s="47">
        <v>0.35</v>
      </c>
      <c r="F6" s="10" t="s">
        <v>0</v>
      </c>
      <c r="G6" s="10" t="s">
        <v>0</v>
      </c>
      <c r="H6" s="10" t="s">
        <v>0</v>
      </c>
      <c r="I6" s="35" t="s">
        <v>0</v>
      </c>
      <c r="J6" s="10" t="s">
        <v>0</v>
      </c>
      <c r="K6" s="10" t="s">
        <v>0</v>
      </c>
      <c r="L6" s="10" t="s">
        <v>0</v>
      </c>
      <c r="M6" s="36" t="s">
        <v>0</v>
      </c>
      <c r="N6" s="35" t="s">
        <v>0</v>
      </c>
      <c r="O6" s="35">
        <v>0.95540000000000003</v>
      </c>
      <c r="Q6" s="37" t="s">
        <v>228</v>
      </c>
      <c r="R6" s="37" t="s">
        <v>311</v>
      </c>
      <c r="S6" s="38">
        <v>50000000</v>
      </c>
      <c r="T6" s="38">
        <v>0</v>
      </c>
    </row>
    <row r="7" spans="1:20">
      <c r="A7" s="74" t="s">
        <v>51</v>
      </c>
      <c r="B7" s="47" t="s">
        <v>307</v>
      </c>
      <c r="C7" s="48">
        <v>1.5</v>
      </c>
      <c r="D7" s="47">
        <v>0.39</v>
      </c>
      <c r="E7" s="47">
        <v>0.41</v>
      </c>
      <c r="F7" s="10" t="s">
        <v>0</v>
      </c>
      <c r="G7" s="10" t="s">
        <v>0</v>
      </c>
      <c r="H7" s="10" t="s">
        <v>0</v>
      </c>
      <c r="I7" s="35" t="s">
        <v>0</v>
      </c>
      <c r="J7" s="10" t="s">
        <v>0</v>
      </c>
      <c r="K7" s="10" t="s">
        <v>0</v>
      </c>
      <c r="L7" s="10" t="s">
        <v>0</v>
      </c>
      <c r="M7" s="36" t="s">
        <v>0</v>
      </c>
      <c r="N7" s="35" t="s">
        <v>0</v>
      </c>
      <c r="O7" s="35">
        <v>0.95809999999999995</v>
      </c>
      <c r="Q7" s="12" t="s">
        <v>0</v>
      </c>
      <c r="R7" s="12" t="s">
        <v>1048</v>
      </c>
      <c r="S7" s="39">
        <v>0</v>
      </c>
      <c r="T7" s="39">
        <v>50000000</v>
      </c>
    </row>
    <row r="8" spans="1:20">
      <c r="A8" s="74" t="s">
        <v>229</v>
      </c>
      <c r="B8" s="47" t="s">
        <v>309</v>
      </c>
      <c r="C8" s="48">
        <v>0.75</v>
      </c>
      <c r="D8" s="47">
        <v>0.47</v>
      </c>
      <c r="E8" s="47">
        <v>0.48</v>
      </c>
      <c r="F8" s="10" t="s">
        <v>0</v>
      </c>
      <c r="G8" s="10" t="s">
        <v>0</v>
      </c>
      <c r="H8" s="10" t="s">
        <v>0</v>
      </c>
      <c r="I8" s="35" t="s">
        <v>0</v>
      </c>
      <c r="J8" s="10" t="s">
        <v>0</v>
      </c>
      <c r="K8" s="10" t="s">
        <v>0</v>
      </c>
      <c r="L8" s="10" t="s">
        <v>0</v>
      </c>
      <c r="M8" s="36" t="s">
        <v>0</v>
      </c>
      <c r="N8" s="35" t="s">
        <v>0</v>
      </c>
      <c r="O8" s="35">
        <v>0.96199999999999997</v>
      </c>
      <c r="Q8" s="37" t="s">
        <v>262</v>
      </c>
      <c r="R8" s="37" t="s">
        <v>311</v>
      </c>
      <c r="S8" s="38">
        <v>400000000</v>
      </c>
      <c r="T8" s="38">
        <v>400000000</v>
      </c>
    </row>
    <row r="9" spans="1:20">
      <c r="A9" s="74" t="s">
        <v>5</v>
      </c>
      <c r="B9" s="47" t="s">
        <v>310</v>
      </c>
      <c r="C9" s="48">
        <v>0.5</v>
      </c>
      <c r="D9" s="47">
        <v>0.76</v>
      </c>
      <c r="E9" s="47">
        <v>0.78</v>
      </c>
      <c r="F9" s="10">
        <v>0.94</v>
      </c>
      <c r="G9" s="10">
        <v>0.92500000000000004</v>
      </c>
      <c r="H9" s="10">
        <v>0.93149999999999999</v>
      </c>
      <c r="I9" s="35">
        <v>9.5</v>
      </c>
      <c r="J9" s="10">
        <v>0.92500000000000004</v>
      </c>
      <c r="K9" s="10">
        <v>0.92500000000000004</v>
      </c>
      <c r="L9" s="10">
        <v>0.92500000000000004</v>
      </c>
      <c r="M9" s="36">
        <v>1</v>
      </c>
      <c r="N9" s="35">
        <v>1.5</v>
      </c>
      <c r="O9" s="35">
        <v>0.97750000000000004</v>
      </c>
      <c r="Q9" s="37" t="s">
        <v>321</v>
      </c>
      <c r="R9" s="37" t="s">
        <v>311</v>
      </c>
      <c r="S9" s="38">
        <v>750000000</v>
      </c>
      <c r="T9" s="38">
        <v>1000000000</v>
      </c>
    </row>
    <row r="10" spans="1:20">
      <c r="A10" s="74" t="s">
        <v>41</v>
      </c>
      <c r="B10" s="47" t="s">
        <v>312</v>
      </c>
      <c r="C10" s="48">
        <v>1.625</v>
      </c>
      <c r="D10" s="47">
        <v>0.95</v>
      </c>
      <c r="E10" s="47">
        <v>0.97</v>
      </c>
      <c r="F10" s="10" t="s">
        <v>0</v>
      </c>
      <c r="G10" s="10" t="s">
        <v>0</v>
      </c>
      <c r="H10" s="10" t="s">
        <v>0</v>
      </c>
      <c r="I10" s="35" t="s">
        <v>0</v>
      </c>
      <c r="J10" s="10" t="s">
        <v>0</v>
      </c>
      <c r="K10" s="10" t="s">
        <v>0</v>
      </c>
      <c r="L10" s="10" t="s">
        <v>0</v>
      </c>
      <c r="M10" s="36" t="s">
        <v>0</v>
      </c>
      <c r="N10" s="35" t="s">
        <v>0</v>
      </c>
      <c r="O10" s="35">
        <v>0.98770000000000002</v>
      </c>
      <c r="Q10" s="12" t="s">
        <v>0</v>
      </c>
      <c r="R10" s="12" t="s">
        <v>351</v>
      </c>
      <c r="S10" s="39">
        <v>250000000</v>
      </c>
      <c r="T10" s="39">
        <v>0</v>
      </c>
    </row>
    <row r="11" spans="1:20">
      <c r="A11" s="74" t="s">
        <v>10</v>
      </c>
      <c r="B11" s="47" t="s">
        <v>313</v>
      </c>
      <c r="C11" s="48">
        <v>3</v>
      </c>
      <c r="D11" s="47">
        <v>1.06</v>
      </c>
      <c r="E11" s="47">
        <v>1.1200000000000001</v>
      </c>
      <c r="F11" s="10" t="s">
        <v>0</v>
      </c>
      <c r="G11" s="10" t="s">
        <v>0</v>
      </c>
      <c r="H11" s="10" t="s">
        <v>0</v>
      </c>
      <c r="I11" s="35" t="s">
        <v>0</v>
      </c>
      <c r="J11" s="10" t="s">
        <v>0</v>
      </c>
      <c r="K11" s="10" t="s">
        <v>0</v>
      </c>
      <c r="L11" s="10" t="s">
        <v>0</v>
      </c>
      <c r="M11" s="36" t="s">
        <v>0</v>
      </c>
      <c r="N11" s="35" t="s">
        <v>0</v>
      </c>
      <c r="O11" s="35">
        <v>0.99519999999999997</v>
      </c>
      <c r="Q11" s="37" t="s">
        <v>537</v>
      </c>
      <c r="R11" s="37" t="s">
        <v>1049</v>
      </c>
      <c r="S11" s="38">
        <v>50000000</v>
      </c>
      <c r="T11" s="38">
        <v>50000000</v>
      </c>
    </row>
    <row r="12" spans="1:20">
      <c r="A12" s="74" t="s">
        <v>227</v>
      </c>
      <c r="B12" s="47" t="s">
        <v>314</v>
      </c>
      <c r="C12" s="48">
        <v>0.5</v>
      </c>
      <c r="D12" s="47">
        <v>1.23</v>
      </c>
      <c r="E12" s="47">
        <v>1.26</v>
      </c>
      <c r="F12" s="10" t="s">
        <v>0</v>
      </c>
      <c r="G12" s="10" t="s">
        <v>0</v>
      </c>
      <c r="H12" s="10" t="s">
        <v>0</v>
      </c>
      <c r="I12" s="35" t="s">
        <v>0</v>
      </c>
      <c r="J12" s="10" t="s">
        <v>0</v>
      </c>
      <c r="K12" s="10" t="s">
        <v>0</v>
      </c>
      <c r="L12" s="10" t="s">
        <v>0</v>
      </c>
      <c r="M12" s="36" t="s">
        <v>0</v>
      </c>
      <c r="N12" s="35" t="s">
        <v>0</v>
      </c>
      <c r="O12" s="35">
        <v>1.0027999999999999</v>
      </c>
      <c r="Q12" s="37" t="s">
        <v>1050</v>
      </c>
      <c r="R12" s="37" t="s">
        <v>311</v>
      </c>
      <c r="S12" s="38">
        <v>800000000</v>
      </c>
      <c r="T12" s="38">
        <v>200000000</v>
      </c>
    </row>
    <row r="13" spans="1:20">
      <c r="A13" s="74" t="s">
        <v>7</v>
      </c>
      <c r="B13" s="47" t="s">
        <v>315</v>
      </c>
      <c r="C13" s="48">
        <v>2.375</v>
      </c>
      <c r="D13" s="47">
        <v>1.34</v>
      </c>
      <c r="E13" s="47">
        <v>1.39</v>
      </c>
      <c r="F13" s="10" t="s">
        <v>0</v>
      </c>
      <c r="G13" s="10" t="s">
        <v>0</v>
      </c>
      <c r="H13" s="10" t="s">
        <v>0</v>
      </c>
      <c r="I13" s="35" t="s">
        <v>0</v>
      </c>
      <c r="J13" s="10" t="s">
        <v>0</v>
      </c>
      <c r="K13" s="10" t="s">
        <v>0</v>
      </c>
      <c r="L13" s="10" t="s">
        <v>0</v>
      </c>
      <c r="M13" s="36" t="s">
        <v>0</v>
      </c>
      <c r="N13" s="35" t="s">
        <v>0</v>
      </c>
      <c r="O13" s="35">
        <v>1.0091000000000001</v>
      </c>
      <c r="Q13" s="12" t="s">
        <v>0</v>
      </c>
      <c r="R13" s="12" t="s">
        <v>351</v>
      </c>
      <c r="S13" s="39">
        <v>0</v>
      </c>
      <c r="T13" s="39">
        <v>600000000</v>
      </c>
    </row>
    <row r="14" spans="1:20">
      <c r="A14" s="74" t="s">
        <v>269</v>
      </c>
      <c r="B14" s="47" t="s">
        <v>316</v>
      </c>
      <c r="C14" s="48">
        <v>1</v>
      </c>
      <c r="D14" s="47">
        <v>1.35</v>
      </c>
      <c r="E14" s="47">
        <v>1.38</v>
      </c>
      <c r="F14" s="10" t="s">
        <v>0</v>
      </c>
      <c r="G14" s="10" t="s">
        <v>0</v>
      </c>
      <c r="H14" s="10" t="s">
        <v>0</v>
      </c>
      <c r="I14" s="35" t="s">
        <v>0</v>
      </c>
      <c r="J14" s="10" t="s">
        <v>0</v>
      </c>
      <c r="K14" s="10" t="s">
        <v>0</v>
      </c>
      <c r="L14" s="10" t="s">
        <v>0</v>
      </c>
      <c r="M14" s="36" t="s">
        <v>0</v>
      </c>
      <c r="N14" s="35" t="s">
        <v>0</v>
      </c>
      <c r="O14" s="35">
        <v>1.0089999999999999</v>
      </c>
      <c r="Q14" s="37" t="s">
        <v>1051</v>
      </c>
      <c r="R14" s="37" t="s">
        <v>351</v>
      </c>
      <c r="S14" s="38">
        <v>200000000</v>
      </c>
      <c r="T14" s="38">
        <v>200000000</v>
      </c>
    </row>
    <row r="15" spans="1:20">
      <c r="A15" s="74" t="s">
        <v>31</v>
      </c>
      <c r="B15" s="47" t="s">
        <v>317</v>
      </c>
      <c r="C15" s="48">
        <v>1.625</v>
      </c>
      <c r="D15" s="47">
        <v>1.39</v>
      </c>
      <c r="E15" s="47">
        <v>1.43</v>
      </c>
      <c r="F15" s="10" t="s">
        <v>0</v>
      </c>
      <c r="G15" s="10" t="s">
        <v>0</v>
      </c>
      <c r="H15" s="10" t="s">
        <v>0</v>
      </c>
      <c r="I15" s="35" t="s">
        <v>0</v>
      </c>
      <c r="J15" s="10" t="s">
        <v>0</v>
      </c>
      <c r="K15" s="10" t="s">
        <v>0</v>
      </c>
      <c r="L15" s="10" t="s">
        <v>0</v>
      </c>
      <c r="M15" s="36" t="s">
        <v>0</v>
      </c>
      <c r="N15" s="35" t="s">
        <v>0</v>
      </c>
      <c r="O15" s="35">
        <v>1.0116000000000001</v>
      </c>
      <c r="Q15" s="37" t="s">
        <v>1052</v>
      </c>
      <c r="R15" s="37" t="s">
        <v>1046</v>
      </c>
      <c r="S15" s="38">
        <v>200000000</v>
      </c>
      <c r="T15" s="38">
        <v>0</v>
      </c>
    </row>
    <row r="16" spans="1:20">
      <c r="A16" s="74" t="s">
        <v>230</v>
      </c>
      <c r="B16" s="47" t="s">
        <v>318</v>
      </c>
      <c r="C16" s="48">
        <v>0.25</v>
      </c>
      <c r="D16" s="47">
        <v>1.74</v>
      </c>
      <c r="E16" s="47">
        <v>1.78</v>
      </c>
      <c r="F16" s="10" t="s">
        <v>0</v>
      </c>
      <c r="G16" s="10" t="s">
        <v>0</v>
      </c>
      <c r="H16" s="10" t="s">
        <v>0</v>
      </c>
      <c r="I16" s="35" t="s">
        <v>0</v>
      </c>
      <c r="J16" s="10" t="s">
        <v>0</v>
      </c>
      <c r="K16" s="10" t="s">
        <v>0</v>
      </c>
      <c r="L16" s="10" t="s">
        <v>0</v>
      </c>
      <c r="M16" s="36" t="s">
        <v>0</v>
      </c>
      <c r="N16" s="35" t="s">
        <v>0</v>
      </c>
      <c r="O16" s="35">
        <v>1.0304</v>
      </c>
      <c r="Q16" s="12" t="s">
        <v>0</v>
      </c>
      <c r="R16" s="12" t="s">
        <v>351</v>
      </c>
      <c r="S16" s="39">
        <v>0</v>
      </c>
      <c r="T16" s="39">
        <v>200000000</v>
      </c>
    </row>
    <row r="17" spans="1:20">
      <c r="A17" s="74" t="s">
        <v>37</v>
      </c>
      <c r="B17" s="47" t="s">
        <v>319</v>
      </c>
      <c r="C17" s="48">
        <v>1.125</v>
      </c>
      <c r="D17" s="47">
        <v>1.89</v>
      </c>
      <c r="E17" s="47">
        <v>1.93</v>
      </c>
      <c r="F17" s="10" t="s">
        <v>0</v>
      </c>
      <c r="G17" s="10" t="s">
        <v>0</v>
      </c>
      <c r="H17" s="10" t="s">
        <v>0</v>
      </c>
      <c r="I17" s="35" t="s">
        <v>0</v>
      </c>
      <c r="J17" s="10" t="s">
        <v>0</v>
      </c>
      <c r="K17" s="10" t="s">
        <v>0</v>
      </c>
      <c r="L17" s="10" t="s">
        <v>0</v>
      </c>
      <c r="M17" s="36" t="s">
        <v>0</v>
      </c>
      <c r="N17" s="35" t="s">
        <v>0</v>
      </c>
      <c r="O17" s="35">
        <v>1.0388999999999999</v>
      </c>
      <c r="Q17" s="37" t="s">
        <v>352</v>
      </c>
      <c r="R17" s="37" t="s">
        <v>1053</v>
      </c>
      <c r="S17" s="38">
        <v>0</v>
      </c>
      <c r="T17" s="38">
        <v>200000000</v>
      </c>
    </row>
    <row r="18" spans="1:20">
      <c r="A18" s="74" t="s">
        <v>231</v>
      </c>
      <c r="B18" s="47" t="s">
        <v>320</v>
      </c>
      <c r="C18" s="48">
        <v>0.125</v>
      </c>
      <c r="D18" s="47">
        <v>2.13</v>
      </c>
      <c r="E18" s="47">
        <v>2.17</v>
      </c>
      <c r="F18" s="10" t="s">
        <v>0</v>
      </c>
      <c r="G18" s="10" t="s">
        <v>0</v>
      </c>
      <c r="H18" s="10" t="s">
        <v>0</v>
      </c>
      <c r="I18" s="35" t="s">
        <v>0</v>
      </c>
      <c r="J18" s="10" t="s">
        <v>0</v>
      </c>
      <c r="K18" s="10" t="s">
        <v>0</v>
      </c>
      <c r="L18" s="10" t="s">
        <v>0</v>
      </c>
      <c r="M18" s="36" t="s">
        <v>0</v>
      </c>
      <c r="N18" s="35" t="s">
        <v>0</v>
      </c>
      <c r="O18" s="35">
        <v>1.0535000000000001</v>
      </c>
      <c r="Q18" s="12" t="s">
        <v>0</v>
      </c>
      <c r="R18" s="12" t="s">
        <v>351</v>
      </c>
      <c r="S18" s="39">
        <v>200000000</v>
      </c>
      <c r="T18" s="39">
        <v>0</v>
      </c>
    </row>
    <row r="19" spans="1:20">
      <c r="A19" s="74" t="s">
        <v>232</v>
      </c>
      <c r="B19" s="47" t="s">
        <v>100</v>
      </c>
      <c r="C19" s="48">
        <v>0.25</v>
      </c>
      <c r="D19" s="47">
        <v>2.23</v>
      </c>
      <c r="E19" s="47">
        <v>2.27</v>
      </c>
      <c r="F19" s="10" t="s">
        <v>0</v>
      </c>
      <c r="G19" s="10" t="s">
        <v>0</v>
      </c>
      <c r="H19" s="10" t="s">
        <v>0</v>
      </c>
      <c r="I19" s="35" t="s">
        <v>0</v>
      </c>
      <c r="J19" s="10" t="s">
        <v>0</v>
      </c>
      <c r="K19" s="10" t="s">
        <v>0</v>
      </c>
      <c r="L19" s="10" t="s">
        <v>0</v>
      </c>
      <c r="M19" s="36" t="s">
        <v>0</v>
      </c>
      <c r="N19" s="35" t="s">
        <v>0</v>
      </c>
      <c r="O19" s="35">
        <v>1.0593999999999999</v>
      </c>
      <c r="Q19" s="37" t="s">
        <v>1054</v>
      </c>
      <c r="R19" s="37" t="s">
        <v>311</v>
      </c>
      <c r="S19" s="38">
        <v>0</v>
      </c>
      <c r="T19" s="38">
        <v>100000000</v>
      </c>
    </row>
    <row r="20" spans="1:20">
      <c r="A20" s="74" t="s">
        <v>8</v>
      </c>
      <c r="B20" s="47" t="s">
        <v>99</v>
      </c>
      <c r="C20" s="48">
        <v>1.875</v>
      </c>
      <c r="D20" s="47">
        <v>2.29</v>
      </c>
      <c r="E20" s="47">
        <v>2.39</v>
      </c>
      <c r="F20" s="10" t="s">
        <v>0</v>
      </c>
      <c r="G20" s="10" t="s">
        <v>0</v>
      </c>
      <c r="H20" s="10" t="s">
        <v>0</v>
      </c>
      <c r="I20" s="35" t="s">
        <v>0</v>
      </c>
      <c r="J20" s="10" t="s">
        <v>0</v>
      </c>
      <c r="K20" s="10" t="s">
        <v>0</v>
      </c>
      <c r="L20" s="10" t="s">
        <v>0</v>
      </c>
      <c r="M20" s="36" t="s">
        <v>0</v>
      </c>
      <c r="N20" s="35" t="s">
        <v>0</v>
      </c>
      <c r="O20" s="35">
        <v>1.0658000000000001</v>
      </c>
      <c r="Q20" s="13" t="s">
        <v>0</v>
      </c>
      <c r="R20" s="13" t="s">
        <v>1055</v>
      </c>
      <c r="S20" s="46">
        <v>100000000</v>
      </c>
      <c r="T20" s="46">
        <v>0</v>
      </c>
    </row>
    <row r="21" spans="1:20">
      <c r="A21" s="74" t="s">
        <v>58</v>
      </c>
      <c r="B21" s="47" t="s">
        <v>101</v>
      </c>
      <c r="C21" s="48">
        <v>0.75</v>
      </c>
      <c r="D21" s="47">
        <v>2.35</v>
      </c>
      <c r="E21" s="47">
        <v>2.41</v>
      </c>
      <c r="F21" s="10" t="s">
        <v>0</v>
      </c>
      <c r="G21" s="10" t="s">
        <v>0</v>
      </c>
      <c r="H21" s="10" t="s">
        <v>0</v>
      </c>
      <c r="I21" s="35" t="s">
        <v>0</v>
      </c>
      <c r="J21" s="10" t="s">
        <v>0</v>
      </c>
      <c r="K21" s="10" t="s">
        <v>0</v>
      </c>
      <c r="L21" s="10" t="s">
        <v>0</v>
      </c>
      <c r="M21" s="36" t="s">
        <v>0</v>
      </c>
      <c r="N21" s="35" t="s">
        <v>0</v>
      </c>
      <c r="O21" s="35">
        <v>1.0677000000000001</v>
      </c>
      <c r="S21" s="41"/>
      <c r="T21" s="41"/>
    </row>
    <row r="22" spans="1:20">
      <c r="A22" s="74" t="s">
        <v>233</v>
      </c>
      <c r="B22" s="47" t="s">
        <v>192</v>
      </c>
      <c r="C22" s="48">
        <v>0.25</v>
      </c>
      <c r="D22" s="47">
        <v>2.76</v>
      </c>
      <c r="E22" s="47">
        <v>2.81</v>
      </c>
      <c r="F22" s="10" t="s">
        <v>0</v>
      </c>
      <c r="G22" s="10" t="s">
        <v>0</v>
      </c>
      <c r="H22" s="10" t="s">
        <v>0</v>
      </c>
      <c r="I22" s="35" t="s">
        <v>0</v>
      </c>
      <c r="J22" s="10" t="s">
        <v>0</v>
      </c>
      <c r="K22" s="10" t="s">
        <v>0</v>
      </c>
      <c r="L22" s="10" t="s">
        <v>0</v>
      </c>
      <c r="M22" s="36" t="s">
        <v>0</v>
      </c>
      <c r="N22" s="35" t="s">
        <v>0</v>
      </c>
      <c r="O22" s="35">
        <v>1.0939000000000001</v>
      </c>
      <c r="Q22" s="42"/>
      <c r="R22" s="42"/>
      <c r="S22" s="42"/>
      <c r="T22" s="42"/>
    </row>
    <row r="23" spans="1:20">
      <c r="A23" s="74" t="s">
        <v>55</v>
      </c>
      <c r="B23" s="47" t="s">
        <v>103</v>
      </c>
      <c r="C23" s="48">
        <v>0.625</v>
      </c>
      <c r="D23" s="47">
        <v>2.86</v>
      </c>
      <c r="E23" s="47">
        <v>2.92</v>
      </c>
      <c r="F23" s="10" t="s">
        <v>0</v>
      </c>
      <c r="G23" s="10" t="s">
        <v>0</v>
      </c>
      <c r="H23" s="10" t="s">
        <v>0</v>
      </c>
      <c r="I23" s="35" t="s">
        <v>0</v>
      </c>
      <c r="J23" s="10" t="s">
        <v>0</v>
      </c>
      <c r="K23" s="10" t="s">
        <v>0</v>
      </c>
      <c r="L23" s="10" t="s">
        <v>0</v>
      </c>
      <c r="M23" s="36" t="s">
        <v>0</v>
      </c>
      <c r="N23" s="35" t="s">
        <v>0</v>
      </c>
      <c r="O23" s="35">
        <v>1.1007</v>
      </c>
    </row>
    <row r="24" spans="1:20">
      <c r="A24" s="74" t="s">
        <v>11</v>
      </c>
      <c r="B24" s="47" t="s">
        <v>102</v>
      </c>
      <c r="C24" s="48">
        <v>2.125</v>
      </c>
      <c r="D24" s="47">
        <v>2.93</v>
      </c>
      <c r="E24" s="47">
        <v>3.09</v>
      </c>
      <c r="F24" s="10" t="s">
        <v>0</v>
      </c>
      <c r="G24" s="10" t="s">
        <v>0</v>
      </c>
      <c r="H24" s="10" t="s">
        <v>0</v>
      </c>
      <c r="I24" s="35" t="s">
        <v>0</v>
      </c>
      <c r="J24" s="10" t="s">
        <v>0</v>
      </c>
      <c r="K24" s="10" t="s">
        <v>0</v>
      </c>
      <c r="L24" s="10" t="s">
        <v>0</v>
      </c>
      <c r="M24" s="36" t="s">
        <v>0</v>
      </c>
      <c r="N24" s="35" t="s">
        <v>0</v>
      </c>
      <c r="O24" s="35">
        <v>1.1106</v>
      </c>
    </row>
    <row r="25" spans="1:20">
      <c r="A25" s="74" t="s">
        <v>12</v>
      </c>
      <c r="B25" s="47" t="s">
        <v>104</v>
      </c>
      <c r="C25" s="48">
        <v>2</v>
      </c>
      <c r="D25" s="47">
        <v>3.2</v>
      </c>
      <c r="E25" s="47">
        <v>3.36</v>
      </c>
      <c r="F25" s="10" t="s">
        <v>0</v>
      </c>
      <c r="G25" s="10" t="s">
        <v>0</v>
      </c>
      <c r="H25" s="10" t="s">
        <v>0</v>
      </c>
      <c r="I25" s="35" t="s">
        <v>0</v>
      </c>
      <c r="J25" s="10" t="s">
        <v>0</v>
      </c>
      <c r="K25" s="10" t="s">
        <v>0</v>
      </c>
      <c r="L25" s="10" t="s">
        <v>0</v>
      </c>
      <c r="M25" s="36" t="s">
        <v>0</v>
      </c>
      <c r="N25" s="35" t="s">
        <v>0</v>
      </c>
      <c r="O25" s="35">
        <v>1.1265000000000001</v>
      </c>
    </row>
    <row r="26" spans="1:20">
      <c r="A26" s="74" t="s">
        <v>32</v>
      </c>
      <c r="B26" s="47" t="s">
        <v>105</v>
      </c>
      <c r="C26" s="48">
        <v>1.125</v>
      </c>
      <c r="D26" s="47">
        <v>3.28</v>
      </c>
      <c r="E26" s="47">
        <v>3.4</v>
      </c>
      <c r="F26" s="10" t="s">
        <v>0</v>
      </c>
      <c r="G26" s="10" t="s">
        <v>0</v>
      </c>
      <c r="H26" s="10" t="s">
        <v>0</v>
      </c>
      <c r="I26" s="35" t="s">
        <v>0</v>
      </c>
      <c r="J26" s="10" t="s">
        <v>0</v>
      </c>
      <c r="K26" s="10" t="s">
        <v>0</v>
      </c>
      <c r="L26" s="10" t="s">
        <v>0</v>
      </c>
      <c r="M26" s="36" t="s">
        <v>0</v>
      </c>
      <c r="N26" s="35" t="s">
        <v>0</v>
      </c>
      <c r="O26" s="35">
        <v>1.1299999999999999</v>
      </c>
    </row>
    <row r="27" spans="1:20">
      <c r="A27" s="74" t="s">
        <v>234</v>
      </c>
      <c r="B27" s="47" t="s">
        <v>206</v>
      </c>
      <c r="C27" s="48">
        <v>0.5</v>
      </c>
      <c r="D27" s="47">
        <v>3.31</v>
      </c>
      <c r="E27" s="47">
        <v>3.38</v>
      </c>
      <c r="F27" s="10" t="s">
        <v>0</v>
      </c>
      <c r="G27" s="10" t="s">
        <v>0</v>
      </c>
      <c r="H27" s="10" t="s">
        <v>0</v>
      </c>
      <c r="I27" s="35" t="s">
        <v>0</v>
      </c>
      <c r="J27" s="10" t="s">
        <v>0</v>
      </c>
      <c r="K27" s="10" t="s">
        <v>0</v>
      </c>
      <c r="L27" s="10" t="s">
        <v>0</v>
      </c>
      <c r="M27" s="36" t="s">
        <v>0</v>
      </c>
      <c r="N27" s="35" t="s">
        <v>0</v>
      </c>
      <c r="O27" s="35">
        <v>1.1297999999999999</v>
      </c>
    </row>
    <row r="28" spans="1:20">
      <c r="A28" s="74" t="s">
        <v>218</v>
      </c>
      <c r="B28" s="47" t="s">
        <v>220</v>
      </c>
      <c r="C28" s="48">
        <v>1</v>
      </c>
      <c r="D28" s="47">
        <v>3.6</v>
      </c>
      <c r="E28" s="47">
        <v>3.71</v>
      </c>
      <c r="F28" s="10" t="s">
        <v>0</v>
      </c>
      <c r="G28" s="10" t="s">
        <v>0</v>
      </c>
      <c r="H28" s="10" t="s">
        <v>0</v>
      </c>
      <c r="I28" s="35" t="s">
        <v>0</v>
      </c>
      <c r="J28" s="10" t="s">
        <v>0</v>
      </c>
      <c r="K28" s="10" t="s">
        <v>0</v>
      </c>
      <c r="L28" s="10" t="s">
        <v>0</v>
      </c>
      <c r="M28" s="36" t="s">
        <v>0</v>
      </c>
      <c r="N28" s="35" t="s">
        <v>0</v>
      </c>
      <c r="O28" s="35">
        <v>1.1479999999999999</v>
      </c>
    </row>
    <row r="29" spans="1:20">
      <c r="A29" s="74" t="s">
        <v>13</v>
      </c>
      <c r="B29" s="47" t="s">
        <v>106</v>
      </c>
      <c r="C29" s="48">
        <v>3</v>
      </c>
      <c r="D29" s="47">
        <v>3.79</v>
      </c>
      <c r="E29" s="47">
        <v>4.1100000000000003</v>
      </c>
      <c r="F29" s="10" t="s">
        <v>0</v>
      </c>
      <c r="G29" s="10" t="s">
        <v>0</v>
      </c>
      <c r="H29" s="10" t="s">
        <v>0</v>
      </c>
      <c r="I29" s="35" t="s">
        <v>0</v>
      </c>
      <c r="J29" s="10" t="s">
        <v>0</v>
      </c>
      <c r="K29" s="10" t="s">
        <v>0</v>
      </c>
      <c r="L29" s="10" t="s">
        <v>0</v>
      </c>
      <c r="M29" s="36" t="s">
        <v>0</v>
      </c>
      <c r="N29" s="35" t="s">
        <v>0</v>
      </c>
      <c r="O29" s="35">
        <v>1.1655</v>
      </c>
    </row>
    <row r="30" spans="1:20">
      <c r="A30" s="74" t="s">
        <v>256</v>
      </c>
      <c r="B30" s="47" t="s">
        <v>257</v>
      </c>
      <c r="C30" s="48">
        <v>1.25</v>
      </c>
      <c r="D30" s="47">
        <v>3.83</v>
      </c>
      <c r="E30" s="47">
        <v>3.96</v>
      </c>
      <c r="F30" s="10" t="s">
        <v>0</v>
      </c>
      <c r="G30" s="10" t="s">
        <v>0</v>
      </c>
      <c r="H30" s="10" t="s">
        <v>0</v>
      </c>
      <c r="I30" s="35" t="s">
        <v>0</v>
      </c>
      <c r="J30" s="10" t="s">
        <v>0</v>
      </c>
      <c r="K30" s="10" t="s">
        <v>0</v>
      </c>
      <c r="L30" s="10" t="s">
        <v>0</v>
      </c>
      <c r="M30" s="36" t="s">
        <v>0</v>
      </c>
      <c r="N30" s="35" t="s">
        <v>0</v>
      </c>
      <c r="O30" s="35">
        <v>1.1609</v>
      </c>
    </row>
    <row r="31" spans="1:20">
      <c r="A31" s="74" t="s">
        <v>1</v>
      </c>
      <c r="B31" s="47" t="s">
        <v>107</v>
      </c>
      <c r="C31" s="48">
        <v>1</v>
      </c>
      <c r="D31" s="47">
        <v>3.84</v>
      </c>
      <c r="E31" s="47">
        <v>3.95</v>
      </c>
      <c r="F31" s="10" t="s">
        <v>0</v>
      </c>
      <c r="G31" s="10" t="s">
        <v>0</v>
      </c>
      <c r="H31" s="10" t="s">
        <v>0</v>
      </c>
      <c r="I31" s="35" t="s">
        <v>0</v>
      </c>
      <c r="J31" s="10" t="s">
        <v>0</v>
      </c>
      <c r="K31" s="10" t="s">
        <v>0</v>
      </c>
      <c r="L31" s="10" t="s">
        <v>0</v>
      </c>
      <c r="M31" s="36" t="s">
        <v>0</v>
      </c>
      <c r="N31" s="35" t="s">
        <v>0</v>
      </c>
      <c r="O31" s="35">
        <v>1.1608000000000001</v>
      </c>
    </row>
    <row r="32" spans="1:20">
      <c r="A32" s="74" t="s">
        <v>59</v>
      </c>
      <c r="B32" s="47" t="s">
        <v>109</v>
      </c>
      <c r="C32" s="48">
        <v>1.375</v>
      </c>
      <c r="D32" s="47">
        <v>4.07</v>
      </c>
      <c r="E32" s="47">
        <v>4.26</v>
      </c>
      <c r="F32" s="10" t="s">
        <v>0</v>
      </c>
      <c r="G32" s="10" t="s">
        <v>0</v>
      </c>
      <c r="H32" s="10" t="s">
        <v>0</v>
      </c>
      <c r="I32" s="35" t="s">
        <v>0</v>
      </c>
      <c r="J32" s="10" t="s">
        <v>0</v>
      </c>
      <c r="K32" s="10" t="s">
        <v>0</v>
      </c>
      <c r="L32" s="10" t="s">
        <v>0</v>
      </c>
      <c r="M32" s="36" t="s">
        <v>0</v>
      </c>
      <c r="N32" s="35" t="s">
        <v>0</v>
      </c>
      <c r="O32" s="35">
        <v>1.1746000000000001</v>
      </c>
    </row>
    <row r="33" spans="1:15">
      <c r="A33" s="74" t="s">
        <v>14</v>
      </c>
      <c r="B33" s="47" t="s">
        <v>108</v>
      </c>
      <c r="C33" s="48">
        <v>2.5</v>
      </c>
      <c r="D33" s="47">
        <v>4.07</v>
      </c>
      <c r="E33" s="47">
        <v>4.3600000000000003</v>
      </c>
      <c r="F33" s="10" t="s">
        <v>0</v>
      </c>
      <c r="G33" s="10" t="s">
        <v>0</v>
      </c>
      <c r="H33" s="10" t="s">
        <v>0</v>
      </c>
      <c r="I33" s="35" t="s">
        <v>0</v>
      </c>
      <c r="J33" s="10" t="s">
        <v>0</v>
      </c>
      <c r="K33" s="10" t="s">
        <v>0</v>
      </c>
      <c r="L33" s="10" t="s">
        <v>0</v>
      </c>
      <c r="M33" s="36" t="s">
        <v>0</v>
      </c>
      <c r="N33" s="35" t="s">
        <v>0</v>
      </c>
      <c r="O33" s="35">
        <v>1.177</v>
      </c>
    </row>
    <row r="34" spans="1:15">
      <c r="A34" s="74" t="s">
        <v>272</v>
      </c>
      <c r="B34" s="47" t="s">
        <v>271</v>
      </c>
      <c r="C34" s="48">
        <v>1</v>
      </c>
      <c r="D34" s="47">
        <v>4.12</v>
      </c>
      <c r="E34" s="47">
        <v>4.28</v>
      </c>
      <c r="F34" s="10" t="s">
        <v>0</v>
      </c>
      <c r="G34" s="10" t="s">
        <v>0</v>
      </c>
      <c r="H34" s="10" t="s">
        <v>0</v>
      </c>
      <c r="I34" s="35" t="s">
        <v>0</v>
      </c>
      <c r="J34" s="10" t="s">
        <v>0</v>
      </c>
      <c r="K34" s="10" t="s">
        <v>0</v>
      </c>
      <c r="L34" s="10" t="s">
        <v>0</v>
      </c>
      <c r="M34" s="36" t="s">
        <v>0</v>
      </c>
      <c r="N34" s="35" t="s">
        <v>0</v>
      </c>
      <c r="O34" s="35">
        <v>1.1760999999999999</v>
      </c>
    </row>
    <row r="35" spans="1:15">
      <c r="A35" s="74" t="s">
        <v>34</v>
      </c>
      <c r="B35" s="47" t="s">
        <v>110</v>
      </c>
      <c r="C35" s="48">
        <v>1</v>
      </c>
      <c r="D35" s="47">
        <v>4.18</v>
      </c>
      <c r="E35" s="47">
        <v>4.34</v>
      </c>
      <c r="F35" s="10" t="s">
        <v>0</v>
      </c>
      <c r="G35" s="10" t="s">
        <v>0</v>
      </c>
      <c r="H35" s="10" t="s">
        <v>0</v>
      </c>
      <c r="I35" s="35" t="s">
        <v>0</v>
      </c>
      <c r="J35" s="10" t="s">
        <v>0</v>
      </c>
      <c r="K35" s="10" t="s">
        <v>0</v>
      </c>
      <c r="L35" s="10" t="s">
        <v>0</v>
      </c>
      <c r="M35" s="36" t="s">
        <v>0</v>
      </c>
      <c r="N35" s="35" t="s">
        <v>0</v>
      </c>
      <c r="O35" s="35">
        <v>1.1788000000000001</v>
      </c>
    </row>
    <row r="36" spans="1:15">
      <c r="A36" s="74" t="s">
        <v>321</v>
      </c>
      <c r="B36" s="47" t="s">
        <v>322</v>
      </c>
      <c r="C36" s="48">
        <v>1</v>
      </c>
      <c r="D36" s="47">
        <v>4.47</v>
      </c>
      <c r="E36" s="47">
        <v>4.6399999999999997</v>
      </c>
      <c r="F36" s="10">
        <v>1.1910000000000001</v>
      </c>
      <c r="G36" s="10">
        <v>1.1890000000000001</v>
      </c>
      <c r="H36" s="10">
        <v>1.1899</v>
      </c>
      <c r="I36" s="35">
        <v>17</v>
      </c>
      <c r="J36" s="10">
        <v>1.1900999999999999</v>
      </c>
      <c r="K36" s="10">
        <v>1.1900999999999999</v>
      </c>
      <c r="L36" s="10">
        <v>1.1900999999999999</v>
      </c>
      <c r="M36" s="36">
        <v>1</v>
      </c>
      <c r="N36" s="35">
        <v>0.5</v>
      </c>
      <c r="O36" s="35">
        <v>1.1902999999999999</v>
      </c>
    </row>
    <row r="37" spans="1:15">
      <c r="A37" s="74" t="s">
        <v>2</v>
      </c>
      <c r="B37" s="47" t="s">
        <v>112</v>
      </c>
      <c r="C37" s="48">
        <v>0.875</v>
      </c>
      <c r="D37" s="47">
        <v>4.5199999999999996</v>
      </c>
      <c r="E37" s="47">
        <v>4.67</v>
      </c>
      <c r="F37" s="10" t="s">
        <v>0</v>
      </c>
      <c r="G37" s="10" t="s">
        <v>0</v>
      </c>
      <c r="H37" s="10" t="s">
        <v>0</v>
      </c>
      <c r="I37" s="35" t="s">
        <v>0</v>
      </c>
      <c r="J37" s="10" t="s">
        <v>0</v>
      </c>
      <c r="K37" s="10" t="s">
        <v>0</v>
      </c>
      <c r="L37" s="10" t="s">
        <v>0</v>
      </c>
      <c r="M37" s="36" t="s">
        <v>0</v>
      </c>
      <c r="N37" s="35" t="s">
        <v>0</v>
      </c>
      <c r="O37" s="35">
        <v>1.1918</v>
      </c>
    </row>
    <row r="38" spans="1:15">
      <c r="A38" s="74" t="s">
        <v>15</v>
      </c>
      <c r="B38" s="47" t="s">
        <v>111</v>
      </c>
      <c r="C38" s="48">
        <v>2.625</v>
      </c>
      <c r="D38" s="47">
        <v>4.55</v>
      </c>
      <c r="E38" s="47">
        <v>4.8499999999999996</v>
      </c>
      <c r="F38" s="10" t="s">
        <v>0</v>
      </c>
      <c r="G38" s="10" t="s">
        <v>0</v>
      </c>
      <c r="H38" s="10" t="s">
        <v>0</v>
      </c>
      <c r="I38" s="35" t="s">
        <v>0</v>
      </c>
      <c r="J38" s="10" t="s">
        <v>0</v>
      </c>
      <c r="K38" s="10" t="s">
        <v>0</v>
      </c>
      <c r="L38" s="10" t="s">
        <v>0</v>
      </c>
      <c r="M38" s="36" t="s">
        <v>0</v>
      </c>
      <c r="N38" s="35" t="s">
        <v>0</v>
      </c>
      <c r="O38" s="35">
        <v>1.1948000000000001</v>
      </c>
    </row>
    <row r="39" spans="1:15">
      <c r="A39" s="74" t="s">
        <v>308</v>
      </c>
      <c r="B39" s="47" t="s">
        <v>323</v>
      </c>
      <c r="C39" s="48">
        <v>1.125</v>
      </c>
      <c r="D39" s="47">
        <v>4.76</v>
      </c>
      <c r="E39" s="47">
        <v>4.9400000000000004</v>
      </c>
      <c r="F39" s="10" t="s">
        <v>0</v>
      </c>
      <c r="G39" s="10" t="s">
        <v>0</v>
      </c>
      <c r="H39" s="10" t="s">
        <v>0</v>
      </c>
      <c r="I39" s="35" t="s">
        <v>0</v>
      </c>
      <c r="J39" s="10" t="s">
        <v>0</v>
      </c>
      <c r="K39" s="10" t="s">
        <v>0</v>
      </c>
      <c r="L39" s="10" t="s">
        <v>0</v>
      </c>
      <c r="M39" s="36" t="s">
        <v>0</v>
      </c>
      <c r="N39" s="35" t="s">
        <v>0</v>
      </c>
      <c r="O39" s="35">
        <v>1.2000999999999999</v>
      </c>
    </row>
    <row r="40" spans="1:15">
      <c r="A40" s="74" t="s">
        <v>235</v>
      </c>
      <c r="B40" s="47" t="s">
        <v>193</v>
      </c>
      <c r="C40" s="48">
        <v>0.25</v>
      </c>
      <c r="D40" s="47">
        <v>4.78</v>
      </c>
      <c r="E40" s="47">
        <v>4.87</v>
      </c>
      <c r="F40" s="10" t="s">
        <v>0</v>
      </c>
      <c r="G40" s="10" t="s">
        <v>0</v>
      </c>
      <c r="H40" s="10" t="s">
        <v>0</v>
      </c>
      <c r="I40" s="35" t="s">
        <v>0</v>
      </c>
      <c r="J40" s="10" t="s">
        <v>0</v>
      </c>
      <c r="K40" s="10" t="s">
        <v>0</v>
      </c>
      <c r="L40" s="10" t="s">
        <v>0</v>
      </c>
      <c r="M40" s="36" t="s">
        <v>0</v>
      </c>
      <c r="N40" s="35" t="s">
        <v>0</v>
      </c>
      <c r="O40" s="35">
        <v>1.1996</v>
      </c>
    </row>
    <row r="41" spans="1:15">
      <c r="A41" s="74" t="s">
        <v>28</v>
      </c>
      <c r="B41" s="47" t="s">
        <v>114</v>
      </c>
      <c r="C41" s="48">
        <v>0.875</v>
      </c>
      <c r="D41" s="47">
        <v>4.83</v>
      </c>
      <c r="E41" s="47">
        <v>5.03</v>
      </c>
      <c r="F41" s="10" t="s">
        <v>0</v>
      </c>
      <c r="G41" s="10" t="s">
        <v>0</v>
      </c>
      <c r="H41" s="10" t="s">
        <v>0</v>
      </c>
      <c r="I41" s="35" t="s">
        <v>0</v>
      </c>
      <c r="J41" s="10" t="s">
        <v>0</v>
      </c>
      <c r="K41" s="10" t="s">
        <v>0</v>
      </c>
      <c r="L41" s="10" t="s">
        <v>0</v>
      </c>
      <c r="M41" s="36" t="s">
        <v>0</v>
      </c>
      <c r="N41" s="35" t="s">
        <v>0</v>
      </c>
      <c r="O41" s="35">
        <v>1.2030000000000001</v>
      </c>
    </row>
    <row r="42" spans="1:15">
      <c r="A42" s="74" t="s">
        <v>16</v>
      </c>
      <c r="B42" s="47" t="s">
        <v>113</v>
      </c>
      <c r="C42" s="48">
        <v>2.125</v>
      </c>
      <c r="D42" s="47">
        <v>5</v>
      </c>
      <c r="E42" s="47">
        <v>5.36</v>
      </c>
      <c r="F42" s="10" t="s">
        <v>0</v>
      </c>
      <c r="G42" s="10" t="s">
        <v>0</v>
      </c>
      <c r="H42" s="10" t="s">
        <v>0</v>
      </c>
      <c r="I42" s="35" t="s">
        <v>0</v>
      </c>
      <c r="J42" s="10" t="s">
        <v>0</v>
      </c>
      <c r="K42" s="10" t="s">
        <v>0</v>
      </c>
      <c r="L42" s="10" t="s">
        <v>0</v>
      </c>
      <c r="M42" s="36" t="s">
        <v>0</v>
      </c>
      <c r="N42" s="35" t="s">
        <v>0</v>
      </c>
      <c r="O42" s="35">
        <v>1.208</v>
      </c>
    </row>
    <row r="43" spans="1:15">
      <c r="A43" s="74" t="s">
        <v>3</v>
      </c>
      <c r="B43" s="47" t="s">
        <v>115</v>
      </c>
      <c r="C43" s="48">
        <v>0.75</v>
      </c>
      <c r="D43" s="47">
        <v>5.17</v>
      </c>
      <c r="E43" s="47">
        <v>5.36</v>
      </c>
      <c r="F43" s="10" t="s">
        <v>0</v>
      </c>
      <c r="G43" s="10" t="s">
        <v>0</v>
      </c>
      <c r="H43" s="10" t="s">
        <v>0</v>
      </c>
      <c r="I43" s="35" t="s">
        <v>0</v>
      </c>
      <c r="J43" s="10" t="s">
        <v>0</v>
      </c>
      <c r="K43" s="10" t="s">
        <v>0</v>
      </c>
      <c r="L43" s="10" t="s">
        <v>0</v>
      </c>
      <c r="M43" s="36" t="s">
        <v>0</v>
      </c>
      <c r="N43" s="35" t="s">
        <v>0</v>
      </c>
      <c r="O43" s="35">
        <v>1.2104999999999999</v>
      </c>
    </row>
    <row r="44" spans="1:15">
      <c r="A44" s="74" t="s">
        <v>17</v>
      </c>
      <c r="B44" s="47" t="s">
        <v>116</v>
      </c>
      <c r="C44" s="48">
        <v>2.125</v>
      </c>
      <c r="D44" s="47">
        <v>5.48</v>
      </c>
      <c r="E44" s="47">
        <v>5.85</v>
      </c>
      <c r="F44" s="10" t="s">
        <v>0</v>
      </c>
      <c r="G44" s="10" t="s">
        <v>0</v>
      </c>
      <c r="H44" s="10" t="s">
        <v>0</v>
      </c>
      <c r="I44" s="35" t="s">
        <v>0</v>
      </c>
      <c r="J44" s="10" t="s">
        <v>0</v>
      </c>
      <c r="K44" s="10" t="s">
        <v>0</v>
      </c>
      <c r="L44" s="10" t="s">
        <v>0</v>
      </c>
      <c r="M44" s="36" t="s">
        <v>0</v>
      </c>
      <c r="N44" s="35" t="s">
        <v>0</v>
      </c>
      <c r="O44" s="35">
        <v>1.2159</v>
      </c>
    </row>
    <row r="45" spans="1:15">
      <c r="A45" s="74" t="s">
        <v>4</v>
      </c>
      <c r="B45" s="47" t="s">
        <v>117</v>
      </c>
      <c r="C45" s="48">
        <v>0.625</v>
      </c>
      <c r="D45" s="47">
        <v>5.55</v>
      </c>
      <c r="E45" s="47">
        <v>5.72</v>
      </c>
      <c r="F45" s="10" t="s">
        <v>0</v>
      </c>
      <c r="G45" s="10" t="s">
        <v>0</v>
      </c>
      <c r="H45" s="10" t="s">
        <v>0</v>
      </c>
      <c r="I45" s="35" t="s">
        <v>0</v>
      </c>
      <c r="J45" s="10" t="s">
        <v>0</v>
      </c>
      <c r="K45" s="10" t="s">
        <v>0</v>
      </c>
      <c r="L45" s="10" t="s">
        <v>0</v>
      </c>
      <c r="M45" s="36" t="s">
        <v>0</v>
      </c>
      <c r="N45" s="35" t="s">
        <v>0</v>
      </c>
      <c r="O45" s="35">
        <v>1.2170000000000001</v>
      </c>
    </row>
    <row r="46" spans="1:15">
      <c r="A46" s="74" t="s">
        <v>6</v>
      </c>
      <c r="B46" s="47" t="s">
        <v>119</v>
      </c>
      <c r="C46" s="48">
        <v>0.625</v>
      </c>
      <c r="D46" s="47">
        <v>5.81</v>
      </c>
      <c r="E46" s="47">
        <v>6.02</v>
      </c>
      <c r="F46" s="10" t="s">
        <v>0</v>
      </c>
      <c r="G46" s="10" t="s">
        <v>0</v>
      </c>
      <c r="H46" s="10" t="s">
        <v>0</v>
      </c>
      <c r="I46" s="35" t="s">
        <v>0</v>
      </c>
      <c r="J46" s="10" t="s">
        <v>0</v>
      </c>
      <c r="K46" s="10" t="s">
        <v>0</v>
      </c>
      <c r="L46" s="10" t="s">
        <v>0</v>
      </c>
      <c r="M46" s="36" t="s">
        <v>0</v>
      </c>
      <c r="N46" s="35" t="s">
        <v>0</v>
      </c>
      <c r="O46" s="35">
        <v>1.2213000000000001</v>
      </c>
    </row>
    <row r="47" spans="1:15">
      <c r="A47" s="74" t="s">
        <v>18</v>
      </c>
      <c r="B47" s="47" t="s">
        <v>118</v>
      </c>
      <c r="C47" s="48">
        <v>1.875</v>
      </c>
      <c r="D47" s="47">
        <v>5.93</v>
      </c>
      <c r="E47" s="47">
        <v>6.38</v>
      </c>
      <c r="F47" s="10" t="s">
        <v>0</v>
      </c>
      <c r="G47" s="10" t="s">
        <v>0</v>
      </c>
      <c r="H47" s="10" t="s">
        <v>0</v>
      </c>
      <c r="I47" s="35" t="s">
        <v>0</v>
      </c>
      <c r="J47" s="10" t="s">
        <v>0</v>
      </c>
      <c r="K47" s="10" t="s">
        <v>0</v>
      </c>
      <c r="L47" s="10" t="s">
        <v>0</v>
      </c>
      <c r="M47" s="36" t="s">
        <v>0</v>
      </c>
      <c r="N47" s="35" t="s">
        <v>0</v>
      </c>
      <c r="O47" s="35">
        <v>1.2231000000000001</v>
      </c>
    </row>
    <row r="48" spans="1:15">
      <c r="A48" s="74" t="s">
        <v>236</v>
      </c>
      <c r="B48" s="47" t="s">
        <v>120</v>
      </c>
      <c r="C48" s="48">
        <v>0.5</v>
      </c>
      <c r="D48" s="47">
        <v>6.18</v>
      </c>
      <c r="E48" s="47">
        <v>6.38</v>
      </c>
      <c r="F48" s="10" t="s">
        <v>0</v>
      </c>
      <c r="G48" s="10" t="s">
        <v>0</v>
      </c>
      <c r="H48" s="10" t="s">
        <v>0</v>
      </c>
      <c r="I48" s="35" t="s">
        <v>0</v>
      </c>
      <c r="J48" s="10" t="s">
        <v>0</v>
      </c>
      <c r="K48" s="10" t="s">
        <v>0</v>
      </c>
      <c r="L48" s="10" t="s">
        <v>0</v>
      </c>
      <c r="M48" s="36" t="s">
        <v>0</v>
      </c>
      <c r="N48" s="35" t="s">
        <v>0</v>
      </c>
      <c r="O48" s="35">
        <v>1.2259</v>
      </c>
    </row>
    <row r="49" spans="1:15">
      <c r="A49" s="74" t="s">
        <v>19</v>
      </c>
      <c r="B49" s="47" t="s">
        <v>121</v>
      </c>
      <c r="C49" s="48">
        <v>1.75</v>
      </c>
      <c r="D49" s="47">
        <v>6.41</v>
      </c>
      <c r="E49" s="47">
        <v>6.85</v>
      </c>
      <c r="F49" s="10" t="s">
        <v>0</v>
      </c>
      <c r="G49" s="10" t="s">
        <v>0</v>
      </c>
      <c r="H49" s="10" t="s">
        <v>0</v>
      </c>
      <c r="I49" s="35" t="s">
        <v>0</v>
      </c>
      <c r="J49" s="10" t="s">
        <v>0</v>
      </c>
      <c r="K49" s="10" t="s">
        <v>0</v>
      </c>
      <c r="L49" s="10" t="s">
        <v>0</v>
      </c>
      <c r="M49" s="36" t="s">
        <v>0</v>
      </c>
      <c r="N49" s="35" t="s">
        <v>0</v>
      </c>
      <c r="O49" s="35">
        <v>1.2294</v>
      </c>
    </row>
    <row r="50" spans="1:15">
      <c r="A50" s="74" t="s">
        <v>237</v>
      </c>
      <c r="B50" s="47" t="s">
        <v>124</v>
      </c>
      <c r="C50" s="48">
        <v>0.375</v>
      </c>
      <c r="D50" s="47">
        <v>6.51</v>
      </c>
      <c r="E50" s="47">
        <v>6.68</v>
      </c>
      <c r="F50" s="10" t="s">
        <v>0</v>
      </c>
      <c r="G50" s="10" t="s">
        <v>0</v>
      </c>
      <c r="H50" s="10" t="s">
        <v>0</v>
      </c>
      <c r="I50" s="35" t="s">
        <v>0</v>
      </c>
      <c r="J50" s="10" t="s">
        <v>0</v>
      </c>
      <c r="K50" s="10" t="s">
        <v>0</v>
      </c>
      <c r="L50" s="10" t="s">
        <v>0</v>
      </c>
      <c r="M50" s="36" t="s">
        <v>0</v>
      </c>
      <c r="N50" s="35" t="s">
        <v>0</v>
      </c>
      <c r="O50" s="35">
        <v>1.2301</v>
      </c>
    </row>
    <row r="51" spans="1:15">
      <c r="A51" s="74" t="s">
        <v>49</v>
      </c>
      <c r="B51" s="47" t="s">
        <v>122</v>
      </c>
      <c r="C51" s="48">
        <v>2.125</v>
      </c>
      <c r="D51" s="47">
        <v>6.64</v>
      </c>
      <c r="E51" s="47">
        <v>7.27</v>
      </c>
      <c r="F51" s="10" t="s">
        <v>0</v>
      </c>
      <c r="G51" s="10" t="s">
        <v>0</v>
      </c>
      <c r="H51" s="10" t="s">
        <v>0</v>
      </c>
      <c r="I51" s="35" t="s">
        <v>0</v>
      </c>
      <c r="J51" s="10" t="s">
        <v>0</v>
      </c>
      <c r="K51" s="10" t="s">
        <v>0</v>
      </c>
      <c r="L51" s="10" t="s">
        <v>0</v>
      </c>
      <c r="M51" s="36" t="s">
        <v>0</v>
      </c>
      <c r="N51" s="35" t="s">
        <v>0</v>
      </c>
      <c r="O51" s="35">
        <v>1.2351000000000001</v>
      </c>
    </row>
    <row r="52" spans="1:15">
      <c r="A52" s="74" t="s">
        <v>238</v>
      </c>
      <c r="B52" s="47" t="s">
        <v>126</v>
      </c>
      <c r="C52" s="48">
        <v>0.25</v>
      </c>
      <c r="D52" s="47">
        <v>6.85</v>
      </c>
      <c r="E52" s="47">
        <v>7.02</v>
      </c>
      <c r="F52" s="10" t="s">
        <v>0</v>
      </c>
      <c r="G52" s="10" t="s">
        <v>0</v>
      </c>
      <c r="H52" s="10" t="s">
        <v>0</v>
      </c>
      <c r="I52" s="35" t="s">
        <v>0</v>
      </c>
      <c r="J52" s="10" t="s">
        <v>0</v>
      </c>
      <c r="K52" s="10" t="s">
        <v>0</v>
      </c>
      <c r="L52" s="10" t="s">
        <v>0</v>
      </c>
      <c r="M52" s="36" t="s">
        <v>0</v>
      </c>
      <c r="N52" s="35" t="s">
        <v>0</v>
      </c>
      <c r="O52" s="35">
        <v>1.2351000000000001</v>
      </c>
    </row>
    <row r="53" spans="1:15">
      <c r="A53" s="74" t="s">
        <v>20</v>
      </c>
      <c r="B53" s="47" t="s">
        <v>123</v>
      </c>
      <c r="C53" s="48">
        <v>3.625</v>
      </c>
      <c r="D53" s="47">
        <v>6.85</v>
      </c>
      <c r="E53" s="47">
        <v>7.78</v>
      </c>
      <c r="F53" s="10" t="s">
        <v>0</v>
      </c>
      <c r="G53" s="10" t="s">
        <v>0</v>
      </c>
      <c r="H53" s="10" t="s">
        <v>0</v>
      </c>
      <c r="I53" s="35" t="s">
        <v>0</v>
      </c>
      <c r="J53" s="10" t="s">
        <v>0</v>
      </c>
      <c r="K53" s="10" t="s">
        <v>0</v>
      </c>
      <c r="L53" s="10" t="s">
        <v>0</v>
      </c>
      <c r="M53" s="36" t="s">
        <v>0</v>
      </c>
      <c r="N53" s="35" t="s">
        <v>0</v>
      </c>
      <c r="O53" s="35">
        <v>1.2404999999999999</v>
      </c>
    </row>
    <row r="54" spans="1:15">
      <c r="A54" s="74" t="s">
        <v>57</v>
      </c>
      <c r="B54" s="47" t="s">
        <v>125</v>
      </c>
      <c r="C54" s="48">
        <v>1.75</v>
      </c>
      <c r="D54" s="47">
        <v>7.08</v>
      </c>
      <c r="E54" s="47">
        <v>7.63</v>
      </c>
      <c r="F54" s="10" t="s">
        <v>0</v>
      </c>
      <c r="G54" s="10" t="s">
        <v>0</v>
      </c>
      <c r="H54" s="10" t="s">
        <v>0</v>
      </c>
      <c r="I54" s="35" t="s">
        <v>0</v>
      </c>
      <c r="J54" s="10" t="s">
        <v>0</v>
      </c>
      <c r="K54" s="10" t="s">
        <v>0</v>
      </c>
      <c r="L54" s="10" t="s">
        <v>0</v>
      </c>
      <c r="M54" s="36" t="s">
        <v>0</v>
      </c>
      <c r="N54" s="35" t="s">
        <v>0</v>
      </c>
      <c r="O54" s="35">
        <v>1.2419</v>
      </c>
    </row>
    <row r="55" spans="1:15">
      <c r="A55" s="74" t="s">
        <v>239</v>
      </c>
      <c r="B55" s="47" t="s">
        <v>127</v>
      </c>
      <c r="C55" s="48">
        <v>0.25</v>
      </c>
      <c r="D55" s="47">
        <v>7.2</v>
      </c>
      <c r="E55" s="47">
        <v>7.38</v>
      </c>
      <c r="F55" s="10" t="s">
        <v>0</v>
      </c>
      <c r="G55" s="10" t="s">
        <v>0</v>
      </c>
      <c r="H55" s="10" t="s">
        <v>0</v>
      </c>
      <c r="I55" s="35" t="s">
        <v>0</v>
      </c>
      <c r="J55" s="10" t="s">
        <v>0</v>
      </c>
      <c r="K55" s="10" t="s">
        <v>0</v>
      </c>
      <c r="L55" s="10" t="s">
        <v>0</v>
      </c>
      <c r="M55" s="36" t="s">
        <v>0</v>
      </c>
      <c r="N55" s="35" t="s">
        <v>0</v>
      </c>
      <c r="O55" s="35">
        <v>1.2410000000000001</v>
      </c>
    </row>
    <row r="56" spans="1:15">
      <c r="A56" s="74" t="s">
        <v>60</v>
      </c>
      <c r="B56" s="47" t="s">
        <v>128</v>
      </c>
      <c r="C56" s="48">
        <v>1.875</v>
      </c>
      <c r="D56" s="47">
        <v>7.24</v>
      </c>
      <c r="E56" s="47">
        <v>7.82</v>
      </c>
      <c r="F56" s="10" t="s">
        <v>0</v>
      </c>
      <c r="G56" s="10" t="s">
        <v>0</v>
      </c>
      <c r="H56" s="10" t="s">
        <v>0</v>
      </c>
      <c r="I56" s="35" t="s">
        <v>0</v>
      </c>
      <c r="J56" s="10" t="s">
        <v>0</v>
      </c>
      <c r="K56" s="10" t="s">
        <v>0</v>
      </c>
      <c r="L56" s="10" t="s">
        <v>0</v>
      </c>
      <c r="M56" s="36" t="s">
        <v>0</v>
      </c>
      <c r="N56" s="35" t="s">
        <v>0</v>
      </c>
      <c r="O56" s="35">
        <v>1.2448999999999999</v>
      </c>
    </row>
    <row r="57" spans="1:15">
      <c r="A57" s="74" t="s">
        <v>240</v>
      </c>
      <c r="B57" s="47" t="s">
        <v>186</v>
      </c>
      <c r="C57" s="48">
        <v>0.375</v>
      </c>
      <c r="D57" s="47">
        <v>7.37</v>
      </c>
      <c r="E57" s="47">
        <v>7.58</v>
      </c>
      <c r="F57" s="10" t="s">
        <v>0</v>
      </c>
      <c r="G57" s="10" t="s">
        <v>0</v>
      </c>
      <c r="H57" s="10" t="s">
        <v>0</v>
      </c>
      <c r="I57" s="35" t="s">
        <v>0</v>
      </c>
      <c r="J57" s="10" t="s">
        <v>0</v>
      </c>
      <c r="K57" s="10" t="s">
        <v>0</v>
      </c>
      <c r="L57" s="10" t="s">
        <v>0</v>
      </c>
      <c r="M57" s="36" t="s">
        <v>0</v>
      </c>
      <c r="N57" s="35" t="s">
        <v>0</v>
      </c>
      <c r="O57" s="35">
        <v>1.2443</v>
      </c>
    </row>
    <row r="58" spans="1:15">
      <c r="A58" s="74" t="s">
        <v>228</v>
      </c>
      <c r="B58" s="47" t="s">
        <v>189</v>
      </c>
      <c r="C58" s="48">
        <v>0.375</v>
      </c>
      <c r="D58" s="47">
        <v>7.5</v>
      </c>
      <c r="E58" s="47">
        <v>7.71</v>
      </c>
      <c r="F58" s="10">
        <v>1.2709999999999999</v>
      </c>
      <c r="G58" s="10">
        <v>1.2689999999999999</v>
      </c>
      <c r="H58" s="10">
        <v>1.27</v>
      </c>
      <c r="I58" s="35">
        <v>1</v>
      </c>
      <c r="J58" s="10" t="s">
        <v>0</v>
      </c>
      <c r="K58" s="10" t="s">
        <v>0</v>
      </c>
      <c r="L58" s="10" t="s">
        <v>0</v>
      </c>
      <c r="M58" s="36" t="s">
        <v>0</v>
      </c>
      <c r="N58" s="35" t="s">
        <v>0</v>
      </c>
      <c r="O58" s="35">
        <v>1.2464</v>
      </c>
    </row>
    <row r="59" spans="1:15">
      <c r="A59" s="74" t="s">
        <v>42</v>
      </c>
      <c r="B59" s="47" t="s">
        <v>129</v>
      </c>
      <c r="C59" s="48">
        <v>1.625</v>
      </c>
      <c r="D59" s="47">
        <v>7.64</v>
      </c>
      <c r="E59" s="47">
        <v>8.2899999999999991</v>
      </c>
      <c r="F59" s="10" t="s">
        <v>0</v>
      </c>
      <c r="G59" s="10" t="s">
        <v>0</v>
      </c>
      <c r="H59" s="10" t="s">
        <v>0</v>
      </c>
      <c r="I59" s="35" t="s">
        <v>0</v>
      </c>
      <c r="J59" s="10" t="s">
        <v>0</v>
      </c>
      <c r="K59" s="10" t="s">
        <v>0</v>
      </c>
      <c r="L59" s="10" t="s">
        <v>0</v>
      </c>
      <c r="M59" s="36" t="s">
        <v>0</v>
      </c>
      <c r="N59" s="35" t="s">
        <v>0</v>
      </c>
      <c r="O59" s="35">
        <v>1.2529999999999999</v>
      </c>
    </row>
    <row r="60" spans="1:15">
      <c r="A60" s="74" t="s">
        <v>241</v>
      </c>
      <c r="B60" s="47" t="s">
        <v>198</v>
      </c>
      <c r="C60" s="48">
        <v>0.5</v>
      </c>
      <c r="D60" s="47">
        <v>7.75</v>
      </c>
      <c r="E60" s="47">
        <v>8.0399999999999991</v>
      </c>
      <c r="F60" s="10" t="s">
        <v>0</v>
      </c>
      <c r="G60" s="10" t="s">
        <v>0</v>
      </c>
      <c r="H60" s="10" t="s">
        <v>0</v>
      </c>
      <c r="I60" s="35" t="s">
        <v>0</v>
      </c>
      <c r="J60" s="10" t="s">
        <v>0</v>
      </c>
      <c r="K60" s="10" t="s">
        <v>0</v>
      </c>
      <c r="L60" s="10" t="s">
        <v>0</v>
      </c>
      <c r="M60" s="36" t="s">
        <v>0</v>
      </c>
      <c r="N60" s="35" t="s">
        <v>0</v>
      </c>
      <c r="O60" s="35">
        <v>1.2519</v>
      </c>
    </row>
    <row r="61" spans="1:15">
      <c r="A61" s="74" t="s">
        <v>25</v>
      </c>
      <c r="B61" s="47" t="s">
        <v>130</v>
      </c>
      <c r="C61" s="48">
        <v>1.625</v>
      </c>
      <c r="D61" s="47">
        <v>7.79</v>
      </c>
      <c r="E61" s="47">
        <v>8.44</v>
      </c>
      <c r="F61" s="10" t="s">
        <v>0</v>
      </c>
      <c r="G61" s="10" t="s">
        <v>0</v>
      </c>
      <c r="H61" s="10" t="s">
        <v>0</v>
      </c>
      <c r="I61" s="35" t="s">
        <v>0</v>
      </c>
      <c r="J61" s="10" t="s">
        <v>0</v>
      </c>
      <c r="K61" s="10" t="s">
        <v>0</v>
      </c>
      <c r="L61" s="10" t="s">
        <v>0</v>
      </c>
      <c r="M61" s="36" t="s">
        <v>0</v>
      </c>
      <c r="N61" s="35" t="s">
        <v>0</v>
      </c>
      <c r="O61" s="35">
        <v>1.2553000000000001</v>
      </c>
    </row>
    <row r="62" spans="1:15">
      <c r="A62" s="74" t="s">
        <v>242</v>
      </c>
      <c r="B62" s="47" t="s">
        <v>207</v>
      </c>
      <c r="C62" s="48">
        <v>0.75</v>
      </c>
      <c r="D62" s="47">
        <v>7.88</v>
      </c>
      <c r="E62" s="47">
        <v>8.26</v>
      </c>
      <c r="F62" s="10" t="s">
        <v>0</v>
      </c>
      <c r="G62" s="10" t="s">
        <v>0</v>
      </c>
      <c r="H62" s="10" t="s">
        <v>0</v>
      </c>
      <c r="I62" s="35" t="s">
        <v>0</v>
      </c>
      <c r="J62" s="10" t="s">
        <v>0</v>
      </c>
      <c r="K62" s="10" t="s">
        <v>0</v>
      </c>
      <c r="L62" s="10" t="s">
        <v>0</v>
      </c>
      <c r="M62" s="36" t="s">
        <v>0</v>
      </c>
      <c r="N62" s="35" t="s">
        <v>0</v>
      </c>
      <c r="O62" s="35">
        <v>1.2547999999999999</v>
      </c>
    </row>
    <row r="63" spans="1:15">
      <c r="A63" s="74" t="s">
        <v>205</v>
      </c>
      <c r="B63" s="47" t="s">
        <v>208</v>
      </c>
      <c r="C63" s="48">
        <v>0.625</v>
      </c>
      <c r="D63" s="47">
        <v>8.0299999999999994</v>
      </c>
      <c r="E63" s="47">
        <v>8.3699999999999992</v>
      </c>
      <c r="F63" s="10" t="s">
        <v>0</v>
      </c>
      <c r="G63" s="10" t="s">
        <v>0</v>
      </c>
      <c r="H63" s="10" t="s">
        <v>0</v>
      </c>
      <c r="I63" s="35" t="s">
        <v>0</v>
      </c>
      <c r="J63" s="10" t="s">
        <v>0</v>
      </c>
      <c r="K63" s="10" t="s">
        <v>0</v>
      </c>
      <c r="L63" s="10" t="s">
        <v>0</v>
      </c>
      <c r="M63" s="36" t="s">
        <v>0</v>
      </c>
      <c r="N63" s="35" t="s">
        <v>0</v>
      </c>
      <c r="O63" s="35">
        <v>1.2567999999999999</v>
      </c>
    </row>
    <row r="64" spans="1:15">
      <c r="A64" s="74" t="s">
        <v>219</v>
      </c>
      <c r="B64" s="47" t="s">
        <v>221</v>
      </c>
      <c r="C64" s="48">
        <v>1.25</v>
      </c>
      <c r="D64" s="47">
        <v>8.18</v>
      </c>
      <c r="E64" s="47">
        <v>8.73</v>
      </c>
      <c r="F64" s="10" t="s">
        <v>0</v>
      </c>
      <c r="G64" s="10" t="s">
        <v>0</v>
      </c>
      <c r="H64" s="10" t="s">
        <v>0</v>
      </c>
      <c r="I64" s="35" t="s">
        <v>0</v>
      </c>
      <c r="J64" s="10" t="s">
        <v>0</v>
      </c>
      <c r="K64" s="10" t="s">
        <v>0</v>
      </c>
      <c r="L64" s="10" t="s">
        <v>0</v>
      </c>
      <c r="M64" s="36" t="s">
        <v>0</v>
      </c>
      <c r="N64" s="35" t="s">
        <v>0</v>
      </c>
      <c r="O64" s="35">
        <v>1.2602</v>
      </c>
    </row>
    <row r="65" spans="1:15">
      <c r="A65" s="74" t="s">
        <v>262</v>
      </c>
      <c r="B65" s="47" t="s">
        <v>263</v>
      </c>
      <c r="C65" s="48">
        <v>1.75</v>
      </c>
      <c r="D65" s="47">
        <v>8.19</v>
      </c>
      <c r="E65" s="47">
        <v>9.0299999999999994</v>
      </c>
      <c r="F65" s="10">
        <v>1.2809999999999999</v>
      </c>
      <c r="G65" s="10">
        <v>1.2749999999999999</v>
      </c>
      <c r="H65" s="10">
        <v>1.2794000000000001</v>
      </c>
      <c r="I65" s="35">
        <v>7.5</v>
      </c>
      <c r="J65" s="10" t="s">
        <v>0</v>
      </c>
      <c r="K65" s="10" t="s">
        <v>0</v>
      </c>
      <c r="L65" s="10" t="s">
        <v>0</v>
      </c>
      <c r="M65" s="36" t="s">
        <v>0</v>
      </c>
      <c r="N65" s="35" t="s">
        <v>0</v>
      </c>
      <c r="O65" s="35">
        <v>1.2627999999999999</v>
      </c>
    </row>
    <row r="66" spans="1:15">
      <c r="A66" s="74" t="s">
        <v>29</v>
      </c>
      <c r="B66" s="47" t="s">
        <v>131</v>
      </c>
      <c r="C66" s="48">
        <v>1.5</v>
      </c>
      <c r="D66" s="47">
        <v>8.2200000000000006</v>
      </c>
      <c r="E66" s="47">
        <v>8.84</v>
      </c>
      <c r="F66" s="10" t="s">
        <v>0</v>
      </c>
      <c r="G66" s="10" t="s">
        <v>0</v>
      </c>
      <c r="H66" s="10" t="s">
        <v>0</v>
      </c>
      <c r="I66" s="35" t="s">
        <v>0</v>
      </c>
      <c r="J66" s="10" t="s">
        <v>0</v>
      </c>
      <c r="K66" s="10" t="s">
        <v>0</v>
      </c>
      <c r="L66" s="10" t="s">
        <v>0</v>
      </c>
      <c r="M66" s="36" t="s">
        <v>0</v>
      </c>
      <c r="N66" s="35" t="s">
        <v>0</v>
      </c>
      <c r="O66" s="35">
        <v>1.2609999999999999</v>
      </c>
    </row>
    <row r="67" spans="1:15">
      <c r="A67" s="74" t="s">
        <v>52</v>
      </c>
      <c r="B67" s="47" t="s">
        <v>134</v>
      </c>
      <c r="C67" s="48">
        <v>1.5</v>
      </c>
      <c r="D67" s="47">
        <v>8.56</v>
      </c>
      <c r="E67" s="47">
        <v>9.31</v>
      </c>
      <c r="F67" s="10" t="s">
        <v>0</v>
      </c>
      <c r="G67" s="10" t="s">
        <v>0</v>
      </c>
      <c r="H67" s="10" t="s">
        <v>0</v>
      </c>
      <c r="I67" s="35" t="s">
        <v>0</v>
      </c>
      <c r="J67" s="10" t="s">
        <v>0</v>
      </c>
      <c r="K67" s="10" t="s">
        <v>0</v>
      </c>
      <c r="L67" s="10" t="s">
        <v>0</v>
      </c>
      <c r="M67" s="36" t="s">
        <v>0</v>
      </c>
      <c r="N67" s="35" t="s">
        <v>0</v>
      </c>
      <c r="O67" s="35">
        <v>1.2669999999999999</v>
      </c>
    </row>
    <row r="68" spans="1:15">
      <c r="A68" s="74" t="s">
        <v>275</v>
      </c>
      <c r="B68" s="47" t="s">
        <v>276</v>
      </c>
      <c r="C68" s="48">
        <v>1.25</v>
      </c>
      <c r="D68" s="47">
        <v>8.6</v>
      </c>
      <c r="E68" s="47">
        <v>9.26</v>
      </c>
      <c r="F68" s="10" t="s">
        <v>0</v>
      </c>
      <c r="G68" s="10" t="s">
        <v>0</v>
      </c>
      <c r="H68" s="10" t="s">
        <v>0</v>
      </c>
      <c r="I68" s="35" t="s">
        <v>0</v>
      </c>
      <c r="J68" s="10" t="s">
        <v>0</v>
      </c>
      <c r="K68" s="10" t="s">
        <v>0</v>
      </c>
      <c r="L68" s="10" t="s">
        <v>0</v>
      </c>
      <c r="M68" s="36" t="s">
        <v>0</v>
      </c>
      <c r="N68" s="35" t="s">
        <v>0</v>
      </c>
      <c r="O68" s="35">
        <v>1.2669999999999999</v>
      </c>
    </row>
    <row r="69" spans="1:15">
      <c r="A69" s="74" t="s">
        <v>61</v>
      </c>
      <c r="B69" s="47" t="s">
        <v>133</v>
      </c>
      <c r="C69" s="48">
        <v>1.75</v>
      </c>
      <c r="D69" s="47">
        <v>8.61</v>
      </c>
      <c r="E69" s="47">
        <v>9.4499999999999993</v>
      </c>
      <c r="F69" s="10" t="s">
        <v>0</v>
      </c>
      <c r="G69" s="10" t="s">
        <v>0</v>
      </c>
      <c r="H69" s="10" t="s">
        <v>0</v>
      </c>
      <c r="I69" s="35" t="s">
        <v>0</v>
      </c>
      <c r="J69" s="10" t="s">
        <v>0</v>
      </c>
      <c r="K69" s="10" t="s">
        <v>0</v>
      </c>
      <c r="L69" s="10" t="s">
        <v>0</v>
      </c>
      <c r="M69" s="36" t="s">
        <v>0</v>
      </c>
      <c r="N69" s="35" t="s">
        <v>0</v>
      </c>
      <c r="O69" s="35">
        <v>1.2681</v>
      </c>
    </row>
    <row r="70" spans="1:15">
      <c r="A70" s="74" t="s">
        <v>273</v>
      </c>
      <c r="B70" s="47" t="s">
        <v>274</v>
      </c>
      <c r="C70" s="48">
        <v>1.125</v>
      </c>
      <c r="D70" s="47">
        <v>8.75</v>
      </c>
      <c r="E70" s="47">
        <v>9.3699999999999992</v>
      </c>
      <c r="F70" s="10" t="s">
        <v>0</v>
      </c>
      <c r="G70" s="10" t="s">
        <v>0</v>
      </c>
      <c r="H70" s="10" t="s">
        <v>0</v>
      </c>
      <c r="I70" s="35" t="s">
        <v>0</v>
      </c>
      <c r="J70" s="10" t="s">
        <v>0</v>
      </c>
      <c r="K70" s="10" t="s">
        <v>0</v>
      </c>
      <c r="L70" s="10" t="s">
        <v>0</v>
      </c>
      <c r="M70" s="36" t="s">
        <v>0</v>
      </c>
      <c r="N70" s="35" t="s">
        <v>0</v>
      </c>
      <c r="O70" s="35">
        <v>1.2686999999999999</v>
      </c>
    </row>
    <row r="71" spans="1:15">
      <c r="A71" s="74" t="s">
        <v>30</v>
      </c>
      <c r="B71" s="47" t="s">
        <v>135</v>
      </c>
      <c r="C71" s="48">
        <v>2</v>
      </c>
      <c r="D71" s="47">
        <v>8.8699999999999992</v>
      </c>
      <c r="E71" s="47">
        <v>9.8000000000000007</v>
      </c>
      <c r="F71" s="10" t="s">
        <v>0</v>
      </c>
      <c r="G71" s="10" t="s">
        <v>0</v>
      </c>
      <c r="H71" s="10" t="s">
        <v>0</v>
      </c>
      <c r="I71" s="35" t="s">
        <v>0</v>
      </c>
      <c r="J71" s="10" t="s">
        <v>0</v>
      </c>
      <c r="K71" s="10" t="s">
        <v>0</v>
      </c>
      <c r="L71" s="10" t="s">
        <v>0</v>
      </c>
      <c r="M71" s="36" t="s">
        <v>0</v>
      </c>
      <c r="N71" s="35" t="s">
        <v>0</v>
      </c>
      <c r="O71" s="35">
        <v>1.2719</v>
      </c>
    </row>
    <row r="72" spans="1:15">
      <c r="A72" s="74" t="s">
        <v>21</v>
      </c>
      <c r="B72" s="47" t="s">
        <v>132</v>
      </c>
      <c r="C72" s="48">
        <v>3.875</v>
      </c>
      <c r="D72" s="47">
        <v>8.91</v>
      </c>
      <c r="E72" s="47">
        <v>10.64</v>
      </c>
      <c r="F72" s="10" t="s">
        <v>0</v>
      </c>
      <c r="G72" s="10" t="s">
        <v>0</v>
      </c>
      <c r="H72" s="10" t="s">
        <v>0</v>
      </c>
      <c r="I72" s="35" t="s">
        <v>0</v>
      </c>
      <c r="J72" s="10" t="s">
        <v>0</v>
      </c>
      <c r="K72" s="10" t="s">
        <v>0</v>
      </c>
      <c r="L72" s="10" t="s">
        <v>0</v>
      </c>
      <c r="M72" s="36" t="s">
        <v>0</v>
      </c>
      <c r="N72" s="35" t="s">
        <v>0</v>
      </c>
      <c r="O72" s="35">
        <v>1.278</v>
      </c>
    </row>
    <row r="73" spans="1:15">
      <c r="A73" s="74" t="s">
        <v>324</v>
      </c>
      <c r="B73" s="47" t="s">
        <v>325</v>
      </c>
      <c r="C73" s="48">
        <v>1.125</v>
      </c>
      <c r="D73" s="47">
        <v>9.06</v>
      </c>
      <c r="E73" s="47">
        <v>9.67</v>
      </c>
      <c r="F73" s="10" t="s">
        <v>0</v>
      </c>
      <c r="G73" s="10" t="s">
        <v>0</v>
      </c>
      <c r="H73" s="10" t="s">
        <v>0</v>
      </c>
      <c r="I73" s="35" t="s">
        <v>0</v>
      </c>
      <c r="J73" s="10" t="s">
        <v>0</v>
      </c>
      <c r="K73" s="10" t="s">
        <v>0</v>
      </c>
      <c r="L73" s="10" t="s">
        <v>0</v>
      </c>
      <c r="M73" s="36" t="s">
        <v>0</v>
      </c>
      <c r="N73" s="35" t="s">
        <v>0</v>
      </c>
      <c r="O73" s="35">
        <v>1.2726</v>
      </c>
    </row>
    <row r="74" spans="1:15">
      <c r="A74" s="74" t="s">
        <v>537</v>
      </c>
      <c r="B74" s="47" t="s">
        <v>855</v>
      </c>
      <c r="C74" s="48">
        <v>1.25</v>
      </c>
      <c r="D74" s="47">
        <v>9.16</v>
      </c>
      <c r="E74" s="47">
        <v>10</v>
      </c>
      <c r="F74" s="10">
        <v>1.282</v>
      </c>
      <c r="G74" s="10">
        <v>1.282</v>
      </c>
      <c r="H74" s="10">
        <v>1.282</v>
      </c>
      <c r="I74" s="35">
        <v>0.5</v>
      </c>
      <c r="J74" s="10" t="s">
        <v>0</v>
      </c>
      <c r="K74" s="10" t="s">
        <v>0</v>
      </c>
      <c r="L74" s="10" t="s">
        <v>0</v>
      </c>
      <c r="M74" s="36" t="s">
        <v>0</v>
      </c>
      <c r="N74" s="35" t="s">
        <v>0</v>
      </c>
      <c r="O74" s="35">
        <v>1.2743</v>
      </c>
    </row>
    <row r="75" spans="1:15">
      <c r="A75" s="74" t="s">
        <v>62</v>
      </c>
      <c r="B75" s="47" t="s">
        <v>136</v>
      </c>
      <c r="C75" s="48">
        <v>2</v>
      </c>
      <c r="D75" s="47">
        <v>9.2100000000000009</v>
      </c>
      <c r="E75" s="47">
        <v>10.31</v>
      </c>
      <c r="F75" s="10" t="s">
        <v>0</v>
      </c>
      <c r="G75" s="10" t="s">
        <v>0</v>
      </c>
      <c r="H75" s="10" t="s">
        <v>0</v>
      </c>
      <c r="I75" s="35" t="s">
        <v>0</v>
      </c>
      <c r="J75" s="10" t="s">
        <v>0</v>
      </c>
      <c r="K75" s="10" t="s">
        <v>0</v>
      </c>
      <c r="L75" s="10" t="s">
        <v>0</v>
      </c>
      <c r="M75" s="36" t="s">
        <v>0</v>
      </c>
      <c r="N75" s="35" t="s">
        <v>0</v>
      </c>
      <c r="O75" s="35">
        <v>1.2786</v>
      </c>
    </row>
    <row r="76" spans="1:15">
      <c r="A76" s="74" t="s">
        <v>541</v>
      </c>
      <c r="B76" s="47" t="s">
        <v>855</v>
      </c>
      <c r="C76" s="48">
        <v>1.25</v>
      </c>
      <c r="D76" s="47">
        <v>9.33</v>
      </c>
      <c r="E76" s="47">
        <v>10</v>
      </c>
      <c r="F76" s="10" t="s">
        <v>0</v>
      </c>
      <c r="G76" s="10" t="s">
        <v>0</v>
      </c>
      <c r="H76" s="10" t="s">
        <v>0</v>
      </c>
      <c r="I76" s="35" t="s">
        <v>0</v>
      </c>
      <c r="J76" s="10" t="s">
        <v>0</v>
      </c>
      <c r="K76" s="10" t="s">
        <v>0</v>
      </c>
      <c r="L76" s="10" t="s">
        <v>0</v>
      </c>
      <c r="M76" s="36" t="s">
        <v>0</v>
      </c>
      <c r="N76" s="35" t="s">
        <v>0</v>
      </c>
      <c r="O76" s="35">
        <v>1.2766</v>
      </c>
    </row>
    <row r="77" spans="1:15">
      <c r="A77" s="74" t="s">
        <v>43</v>
      </c>
      <c r="B77" s="47" t="s">
        <v>137</v>
      </c>
      <c r="C77" s="48">
        <v>1.875</v>
      </c>
      <c r="D77" s="47">
        <v>9.49</v>
      </c>
      <c r="E77" s="47">
        <v>10.55</v>
      </c>
      <c r="F77" s="10" t="s">
        <v>0</v>
      </c>
      <c r="G77" s="10" t="s">
        <v>0</v>
      </c>
      <c r="H77" s="10" t="s">
        <v>0</v>
      </c>
      <c r="I77" s="35" t="s">
        <v>0</v>
      </c>
      <c r="J77" s="10" t="s">
        <v>0</v>
      </c>
      <c r="K77" s="10" t="s">
        <v>0</v>
      </c>
      <c r="L77" s="10" t="s">
        <v>0</v>
      </c>
      <c r="M77" s="36" t="s">
        <v>0</v>
      </c>
      <c r="N77" s="35" t="s">
        <v>0</v>
      </c>
      <c r="O77" s="35">
        <v>1.2822</v>
      </c>
    </row>
    <row r="78" spans="1:15">
      <c r="A78" s="74" t="s">
        <v>64</v>
      </c>
      <c r="B78" s="47" t="s">
        <v>138</v>
      </c>
      <c r="C78" s="48">
        <v>2.125</v>
      </c>
      <c r="D78" s="47">
        <v>9.66</v>
      </c>
      <c r="E78" s="47">
        <v>10.81</v>
      </c>
      <c r="F78" s="10" t="s">
        <v>0</v>
      </c>
      <c r="G78" s="10" t="s">
        <v>0</v>
      </c>
      <c r="H78" s="10" t="s">
        <v>0</v>
      </c>
      <c r="I78" s="35" t="s">
        <v>0</v>
      </c>
      <c r="J78" s="10" t="s">
        <v>0</v>
      </c>
      <c r="K78" s="10" t="s">
        <v>0</v>
      </c>
      <c r="L78" s="10" t="s">
        <v>0</v>
      </c>
      <c r="M78" s="36" t="s">
        <v>0</v>
      </c>
      <c r="N78" s="35" t="s">
        <v>0</v>
      </c>
      <c r="O78" s="35">
        <v>1.2851999999999999</v>
      </c>
    </row>
    <row r="79" spans="1:15">
      <c r="A79" s="74" t="s">
        <v>63</v>
      </c>
      <c r="B79" s="47" t="s">
        <v>139</v>
      </c>
      <c r="C79" s="48">
        <v>2.25</v>
      </c>
      <c r="D79" s="47">
        <v>9.7799999999999994</v>
      </c>
      <c r="E79" s="47">
        <v>10.99</v>
      </c>
      <c r="F79" s="10" t="s">
        <v>0</v>
      </c>
      <c r="G79" s="10" t="s">
        <v>0</v>
      </c>
      <c r="H79" s="10" t="s">
        <v>0</v>
      </c>
      <c r="I79" s="35" t="s">
        <v>0</v>
      </c>
      <c r="J79" s="10" t="s">
        <v>0</v>
      </c>
      <c r="K79" s="10" t="s">
        <v>0</v>
      </c>
      <c r="L79" s="10" t="s">
        <v>0</v>
      </c>
      <c r="M79" s="36" t="s">
        <v>0</v>
      </c>
      <c r="N79" s="35" t="s">
        <v>0</v>
      </c>
      <c r="O79" s="35">
        <v>1.2871999999999999</v>
      </c>
    </row>
    <row r="80" spans="1:15">
      <c r="A80" s="74" t="s">
        <v>26</v>
      </c>
      <c r="B80" s="47" t="s">
        <v>140</v>
      </c>
      <c r="C80" s="48">
        <v>2</v>
      </c>
      <c r="D80" s="47">
        <v>10</v>
      </c>
      <c r="E80" s="47">
        <v>11.3</v>
      </c>
      <c r="F80" s="10" t="s">
        <v>0</v>
      </c>
      <c r="G80" s="10" t="s">
        <v>0</v>
      </c>
      <c r="H80" s="10" t="s">
        <v>0</v>
      </c>
      <c r="I80" s="35" t="s">
        <v>0</v>
      </c>
      <c r="J80" s="10" t="s">
        <v>0</v>
      </c>
      <c r="K80" s="10" t="s">
        <v>0</v>
      </c>
      <c r="L80" s="10" t="s">
        <v>0</v>
      </c>
      <c r="M80" s="36" t="s">
        <v>0</v>
      </c>
      <c r="N80" s="35" t="s">
        <v>0</v>
      </c>
      <c r="O80" s="35">
        <v>1.2923</v>
      </c>
    </row>
    <row r="81" spans="1:15">
      <c r="A81" s="74" t="s">
        <v>48</v>
      </c>
      <c r="B81" s="47" t="s">
        <v>141</v>
      </c>
      <c r="C81" s="48">
        <v>2.125</v>
      </c>
      <c r="D81" s="47">
        <v>10.16</v>
      </c>
      <c r="E81" s="47">
        <v>11.52</v>
      </c>
      <c r="F81" s="10" t="s">
        <v>0</v>
      </c>
      <c r="G81" s="10" t="s">
        <v>0</v>
      </c>
      <c r="H81" s="10" t="s">
        <v>0</v>
      </c>
      <c r="I81" s="35" t="s">
        <v>0</v>
      </c>
      <c r="J81" s="10" t="s">
        <v>0</v>
      </c>
      <c r="K81" s="10" t="s">
        <v>0</v>
      </c>
      <c r="L81" s="10" t="s">
        <v>0</v>
      </c>
      <c r="M81" s="36" t="s">
        <v>0</v>
      </c>
      <c r="N81" s="35" t="s">
        <v>0</v>
      </c>
      <c r="O81" s="35">
        <v>1.2950999999999999</v>
      </c>
    </row>
    <row r="82" spans="1:15">
      <c r="A82" s="74" t="s">
        <v>53</v>
      </c>
      <c r="B82" s="47" t="s">
        <v>142</v>
      </c>
      <c r="C82" s="48">
        <v>1.75</v>
      </c>
      <c r="D82" s="47">
        <v>10.68</v>
      </c>
      <c r="E82" s="47">
        <v>12.05</v>
      </c>
      <c r="F82" s="10" t="s">
        <v>0</v>
      </c>
      <c r="G82" s="10" t="s">
        <v>0</v>
      </c>
      <c r="H82" s="10" t="s">
        <v>0</v>
      </c>
      <c r="I82" s="35" t="s">
        <v>0</v>
      </c>
      <c r="J82" s="10" t="s">
        <v>0</v>
      </c>
      <c r="K82" s="10" t="s">
        <v>0</v>
      </c>
      <c r="L82" s="10" t="s">
        <v>0</v>
      </c>
      <c r="M82" s="36" t="s">
        <v>0</v>
      </c>
      <c r="N82" s="35" t="s">
        <v>0</v>
      </c>
      <c r="O82" s="35">
        <v>1.3041</v>
      </c>
    </row>
    <row r="83" spans="1:15">
      <c r="A83" s="74" t="s">
        <v>38</v>
      </c>
      <c r="B83" s="47" t="s">
        <v>143</v>
      </c>
      <c r="C83" s="48">
        <v>1.375</v>
      </c>
      <c r="D83" s="47">
        <v>11.13</v>
      </c>
      <c r="E83" s="47">
        <v>12.29</v>
      </c>
      <c r="F83" s="10" t="s">
        <v>0</v>
      </c>
      <c r="G83" s="10" t="s">
        <v>0</v>
      </c>
      <c r="H83" s="10" t="s">
        <v>0</v>
      </c>
      <c r="I83" s="35" t="s">
        <v>0</v>
      </c>
      <c r="J83" s="10" t="s">
        <v>0</v>
      </c>
      <c r="K83" s="10" t="s">
        <v>0</v>
      </c>
      <c r="L83" s="10" t="s">
        <v>0</v>
      </c>
      <c r="M83" s="36" t="s">
        <v>0</v>
      </c>
      <c r="N83" s="35" t="s">
        <v>0</v>
      </c>
      <c r="O83" s="35">
        <v>1.3090999999999999</v>
      </c>
    </row>
    <row r="84" spans="1:15">
      <c r="A84" s="74" t="s">
        <v>33</v>
      </c>
      <c r="B84" s="47" t="s">
        <v>144</v>
      </c>
      <c r="C84" s="48">
        <v>1.25</v>
      </c>
      <c r="D84" s="47">
        <v>11.42</v>
      </c>
      <c r="E84" s="47">
        <v>12.5</v>
      </c>
      <c r="F84" s="10" t="s">
        <v>0</v>
      </c>
      <c r="G84" s="10" t="s">
        <v>0</v>
      </c>
      <c r="H84" s="10" t="s">
        <v>0</v>
      </c>
      <c r="I84" s="35" t="s">
        <v>0</v>
      </c>
      <c r="J84" s="10" t="s">
        <v>0</v>
      </c>
      <c r="K84" s="10" t="s">
        <v>0</v>
      </c>
      <c r="L84" s="10" t="s">
        <v>0</v>
      </c>
      <c r="M84" s="36" t="s">
        <v>0</v>
      </c>
      <c r="N84" s="35" t="s">
        <v>0</v>
      </c>
      <c r="O84" s="35">
        <v>1.3127</v>
      </c>
    </row>
    <row r="85" spans="1:15">
      <c r="A85" s="74" t="s">
        <v>44</v>
      </c>
      <c r="B85" s="47" t="s">
        <v>146</v>
      </c>
      <c r="C85" s="48">
        <v>1.125</v>
      </c>
      <c r="D85" s="47">
        <v>11.77</v>
      </c>
      <c r="E85" s="47">
        <v>12.78</v>
      </c>
      <c r="F85" s="10" t="s">
        <v>0</v>
      </c>
      <c r="G85" s="10" t="s">
        <v>0</v>
      </c>
      <c r="H85" s="10" t="s">
        <v>0</v>
      </c>
      <c r="I85" s="35" t="s">
        <v>0</v>
      </c>
      <c r="J85" s="10" t="s">
        <v>0</v>
      </c>
      <c r="K85" s="10" t="s">
        <v>0</v>
      </c>
      <c r="L85" s="10" t="s">
        <v>0</v>
      </c>
      <c r="M85" s="36" t="s">
        <v>0</v>
      </c>
      <c r="N85" s="35" t="s">
        <v>0</v>
      </c>
      <c r="O85" s="35">
        <v>1.3173999999999999</v>
      </c>
    </row>
    <row r="86" spans="1:15">
      <c r="A86" s="74" t="s">
        <v>35</v>
      </c>
      <c r="B86" s="47" t="s">
        <v>145</v>
      </c>
      <c r="C86" s="48">
        <v>1.75</v>
      </c>
      <c r="D86" s="47">
        <v>11.79</v>
      </c>
      <c r="E86" s="47">
        <v>13.37</v>
      </c>
      <c r="F86" s="10" t="s">
        <v>0</v>
      </c>
      <c r="G86" s="10" t="s">
        <v>0</v>
      </c>
      <c r="H86" s="10" t="s">
        <v>0</v>
      </c>
      <c r="I86" s="35" t="s">
        <v>0</v>
      </c>
      <c r="J86" s="10" t="s">
        <v>0</v>
      </c>
      <c r="K86" s="10" t="s">
        <v>0</v>
      </c>
      <c r="L86" s="10" t="s">
        <v>0</v>
      </c>
      <c r="M86" s="36" t="s">
        <v>0</v>
      </c>
      <c r="N86" s="35" t="s">
        <v>0</v>
      </c>
      <c r="O86" s="35">
        <v>1.3236000000000001</v>
      </c>
    </row>
    <row r="87" spans="1:15">
      <c r="A87" s="74" t="s">
        <v>65</v>
      </c>
      <c r="B87" s="47" t="s">
        <v>147</v>
      </c>
      <c r="C87" s="48">
        <v>1.5</v>
      </c>
      <c r="D87" s="47">
        <v>12.43</v>
      </c>
      <c r="E87" s="47">
        <v>13.86</v>
      </c>
      <c r="F87" s="10" t="s">
        <v>0</v>
      </c>
      <c r="G87" s="10" t="s">
        <v>0</v>
      </c>
      <c r="H87" s="10" t="s">
        <v>0</v>
      </c>
      <c r="I87" s="35" t="s">
        <v>0</v>
      </c>
      <c r="J87" s="10" t="s">
        <v>0</v>
      </c>
      <c r="K87" s="10" t="s">
        <v>0</v>
      </c>
      <c r="L87" s="10" t="s">
        <v>0</v>
      </c>
      <c r="M87" s="36" t="s">
        <v>0</v>
      </c>
      <c r="N87" s="35" t="s">
        <v>0</v>
      </c>
      <c r="O87" s="35">
        <v>1.3322000000000001</v>
      </c>
    </row>
    <row r="88" spans="1:15">
      <c r="A88" s="74" t="s">
        <v>66</v>
      </c>
      <c r="B88" s="47" t="s">
        <v>148</v>
      </c>
      <c r="C88" s="48">
        <v>1.375</v>
      </c>
      <c r="D88" s="47">
        <v>12.91</v>
      </c>
      <c r="E88" s="47">
        <v>14.43</v>
      </c>
      <c r="F88" s="10" t="s">
        <v>0</v>
      </c>
      <c r="G88" s="10" t="s">
        <v>0</v>
      </c>
      <c r="H88" s="10" t="s">
        <v>0</v>
      </c>
      <c r="I88" s="35" t="s">
        <v>0</v>
      </c>
      <c r="J88" s="10" t="s">
        <v>0</v>
      </c>
      <c r="K88" s="10" t="s">
        <v>0</v>
      </c>
      <c r="L88" s="10" t="s">
        <v>0</v>
      </c>
      <c r="M88" s="36" t="s">
        <v>0</v>
      </c>
      <c r="N88" s="35" t="s">
        <v>0</v>
      </c>
      <c r="O88" s="35">
        <v>1.3414999999999999</v>
      </c>
    </row>
    <row r="89" spans="1:15">
      <c r="A89" s="74" t="s">
        <v>22</v>
      </c>
      <c r="B89" s="47" t="s">
        <v>149</v>
      </c>
      <c r="C89" s="48">
        <v>2.25</v>
      </c>
      <c r="D89" s="47">
        <v>13.62</v>
      </c>
      <c r="E89" s="47">
        <v>16.309999999999999</v>
      </c>
      <c r="F89" s="10" t="s">
        <v>0</v>
      </c>
      <c r="G89" s="10" t="s">
        <v>0</v>
      </c>
      <c r="H89" s="10" t="s">
        <v>0</v>
      </c>
      <c r="I89" s="35" t="s">
        <v>0</v>
      </c>
      <c r="J89" s="10" t="s">
        <v>0</v>
      </c>
      <c r="K89" s="10" t="s">
        <v>0</v>
      </c>
      <c r="L89" s="10" t="s">
        <v>0</v>
      </c>
      <c r="M89" s="36" t="s">
        <v>0</v>
      </c>
      <c r="N89" s="35" t="s">
        <v>0</v>
      </c>
      <c r="O89" s="35">
        <v>1.3645</v>
      </c>
    </row>
    <row r="90" spans="1:15">
      <c r="A90" s="74" t="s">
        <v>67</v>
      </c>
      <c r="B90" s="47" t="s">
        <v>150</v>
      </c>
      <c r="C90" s="48">
        <v>1.125</v>
      </c>
      <c r="D90" s="47">
        <v>13.63</v>
      </c>
      <c r="E90" s="47">
        <v>14.96</v>
      </c>
      <c r="F90" s="10" t="s">
        <v>0</v>
      </c>
      <c r="G90" s="10" t="s">
        <v>0</v>
      </c>
      <c r="H90" s="10" t="s">
        <v>0</v>
      </c>
      <c r="I90" s="35" t="s">
        <v>0</v>
      </c>
      <c r="J90" s="10" t="s">
        <v>0</v>
      </c>
      <c r="K90" s="10" t="s">
        <v>0</v>
      </c>
      <c r="L90" s="10" t="s">
        <v>0</v>
      </c>
      <c r="M90" s="36" t="s">
        <v>0</v>
      </c>
      <c r="N90" s="35" t="s">
        <v>0</v>
      </c>
      <c r="O90" s="35">
        <v>1.3509</v>
      </c>
    </row>
    <row r="91" spans="1:15">
      <c r="A91" s="74" t="s">
        <v>243</v>
      </c>
      <c r="B91" s="47" t="s">
        <v>151</v>
      </c>
      <c r="C91" s="48">
        <v>1.125</v>
      </c>
      <c r="D91" s="47">
        <v>13.82</v>
      </c>
      <c r="E91" s="47">
        <v>15.31</v>
      </c>
      <c r="F91" s="10" t="s">
        <v>0</v>
      </c>
      <c r="G91" s="10" t="s">
        <v>0</v>
      </c>
      <c r="H91" s="10" t="s">
        <v>0</v>
      </c>
      <c r="I91" s="35" t="s">
        <v>0</v>
      </c>
      <c r="J91" s="10" t="s">
        <v>0</v>
      </c>
      <c r="K91" s="10" t="s">
        <v>0</v>
      </c>
      <c r="L91" s="10" t="s">
        <v>0</v>
      </c>
      <c r="M91" s="36" t="s">
        <v>0</v>
      </c>
      <c r="N91" s="35" t="s">
        <v>0</v>
      </c>
      <c r="O91" s="35">
        <v>1.3563000000000001</v>
      </c>
    </row>
    <row r="92" spans="1:15">
      <c r="A92" s="74" t="s">
        <v>244</v>
      </c>
      <c r="B92" s="47" t="s">
        <v>152</v>
      </c>
      <c r="C92" s="48">
        <v>1.125</v>
      </c>
      <c r="D92" s="47">
        <v>13.91</v>
      </c>
      <c r="E92" s="47">
        <v>15.41</v>
      </c>
      <c r="F92" s="10" t="s">
        <v>0</v>
      </c>
      <c r="G92" s="10" t="s">
        <v>0</v>
      </c>
      <c r="H92" s="10" t="s">
        <v>0</v>
      </c>
      <c r="I92" s="35" t="s">
        <v>0</v>
      </c>
      <c r="J92" s="10" t="s">
        <v>0</v>
      </c>
      <c r="K92" s="10" t="s">
        <v>0</v>
      </c>
      <c r="L92" s="10" t="s">
        <v>0</v>
      </c>
      <c r="M92" s="36" t="s">
        <v>0</v>
      </c>
      <c r="N92" s="35" t="s">
        <v>0</v>
      </c>
      <c r="O92" s="35">
        <v>1.3577999999999999</v>
      </c>
    </row>
    <row r="93" spans="1:15">
      <c r="A93" s="74" t="s">
        <v>45</v>
      </c>
      <c r="B93" s="47" t="s">
        <v>153</v>
      </c>
      <c r="C93" s="48">
        <v>2.125</v>
      </c>
      <c r="D93" s="47">
        <v>14.35</v>
      </c>
      <c r="E93" s="47">
        <v>17.23</v>
      </c>
      <c r="F93" s="10" t="s">
        <v>0</v>
      </c>
      <c r="G93" s="10" t="s">
        <v>0</v>
      </c>
      <c r="H93" s="10" t="s">
        <v>0</v>
      </c>
      <c r="I93" s="35" t="s">
        <v>0</v>
      </c>
      <c r="J93" s="10" t="s">
        <v>0</v>
      </c>
      <c r="K93" s="10" t="s">
        <v>0</v>
      </c>
      <c r="L93" s="10" t="s">
        <v>0</v>
      </c>
      <c r="M93" s="36" t="s">
        <v>0</v>
      </c>
      <c r="N93" s="35" t="s">
        <v>0</v>
      </c>
      <c r="O93" s="35">
        <v>1.3785000000000001</v>
      </c>
    </row>
    <row r="94" spans="1:15">
      <c r="A94" s="74" t="s">
        <v>23</v>
      </c>
      <c r="B94" s="47" t="s">
        <v>154</v>
      </c>
      <c r="C94" s="48">
        <v>2</v>
      </c>
      <c r="D94" s="47">
        <v>14.61</v>
      </c>
      <c r="E94" s="47">
        <v>17.38</v>
      </c>
      <c r="F94" s="10" t="s">
        <v>0</v>
      </c>
      <c r="G94" s="10" t="s">
        <v>0</v>
      </c>
      <c r="H94" s="10" t="s">
        <v>0</v>
      </c>
      <c r="I94" s="35" t="s">
        <v>0</v>
      </c>
      <c r="J94" s="10" t="s">
        <v>0</v>
      </c>
      <c r="K94" s="10" t="s">
        <v>0</v>
      </c>
      <c r="L94" s="10" t="s">
        <v>0</v>
      </c>
      <c r="M94" s="36" t="s">
        <v>0</v>
      </c>
      <c r="N94" s="35" t="s">
        <v>0</v>
      </c>
      <c r="O94" s="35">
        <v>1.3814</v>
      </c>
    </row>
    <row r="95" spans="1:15">
      <c r="A95" s="74" t="s">
        <v>39</v>
      </c>
      <c r="B95" s="47" t="s">
        <v>155</v>
      </c>
      <c r="C95" s="48">
        <v>0.75</v>
      </c>
      <c r="D95" s="47">
        <v>14.79</v>
      </c>
      <c r="E95" s="47">
        <v>15.92</v>
      </c>
      <c r="F95" s="10" t="s">
        <v>0</v>
      </c>
      <c r="G95" s="10" t="s">
        <v>0</v>
      </c>
      <c r="H95" s="10" t="s">
        <v>0</v>
      </c>
      <c r="I95" s="35" t="s">
        <v>0</v>
      </c>
      <c r="J95" s="10" t="s">
        <v>0</v>
      </c>
      <c r="K95" s="10" t="s">
        <v>0</v>
      </c>
      <c r="L95" s="10" t="s">
        <v>0</v>
      </c>
      <c r="M95" s="36" t="s">
        <v>0</v>
      </c>
      <c r="N95" s="35" t="s">
        <v>0</v>
      </c>
      <c r="O95" s="35">
        <v>1.3681000000000001</v>
      </c>
    </row>
    <row r="96" spans="1:15">
      <c r="A96" s="74" t="s">
        <v>245</v>
      </c>
      <c r="B96" s="47" t="s">
        <v>157</v>
      </c>
      <c r="C96" s="48">
        <v>0.75</v>
      </c>
      <c r="D96" s="47">
        <v>15.02</v>
      </c>
      <c r="E96" s="47">
        <v>16.28</v>
      </c>
      <c r="F96" s="10" t="s">
        <v>0</v>
      </c>
      <c r="G96" s="10" t="s">
        <v>0</v>
      </c>
      <c r="H96" s="10" t="s">
        <v>0</v>
      </c>
      <c r="I96" s="35" t="s">
        <v>0</v>
      </c>
      <c r="J96" s="10" t="s">
        <v>0</v>
      </c>
      <c r="K96" s="10" t="s">
        <v>0</v>
      </c>
      <c r="L96" s="10" t="s">
        <v>0</v>
      </c>
      <c r="M96" s="36" t="s">
        <v>0</v>
      </c>
      <c r="N96" s="35" t="s">
        <v>0</v>
      </c>
      <c r="O96" s="35">
        <v>1.3736999999999999</v>
      </c>
    </row>
    <row r="97" spans="1:15">
      <c r="A97" s="74" t="s">
        <v>46</v>
      </c>
      <c r="B97" s="47" t="s">
        <v>156</v>
      </c>
      <c r="C97" s="48">
        <v>1.875</v>
      </c>
      <c r="D97" s="47">
        <v>15.21</v>
      </c>
      <c r="E97" s="47">
        <v>17.88</v>
      </c>
      <c r="F97" s="10" t="s">
        <v>0</v>
      </c>
      <c r="G97" s="10" t="s">
        <v>0</v>
      </c>
      <c r="H97" s="10" t="s">
        <v>0</v>
      </c>
      <c r="I97" s="35" t="s">
        <v>0</v>
      </c>
      <c r="J97" s="10" t="s">
        <v>0</v>
      </c>
      <c r="K97" s="10" t="s">
        <v>0</v>
      </c>
      <c r="L97" s="10" t="s">
        <v>0</v>
      </c>
      <c r="M97" s="36" t="s">
        <v>0</v>
      </c>
      <c r="N97" s="35" t="s">
        <v>0</v>
      </c>
      <c r="O97" s="35">
        <v>1.3894</v>
      </c>
    </row>
    <row r="98" spans="1:15">
      <c r="A98" s="74" t="s">
        <v>246</v>
      </c>
      <c r="B98" s="47" t="s">
        <v>159</v>
      </c>
      <c r="C98" s="48">
        <v>0.5</v>
      </c>
      <c r="D98" s="47">
        <v>15.47</v>
      </c>
      <c r="E98" s="47">
        <v>16.420000000000002</v>
      </c>
      <c r="F98" s="10" t="s">
        <v>0</v>
      </c>
      <c r="G98" s="10" t="s">
        <v>0</v>
      </c>
      <c r="H98" s="10" t="s">
        <v>0</v>
      </c>
      <c r="I98" s="35" t="s">
        <v>0</v>
      </c>
      <c r="J98" s="10" t="s">
        <v>0</v>
      </c>
      <c r="K98" s="10" t="s">
        <v>0</v>
      </c>
      <c r="L98" s="10" t="s">
        <v>0</v>
      </c>
      <c r="M98" s="36" t="s">
        <v>0</v>
      </c>
      <c r="N98" s="35" t="s">
        <v>0</v>
      </c>
      <c r="O98" s="35">
        <v>1.3777999999999999</v>
      </c>
    </row>
    <row r="99" spans="1:15">
      <c r="A99" s="74" t="s">
        <v>24</v>
      </c>
      <c r="B99" s="47" t="s">
        <v>158</v>
      </c>
      <c r="C99" s="48">
        <v>1.75</v>
      </c>
      <c r="D99" s="47">
        <v>15.54</v>
      </c>
      <c r="E99" s="47">
        <v>18.36</v>
      </c>
      <c r="F99" s="10" t="s">
        <v>0</v>
      </c>
      <c r="G99" s="10" t="s">
        <v>0</v>
      </c>
      <c r="H99" s="10" t="s">
        <v>0</v>
      </c>
      <c r="I99" s="35" t="s">
        <v>0</v>
      </c>
      <c r="J99" s="10" t="s">
        <v>0</v>
      </c>
      <c r="K99" s="10" t="s">
        <v>0</v>
      </c>
      <c r="L99" s="10" t="s">
        <v>0</v>
      </c>
      <c r="M99" s="36" t="s">
        <v>0</v>
      </c>
      <c r="N99" s="35" t="s">
        <v>0</v>
      </c>
      <c r="O99" s="35">
        <v>1.397</v>
      </c>
    </row>
    <row r="100" spans="1:15">
      <c r="A100" s="74" t="s">
        <v>68</v>
      </c>
      <c r="B100" s="47" t="s">
        <v>160</v>
      </c>
      <c r="C100" s="48">
        <v>2.5</v>
      </c>
      <c r="D100" s="47">
        <v>15.95</v>
      </c>
      <c r="E100" s="47">
        <v>19.82</v>
      </c>
      <c r="F100" s="10" t="s">
        <v>0</v>
      </c>
      <c r="G100" s="10" t="s">
        <v>0</v>
      </c>
      <c r="H100" s="10" t="s">
        <v>0</v>
      </c>
      <c r="I100" s="35" t="s">
        <v>0</v>
      </c>
      <c r="J100" s="10" t="s">
        <v>0</v>
      </c>
      <c r="K100" s="10" t="s">
        <v>0</v>
      </c>
      <c r="L100" s="10" t="s">
        <v>0</v>
      </c>
      <c r="M100" s="36" t="s">
        <v>0</v>
      </c>
      <c r="N100" s="35" t="s">
        <v>0</v>
      </c>
      <c r="O100" s="35">
        <v>1.4112</v>
      </c>
    </row>
    <row r="101" spans="1:15">
      <c r="A101" s="74" t="s">
        <v>247</v>
      </c>
      <c r="B101" s="47" t="s">
        <v>162</v>
      </c>
      <c r="C101" s="48">
        <v>0.5</v>
      </c>
      <c r="D101" s="47">
        <v>15.99</v>
      </c>
      <c r="E101" s="47">
        <v>16.95</v>
      </c>
      <c r="F101" s="10" t="s">
        <v>0</v>
      </c>
      <c r="G101" s="10" t="s">
        <v>0</v>
      </c>
      <c r="H101" s="10" t="s">
        <v>0</v>
      </c>
      <c r="I101" s="35" t="s">
        <v>0</v>
      </c>
      <c r="J101" s="10" t="s">
        <v>0</v>
      </c>
      <c r="K101" s="10" t="s">
        <v>0</v>
      </c>
      <c r="L101" s="10" t="s">
        <v>0</v>
      </c>
      <c r="M101" s="36" t="s">
        <v>0</v>
      </c>
      <c r="N101" s="35" t="s">
        <v>0</v>
      </c>
      <c r="O101" s="35">
        <v>1.3859999999999999</v>
      </c>
    </row>
    <row r="102" spans="1:15">
      <c r="A102" s="74" t="s">
        <v>261</v>
      </c>
      <c r="B102" s="47" t="s">
        <v>258</v>
      </c>
      <c r="C102" s="48">
        <v>1.875</v>
      </c>
      <c r="D102" s="47">
        <v>16.03</v>
      </c>
      <c r="E102" s="47">
        <v>18.98</v>
      </c>
      <c r="F102" s="10" t="s">
        <v>0</v>
      </c>
      <c r="G102" s="10" t="s">
        <v>0</v>
      </c>
      <c r="H102" s="10" t="s">
        <v>0</v>
      </c>
      <c r="I102" s="35" t="s">
        <v>0</v>
      </c>
      <c r="J102" s="10" t="s">
        <v>0</v>
      </c>
      <c r="K102" s="10" t="s">
        <v>0</v>
      </c>
      <c r="L102" s="10" t="s">
        <v>0</v>
      </c>
      <c r="M102" s="36" t="s">
        <v>0</v>
      </c>
      <c r="N102" s="35" t="s">
        <v>0</v>
      </c>
      <c r="O102" s="35">
        <v>1.4048</v>
      </c>
    </row>
    <row r="103" spans="1:15">
      <c r="A103" s="74" t="s">
        <v>69</v>
      </c>
      <c r="B103" s="47" t="s">
        <v>161</v>
      </c>
      <c r="C103" s="48">
        <v>1.625</v>
      </c>
      <c r="D103" s="47">
        <v>16.190000000000001</v>
      </c>
      <c r="E103" s="47">
        <v>18.88</v>
      </c>
      <c r="F103" s="10" t="s">
        <v>0</v>
      </c>
      <c r="G103" s="10" t="s">
        <v>0</v>
      </c>
      <c r="H103" s="10" t="s">
        <v>0</v>
      </c>
      <c r="I103" s="35" t="s">
        <v>0</v>
      </c>
      <c r="J103" s="10" t="s">
        <v>0</v>
      </c>
      <c r="K103" s="10" t="s">
        <v>0</v>
      </c>
      <c r="L103" s="10" t="s">
        <v>0</v>
      </c>
      <c r="M103" s="36" t="s">
        <v>0</v>
      </c>
      <c r="N103" s="35" t="s">
        <v>0</v>
      </c>
      <c r="O103" s="35">
        <v>1.4054</v>
      </c>
    </row>
    <row r="104" spans="1:15">
      <c r="A104" s="74" t="s">
        <v>249</v>
      </c>
      <c r="B104" s="47" t="s">
        <v>168</v>
      </c>
      <c r="C104" s="48">
        <v>0.5</v>
      </c>
      <c r="D104" s="47">
        <v>16.260000000000002</v>
      </c>
      <c r="E104" s="47">
        <v>17.309999999999999</v>
      </c>
      <c r="F104" s="10" t="s">
        <v>0</v>
      </c>
      <c r="G104" s="10" t="s">
        <v>0</v>
      </c>
      <c r="H104" s="10" t="s">
        <v>0</v>
      </c>
      <c r="I104" s="35" t="s">
        <v>0</v>
      </c>
      <c r="J104" s="10" t="s">
        <v>0</v>
      </c>
      <c r="K104" s="10" t="s">
        <v>0</v>
      </c>
      <c r="L104" s="10" t="s">
        <v>0</v>
      </c>
      <c r="M104" s="36" t="s">
        <v>0</v>
      </c>
      <c r="N104" s="35" t="s">
        <v>0</v>
      </c>
      <c r="O104" s="35">
        <v>1.3916999999999999</v>
      </c>
    </row>
    <row r="105" spans="1:15">
      <c r="A105" s="74" t="s">
        <v>40</v>
      </c>
      <c r="B105" s="47" t="s">
        <v>163</v>
      </c>
      <c r="C105" s="48">
        <v>1.75</v>
      </c>
      <c r="D105" s="47">
        <v>16.3</v>
      </c>
      <c r="E105" s="47">
        <v>19.39</v>
      </c>
      <c r="F105" s="10" t="s">
        <v>0</v>
      </c>
      <c r="G105" s="10" t="s">
        <v>0</v>
      </c>
      <c r="H105" s="10" t="s">
        <v>0</v>
      </c>
      <c r="I105" s="35" t="s">
        <v>0</v>
      </c>
      <c r="J105" s="10" t="s">
        <v>0</v>
      </c>
      <c r="K105" s="10" t="s">
        <v>0</v>
      </c>
      <c r="L105" s="10" t="s">
        <v>0</v>
      </c>
      <c r="M105" s="36" t="s">
        <v>0</v>
      </c>
      <c r="N105" s="35" t="s">
        <v>0</v>
      </c>
      <c r="O105" s="35">
        <v>1.4113</v>
      </c>
    </row>
    <row r="106" spans="1:15">
      <c r="A106" s="74" t="s">
        <v>216</v>
      </c>
      <c r="B106" s="47" t="s">
        <v>167</v>
      </c>
      <c r="C106" s="48">
        <v>0.375</v>
      </c>
      <c r="D106" s="47">
        <v>16.36</v>
      </c>
      <c r="E106" s="47">
        <v>17.23</v>
      </c>
      <c r="F106" s="10" t="s">
        <v>0</v>
      </c>
      <c r="G106" s="10" t="s">
        <v>0</v>
      </c>
      <c r="H106" s="10" t="s">
        <v>0</v>
      </c>
      <c r="I106" s="35" t="s">
        <v>0</v>
      </c>
      <c r="J106" s="10" t="s">
        <v>0</v>
      </c>
      <c r="K106" s="10" t="s">
        <v>0</v>
      </c>
      <c r="L106" s="10" t="s">
        <v>0</v>
      </c>
      <c r="M106" s="36" t="s">
        <v>0</v>
      </c>
      <c r="N106" s="35" t="s">
        <v>0</v>
      </c>
      <c r="O106" s="35">
        <v>1.3914</v>
      </c>
    </row>
    <row r="107" spans="1:15">
      <c r="A107" s="74" t="s">
        <v>213</v>
      </c>
      <c r="B107" s="47" t="s">
        <v>209</v>
      </c>
      <c r="C107" s="48">
        <v>1</v>
      </c>
      <c r="D107" s="47">
        <v>16.37</v>
      </c>
      <c r="E107" s="47">
        <v>18.28</v>
      </c>
      <c r="F107" s="10" t="s">
        <v>0</v>
      </c>
      <c r="G107" s="10" t="s">
        <v>0</v>
      </c>
      <c r="H107" s="10" t="s">
        <v>0</v>
      </c>
      <c r="I107" s="35" t="s">
        <v>0</v>
      </c>
      <c r="J107" s="10" t="s">
        <v>0</v>
      </c>
      <c r="K107" s="10" t="s">
        <v>0</v>
      </c>
      <c r="L107" s="10" t="s">
        <v>0</v>
      </c>
      <c r="M107" s="36" t="s">
        <v>0</v>
      </c>
      <c r="N107" s="35" t="s">
        <v>0</v>
      </c>
      <c r="O107" s="35">
        <v>1.4019999999999999</v>
      </c>
    </row>
    <row r="108" spans="1:15">
      <c r="A108" s="74" t="s">
        <v>248</v>
      </c>
      <c r="B108" s="47" t="s">
        <v>187</v>
      </c>
      <c r="C108" s="48">
        <v>0.625</v>
      </c>
      <c r="D108" s="47">
        <v>16.38</v>
      </c>
      <c r="E108" s="47">
        <v>17.62</v>
      </c>
      <c r="F108" s="10" t="s">
        <v>0</v>
      </c>
      <c r="G108" s="10" t="s">
        <v>0</v>
      </c>
      <c r="H108" s="10" t="s">
        <v>0</v>
      </c>
      <c r="I108" s="35" t="s">
        <v>0</v>
      </c>
      <c r="J108" s="10" t="s">
        <v>0</v>
      </c>
      <c r="K108" s="10" t="s">
        <v>0</v>
      </c>
      <c r="L108" s="10" t="s">
        <v>0</v>
      </c>
      <c r="M108" s="36" t="s">
        <v>0</v>
      </c>
      <c r="N108" s="35" t="s">
        <v>0</v>
      </c>
      <c r="O108" s="35">
        <v>1.3954</v>
      </c>
    </row>
    <row r="109" spans="1:15">
      <c r="A109" s="74" t="s">
        <v>47</v>
      </c>
      <c r="B109" s="47" t="s">
        <v>164</v>
      </c>
      <c r="C109" s="48">
        <v>2.125</v>
      </c>
      <c r="D109" s="47">
        <v>16.559999999999999</v>
      </c>
      <c r="E109" s="47">
        <v>20.39</v>
      </c>
      <c r="F109" s="10" t="s">
        <v>0</v>
      </c>
      <c r="G109" s="10" t="s">
        <v>0</v>
      </c>
      <c r="H109" s="10" t="s">
        <v>0</v>
      </c>
      <c r="I109" s="35" t="s">
        <v>0</v>
      </c>
      <c r="J109" s="10" t="s">
        <v>0</v>
      </c>
      <c r="K109" s="10" t="s">
        <v>0</v>
      </c>
      <c r="L109" s="10" t="s">
        <v>0</v>
      </c>
      <c r="M109" s="36" t="s">
        <v>0</v>
      </c>
      <c r="N109" s="35" t="s">
        <v>0</v>
      </c>
      <c r="O109" s="35">
        <v>1.4214</v>
      </c>
    </row>
    <row r="110" spans="1:15">
      <c r="A110" s="74" t="s">
        <v>215</v>
      </c>
      <c r="B110" s="47" t="s">
        <v>210</v>
      </c>
      <c r="C110" s="48">
        <v>0.875</v>
      </c>
      <c r="D110" s="47">
        <v>16.66</v>
      </c>
      <c r="E110" s="47">
        <v>18.41</v>
      </c>
      <c r="F110" s="10" t="s">
        <v>0</v>
      </c>
      <c r="G110" s="10" t="s">
        <v>0</v>
      </c>
      <c r="H110" s="10" t="s">
        <v>0</v>
      </c>
      <c r="I110" s="35" t="s">
        <v>0</v>
      </c>
      <c r="J110" s="10" t="s">
        <v>0</v>
      </c>
      <c r="K110" s="10" t="s">
        <v>0</v>
      </c>
      <c r="L110" s="10" t="s">
        <v>0</v>
      </c>
      <c r="M110" s="36" t="s">
        <v>0</v>
      </c>
      <c r="N110" s="35" t="s">
        <v>0</v>
      </c>
      <c r="O110" s="35">
        <v>1.405</v>
      </c>
    </row>
    <row r="111" spans="1:15">
      <c r="A111" s="74" t="s">
        <v>250</v>
      </c>
      <c r="B111" s="47" t="s">
        <v>199</v>
      </c>
      <c r="C111" s="48">
        <v>0.625</v>
      </c>
      <c r="D111" s="47">
        <v>16.73</v>
      </c>
      <c r="E111" s="47">
        <v>18.100000000000001</v>
      </c>
      <c r="F111" s="10" t="s">
        <v>0</v>
      </c>
      <c r="G111" s="10" t="s">
        <v>0</v>
      </c>
      <c r="H111" s="10" t="s">
        <v>0</v>
      </c>
      <c r="I111" s="35" t="s">
        <v>0</v>
      </c>
      <c r="J111" s="10" t="s">
        <v>0</v>
      </c>
      <c r="K111" s="10" t="s">
        <v>0</v>
      </c>
      <c r="L111" s="10" t="s">
        <v>0</v>
      </c>
      <c r="M111" s="36" t="s">
        <v>0</v>
      </c>
      <c r="N111" s="35" t="s">
        <v>0</v>
      </c>
      <c r="O111" s="35">
        <v>1.4026000000000001</v>
      </c>
    </row>
    <row r="112" spans="1:15">
      <c r="A112" s="74" t="s">
        <v>277</v>
      </c>
      <c r="B112" s="47" t="s">
        <v>278</v>
      </c>
      <c r="C112" s="48">
        <v>1.375</v>
      </c>
      <c r="D112" s="47">
        <v>16.77</v>
      </c>
      <c r="E112" s="47">
        <v>19.399999999999999</v>
      </c>
      <c r="F112" s="10" t="s">
        <v>0</v>
      </c>
      <c r="G112" s="10" t="s">
        <v>0</v>
      </c>
      <c r="H112" s="10" t="s">
        <v>0</v>
      </c>
      <c r="I112" s="35" t="s">
        <v>0</v>
      </c>
      <c r="J112" s="10" t="s">
        <v>0</v>
      </c>
      <c r="K112" s="10" t="s">
        <v>0</v>
      </c>
      <c r="L112" s="10" t="s">
        <v>0</v>
      </c>
      <c r="M112" s="36" t="s">
        <v>0</v>
      </c>
      <c r="N112" s="35" t="s">
        <v>0</v>
      </c>
      <c r="O112" s="35">
        <v>1.4147000000000001</v>
      </c>
    </row>
    <row r="113" spans="1:15">
      <c r="A113" s="74" t="s">
        <v>70</v>
      </c>
      <c r="B113" s="47" t="s">
        <v>170</v>
      </c>
      <c r="C113" s="48">
        <v>2.25</v>
      </c>
      <c r="D113" s="47">
        <v>16.84</v>
      </c>
      <c r="E113" s="47">
        <v>21.14</v>
      </c>
      <c r="F113" s="10" t="s">
        <v>0</v>
      </c>
      <c r="G113" s="10" t="s">
        <v>0</v>
      </c>
      <c r="H113" s="10" t="s">
        <v>0</v>
      </c>
      <c r="I113" s="35" t="s">
        <v>0</v>
      </c>
      <c r="J113" s="10" t="s">
        <v>0</v>
      </c>
      <c r="K113" s="10" t="s">
        <v>0</v>
      </c>
      <c r="L113" s="10" t="s">
        <v>0</v>
      </c>
      <c r="M113" s="36" t="s">
        <v>0</v>
      </c>
      <c r="N113" s="35" t="s">
        <v>0</v>
      </c>
      <c r="O113" s="35">
        <v>1.4298999999999999</v>
      </c>
    </row>
    <row r="114" spans="1:15">
      <c r="A114" s="74" t="s">
        <v>71</v>
      </c>
      <c r="B114" s="47" t="s">
        <v>165</v>
      </c>
      <c r="C114" s="48">
        <v>2.25</v>
      </c>
      <c r="D114" s="47">
        <v>16.86</v>
      </c>
      <c r="E114" s="47">
        <v>20.83</v>
      </c>
      <c r="F114" s="10" t="s">
        <v>0</v>
      </c>
      <c r="G114" s="10" t="s">
        <v>0</v>
      </c>
      <c r="H114" s="10" t="s">
        <v>0</v>
      </c>
      <c r="I114" s="35" t="s">
        <v>0</v>
      </c>
      <c r="J114" s="10" t="s">
        <v>0</v>
      </c>
      <c r="K114" s="10" t="s">
        <v>0</v>
      </c>
      <c r="L114" s="10" t="s">
        <v>0</v>
      </c>
      <c r="M114" s="36" t="s">
        <v>0</v>
      </c>
      <c r="N114" s="35" t="s">
        <v>0</v>
      </c>
      <c r="O114" s="35">
        <v>1.4259999999999999</v>
      </c>
    </row>
    <row r="115" spans="1:15">
      <c r="A115" s="74" t="s">
        <v>54</v>
      </c>
      <c r="B115" s="47" t="s">
        <v>166</v>
      </c>
      <c r="C115" s="48">
        <v>2.375</v>
      </c>
      <c r="D115" s="47">
        <v>16.91</v>
      </c>
      <c r="E115" s="47">
        <v>21.36</v>
      </c>
      <c r="F115" s="10" t="s">
        <v>0</v>
      </c>
      <c r="G115" s="10" t="s">
        <v>0</v>
      </c>
      <c r="H115" s="10" t="s">
        <v>0</v>
      </c>
      <c r="I115" s="35" t="s">
        <v>0</v>
      </c>
      <c r="J115" s="10" t="s">
        <v>0</v>
      </c>
      <c r="K115" s="10" t="s">
        <v>0</v>
      </c>
      <c r="L115" s="10" t="s">
        <v>0</v>
      </c>
      <c r="M115" s="36" t="s">
        <v>0</v>
      </c>
      <c r="N115" s="35" t="s">
        <v>0</v>
      </c>
      <c r="O115" s="35">
        <v>1.4315</v>
      </c>
    </row>
    <row r="116" spans="1:15">
      <c r="A116" s="74" t="s">
        <v>251</v>
      </c>
      <c r="B116" s="47" t="s">
        <v>194</v>
      </c>
      <c r="C116" s="48">
        <v>0.5</v>
      </c>
      <c r="D116" s="47">
        <v>16.91</v>
      </c>
      <c r="E116" s="47">
        <v>17.98</v>
      </c>
      <c r="F116" s="10" t="s">
        <v>0</v>
      </c>
      <c r="G116" s="10" t="s">
        <v>0</v>
      </c>
      <c r="H116" s="10" t="s">
        <v>0</v>
      </c>
      <c r="I116" s="35" t="s">
        <v>0</v>
      </c>
      <c r="J116" s="10" t="s">
        <v>0</v>
      </c>
      <c r="K116" s="10" t="s">
        <v>0</v>
      </c>
      <c r="L116" s="10" t="s">
        <v>0</v>
      </c>
      <c r="M116" s="36" t="s">
        <v>0</v>
      </c>
      <c r="N116" s="35" t="s">
        <v>0</v>
      </c>
      <c r="O116" s="35">
        <v>1.4018999999999999</v>
      </c>
    </row>
    <row r="117" spans="1:15">
      <c r="A117" s="74" t="s">
        <v>72</v>
      </c>
      <c r="B117" s="47" t="s">
        <v>169</v>
      </c>
      <c r="C117" s="48">
        <v>2</v>
      </c>
      <c r="D117" s="47">
        <v>16.95</v>
      </c>
      <c r="E117" s="47">
        <v>20.64</v>
      </c>
      <c r="F117" s="10" t="s">
        <v>0</v>
      </c>
      <c r="G117" s="10" t="s">
        <v>0</v>
      </c>
      <c r="H117" s="10" t="s">
        <v>0</v>
      </c>
      <c r="I117" s="35" t="s">
        <v>0</v>
      </c>
      <c r="J117" s="10" t="s">
        <v>0</v>
      </c>
      <c r="K117" s="10" t="s">
        <v>0</v>
      </c>
      <c r="L117" s="10" t="s">
        <v>0</v>
      </c>
      <c r="M117" s="36" t="s">
        <v>0</v>
      </c>
      <c r="N117" s="35" t="s">
        <v>0</v>
      </c>
      <c r="O117" s="35">
        <v>1.4257</v>
      </c>
    </row>
    <row r="118" spans="1:15">
      <c r="A118" s="74" t="s">
        <v>73</v>
      </c>
      <c r="B118" s="47" t="s">
        <v>171</v>
      </c>
      <c r="C118" s="48">
        <v>2.375</v>
      </c>
      <c r="D118" s="47">
        <v>17.149999999999999</v>
      </c>
      <c r="E118" s="47">
        <v>21.6</v>
      </c>
      <c r="F118" s="10" t="s">
        <v>0</v>
      </c>
      <c r="G118" s="10" t="s">
        <v>0</v>
      </c>
      <c r="H118" s="10" t="s">
        <v>0</v>
      </c>
      <c r="I118" s="35" t="s">
        <v>0</v>
      </c>
      <c r="J118" s="10" t="s">
        <v>0</v>
      </c>
      <c r="K118" s="10" t="s">
        <v>0</v>
      </c>
      <c r="L118" s="10" t="s">
        <v>0</v>
      </c>
      <c r="M118" s="36" t="s">
        <v>0</v>
      </c>
      <c r="N118" s="35" t="s">
        <v>0</v>
      </c>
      <c r="O118" s="35">
        <v>1.4345000000000001</v>
      </c>
    </row>
    <row r="119" spans="1:15">
      <c r="A119" s="74" t="s">
        <v>326</v>
      </c>
      <c r="B119" s="47" t="s">
        <v>327</v>
      </c>
      <c r="C119" s="48">
        <v>1.375</v>
      </c>
      <c r="D119" s="47">
        <v>17.309999999999999</v>
      </c>
      <c r="E119" s="47">
        <v>19.96</v>
      </c>
      <c r="F119" s="10" t="s">
        <v>0</v>
      </c>
      <c r="G119" s="10" t="s">
        <v>0</v>
      </c>
      <c r="H119" s="10" t="s">
        <v>0</v>
      </c>
      <c r="I119" s="35" t="s">
        <v>0</v>
      </c>
      <c r="J119" s="10" t="s">
        <v>0</v>
      </c>
      <c r="K119" s="10" t="s">
        <v>0</v>
      </c>
      <c r="L119" s="10" t="s">
        <v>0</v>
      </c>
      <c r="M119" s="36" t="s">
        <v>0</v>
      </c>
      <c r="N119" s="35" t="s">
        <v>0</v>
      </c>
      <c r="O119" s="35">
        <v>1.4224000000000001</v>
      </c>
    </row>
    <row r="120" spans="1:15">
      <c r="A120" s="74" t="s">
        <v>74</v>
      </c>
      <c r="B120" s="47" t="s">
        <v>172</v>
      </c>
      <c r="C120" s="48">
        <v>2.25</v>
      </c>
      <c r="D120" s="47">
        <v>17.52</v>
      </c>
      <c r="E120" s="47">
        <v>21.84</v>
      </c>
      <c r="F120" s="10" t="s">
        <v>0</v>
      </c>
      <c r="G120" s="10" t="s">
        <v>0</v>
      </c>
      <c r="H120" s="10" t="s">
        <v>0</v>
      </c>
      <c r="I120" s="35" t="s">
        <v>0</v>
      </c>
      <c r="J120" s="10" t="s">
        <v>0</v>
      </c>
      <c r="K120" s="10" t="s">
        <v>0</v>
      </c>
      <c r="L120" s="10" t="s">
        <v>0</v>
      </c>
      <c r="M120" s="36" t="s">
        <v>0</v>
      </c>
      <c r="N120" s="35" t="s">
        <v>0</v>
      </c>
      <c r="O120" s="35">
        <v>1.4383999999999999</v>
      </c>
    </row>
    <row r="121" spans="1:15">
      <c r="A121" s="74" t="s">
        <v>75</v>
      </c>
      <c r="B121" s="47" t="s">
        <v>173</v>
      </c>
      <c r="C121" s="48">
        <v>2</v>
      </c>
      <c r="D121" s="47">
        <v>18.43</v>
      </c>
      <c r="E121" s="47">
        <v>23.14</v>
      </c>
      <c r="F121" s="10" t="s">
        <v>0</v>
      </c>
      <c r="G121" s="10" t="s">
        <v>0</v>
      </c>
      <c r="H121" s="10" t="s">
        <v>0</v>
      </c>
      <c r="I121" s="35" t="s">
        <v>0</v>
      </c>
      <c r="J121" s="10" t="s">
        <v>0</v>
      </c>
      <c r="K121" s="10" t="s">
        <v>0</v>
      </c>
      <c r="L121" s="10" t="s">
        <v>0</v>
      </c>
      <c r="M121" s="36" t="s">
        <v>0</v>
      </c>
      <c r="N121" s="35" t="s">
        <v>0</v>
      </c>
      <c r="O121" s="35">
        <v>1.4559</v>
      </c>
    </row>
    <row r="122" spans="1:15">
      <c r="A122" s="74" t="s">
        <v>76</v>
      </c>
      <c r="B122" s="47" t="s">
        <v>174</v>
      </c>
      <c r="C122" s="48">
        <v>1.625</v>
      </c>
      <c r="D122" s="47">
        <v>18.78</v>
      </c>
      <c r="E122" s="47">
        <v>22.62</v>
      </c>
      <c r="F122" s="10" t="s">
        <v>0</v>
      </c>
      <c r="G122" s="10" t="s">
        <v>0</v>
      </c>
      <c r="H122" s="10" t="s">
        <v>0</v>
      </c>
      <c r="I122" s="35" t="s">
        <v>0</v>
      </c>
      <c r="J122" s="10" t="s">
        <v>0</v>
      </c>
      <c r="K122" s="10" t="s">
        <v>0</v>
      </c>
      <c r="L122" s="10" t="s">
        <v>0</v>
      </c>
      <c r="M122" s="36" t="s">
        <v>0</v>
      </c>
      <c r="N122" s="35" t="s">
        <v>0</v>
      </c>
      <c r="O122" s="35">
        <v>1.4538</v>
      </c>
    </row>
    <row r="123" spans="1:15">
      <c r="A123" s="74" t="s">
        <v>77</v>
      </c>
      <c r="B123" s="47" t="s">
        <v>175</v>
      </c>
      <c r="C123" s="48">
        <v>1.875</v>
      </c>
      <c r="D123" s="47">
        <v>19.100000000000001</v>
      </c>
      <c r="E123" s="47">
        <v>23.63</v>
      </c>
      <c r="F123" s="10" t="s">
        <v>0</v>
      </c>
      <c r="G123" s="10" t="s">
        <v>0</v>
      </c>
      <c r="H123" s="10" t="s">
        <v>0</v>
      </c>
      <c r="I123" s="35" t="s">
        <v>0</v>
      </c>
      <c r="J123" s="10" t="s">
        <v>0</v>
      </c>
      <c r="K123" s="10" t="s">
        <v>0</v>
      </c>
      <c r="L123" s="10" t="s">
        <v>0</v>
      </c>
      <c r="M123" s="36" t="s">
        <v>0</v>
      </c>
      <c r="N123" s="35" t="s">
        <v>0</v>
      </c>
      <c r="O123" s="35">
        <v>1.4628000000000001</v>
      </c>
    </row>
    <row r="124" spans="1:15">
      <c r="A124" s="74" t="s">
        <v>78</v>
      </c>
      <c r="B124" s="47" t="s">
        <v>176</v>
      </c>
      <c r="C124" s="48">
        <v>1.375</v>
      </c>
      <c r="D124" s="47">
        <v>19.38</v>
      </c>
      <c r="E124" s="47">
        <v>22.83</v>
      </c>
      <c r="F124" s="10" t="s">
        <v>0</v>
      </c>
      <c r="G124" s="10" t="s">
        <v>0</v>
      </c>
      <c r="H124" s="10" t="s">
        <v>0</v>
      </c>
      <c r="I124" s="35" t="s">
        <v>0</v>
      </c>
      <c r="J124" s="10" t="s">
        <v>0</v>
      </c>
      <c r="K124" s="10" t="s">
        <v>0</v>
      </c>
      <c r="L124" s="10" t="s">
        <v>0</v>
      </c>
      <c r="M124" s="36" t="s">
        <v>0</v>
      </c>
      <c r="N124" s="35" t="s">
        <v>0</v>
      </c>
      <c r="O124" s="35">
        <v>1.4592000000000001</v>
      </c>
    </row>
    <row r="125" spans="1:15">
      <c r="A125" s="74" t="s">
        <v>79</v>
      </c>
      <c r="B125" s="47" t="s">
        <v>177</v>
      </c>
      <c r="C125" s="48">
        <v>1.625</v>
      </c>
      <c r="D125" s="47">
        <v>19.649999999999999</v>
      </c>
      <c r="E125" s="47">
        <v>24.13</v>
      </c>
      <c r="F125" s="10" t="s">
        <v>0</v>
      </c>
      <c r="G125" s="10" t="s">
        <v>0</v>
      </c>
      <c r="H125" s="10" t="s">
        <v>0</v>
      </c>
      <c r="I125" s="35" t="s">
        <v>0</v>
      </c>
      <c r="J125" s="10" t="s">
        <v>0</v>
      </c>
      <c r="K125" s="10" t="s">
        <v>0</v>
      </c>
      <c r="L125" s="10" t="s">
        <v>0</v>
      </c>
      <c r="M125" s="36" t="s">
        <v>0</v>
      </c>
      <c r="N125" s="35" t="s">
        <v>0</v>
      </c>
      <c r="O125" s="35">
        <v>1.4711000000000001</v>
      </c>
    </row>
    <row r="126" spans="1:15">
      <c r="A126" s="74" t="s">
        <v>80</v>
      </c>
      <c r="B126" s="47" t="s">
        <v>178</v>
      </c>
      <c r="C126" s="48">
        <v>1.5</v>
      </c>
      <c r="D126" s="47">
        <v>20.34</v>
      </c>
      <c r="E126" s="47">
        <v>24.61</v>
      </c>
      <c r="F126" s="10" t="s">
        <v>0</v>
      </c>
      <c r="G126" s="10" t="s">
        <v>0</v>
      </c>
      <c r="H126" s="10" t="s">
        <v>0</v>
      </c>
      <c r="I126" s="35" t="s">
        <v>0</v>
      </c>
      <c r="J126" s="10" t="s">
        <v>0</v>
      </c>
      <c r="K126" s="10" t="s">
        <v>0</v>
      </c>
      <c r="L126" s="10" t="s">
        <v>0</v>
      </c>
      <c r="M126" s="36" t="s">
        <v>0</v>
      </c>
      <c r="N126" s="35" t="s">
        <v>0</v>
      </c>
      <c r="O126" s="35">
        <v>1.4777</v>
      </c>
    </row>
    <row r="127" spans="1:15">
      <c r="A127" s="74" t="s">
        <v>56</v>
      </c>
      <c r="B127" s="47" t="s">
        <v>179</v>
      </c>
      <c r="C127" s="48">
        <v>1.375</v>
      </c>
      <c r="D127" s="47">
        <v>20.75</v>
      </c>
      <c r="E127" s="47">
        <v>25.09</v>
      </c>
      <c r="F127" s="10" t="s">
        <v>0</v>
      </c>
      <c r="G127" s="10" t="s">
        <v>0</v>
      </c>
      <c r="H127" s="10" t="s">
        <v>0</v>
      </c>
      <c r="I127" s="35" t="s">
        <v>0</v>
      </c>
      <c r="J127" s="10" t="s">
        <v>0</v>
      </c>
      <c r="K127" s="10" t="s">
        <v>0</v>
      </c>
      <c r="L127" s="10" t="s">
        <v>0</v>
      </c>
      <c r="M127" s="36" t="s">
        <v>0</v>
      </c>
      <c r="N127" s="35" t="s">
        <v>0</v>
      </c>
      <c r="O127" s="35">
        <v>1.4843999999999999</v>
      </c>
    </row>
    <row r="128" spans="1:15">
      <c r="A128" s="74" t="s">
        <v>267</v>
      </c>
      <c r="B128" s="47" t="s">
        <v>264</v>
      </c>
      <c r="C128" s="48">
        <v>2.375</v>
      </c>
      <c r="D128" s="47">
        <v>21.4</v>
      </c>
      <c r="E128" s="47">
        <v>29.1</v>
      </c>
      <c r="F128" s="10" t="s">
        <v>0</v>
      </c>
      <c r="G128" s="10" t="s">
        <v>0</v>
      </c>
      <c r="H128" s="10" t="s">
        <v>0</v>
      </c>
      <c r="I128" s="35" t="s">
        <v>0</v>
      </c>
      <c r="J128" s="10" t="s">
        <v>0</v>
      </c>
      <c r="K128" s="10" t="s">
        <v>0</v>
      </c>
      <c r="L128" s="10" t="s">
        <v>0</v>
      </c>
      <c r="M128" s="36" t="s">
        <v>0</v>
      </c>
      <c r="N128" s="35" t="s">
        <v>0</v>
      </c>
      <c r="O128" s="35">
        <v>1.5058</v>
      </c>
    </row>
    <row r="129" spans="1:15">
      <c r="A129" s="74" t="s">
        <v>81</v>
      </c>
      <c r="B129" s="47" t="s">
        <v>180</v>
      </c>
      <c r="C129" s="48">
        <v>1.125</v>
      </c>
      <c r="D129" s="47">
        <v>21.79</v>
      </c>
      <c r="E129" s="47">
        <v>25.61</v>
      </c>
      <c r="F129" s="10" t="s">
        <v>0</v>
      </c>
      <c r="G129" s="10" t="s">
        <v>0</v>
      </c>
      <c r="H129" s="10" t="s">
        <v>0</v>
      </c>
      <c r="I129" s="35" t="s">
        <v>0</v>
      </c>
      <c r="J129" s="10" t="s">
        <v>0</v>
      </c>
      <c r="K129" s="10" t="s">
        <v>0</v>
      </c>
      <c r="L129" s="10" t="s">
        <v>0</v>
      </c>
      <c r="M129" s="36" t="s">
        <v>0</v>
      </c>
      <c r="N129" s="35" t="s">
        <v>0</v>
      </c>
      <c r="O129" s="35">
        <v>1.4931000000000001</v>
      </c>
    </row>
    <row r="130" spans="1:15">
      <c r="A130" s="74" t="s">
        <v>223</v>
      </c>
      <c r="B130" s="47" t="s">
        <v>222</v>
      </c>
      <c r="C130" s="48">
        <v>2</v>
      </c>
      <c r="D130" s="47">
        <v>21.97</v>
      </c>
      <c r="E130" s="47">
        <v>28.62</v>
      </c>
      <c r="F130" s="10" t="s">
        <v>0</v>
      </c>
      <c r="G130" s="10" t="s">
        <v>0</v>
      </c>
      <c r="H130" s="10" t="s">
        <v>0</v>
      </c>
      <c r="I130" s="35" t="s">
        <v>0</v>
      </c>
      <c r="J130" s="10" t="s">
        <v>0</v>
      </c>
      <c r="K130" s="10" t="s">
        <v>0</v>
      </c>
      <c r="L130" s="10" t="s">
        <v>0</v>
      </c>
      <c r="M130" s="36" t="s">
        <v>0</v>
      </c>
      <c r="N130" s="35" t="s">
        <v>0</v>
      </c>
      <c r="O130" s="35">
        <v>1.5069999999999999</v>
      </c>
    </row>
    <row r="131" spans="1:15">
      <c r="A131" s="74" t="s">
        <v>50</v>
      </c>
      <c r="B131" s="47" t="s">
        <v>181</v>
      </c>
      <c r="C131" s="48">
        <v>1</v>
      </c>
      <c r="D131" s="47">
        <v>22.29</v>
      </c>
      <c r="E131" s="47">
        <v>26.09</v>
      </c>
      <c r="F131" s="10" t="s">
        <v>0</v>
      </c>
      <c r="G131" s="10" t="s">
        <v>0</v>
      </c>
      <c r="H131" s="10" t="s">
        <v>0</v>
      </c>
      <c r="I131" s="35" t="s">
        <v>0</v>
      </c>
      <c r="J131" s="10" t="s">
        <v>0</v>
      </c>
      <c r="K131" s="10" t="s">
        <v>0</v>
      </c>
      <c r="L131" s="10" t="s">
        <v>0</v>
      </c>
      <c r="M131" s="36" t="s">
        <v>0</v>
      </c>
      <c r="N131" s="35" t="s">
        <v>0</v>
      </c>
      <c r="O131" s="35">
        <v>1.4996</v>
      </c>
    </row>
    <row r="132" spans="1:15">
      <c r="A132" s="74" t="s">
        <v>252</v>
      </c>
      <c r="B132" s="47" t="s">
        <v>182</v>
      </c>
      <c r="C132" s="48">
        <v>0.75</v>
      </c>
      <c r="D132" s="47">
        <v>23.47</v>
      </c>
      <c r="E132" s="47">
        <v>26.6</v>
      </c>
      <c r="F132" s="10" t="s">
        <v>0</v>
      </c>
      <c r="G132" s="10" t="s">
        <v>0</v>
      </c>
      <c r="H132" s="10" t="s">
        <v>0</v>
      </c>
      <c r="I132" s="35" t="s">
        <v>0</v>
      </c>
      <c r="J132" s="10" t="s">
        <v>0</v>
      </c>
      <c r="K132" s="10" t="s">
        <v>0</v>
      </c>
      <c r="L132" s="10" t="s">
        <v>0</v>
      </c>
      <c r="M132" s="36" t="s">
        <v>0</v>
      </c>
      <c r="N132" s="35" t="s">
        <v>0</v>
      </c>
      <c r="O132" s="35">
        <v>1.5085999999999999</v>
      </c>
    </row>
    <row r="133" spans="1:15">
      <c r="A133" s="74" t="s">
        <v>253</v>
      </c>
      <c r="B133" s="47" t="s">
        <v>202</v>
      </c>
      <c r="C133" s="48">
        <v>1.125</v>
      </c>
      <c r="D133" s="47">
        <v>23.5</v>
      </c>
      <c r="E133" s="47">
        <v>28.21</v>
      </c>
      <c r="F133" s="10" t="s">
        <v>0</v>
      </c>
      <c r="G133" s="10" t="s">
        <v>0</v>
      </c>
      <c r="H133" s="10" t="s">
        <v>0</v>
      </c>
      <c r="I133" s="35" t="s">
        <v>0</v>
      </c>
      <c r="J133" s="10" t="s">
        <v>0</v>
      </c>
      <c r="K133" s="10" t="s">
        <v>0</v>
      </c>
      <c r="L133" s="10" t="s">
        <v>0</v>
      </c>
      <c r="M133" s="36" t="s">
        <v>0</v>
      </c>
      <c r="N133" s="35" t="s">
        <v>0</v>
      </c>
      <c r="O133" s="35">
        <v>1.5164</v>
      </c>
    </row>
    <row r="134" spans="1:15">
      <c r="A134" s="74" t="s">
        <v>328</v>
      </c>
      <c r="B134" s="47" t="s">
        <v>329</v>
      </c>
      <c r="C134" s="48">
        <v>1.5</v>
      </c>
      <c r="D134" s="47">
        <v>23.59</v>
      </c>
      <c r="E134" s="47">
        <v>29.6</v>
      </c>
      <c r="F134" s="10" t="s">
        <v>0</v>
      </c>
      <c r="G134" s="10" t="s">
        <v>0</v>
      </c>
      <c r="H134" s="10" t="s">
        <v>0</v>
      </c>
      <c r="I134" s="35" t="s">
        <v>0</v>
      </c>
      <c r="J134" s="10" t="s">
        <v>0</v>
      </c>
      <c r="K134" s="10" t="s">
        <v>0</v>
      </c>
      <c r="L134" s="10" t="s">
        <v>0</v>
      </c>
      <c r="M134" s="36" t="s">
        <v>0</v>
      </c>
      <c r="N134" s="35" t="s">
        <v>0</v>
      </c>
      <c r="O134" s="35">
        <v>1.5205</v>
      </c>
    </row>
    <row r="135" spans="1:15">
      <c r="A135" s="74" t="s">
        <v>638</v>
      </c>
      <c r="B135" s="47" t="s">
        <v>856</v>
      </c>
      <c r="C135" s="48">
        <v>1.5</v>
      </c>
      <c r="D135" s="47">
        <v>23.99</v>
      </c>
      <c r="E135" s="47">
        <v>30</v>
      </c>
      <c r="F135" s="10" t="s">
        <v>0</v>
      </c>
      <c r="G135" s="10" t="s">
        <v>0</v>
      </c>
      <c r="H135" s="10" t="s">
        <v>0</v>
      </c>
      <c r="I135" s="35" t="s">
        <v>0</v>
      </c>
      <c r="J135" s="10" t="s">
        <v>0</v>
      </c>
      <c r="K135" s="10" t="s">
        <v>0</v>
      </c>
      <c r="L135" s="10" t="s">
        <v>0</v>
      </c>
      <c r="M135" s="36" t="s">
        <v>0</v>
      </c>
      <c r="N135" s="35" t="s">
        <v>0</v>
      </c>
      <c r="O135" s="35">
        <v>1.5230999999999999</v>
      </c>
    </row>
    <row r="136" spans="1:15">
      <c r="A136" s="74" t="s">
        <v>254</v>
      </c>
      <c r="B136" s="47" t="s">
        <v>184</v>
      </c>
      <c r="C136" s="48">
        <v>0.625</v>
      </c>
      <c r="D136" s="47">
        <v>24.43</v>
      </c>
      <c r="E136" s="47">
        <v>27.39</v>
      </c>
      <c r="F136" s="10" t="s">
        <v>0</v>
      </c>
      <c r="G136" s="10" t="s">
        <v>0</v>
      </c>
      <c r="H136" s="10" t="s">
        <v>0</v>
      </c>
      <c r="I136" s="35" t="s">
        <v>0</v>
      </c>
      <c r="J136" s="10" t="s">
        <v>0</v>
      </c>
      <c r="K136" s="10" t="s">
        <v>0</v>
      </c>
      <c r="L136" s="10" t="s">
        <v>0</v>
      </c>
      <c r="M136" s="36" t="s">
        <v>0</v>
      </c>
      <c r="N136" s="35" t="s">
        <v>0</v>
      </c>
      <c r="O136" s="35">
        <v>1.5179</v>
      </c>
    </row>
    <row r="137" spans="1:15">
      <c r="A137" s="75" t="s">
        <v>255</v>
      </c>
      <c r="B137" s="47" t="s">
        <v>183</v>
      </c>
      <c r="C137" s="48">
        <v>0.375</v>
      </c>
      <c r="D137" s="47">
        <v>25.09</v>
      </c>
      <c r="E137" s="47">
        <v>27.14</v>
      </c>
      <c r="F137" s="10" t="s">
        <v>0</v>
      </c>
      <c r="G137" s="10" t="s">
        <v>0</v>
      </c>
      <c r="H137" s="10" t="s">
        <v>0</v>
      </c>
      <c r="I137" s="35" t="s">
        <v>0</v>
      </c>
      <c r="J137" s="10" t="s">
        <v>0</v>
      </c>
      <c r="K137" s="10" t="s">
        <v>0</v>
      </c>
      <c r="L137" s="10" t="s">
        <v>0</v>
      </c>
      <c r="M137" s="36" t="s">
        <v>0</v>
      </c>
      <c r="N137" s="35" t="s">
        <v>0</v>
      </c>
      <c r="O137" s="35">
        <v>1.5203</v>
      </c>
    </row>
    <row r="138" spans="1:15">
      <c r="A138" s="12" t="s">
        <v>1050</v>
      </c>
      <c r="B138" s="14" t="s">
        <v>1056</v>
      </c>
      <c r="C138" s="12" t="s">
        <v>268</v>
      </c>
      <c r="D138" s="15">
        <v>4.3099999999999996</v>
      </c>
      <c r="E138" s="15">
        <v>5</v>
      </c>
      <c r="F138" s="10">
        <f>IF(ISERROR(VLOOKUP($A138,[5]等殖!$A$1:$P$65536,10,0)),"",VLOOKUP(A138,[5]等殖!$A$1:$P$65536,10,0))</f>
        <v>1.57</v>
      </c>
      <c r="G138" s="10">
        <f>IF(ISERROR(VLOOKUP($A138,[5]等殖!$A$1:$P$65536,11,0)),"",VLOOKUP($A138,[5]等殖!$A$1:$P$65536,11,0))</f>
        <v>1.57</v>
      </c>
      <c r="H138" s="10">
        <f>IF(ISERROR(VLOOKUP($A138,[5]等殖!$A$1:$P$65536,12,0)),"",VLOOKUP($A138,[5]等殖!$A$1:$P$65536,12,0))</f>
        <v>1.57</v>
      </c>
      <c r="I138" s="35">
        <f>IF(ISERROR(VLOOKUP($A138,[5]等殖!$A$1:$P$65536,16,0)),"",VLOOKUP($A138,[5]等殖!$A$1:$P$65536,16,0))</f>
        <v>10</v>
      </c>
      <c r="J138" s="10">
        <f>IF(ISERROR(VLOOKUP($A138,[5]處所!$A$1:$P$65536,9,0)),"",VLOOKUP($A138,[5]處所!$A$1:$P$65536,9,0))</f>
        <v>1.57</v>
      </c>
      <c r="K138" s="10">
        <f>IF(ISERROR(VLOOKUP($A138,[5]處所!$A$1:$P$65536,10,0)),"",VLOOKUP($A138,[5]處所!$A$1:$P$65536,10,0))</f>
        <v>1.57</v>
      </c>
      <c r="L138" s="10">
        <f>IF(ISERROR(VLOOKUP($A138,[5]處所!$A$1:$P$65536,11,0)),"",VLOOKUP($A138,[5]處所!$A$1:$P$65536,11,0))</f>
        <v>1.57</v>
      </c>
      <c r="M138" s="36">
        <f>IF(ISERROR(VLOOKUP($A138,[5]處所!$A$1:$P$65536,15,0)),"",VLOOKUP($A138,[5]處所!$A$1:$P$65536,15,0))</f>
        <v>26</v>
      </c>
      <c r="N138" s="35">
        <f>IF(ISERROR(VLOOKUP($A138,[5]處所!$A$1:$P$65536,14,0)),"",VLOOKUP($A138,[5]處所!$A$1:$P$65536,14,0)/100000000)</f>
        <v>37</v>
      </c>
      <c r="O138" s="35" t="e">
        <f>VLOOKUP($A138,[5]公平價格!$A$1:$P$65536,14,0)</f>
        <v>#N/A</v>
      </c>
    </row>
    <row r="139" spans="1:15">
      <c r="A139" s="12" t="s">
        <v>1051</v>
      </c>
      <c r="B139" s="14" t="s">
        <v>1057</v>
      </c>
      <c r="C139" s="12" t="s">
        <v>268</v>
      </c>
      <c r="D139" s="15">
        <v>8.67</v>
      </c>
      <c r="E139" s="15">
        <v>10</v>
      </c>
      <c r="F139" s="10">
        <f>IF(ISERROR(VLOOKUP($A139,[5]等殖!$A$1:$P$65536,10,0)),"",VLOOKUP(A139,[5]等殖!$A$1:$P$65536,10,0))</f>
        <v>1.768</v>
      </c>
      <c r="G139" s="10">
        <f>IF(ISERROR(VLOOKUP($A139,[5]等殖!$A$1:$P$65536,11,0)),"",VLOOKUP($A139,[5]等殖!$A$1:$P$65536,11,0))</f>
        <v>1.76</v>
      </c>
      <c r="H139" s="10">
        <f>IF(ISERROR(VLOOKUP($A139,[5]等殖!$A$1:$P$65536,12,0)),"",VLOOKUP($A139,[5]等殖!$A$1:$P$65536,12,0))</f>
        <v>1.7636000000000001</v>
      </c>
      <c r="I139" s="35">
        <f>IF(ISERROR(VLOOKUP($A139,[5]等殖!$A$1:$P$65536,16,0)),"",VLOOKUP($A139,[5]等殖!$A$1:$P$65536,16,0))</f>
        <v>3</v>
      </c>
      <c r="J139" s="10">
        <f>IF(ISERROR(VLOOKUP($A139,[5]處所!$A$1:$P$65536,9,0)),"",VLOOKUP($A139,[5]處所!$A$1:$P$65536,9,0))</f>
        <v>1.77</v>
      </c>
      <c r="K139" s="10">
        <f>IF(ISERROR(VLOOKUP($A139,[5]處所!$A$1:$P$65536,10,0)),"",VLOOKUP($A139,[5]處所!$A$1:$P$65536,10,0))</f>
        <v>1.7649999999999999</v>
      </c>
      <c r="L139" s="10">
        <f>IF(ISERROR(VLOOKUP($A139,[5]處所!$A$1:$P$65536,11,0)),"",VLOOKUP($A139,[5]處所!$A$1:$P$65536,11,0))</f>
        <v>1.7698</v>
      </c>
      <c r="M139" s="36">
        <f>IF(ISERROR(VLOOKUP($A139,[5]處所!$A$1:$P$65536,15,0)),"",VLOOKUP($A139,[5]處所!$A$1:$P$65536,15,0))</f>
        <v>11</v>
      </c>
      <c r="N139" s="35">
        <f>IF(ISERROR(VLOOKUP($A139,[5]處所!$A$1:$P$65536,14,0)),"",VLOOKUP($A139,[5]處所!$A$1:$P$65536,14,0)/100000000)</f>
        <v>67</v>
      </c>
      <c r="O139" s="35" t="e">
        <f>VLOOKUP($A139,[5]公平價格!$A$1:$P$65536,14,0)</f>
        <v>#N/A</v>
      </c>
    </row>
    <row r="140" spans="1:15">
      <c r="A140" s="12" t="s">
        <v>352</v>
      </c>
      <c r="B140" s="14" t="s">
        <v>353</v>
      </c>
      <c r="C140" s="12" t="s">
        <v>268</v>
      </c>
      <c r="D140" s="15">
        <v>4.71</v>
      </c>
      <c r="E140" s="15">
        <v>4.9400000000000004</v>
      </c>
      <c r="F140" s="10">
        <f>IF(ISERROR(VLOOKUP($A140,[5]等殖!$A$1:$P$65536,10,0)),"",VLOOKUP(A140,[5]等殖!$A$1:$P$65536,10,0))</f>
        <v>1.6359999999999999</v>
      </c>
      <c r="G140" s="10">
        <f>IF(ISERROR(VLOOKUP($A140,[5]等殖!$A$1:$P$65536,11,0)),"",VLOOKUP($A140,[5]等殖!$A$1:$P$65536,11,0))</f>
        <v>1.6359999999999999</v>
      </c>
      <c r="H140" s="10">
        <f>IF(ISERROR(VLOOKUP($A140,[5]等殖!$A$1:$P$65536,12,0)),"",VLOOKUP($A140,[5]等殖!$A$1:$P$65536,12,0))</f>
        <v>1.6359999999999999</v>
      </c>
      <c r="I140" s="35">
        <f>IF(ISERROR(VLOOKUP($A140,[5]等殖!$A$1:$P$65536,16,0)),"",VLOOKUP($A140,[5]等殖!$A$1:$P$65536,16,0))</f>
        <v>2</v>
      </c>
      <c r="J140" s="10">
        <f>IF(ISERROR(VLOOKUP($A140,[5]處所!$A$1:$P$65536,9,0)),"",VLOOKUP($A140,[5]處所!$A$1:$P$65536,9,0))</f>
        <v>1.635</v>
      </c>
      <c r="K140" s="10">
        <f>IF(ISERROR(VLOOKUP($A140,[5]處所!$A$1:$P$65536,10,0)),"",VLOOKUP($A140,[5]處所!$A$1:$P$65536,10,0))</f>
        <v>1.635</v>
      </c>
      <c r="L140" s="10">
        <f>IF(ISERROR(VLOOKUP($A140,[5]處所!$A$1:$P$65536,11,0)),"",VLOOKUP($A140,[5]處所!$A$1:$P$65536,11,0))</f>
        <v>1.635</v>
      </c>
      <c r="M140" s="36">
        <f>IF(ISERROR(VLOOKUP($A140,[5]處所!$A$1:$P$65536,15,0)),"",VLOOKUP($A140,[5]處所!$A$1:$P$65536,15,0))</f>
        <v>1</v>
      </c>
      <c r="N140" s="35">
        <f>IF(ISERROR(VLOOKUP($A140,[5]處所!$A$1:$P$65536,14,0)),"",VLOOKUP($A140,[5]處所!$A$1:$P$65536,14,0)/100000000)</f>
        <v>2</v>
      </c>
      <c r="O140" s="35" t="e">
        <f>VLOOKUP($A140,[5]公平價格!$A$1:$P$65536,14,0)</f>
        <v>#N/A</v>
      </c>
    </row>
    <row r="141" spans="1:15">
      <c r="A141" s="12"/>
      <c r="B141" s="10"/>
      <c r="C141" s="11"/>
      <c r="D141" s="10"/>
      <c r="E141" s="10"/>
      <c r="F141" s="10" t="str">
        <f>IF(ISERROR(VLOOKUP($A141,[5]等殖!$A$1:$P$65536,10,0)),"",VLOOKUP(A141,[5]等殖!$A$1:$P$65536,10,0))</f>
        <v/>
      </c>
      <c r="G141" s="10" t="str">
        <f>IF(ISERROR(VLOOKUP($A141,[5]等殖!$A$1:$P$65536,11,0)),"",VLOOKUP($A141,[5]等殖!$A$1:$P$65536,11,0))</f>
        <v/>
      </c>
      <c r="H141" s="10" t="str">
        <f>IF(ISERROR(VLOOKUP($A141,[5]等殖!$A$1:$P$65536,12,0)),"",VLOOKUP($A141,[5]等殖!$A$1:$P$65536,12,0))</f>
        <v/>
      </c>
      <c r="I141" s="35" t="str">
        <f>IF(ISERROR(VLOOKUP($A141,[5]等殖!$A$1:$P$65536,16,0)),"",VLOOKUP($A141,[5]等殖!$A$1:$P$65536,16,0))</f>
        <v/>
      </c>
      <c r="J141" s="10" t="str">
        <f>IF(ISERROR(VLOOKUP($A141,[5]處所!$A$1:$P$65536,9,0)),"",VLOOKUP($A141,[5]處所!$A$1:$P$65536,9,0))</f>
        <v/>
      </c>
      <c r="K141" s="10" t="str">
        <f>IF(ISERROR(VLOOKUP($A141,[5]處所!$A$1:$P$65536,10,0)),"",VLOOKUP($A141,[5]處所!$A$1:$P$65536,10,0))</f>
        <v/>
      </c>
      <c r="L141" s="10" t="str">
        <f>IF(ISERROR(VLOOKUP($A141,[5]處所!$A$1:$P$65536,11,0)),"",VLOOKUP($A141,[5]處所!$A$1:$P$65536,11,0))</f>
        <v/>
      </c>
      <c r="M141" s="36" t="str">
        <f>IF(ISERROR(VLOOKUP($A141,[5]處所!$A$1:$P$65536,15,0)),"",VLOOKUP($A141,[5]處所!$A$1:$P$65536,15,0))</f>
        <v/>
      </c>
      <c r="N141" s="35" t="str">
        <f>IF(ISERROR(VLOOKUP($A141,[5]處所!$A$1:$P$65536,14,0)),"",VLOOKUP($A141,[5]處所!$A$1:$P$65536,14,0)/100000000)</f>
        <v/>
      </c>
      <c r="O141" s="35" t="e">
        <f>VLOOKUP($A141,[5]公平價格!$A$1:$P$65536,14,0)</f>
        <v>#N/A</v>
      </c>
    </row>
    <row r="142" spans="1:15">
      <c r="A142" s="12"/>
      <c r="B142" s="10"/>
      <c r="C142" s="11"/>
      <c r="D142" s="10"/>
      <c r="E142" s="10"/>
      <c r="F142" s="10" t="str">
        <f>IF(ISERROR(VLOOKUP($A142,[5]等殖!$A$1:$P$65536,10,0)),"",VLOOKUP(A142,[5]等殖!$A$1:$P$65536,10,0))</f>
        <v/>
      </c>
      <c r="G142" s="10" t="str">
        <f>IF(ISERROR(VLOOKUP($A142,[5]等殖!$A$1:$P$65536,11,0)),"",VLOOKUP($A142,[5]等殖!$A$1:$P$65536,11,0))</f>
        <v/>
      </c>
      <c r="H142" s="10" t="str">
        <f>IF(ISERROR(VLOOKUP($A142,[5]等殖!$A$1:$P$65536,12,0)),"",VLOOKUP($A142,[5]等殖!$A$1:$P$65536,12,0))</f>
        <v/>
      </c>
      <c r="I142" s="35" t="str">
        <f>IF(ISERROR(VLOOKUP($A142,[5]等殖!$A$1:$P$65536,16,0)),"",VLOOKUP($A142,[5]等殖!$A$1:$P$65536,16,0))</f>
        <v/>
      </c>
      <c r="J142" s="10" t="str">
        <f>IF(ISERROR(VLOOKUP($A142,[5]處所!$A$1:$P$65536,9,0)),"",VLOOKUP($A142,[5]處所!$A$1:$P$65536,9,0))</f>
        <v/>
      </c>
      <c r="K142" s="10" t="str">
        <f>IF(ISERROR(VLOOKUP($A142,[5]處所!$A$1:$P$65536,10,0)),"",VLOOKUP($A142,[5]處所!$A$1:$P$65536,10,0))</f>
        <v/>
      </c>
      <c r="L142" s="10" t="str">
        <f>IF(ISERROR(VLOOKUP($A142,[5]處所!$A$1:$P$65536,11,0)),"",VLOOKUP($A142,[5]處所!$A$1:$P$65536,11,0))</f>
        <v/>
      </c>
      <c r="M142" s="36" t="str">
        <f>IF(ISERROR(VLOOKUP($A142,[5]處所!$A$1:$P$65536,15,0)),"",VLOOKUP($A142,[5]處所!$A$1:$P$65536,15,0))</f>
        <v/>
      </c>
      <c r="N142" s="35" t="str">
        <f>IF(ISERROR(VLOOKUP($A142,[5]處所!$A$1:$P$65536,14,0)),"",VLOOKUP($A142,[5]處所!$A$1:$P$65536,14,0)/100000000)</f>
        <v/>
      </c>
      <c r="O142" s="35" t="e">
        <f>VLOOKUP($A142,[5]公平價格!$A$1:$P$65536,14,0)</f>
        <v>#N/A</v>
      </c>
    </row>
    <row r="143" spans="1:15">
      <c r="A143" s="12"/>
      <c r="B143" s="10"/>
      <c r="C143" s="11"/>
      <c r="D143" s="10"/>
      <c r="E143" s="10"/>
      <c r="F143" s="10" t="str">
        <f>IF(ISERROR(VLOOKUP($A143,[5]等殖!$A$1:$P$65536,10,0)),"",VLOOKUP(A143,[5]等殖!$A$1:$P$65536,10,0))</f>
        <v/>
      </c>
      <c r="G143" s="10" t="str">
        <f>IF(ISERROR(VLOOKUP($A143,[5]等殖!$A$1:$P$65536,11,0)),"",VLOOKUP($A143,[5]等殖!$A$1:$P$65536,11,0))</f>
        <v/>
      </c>
      <c r="H143" s="10" t="str">
        <f>IF(ISERROR(VLOOKUP($A143,[5]等殖!$A$1:$P$65536,12,0)),"",VLOOKUP($A143,[5]等殖!$A$1:$P$65536,12,0))</f>
        <v/>
      </c>
      <c r="I143" s="35" t="str">
        <f>IF(ISERROR(VLOOKUP($A143,[5]等殖!$A$1:$P$65536,16,0)),"",VLOOKUP($A143,[5]等殖!$A$1:$P$65536,16,0))</f>
        <v/>
      </c>
      <c r="J143" s="10" t="str">
        <f>IF(ISERROR(VLOOKUP($A143,[5]處所!$A$1:$P$65536,9,0)),"",VLOOKUP($A143,[5]處所!$A$1:$P$65536,9,0))</f>
        <v/>
      </c>
      <c r="K143" s="10" t="str">
        <f>IF(ISERROR(VLOOKUP($A143,[5]處所!$A$1:$P$65536,10,0)),"",VLOOKUP($A143,[5]處所!$A$1:$P$65536,10,0))</f>
        <v/>
      </c>
      <c r="L143" s="10" t="str">
        <f>IF(ISERROR(VLOOKUP($A143,[5]處所!$A$1:$P$65536,11,0)),"",VLOOKUP($A143,[5]處所!$A$1:$P$65536,11,0))</f>
        <v/>
      </c>
      <c r="M143" s="36" t="str">
        <f>IF(ISERROR(VLOOKUP($A143,[5]處所!$A$1:$P$65536,15,0)),"",VLOOKUP($A143,[5]處所!$A$1:$P$65536,15,0))</f>
        <v/>
      </c>
      <c r="N143" s="35" t="str">
        <f>IF(ISERROR(VLOOKUP($A143,[5]處所!$A$1:$P$65536,14,0)),"",VLOOKUP($A143,[5]處所!$A$1:$P$65536,14,0)/100000000)</f>
        <v/>
      </c>
      <c r="O143" s="35" t="e">
        <f>VLOOKUP($A143,[5]公平價格!$A$1:$P$65536,14,0)</f>
        <v>#N/A</v>
      </c>
    </row>
    <row r="144" spans="1:15">
      <c r="A144" s="12"/>
      <c r="B144" s="10"/>
      <c r="C144" s="11"/>
      <c r="D144" s="10"/>
      <c r="E144" s="10"/>
      <c r="F144" s="10" t="str">
        <f>IF(ISERROR(VLOOKUP($A144,[5]等殖!$A$1:$P$65536,10,0)),"",VLOOKUP(A144,[5]等殖!$A$1:$P$65536,10,0))</f>
        <v/>
      </c>
      <c r="G144" s="10" t="str">
        <f>IF(ISERROR(VLOOKUP($A144,[5]等殖!$A$1:$P$65536,11,0)),"",VLOOKUP($A144,[5]等殖!$A$1:$P$65536,11,0))</f>
        <v/>
      </c>
      <c r="H144" s="10" t="str">
        <f>IF(ISERROR(VLOOKUP($A144,[5]等殖!$A$1:$P$65536,12,0)),"",VLOOKUP($A144,[5]等殖!$A$1:$P$65536,12,0))</f>
        <v/>
      </c>
      <c r="I144" s="35" t="str">
        <f>IF(ISERROR(VLOOKUP($A144,[5]等殖!$A$1:$P$65536,16,0)),"",VLOOKUP($A144,[5]等殖!$A$1:$P$65536,16,0))</f>
        <v/>
      </c>
      <c r="J144" s="10" t="str">
        <f>IF(ISERROR(VLOOKUP($A144,[5]處所!$A$1:$P$65536,9,0)),"",VLOOKUP($A144,[5]處所!$A$1:$P$65536,9,0))</f>
        <v/>
      </c>
      <c r="K144" s="10" t="str">
        <f>IF(ISERROR(VLOOKUP($A144,[5]處所!$A$1:$P$65536,10,0)),"",VLOOKUP($A144,[5]處所!$A$1:$P$65536,10,0))</f>
        <v/>
      </c>
      <c r="L144" s="10" t="str">
        <f>IF(ISERROR(VLOOKUP($A144,[5]處所!$A$1:$P$65536,11,0)),"",VLOOKUP($A144,[5]處所!$A$1:$P$65536,11,0))</f>
        <v/>
      </c>
      <c r="M144" s="36" t="str">
        <f>IF(ISERROR(VLOOKUP($A144,[5]處所!$A$1:$P$65536,15,0)),"",VLOOKUP($A144,[5]處所!$A$1:$P$65536,15,0))</f>
        <v/>
      </c>
      <c r="N144" s="35" t="str">
        <f>IF(ISERROR(VLOOKUP($A144,[5]處所!$A$1:$P$65536,14,0)),"",VLOOKUP($A144,[5]處所!$A$1:$P$65536,14,0)/100000000)</f>
        <v/>
      </c>
      <c r="O144" s="35" t="e">
        <f>VLOOKUP($A144,[5]公平價格!$A$1:$P$65536,14,0)</f>
        <v>#N/A</v>
      </c>
    </row>
    <row r="145" spans="1:15">
      <c r="A145" s="12"/>
      <c r="B145" s="10"/>
      <c r="C145" s="11"/>
      <c r="D145" s="10"/>
      <c r="E145" s="10"/>
      <c r="F145" s="10" t="str">
        <f>IF(ISERROR(VLOOKUP($A145,[5]等殖!$A$1:$P$65536,10,0)),"",VLOOKUP(A145,[5]等殖!$A$1:$P$65536,10,0))</f>
        <v/>
      </c>
      <c r="G145" s="10" t="str">
        <f>IF(ISERROR(VLOOKUP($A145,[5]等殖!$A$1:$P$65536,11,0)),"",VLOOKUP($A145,[5]等殖!$A$1:$P$65536,11,0))</f>
        <v/>
      </c>
      <c r="H145" s="10" t="str">
        <f>IF(ISERROR(VLOOKUP($A145,[5]等殖!$A$1:$P$65536,12,0)),"",VLOOKUP($A145,[5]等殖!$A$1:$P$65536,12,0))</f>
        <v/>
      </c>
      <c r="I145" s="35" t="str">
        <f>IF(ISERROR(VLOOKUP($A145,[5]等殖!$A$1:$P$65536,16,0)),"",VLOOKUP($A145,[5]等殖!$A$1:$P$65536,16,0))</f>
        <v/>
      </c>
      <c r="J145" s="10" t="str">
        <f>IF(ISERROR(VLOOKUP($A145,[5]處所!$A$1:$P$65536,9,0)),"",VLOOKUP($A145,[5]處所!$A$1:$P$65536,9,0))</f>
        <v/>
      </c>
      <c r="K145" s="10" t="str">
        <f>IF(ISERROR(VLOOKUP($A145,[5]處所!$A$1:$P$65536,10,0)),"",VLOOKUP($A145,[5]處所!$A$1:$P$65536,10,0))</f>
        <v/>
      </c>
      <c r="L145" s="10" t="str">
        <f>IF(ISERROR(VLOOKUP($A145,[5]處所!$A$1:$P$65536,11,0)),"",VLOOKUP($A145,[5]處所!$A$1:$P$65536,11,0))</f>
        <v/>
      </c>
      <c r="M145" s="36" t="str">
        <f>IF(ISERROR(VLOOKUP($A145,[5]處所!$A$1:$P$65536,15,0)),"",VLOOKUP($A145,[5]處所!$A$1:$P$65536,15,0))</f>
        <v/>
      </c>
      <c r="N145" s="35" t="str">
        <f>IF(ISERROR(VLOOKUP($A145,[5]處所!$A$1:$P$65536,14,0)),"",VLOOKUP($A145,[5]處所!$A$1:$P$65536,14,0)/100000000)</f>
        <v/>
      </c>
      <c r="O145" s="35" t="e">
        <f>VLOOKUP($A145,[5]公平價格!$A$1:$P$65536,14,0)</f>
        <v>#N/A</v>
      </c>
    </row>
    <row r="146" spans="1:15">
      <c r="A146" s="12"/>
      <c r="B146" s="10"/>
      <c r="C146" s="11"/>
      <c r="D146" s="10"/>
      <c r="E146" s="10"/>
      <c r="F146" s="10" t="str">
        <f>IF(ISERROR(VLOOKUP($A146,[5]等殖!$A$1:$P$65536,10,0)),"",VLOOKUP(A146,[5]等殖!$A$1:$P$65536,10,0))</f>
        <v/>
      </c>
      <c r="G146" s="10" t="str">
        <f>IF(ISERROR(VLOOKUP($A146,[5]等殖!$A$1:$P$65536,11,0)),"",VLOOKUP($A146,[5]等殖!$A$1:$P$65536,11,0))</f>
        <v/>
      </c>
      <c r="H146" s="10" t="str">
        <f>IF(ISERROR(VLOOKUP($A146,[5]等殖!$A$1:$P$65536,12,0)),"",VLOOKUP($A146,[5]等殖!$A$1:$P$65536,12,0))</f>
        <v/>
      </c>
      <c r="I146" s="35" t="str">
        <f>IF(ISERROR(VLOOKUP($A146,[5]等殖!$A$1:$P$65536,16,0)),"",VLOOKUP($A146,[5]等殖!$A$1:$P$65536,16,0))</f>
        <v/>
      </c>
      <c r="J146" s="10" t="str">
        <f>IF(ISERROR(VLOOKUP($A146,[5]處所!$A$1:$P$65536,9,0)),"",VLOOKUP($A146,[5]處所!$A$1:$P$65536,9,0))</f>
        <v/>
      </c>
      <c r="K146" s="10" t="str">
        <f>IF(ISERROR(VLOOKUP($A146,[5]處所!$A$1:$P$65536,10,0)),"",VLOOKUP($A146,[5]處所!$A$1:$P$65536,10,0))</f>
        <v/>
      </c>
      <c r="L146" s="10" t="str">
        <f>IF(ISERROR(VLOOKUP($A146,[5]處所!$A$1:$P$65536,11,0)),"",VLOOKUP($A146,[5]處所!$A$1:$P$65536,11,0))</f>
        <v/>
      </c>
      <c r="M146" s="36" t="str">
        <f>IF(ISERROR(VLOOKUP($A146,[5]處所!$A$1:$P$65536,15,0)),"",VLOOKUP($A146,[5]處所!$A$1:$P$65536,15,0))</f>
        <v/>
      </c>
      <c r="N146" s="35" t="str">
        <f>IF(ISERROR(VLOOKUP($A146,[5]處所!$A$1:$P$65536,14,0)),"",VLOOKUP($A146,[5]處所!$A$1:$P$65536,14,0)/100000000)</f>
        <v/>
      </c>
      <c r="O146" s="35" t="e">
        <f>VLOOKUP($A146,[5]公平價格!$A$1:$P$65536,14,0)</f>
        <v>#N/A</v>
      </c>
    </row>
    <row r="147" spans="1:15">
      <c r="A147" s="12"/>
      <c r="B147" s="10"/>
      <c r="C147" s="11"/>
      <c r="D147" s="10"/>
      <c r="E147" s="10"/>
      <c r="F147" s="10" t="str">
        <f>IF(ISERROR(VLOOKUP($A147,[5]等殖!$A$1:$P$65536,10,0)),"",VLOOKUP(A147,[5]等殖!$A$1:$P$65536,10,0))</f>
        <v/>
      </c>
      <c r="G147" s="10" t="str">
        <f>IF(ISERROR(VLOOKUP($A147,[5]等殖!$A$1:$P$65536,11,0)),"",VLOOKUP($A147,[5]等殖!$A$1:$P$65536,11,0))</f>
        <v/>
      </c>
      <c r="H147" s="10" t="str">
        <f>IF(ISERROR(VLOOKUP($A147,[5]等殖!$A$1:$P$65536,12,0)),"",VLOOKUP($A147,[5]等殖!$A$1:$P$65536,12,0))</f>
        <v/>
      </c>
      <c r="I147" s="35" t="str">
        <f>IF(ISERROR(VLOOKUP($A147,[5]等殖!$A$1:$P$65536,16,0)),"",VLOOKUP($A147,[5]等殖!$A$1:$P$65536,16,0))</f>
        <v/>
      </c>
      <c r="J147" s="10" t="str">
        <f>IF(ISERROR(VLOOKUP($A147,[5]處所!$A$1:$P$65536,9,0)),"",VLOOKUP($A147,[5]處所!$A$1:$P$65536,9,0))</f>
        <v/>
      </c>
      <c r="K147" s="10" t="str">
        <f>IF(ISERROR(VLOOKUP($A147,[5]處所!$A$1:$P$65536,10,0)),"",VLOOKUP($A147,[5]處所!$A$1:$P$65536,10,0))</f>
        <v/>
      </c>
      <c r="L147" s="10" t="str">
        <f>IF(ISERROR(VLOOKUP($A147,[5]處所!$A$1:$P$65536,11,0)),"",VLOOKUP($A147,[5]處所!$A$1:$P$65536,11,0))</f>
        <v/>
      </c>
      <c r="M147" s="36" t="str">
        <f>IF(ISERROR(VLOOKUP($A147,[5]處所!$A$1:$P$65536,15,0)),"",VLOOKUP($A147,[5]處所!$A$1:$P$65536,15,0))</f>
        <v/>
      </c>
      <c r="N147" s="35" t="str">
        <f>IF(ISERROR(VLOOKUP($A147,[5]處所!$A$1:$P$65536,14,0)),"",VLOOKUP($A147,[5]處所!$A$1:$P$65536,14,0)/100000000)</f>
        <v/>
      </c>
      <c r="O147" s="35" t="e">
        <f>VLOOKUP($A147,[5]公平價格!$A$1:$P$65536,14,0)</f>
        <v>#N/A</v>
      </c>
    </row>
    <row r="148" spans="1:15">
      <c r="A148" s="12"/>
      <c r="B148" s="10"/>
      <c r="C148" s="11"/>
      <c r="D148" s="10"/>
      <c r="E148" s="10"/>
      <c r="F148" s="10" t="str">
        <f>IF(ISERROR(VLOOKUP($A148,[5]等殖!$A$1:$P$65536,10,0)),"",VLOOKUP(A148,[5]等殖!$A$1:$P$65536,10,0))</f>
        <v/>
      </c>
      <c r="G148" s="10" t="str">
        <f>IF(ISERROR(VLOOKUP($A148,[5]等殖!$A$1:$P$65536,11,0)),"",VLOOKUP($A148,[5]等殖!$A$1:$P$65536,11,0))</f>
        <v/>
      </c>
      <c r="H148" s="10" t="str">
        <f>IF(ISERROR(VLOOKUP($A148,[5]等殖!$A$1:$P$65536,12,0)),"",VLOOKUP($A148,[5]等殖!$A$1:$P$65536,12,0))</f>
        <v/>
      </c>
      <c r="I148" s="35" t="str">
        <f>IF(ISERROR(VLOOKUP($A148,[5]等殖!$A$1:$P$65536,16,0)),"",VLOOKUP($A148,[5]等殖!$A$1:$P$65536,16,0))</f>
        <v/>
      </c>
      <c r="J148" s="10" t="str">
        <f>IF(ISERROR(VLOOKUP($A148,[5]處所!$A$1:$P$65536,9,0)),"",VLOOKUP($A148,[5]處所!$A$1:$P$65536,9,0))</f>
        <v/>
      </c>
      <c r="K148" s="10" t="str">
        <f>IF(ISERROR(VLOOKUP($A148,[5]處所!$A$1:$P$65536,10,0)),"",VLOOKUP($A148,[5]處所!$A$1:$P$65536,10,0))</f>
        <v/>
      </c>
      <c r="L148" s="10" t="str">
        <f>IF(ISERROR(VLOOKUP($A148,[5]處所!$A$1:$P$65536,11,0)),"",VLOOKUP($A148,[5]處所!$A$1:$P$65536,11,0))</f>
        <v/>
      </c>
      <c r="M148" s="36" t="str">
        <f>IF(ISERROR(VLOOKUP($A148,[5]處所!$A$1:$P$65536,15,0)),"",VLOOKUP($A148,[5]處所!$A$1:$P$65536,15,0))</f>
        <v/>
      </c>
      <c r="N148" s="35" t="str">
        <f>IF(ISERROR(VLOOKUP($A148,[5]處所!$A$1:$P$65536,14,0)),"",VLOOKUP($A148,[5]處所!$A$1:$P$65536,14,0)/100000000)</f>
        <v/>
      </c>
      <c r="O148" s="35" t="e">
        <f>VLOOKUP($A148,[5]公平價格!$A$1:$P$65536,14,0)</f>
        <v>#N/A</v>
      </c>
    </row>
    <row r="149" spans="1:15">
      <c r="A149" s="12"/>
      <c r="B149" s="10"/>
      <c r="C149" s="11"/>
      <c r="D149" s="10"/>
      <c r="E149" s="10"/>
      <c r="F149" s="10" t="str">
        <f>IF(ISERROR(VLOOKUP($A149,[5]等殖!$A$1:$P$65536,10,0)),"",VLOOKUP(A149,[5]等殖!$A$1:$P$65536,10,0))</f>
        <v/>
      </c>
      <c r="G149" s="10" t="str">
        <f>IF(ISERROR(VLOOKUP($A149,[5]等殖!$A$1:$P$65536,11,0)),"",VLOOKUP($A149,[5]等殖!$A$1:$P$65536,11,0))</f>
        <v/>
      </c>
      <c r="H149" s="10" t="str">
        <f>IF(ISERROR(VLOOKUP($A149,[5]等殖!$A$1:$P$65536,12,0)),"",VLOOKUP($A149,[5]等殖!$A$1:$P$65536,12,0))</f>
        <v/>
      </c>
      <c r="I149" s="35" t="str">
        <f>IF(ISERROR(VLOOKUP($A149,[5]等殖!$A$1:$P$65536,16,0)),"",VLOOKUP($A149,[5]等殖!$A$1:$P$65536,16,0))</f>
        <v/>
      </c>
      <c r="J149" s="10" t="str">
        <f>IF(ISERROR(VLOOKUP($A149,[5]處所!$A$1:$P$65536,9,0)),"",VLOOKUP($A149,[5]處所!$A$1:$P$65536,9,0))</f>
        <v/>
      </c>
      <c r="K149" s="10" t="str">
        <f>IF(ISERROR(VLOOKUP($A149,[5]處所!$A$1:$P$65536,10,0)),"",VLOOKUP($A149,[5]處所!$A$1:$P$65536,10,0))</f>
        <v/>
      </c>
      <c r="L149" s="10" t="str">
        <f>IF(ISERROR(VLOOKUP($A149,[5]處所!$A$1:$P$65536,11,0)),"",VLOOKUP($A149,[5]處所!$A$1:$P$65536,11,0))</f>
        <v/>
      </c>
      <c r="M149" s="36" t="str">
        <f>IF(ISERROR(VLOOKUP($A149,[5]處所!$A$1:$P$65536,15,0)),"",VLOOKUP($A149,[5]處所!$A$1:$P$65536,15,0))</f>
        <v/>
      </c>
      <c r="N149" s="35" t="str">
        <f>IF(ISERROR(VLOOKUP($A149,[5]處所!$A$1:$P$65536,14,0)),"",VLOOKUP($A149,[5]處所!$A$1:$P$65536,14,0)/100000000)</f>
        <v/>
      </c>
      <c r="O149" s="35" t="e">
        <f>VLOOKUP($A149,[5]公平價格!$A$1:$P$65536,14,0)</f>
        <v>#N/A</v>
      </c>
    </row>
    <row r="150" spans="1:15">
      <c r="A150" s="12"/>
      <c r="B150" s="10"/>
      <c r="C150" s="11"/>
      <c r="D150" s="10"/>
      <c r="E150" s="10"/>
      <c r="F150" s="10" t="str">
        <f>IF(ISERROR(VLOOKUP($A150,[5]等殖!$A$1:$P$65536,10,0)),"",VLOOKUP(A150,[5]等殖!$A$1:$P$65536,10,0))</f>
        <v/>
      </c>
      <c r="G150" s="10" t="str">
        <f>IF(ISERROR(VLOOKUP($A150,[5]等殖!$A$1:$P$65536,11,0)),"",VLOOKUP($A150,[5]等殖!$A$1:$P$65536,11,0))</f>
        <v/>
      </c>
      <c r="H150" s="10" t="str">
        <f>IF(ISERROR(VLOOKUP($A150,[5]等殖!$A$1:$P$65536,12,0)),"",VLOOKUP($A150,[5]等殖!$A$1:$P$65536,12,0))</f>
        <v/>
      </c>
      <c r="I150" s="35" t="str">
        <f>IF(ISERROR(VLOOKUP($A150,[5]等殖!$A$1:$P$65536,16,0)),"",VLOOKUP($A150,[5]等殖!$A$1:$P$65536,16,0))</f>
        <v/>
      </c>
      <c r="J150" s="10" t="str">
        <f>IF(ISERROR(VLOOKUP($A150,[5]處所!$A$1:$P$65536,9,0)),"",VLOOKUP($A150,[5]處所!$A$1:$P$65536,9,0))</f>
        <v/>
      </c>
      <c r="K150" s="10" t="str">
        <f>IF(ISERROR(VLOOKUP($A150,[5]處所!$A$1:$P$65536,10,0)),"",VLOOKUP($A150,[5]處所!$A$1:$P$65536,10,0))</f>
        <v/>
      </c>
      <c r="L150" s="10" t="str">
        <f>IF(ISERROR(VLOOKUP($A150,[5]處所!$A$1:$P$65536,11,0)),"",VLOOKUP($A150,[5]處所!$A$1:$P$65536,11,0))</f>
        <v/>
      </c>
      <c r="M150" s="36" t="str">
        <f>IF(ISERROR(VLOOKUP($A150,[5]處所!$A$1:$P$65536,15,0)),"",VLOOKUP($A150,[5]處所!$A$1:$P$65536,15,0))</f>
        <v/>
      </c>
      <c r="N150" s="35" t="str">
        <f>IF(ISERROR(VLOOKUP($A150,[5]處所!$A$1:$P$65536,14,0)),"",VLOOKUP($A150,[5]處所!$A$1:$P$65536,14,0)/100000000)</f>
        <v/>
      </c>
      <c r="O150" s="35" t="e">
        <f>VLOOKUP($A150,[5]公平價格!$A$1:$P$65536,14,0)</f>
        <v>#N/A</v>
      </c>
    </row>
    <row r="151" spans="1:15">
      <c r="A151" s="12"/>
      <c r="B151" s="10"/>
      <c r="C151" s="11"/>
      <c r="D151" s="10"/>
      <c r="E151" s="10"/>
      <c r="F151" s="10" t="str">
        <f>IF(ISERROR(VLOOKUP($A151,[5]等殖!$A$1:$P$65536,10,0)),"",VLOOKUP(A151,[5]等殖!$A$1:$P$65536,10,0))</f>
        <v/>
      </c>
      <c r="G151" s="10" t="str">
        <f>IF(ISERROR(VLOOKUP($A151,[5]等殖!$A$1:$P$65536,11,0)),"",VLOOKUP($A151,[5]等殖!$A$1:$P$65536,11,0))</f>
        <v/>
      </c>
      <c r="H151" s="10" t="str">
        <f>IF(ISERROR(VLOOKUP($A151,[5]等殖!$A$1:$P$65536,12,0)),"",VLOOKUP($A151,[5]等殖!$A$1:$P$65536,12,0))</f>
        <v/>
      </c>
      <c r="I151" s="35" t="str">
        <f>IF(ISERROR(VLOOKUP($A151,[5]等殖!$A$1:$P$65536,16,0)),"",VLOOKUP($A151,[5]等殖!$A$1:$P$65536,16,0))</f>
        <v/>
      </c>
      <c r="J151" s="10" t="str">
        <f>IF(ISERROR(VLOOKUP($A151,[5]處所!$A$1:$P$65536,9,0)),"",VLOOKUP($A151,[5]處所!$A$1:$P$65536,9,0))</f>
        <v/>
      </c>
      <c r="K151" s="10" t="str">
        <f>IF(ISERROR(VLOOKUP($A151,[5]處所!$A$1:$P$65536,10,0)),"",VLOOKUP($A151,[5]處所!$A$1:$P$65536,10,0))</f>
        <v/>
      </c>
      <c r="L151" s="10" t="str">
        <f>IF(ISERROR(VLOOKUP($A151,[5]處所!$A$1:$P$65536,11,0)),"",VLOOKUP($A151,[5]處所!$A$1:$P$65536,11,0))</f>
        <v/>
      </c>
      <c r="M151" s="36" t="str">
        <f>IF(ISERROR(VLOOKUP($A151,[5]處所!$A$1:$P$65536,15,0)),"",VLOOKUP($A151,[5]處所!$A$1:$P$65536,15,0))</f>
        <v/>
      </c>
      <c r="N151" s="35" t="str">
        <f>IF(ISERROR(VLOOKUP($A151,[5]處所!$A$1:$P$65536,14,0)),"",VLOOKUP($A151,[5]處所!$A$1:$P$65536,14,0)/100000000)</f>
        <v/>
      </c>
      <c r="O151" s="35" t="e">
        <f>VLOOKUP($A151,[5]公平價格!$A$1:$P$65536,14,0)</f>
        <v>#N/A</v>
      </c>
    </row>
    <row r="152" spans="1:15">
      <c r="A152" s="12"/>
      <c r="B152" s="10"/>
      <c r="C152" s="11"/>
      <c r="D152" s="10"/>
      <c r="E152" s="10"/>
      <c r="F152" s="10" t="str">
        <f>IF(ISERROR(VLOOKUP($A152,[5]等殖!$A$1:$P$65536,10,0)),"",VLOOKUP(A152,[5]等殖!$A$1:$P$65536,10,0))</f>
        <v/>
      </c>
      <c r="G152" s="10" t="str">
        <f>IF(ISERROR(VLOOKUP($A152,[5]等殖!$A$1:$P$65536,11,0)),"",VLOOKUP($A152,[5]等殖!$A$1:$P$65536,11,0))</f>
        <v/>
      </c>
      <c r="H152" s="10" t="str">
        <f>IF(ISERROR(VLOOKUP($A152,[5]等殖!$A$1:$P$65536,12,0)),"",VLOOKUP($A152,[5]等殖!$A$1:$P$65536,12,0))</f>
        <v/>
      </c>
      <c r="I152" s="35" t="str">
        <f>IF(ISERROR(VLOOKUP($A152,[5]等殖!$A$1:$P$65536,16,0)),"",VLOOKUP($A152,[5]等殖!$A$1:$P$65536,16,0))</f>
        <v/>
      </c>
      <c r="J152" s="10" t="str">
        <f>IF(ISERROR(VLOOKUP($A152,[5]處所!$A$1:$P$65536,9,0)),"",VLOOKUP($A152,[5]處所!$A$1:$P$65536,9,0))</f>
        <v/>
      </c>
      <c r="K152" s="10" t="str">
        <f>IF(ISERROR(VLOOKUP($A152,[5]處所!$A$1:$P$65536,10,0)),"",VLOOKUP($A152,[5]處所!$A$1:$P$65536,10,0))</f>
        <v/>
      </c>
      <c r="L152" s="10" t="str">
        <f>IF(ISERROR(VLOOKUP($A152,[5]處所!$A$1:$P$65536,11,0)),"",VLOOKUP($A152,[5]處所!$A$1:$P$65536,11,0))</f>
        <v/>
      </c>
      <c r="M152" s="36" t="str">
        <f>IF(ISERROR(VLOOKUP($A152,[5]處所!$A$1:$P$65536,15,0)),"",VLOOKUP($A152,[5]處所!$A$1:$P$65536,15,0))</f>
        <v/>
      </c>
      <c r="N152" s="35" t="str">
        <f>IF(ISERROR(VLOOKUP($A152,[5]處所!$A$1:$P$65536,14,0)),"",VLOOKUP($A152,[5]處所!$A$1:$P$65536,14,0)/100000000)</f>
        <v/>
      </c>
      <c r="O152" s="35" t="e">
        <f>VLOOKUP($A152,[5]公平價格!$A$1:$P$65536,14,0)</f>
        <v>#N/A</v>
      </c>
    </row>
    <row r="153" spans="1:15">
      <c r="A153" s="12"/>
      <c r="B153" s="10"/>
      <c r="C153" s="11"/>
      <c r="D153" s="10"/>
      <c r="E153" s="10"/>
      <c r="F153" s="10" t="str">
        <f>IF(ISERROR(VLOOKUP($A153,[5]等殖!$A$1:$P$65536,10,0)),"",VLOOKUP(A153,[5]等殖!$A$1:$P$65536,10,0))</f>
        <v/>
      </c>
      <c r="G153" s="10" t="str">
        <f>IF(ISERROR(VLOOKUP($A153,[5]等殖!$A$1:$P$65536,11,0)),"",VLOOKUP($A153,[5]等殖!$A$1:$P$65536,11,0))</f>
        <v/>
      </c>
      <c r="H153" s="10" t="str">
        <f>IF(ISERROR(VLOOKUP($A153,[5]等殖!$A$1:$P$65536,12,0)),"",VLOOKUP($A153,[5]等殖!$A$1:$P$65536,12,0))</f>
        <v/>
      </c>
      <c r="I153" s="35" t="str">
        <f>IF(ISERROR(VLOOKUP($A153,[5]等殖!$A$1:$P$65536,16,0)),"",VLOOKUP($A153,[5]等殖!$A$1:$P$65536,16,0))</f>
        <v/>
      </c>
      <c r="J153" s="10" t="str">
        <f>IF(ISERROR(VLOOKUP($A153,[5]處所!$A$1:$P$65536,9,0)),"",VLOOKUP($A153,[5]處所!$A$1:$P$65536,9,0))</f>
        <v/>
      </c>
      <c r="K153" s="10" t="str">
        <f>IF(ISERROR(VLOOKUP($A153,[5]處所!$A$1:$P$65536,10,0)),"",VLOOKUP($A153,[5]處所!$A$1:$P$65536,10,0))</f>
        <v/>
      </c>
      <c r="L153" s="10" t="str">
        <f>IF(ISERROR(VLOOKUP($A153,[5]處所!$A$1:$P$65536,11,0)),"",VLOOKUP($A153,[5]處所!$A$1:$P$65536,11,0))</f>
        <v/>
      </c>
      <c r="M153" s="36" t="str">
        <f>IF(ISERROR(VLOOKUP($A153,[5]處所!$A$1:$P$65536,15,0)),"",VLOOKUP($A153,[5]處所!$A$1:$P$65536,15,0))</f>
        <v/>
      </c>
      <c r="N153" s="35" t="str">
        <f>IF(ISERROR(VLOOKUP($A153,[5]處所!$A$1:$P$65536,14,0)),"",VLOOKUP($A153,[5]處所!$A$1:$P$65536,14,0)/100000000)</f>
        <v/>
      </c>
      <c r="O153" s="35" t="e">
        <f>VLOOKUP($A153,[5]公平價格!$A$1:$P$65536,14,0)</f>
        <v>#N/A</v>
      </c>
    </row>
    <row r="154" spans="1:15">
      <c r="A154" s="12"/>
      <c r="B154" s="10"/>
      <c r="C154" s="11"/>
      <c r="D154" s="10"/>
      <c r="E154" s="10"/>
      <c r="F154" s="10" t="str">
        <f>IF(ISERROR(VLOOKUP($A154,[5]等殖!$A$1:$P$65536,10,0)),"",VLOOKUP(A154,[5]等殖!$A$1:$P$65536,10,0))</f>
        <v/>
      </c>
      <c r="G154" s="10" t="str">
        <f>IF(ISERROR(VLOOKUP($A154,[5]等殖!$A$1:$P$65536,11,0)),"",VLOOKUP($A154,[5]等殖!$A$1:$P$65536,11,0))</f>
        <v/>
      </c>
      <c r="H154" s="10" t="str">
        <f>IF(ISERROR(VLOOKUP($A154,[5]等殖!$A$1:$P$65536,12,0)),"",VLOOKUP($A154,[5]等殖!$A$1:$P$65536,12,0))</f>
        <v/>
      </c>
      <c r="I154" s="35" t="str">
        <f>IF(ISERROR(VLOOKUP($A154,[5]等殖!$A$1:$P$65536,16,0)),"",VLOOKUP($A154,[5]等殖!$A$1:$P$65536,16,0))</f>
        <v/>
      </c>
      <c r="J154" s="10" t="str">
        <f>IF(ISERROR(VLOOKUP($A154,[5]處所!$A$1:$P$65536,9,0)),"",VLOOKUP($A154,[5]處所!$A$1:$P$65536,9,0))</f>
        <v/>
      </c>
      <c r="K154" s="10" t="str">
        <f>IF(ISERROR(VLOOKUP($A154,[5]處所!$A$1:$P$65536,10,0)),"",VLOOKUP($A154,[5]處所!$A$1:$P$65536,10,0))</f>
        <v/>
      </c>
      <c r="L154" s="10" t="str">
        <f>IF(ISERROR(VLOOKUP($A154,[5]處所!$A$1:$P$65536,11,0)),"",VLOOKUP($A154,[5]處所!$A$1:$P$65536,11,0))</f>
        <v/>
      </c>
      <c r="M154" s="36" t="str">
        <f>IF(ISERROR(VLOOKUP($A154,[5]處所!$A$1:$P$65536,15,0)),"",VLOOKUP($A154,[5]處所!$A$1:$P$65536,15,0))</f>
        <v/>
      </c>
      <c r="N154" s="35" t="str">
        <f>IF(ISERROR(VLOOKUP($A154,[5]處所!$A$1:$P$65536,14,0)),"",VLOOKUP($A154,[5]處所!$A$1:$P$65536,14,0)/100000000)</f>
        <v/>
      </c>
      <c r="O154" s="35" t="e">
        <f>VLOOKUP($A154,[5]公平價格!$A$1:$P$65536,14,0)</f>
        <v>#N/A</v>
      </c>
    </row>
    <row r="155" spans="1:15">
      <c r="A155" s="12"/>
      <c r="B155" s="10"/>
      <c r="C155" s="11"/>
      <c r="D155" s="10"/>
      <c r="E155" s="10"/>
      <c r="F155" s="10" t="str">
        <f>IF(ISERROR(VLOOKUP($A155,[5]等殖!$A$1:$P$65536,10,0)),"",VLOOKUP(A155,[5]等殖!$A$1:$P$65536,10,0))</f>
        <v/>
      </c>
      <c r="G155" s="10" t="str">
        <f>IF(ISERROR(VLOOKUP($A155,[5]等殖!$A$1:$P$65536,11,0)),"",VLOOKUP($A155,[5]等殖!$A$1:$P$65536,11,0))</f>
        <v/>
      </c>
      <c r="H155" s="10" t="str">
        <f>IF(ISERROR(VLOOKUP($A155,[5]等殖!$A$1:$P$65536,12,0)),"",VLOOKUP($A155,[5]等殖!$A$1:$P$65536,12,0))</f>
        <v/>
      </c>
      <c r="I155" s="35" t="str">
        <f>IF(ISERROR(VLOOKUP($A155,[5]等殖!$A$1:$P$65536,16,0)),"",VLOOKUP($A155,[5]等殖!$A$1:$P$65536,16,0))</f>
        <v/>
      </c>
      <c r="J155" s="10" t="str">
        <f>IF(ISERROR(VLOOKUP($A155,[5]處所!$A$1:$P$65536,9,0)),"",VLOOKUP($A155,[5]處所!$A$1:$P$65536,9,0))</f>
        <v/>
      </c>
      <c r="K155" s="10" t="str">
        <f>IF(ISERROR(VLOOKUP($A155,[5]處所!$A$1:$P$65536,10,0)),"",VLOOKUP($A155,[5]處所!$A$1:$P$65536,10,0))</f>
        <v/>
      </c>
      <c r="L155" s="10" t="str">
        <f>IF(ISERROR(VLOOKUP($A155,[5]處所!$A$1:$P$65536,11,0)),"",VLOOKUP($A155,[5]處所!$A$1:$P$65536,11,0))</f>
        <v/>
      </c>
      <c r="M155" s="36" t="str">
        <f>IF(ISERROR(VLOOKUP($A155,[5]處所!$A$1:$P$65536,15,0)),"",VLOOKUP($A155,[5]處所!$A$1:$P$65536,15,0))</f>
        <v/>
      </c>
      <c r="N155" s="35" t="str">
        <f>IF(ISERROR(VLOOKUP($A155,[5]處所!$A$1:$P$65536,14,0)),"",VLOOKUP($A155,[5]處所!$A$1:$P$65536,14,0)/100000000)</f>
        <v/>
      </c>
      <c r="O155" s="35" t="e">
        <f>VLOOKUP($A155,[5]公平價格!$A$1:$P$65536,14,0)</f>
        <v>#N/A</v>
      </c>
    </row>
    <row r="156" spans="1:15">
      <c r="A156" s="12"/>
      <c r="B156" s="10"/>
      <c r="C156" s="11"/>
      <c r="D156" s="10"/>
      <c r="E156" s="10"/>
      <c r="F156" s="10" t="str">
        <f>IF(ISERROR(VLOOKUP($A156,[5]等殖!$A$1:$P$65536,10,0)),"",VLOOKUP(A156,[5]等殖!$A$1:$P$65536,10,0))</f>
        <v/>
      </c>
      <c r="G156" s="10" t="str">
        <f>IF(ISERROR(VLOOKUP($A156,[5]等殖!$A$1:$P$65536,11,0)),"",VLOOKUP($A156,[5]等殖!$A$1:$P$65536,11,0))</f>
        <v/>
      </c>
      <c r="H156" s="10" t="str">
        <f>IF(ISERROR(VLOOKUP($A156,[5]等殖!$A$1:$P$65536,12,0)),"",VLOOKUP($A156,[5]等殖!$A$1:$P$65536,12,0))</f>
        <v/>
      </c>
      <c r="I156" s="35" t="str">
        <f>IF(ISERROR(VLOOKUP($A156,[5]等殖!$A$1:$P$65536,16,0)),"",VLOOKUP($A156,[5]等殖!$A$1:$P$65536,16,0))</f>
        <v/>
      </c>
      <c r="J156" s="10" t="str">
        <f>IF(ISERROR(VLOOKUP($A156,[5]處所!$A$1:$P$65536,9,0)),"",VLOOKUP($A156,[5]處所!$A$1:$P$65536,9,0))</f>
        <v/>
      </c>
      <c r="K156" s="10" t="str">
        <f>IF(ISERROR(VLOOKUP($A156,[5]處所!$A$1:$P$65536,10,0)),"",VLOOKUP($A156,[5]處所!$A$1:$P$65536,10,0))</f>
        <v/>
      </c>
      <c r="L156" s="10" t="str">
        <f>IF(ISERROR(VLOOKUP($A156,[5]處所!$A$1:$P$65536,11,0)),"",VLOOKUP($A156,[5]處所!$A$1:$P$65536,11,0))</f>
        <v/>
      </c>
      <c r="M156" s="36" t="str">
        <f>IF(ISERROR(VLOOKUP($A156,[5]處所!$A$1:$P$65536,15,0)),"",VLOOKUP($A156,[5]處所!$A$1:$P$65536,15,0))</f>
        <v/>
      </c>
      <c r="N156" s="35" t="str">
        <f>IF(ISERROR(VLOOKUP($A156,[5]處所!$A$1:$P$65536,14,0)),"",VLOOKUP($A156,[5]處所!$A$1:$P$65536,14,0)/100000000)</f>
        <v/>
      </c>
      <c r="O156" s="35" t="e">
        <f>VLOOKUP($A156,[5]公平價格!$A$1:$P$65536,14,0)</f>
        <v>#N/A</v>
      </c>
    </row>
    <row r="157" spans="1:15">
      <c r="A157" s="12"/>
      <c r="B157" s="10"/>
      <c r="C157" s="11"/>
      <c r="D157" s="10"/>
      <c r="E157" s="10"/>
      <c r="F157" s="10" t="str">
        <f>IF(ISERROR(VLOOKUP($A157,[5]等殖!$A$1:$P$65536,10,0)),"",VLOOKUP(A157,[5]等殖!$A$1:$P$65536,10,0))</f>
        <v/>
      </c>
      <c r="G157" s="10" t="str">
        <f>IF(ISERROR(VLOOKUP($A157,[5]等殖!$A$1:$P$65536,11,0)),"",VLOOKUP($A157,[5]等殖!$A$1:$P$65536,11,0))</f>
        <v/>
      </c>
      <c r="H157" s="10" t="str">
        <f>IF(ISERROR(VLOOKUP($A157,[5]等殖!$A$1:$P$65536,12,0)),"",VLOOKUP($A157,[5]等殖!$A$1:$P$65536,12,0))</f>
        <v/>
      </c>
      <c r="I157" s="35" t="str">
        <f>IF(ISERROR(VLOOKUP($A157,[5]等殖!$A$1:$P$65536,16,0)),"",VLOOKUP($A157,[5]等殖!$A$1:$P$65536,16,0))</f>
        <v/>
      </c>
      <c r="J157" s="10" t="str">
        <f>IF(ISERROR(VLOOKUP($A157,[5]處所!$A$1:$P$65536,9,0)),"",VLOOKUP($A157,[5]處所!$A$1:$P$65536,9,0))</f>
        <v/>
      </c>
      <c r="K157" s="10" t="str">
        <f>IF(ISERROR(VLOOKUP($A157,[5]處所!$A$1:$P$65536,10,0)),"",VLOOKUP($A157,[5]處所!$A$1:$P$65536,10,0))</f>
        <v/>
      </c>
      <c r="L157" s="10" t="str">
        <f>IF(ISERROR(VLOOKUP($A157,[5]處所!$A$1:$P$65536,11,0)),"",VLOOKUP($A157,[5]處所!$A$1:$P$65536,11,0))</f>
        <v/>
      </c>
      <c r="M157" s="36" t="str">
        <f>IF(ISERROR(VLOOKUP($A157,[5]處所!$A$1:$P$65536,15,0)),"",VLOOKUP($A157,[5]處所!$A$1:$P$65536,15,0))</f>
        <v/>
      </c>
      <c r="N157" s="35" t="str">
        <f>IF(ISERROR(VLOOKUP($A157,[5]處所!$A$1:$P$65536,14,0)),"",VLOOKUP($A157,[5]處所!$A$1:$P$65536,14,0)/100000000)</f>
        <v/>
      </c>
      <c r="O157" s="35" t="e">
        <f>VLOOKUP($A157,[5]公平價格!$A$1:$P$65536,14,0)</f>
        <v>#N/A</v>
      </c>
    </row>
    <row r="158" spans="1:15">
      <c r="A158" s="12"/>
      <c r="B158" s="10"/>
      <c r="C158" s="11"/>
      <c r="D158" s="10"/>
      <c r="E158" s="10"/>
      <c r="F158" s="10" t="str">
        <f>IF(ISERROR(VLOOKUP($A158,[5]等殖!$A$1:$P$65536,10,0)),"",VLOOKUP(A158,[5]等殖!$A$1:$P$65536,10,0))</f>
        <v/>
      </c>
      <c r="G158" s="10" t="str">
        <f>IF(ISERROR(VLOOKUP($A158,[5]等殖!$A$1:$P$65536,11,0)),"",VLOOKUP($A158,[5]等殖!$A$1:$P$65536,11,0))</f>
        <v/>
      </c>
      <c r="H158" s="10" t="str">
        <f>IF(ISERROR(VLOOKUP($A158,[5]等殖!$A$1:$P$65536,12,0)),"",VLOOKUP($A158,[5]等殖!$A$1:$P$65536,12,0))</f>
        <v/>
      </c>
      <c r="I158" s="35" t="str">
        <f>IF(ISERROR(VLOOKUP($A158,[5]等殖!$A$1:$P$65536,16,0)),"",VLOOKUP($A158,[5]等殖!$A$1:$P$65536,16,0))</f>
        <v/>
      </c>
      <c r="J158" s="10" t="str">
        <f>IF(ISERROR(VLOOKUP($A158,[5]處所!$A$1:$P$65536,9,0)),"",VLOOKUP($A158,[5]處所!$A$1:$P$65536,9,0))</f>
        <v/>
      </c>
      <c r="K158" s="10" t="str">
        <f>IF(ISERROR(VLOOKUP($A158,[5]處所!$A$1:$P$65536,10,0)),"",VLOOKUP($A158,[5]處所!$A$1:$P$65536,10,0))</f>
        <v/>
      </c>
      <c r="L158" s="10" t="str">
        <f>IF(ISERROR(VLOOKUP($A158,[5]處所!$A$1:$P$65536,11,0)),"",VLOOKUP($A158,[5]處所!$A$1:$P$65536,11,0))</f>
        <v/>
      </c>
      <c r="M158" s="36" t="str">
        <f>IF(ISERROR(VLOOKUP($A158,[5]處所!$A$1:$P$65536,15,0)),"",VLOOKUP($A158,[5]處所!$A$1:$P$65536,15,0))</f>
        <v/>
      </c>
      <c r="N158" s="35" t="str">
        <f>IF(ISERROR(VLOOKUP($A158,[5]處所!$A$1:$P$65536,14,0)),"",VLOOKUP($A158,[5]處所!$A$1:$P$65536,14,0)/100000000)</f>
        <v/>
      </c>
      <c r="O158" s="35" t="e">
        <f>VLOOKUP($A158,[5]公平價格!$A$1:$P$65536,14,0)</f>
        <v>#N/A</v>
      </c>
    </row>
    <row r="159" spans="1:15">
      <c r="A159" s="12"/>
      <c r="B159" s="10"/>
      <c r="C159" s="11"/>
      <c r="D159" s="10"/>
      <c r="E159" s="10"/>
      <c r="F159" s="10" t="str">
        <f>IF(ISERROR(VLOOKUP($A159,[5]等殖!$A$1:$P$65536,10,0)),"",VLOOKUP(A159,[5]等殖!$A$1:$P$65536,10,0))</f>
        <v/>
      </c>
      <c r="G159" s="10" t="str">
        <f>IF(ISERROR(VLOOKUP($A159,[5]等殖!$A$1:$P$65536,11,0)),"",VLOOKUP($A159,[5]等殖!$A$1:$P$65536,11,0))</f>
        <v/>
      </c>
      <c r="H159" s="10" t="str">
        <f>IF(ISERROR(VLOOKUP($A159,[5]等殖!$A$1:$P$65536,12,0)),"",VLOOKUP($A159,[5]等殖!$A$1:$P$65536,12,0))</f>
        <v/>
      </c>
      <c r="I159" s="35" t="str">
        <f>IF(ISERROR(VLOOKUP($A159,[5]等殖!$A$1:$P$65536,16,0)),"",VLOOKUP($A159,[5]等殖!$A$1:$P$65536,16,0))</f>
        <v/>
      </c>
      <c r="J159" s="10" t="str">
        <f>IF(ISERROR(VLOOKUP($A159,[5]處所!$A$1:$P$65536,9,0)),"",VLOOKUP($A159,[5]處所!$A$1:$P$65536,9,0))</f>
        <v/>
      </c>
      <c r="K159" s="10" t="str">
        <f>IF(ISERROR(VLOOKUP($A159,[5]處所!$A$1:$P$65536,10,0)),"",VLOOKUP($A159,[5]處所!$A$1:$P$65536,10,0))</f>
        <v/>
      </c>
      <c r="L159" s="10" t="str">
        <f>IF(ISERROR(VLOOKUP($A159,[5]處所!$A$1:$P$65536,11,0)),"",VLOOKUP($A159,[5]處所!$A$1:$P$65536,11,0))</f>
        <v/>
      </c>
      <c r="M159" s="36" t="str">
        <f>IF(ISERROR(VLOOKUP($A159,[5]處所!$A$1:$P$65536,15,0)),"",VLOOKUP($A159,[5]處所!$A$1:$P$65536,15,0))</f>
        <v/>
      </c>
      <c r="N159" s="35" t="str">
        <f>IF(ISERROR(VLOOKUP($A159,[5]處所!$A$1:$P$65536,14,0)),"",VLOOKUP($A159,[5]處所!$A$1:$P$65536,14,0)/100000000)</f>
        <v/>
      </c>
      <c r="O159" s="35" t="e">
        <f>VLOOKUP($A159,[5]公平價格!$A$1:$P$65536,14,0)</f>
        <v>#N/A</v>
      </c>
    </row>
    <row r="160" spans="1:15">
      <c r="A160" s="12"/>
      <c r="B160" s="10"/>
      <c r="C160" s="11"/>
      <c r="D160" s="10"/>
      <c r="E160" s="10"/>
      <c r="F160" s="10" t="str">
        <f>IF(ISERROR(VLOOKUP($A160,[5]等殖!$A$1:$P$65536,10,0)),"",VLOOKUP(A160,[5]等殖!$A$1:$P$65536,10,0))</f>
        <v/>
      </c>
      <c r="G160" s="10" t="str">
        <f>IF(ISERROR(VLOOKUP($A160,[5]等殖!$A$1:$P$65536,11,0)),"",VLOOKUP($A160,[5]等殖!$A$1:$P$65536,11,0))</f>
        <v/>
      </c>
      <c r="H160" s="10" t="str">
        <f>IF(ISERROR(VLOOKUP($A160,[5]等殖!$A$1:$P$65536,12,0)),"",VLOOKUP($A160,[5]等殖!$A$1:$P$65536,12,0))</f>
        <v/>
      </c>
      <c r="I160" s="35" t="str">
        <f>IF(ISERROR(VLOOKUP($A160,[5]等殖!$A$1:$P$65536,16,0)),"",VLOOKUP($A160,[5]等殖!$A$1:$P$65536,16,0))</f>
        <v/>
      </c>
      <c r="J160" s="10" t="str">
        <f>IF(ISERROR(VLOOKUP($A160,[5]處所!$A$1:$P$65536,9,0)),"",VLOOKUP($A160,[5]處所!$A$1:$P$65536,9,0))</f>
        <v/>
      </c>
      <c r="K160" s="10" t="str">
        <f>IF(ISERROR(VLOOKUP($A160,[5]處所!$A$1:$P$65536,10,0)),"",VLOOKUP($A160,[5]處所!$A$1:$P$65536,10,0))</f>
        <v/>
      </c>
      <c r="L160" s="10" t="str">
        <f>IF(ISERROR(VLOOKUP($A160,[5]處所!$A$1:$P$65536,11,0)),"",VLOOKUP($A160,[5]處所!$A$1:$P$65536,11,0))</f>
        <v/>
      </c>
      <c r="M160" s="36" t="str">
        <f>IF(ISERROR(VLOOKUP($A160,[5]處所!$A$1:$P$65536,15,0)),"",VLOOKUP($A160,[5]處所!$A$1:$P$65536,15,0))</f>
        <v/>
      </c>
      <c r="N160" s="35" t="str">
        <f>IF(ISERROR(VLOOKUP($A160,[5]處所!$A$1:$P$65536,14,0)),"",VLOOKUP($A160,[5]處所!$A$1:$P$65536,14,0)/100000000)</f>
        <v/>
      </c>
      <c r="O160" s="35" t="e">
        <f>VLOOKUP($A160,[5]公平價格!$A$1:$P$65536,14,0)</f>
        <v>#N/A</v>
      </c>
    </row>
    <row r="161" spans="1:15">
      <c r="A161" s="12"/>
      <c r="B161" s="10"/>
      <c r="C161" s="11"/>
      <c r="D161" s="10"/>
      <c r="E161" s="10"/>
      <c r="F161" s="10" t="str">
        <f>IF(ISERROR(VLOOKUP($A161,[5]等殖!$A$1:$P$65536,10,0)),"",VLOOKUP(A161,[5]等殖!$A$1:$P$65536,10,0))</f>
        <v/>
      </c>
      <c r="G161" s="10" t="str">
        <f>IF(ISERROR(VLOOKUP($A161,[5]等殖!$A$1:$P$65536,11,0)),"",VLOOKUP($A161,[5]等殖!$A$1:$P$65536,11,0))</f>
        <v/>
      </c>
      <c r="H161" s="10" t="str">
        <f>IF(ISERROR(VLOOKUP($A161,[5]等殖!$A$1:$P$65536,12,0)),"",VLOOKUP($A161,[5]等殖!$A$1:$P$65536,12,0))</f>
        <v/>
      </c>
      <c r="I161" s="35" t="str">
        <f>IF(ISERROR(VLOOKUP($A161,[5]等殖!$A$1:$P$65536,16,0)),"",VLOOKUP($A161,[5]等殖!$A$1:$P$65536,16,0))</f>
        <v/>
      </c>
      <c r="J161" s="10" t="str">
        <f>IF(ISERROR(VLOOKUP($A161,[5]處所!$A$1:$P$65536,9,0)),"",VLOOKUP($A161,[5]處所!$A$1:$P$65536,9,0))</f>
        <v/>
      </c>
      <c r="K161" s="10" t="str">
        <f>IF(ISERROR(VLOOKUP($A161,[5]處所!$A$1:$P$65536,10,0)),"",VLOOKUP($A161,[5]處所!$A$1:$P$65536,10,0))</f>
        <v/>
      </c>
      <c r="L161" s="10" t="str">
        <f>IF(ISERROR(VLOOKUP($A161,[5]處所!$A$1:$P$65536,11,0)),"",VLOOKUP($A161,[5]處所!$A$1:$P$65536,11,0))</f>
        <v/>
      </c>
      <c r="M161" s="36" t="str">
        <f>IF(ISERROR(VLOOKUP($A161,[5]處所!$A$1:$P$65536,15,0)),"",VLOOKUP($A161,[5]處所!$A$1:$P$65536,15,0))</f>
        <v/>
      </c>
      <c r="N161" s="35" t="str">
        <f>IF(ISERROR(VLOOKUP($A161,[5]處所!$A$1:$P$65536,14,0)),"",VLOOKUP($A161,[5]處所!$A$1:$P$65536,14,0)/100000000)</f>
        <v/>
      </c>
      <c r="O161" s="35" t="e">
        <f>VLOOKUP($A161,[5]公平價格!$A$1:$P$65536,14,0)</f>
        <v>#N/A</v>
      </c>
    </row>
    <row r="162" spans="1:15">
      <c r="A162" s="12"/>
      <c r="B162" s="10"/>
      <c r="C162" s="11"/>
      <c r="D162" s="10"/>
      <c r="E162" s="10"/>
      <c r="F162" s="10" t="str">
        <f>IF(ISERROR(VLOOKUP($A162,[5]等殖!$A$1:$P$65536,10,0)),"",VLOOKUP(A162,[5]等殖!$A$1:$P$65536,10,0))</f>
        <v/>
      </c>
      <c r="G162" s="10" t="str">
        <f>IF(ISERROR(VLOOKUP($A162,[5]等殖!$A$1:$P$65536,11,0)),"",VLOOKUP($A162,[5]等殖!$A$1:$P$65536,11,0))</f>
        <v/>
      </c>
      <c r="H162" s="10" t="str">
        <f>IF(ISERROR(VLOOKUP($A162,[5]等殖!$A$1:$P$65536,12,0)),"",VLOOKUP($A162,[5]等殖!$A$1:$P$65536,12,0))</f>
        <v/>
      </c>
      <c r="I162" s="35" t="str">
        <f>IF(ISERROR(VLOOKUP($A162,[5]等殖!$A$1:$P$65536,16,0)),"",VLOOKUP($A162,[5]等殖!$A$1:$P$65536,16,0))</f>
        <v/>
      </c>
      <c r="J162" s="10" t="str">
        <f>IF(ISERROR(VLOOKUP($A162,[5]處所!$A$1:$P$65536,9,0)),"",VLOOKUP($A162,[5]處所!$A$1:$P$65536,9,0))</f>
        <v/>
      </c>
      <c r="K162" s="10" t="str">
        <f>IF(ISERROR(VLOOKUP($A162,[5]處所!$A$1:$P$65536,10,0)),"",VLOOKUP($A162,[5]處所!$A$1:$P$65536,10,0))</f>
        <v/>
      </c>
      <c r="L162" s="10" t="str">
        <f>IF(ISERROR(VLOOKUP($A162,[5]處所!$A$1:$P$65536,11,0)),"",VLOOKUP($A162,[5]處所!$A$1:$P$65536,11,0))</f>
        <v/>
      </c>
      <c r="M162" s="36" t="str">
        <f>IF(ISERROR(VLOOKUP($A162,[5]處所!$A$1:$P$65536,15,0)),"",VLOOKUP($A162,[5]處所!$A$1:$P$65536,15,0))</f>
        <v/>
      </c>
      <c r="N162" s="35" t="str">
        <f>IF(ISERROR(VLOOKUP($A162,[5]處所!$A$1:$P$65536,14,0)),"",VLOOKUP($A162,[5]處所!$A$1:$P$65536,14,0)/100000000)</f>
        <v/>
      </c>
      <c r="O162" s="35" t="e">
        <f>VLOOKUP($A162,[5]公平價格!$A$1:$P$65536,14,0)</f>
        <v>#N/A</v>
      </c>
    </row>
    <row r="163" spans="1:15">
      <c r="A163" s="12"/>
      <c r="B163" s="10"/>
      <c r="C163" s="11"/>
      <c r="D163" s="10"/>
      <c r="E163" s="10"/>
      <c r="F163" s="10" t="str">
        <f>IF(ISERROR(VLOOKUP($A163,[5]等殖!$A$1:$P$65536,10,0)),"",VLOOKUP(A163,[5]等殖!$A$1:$P$65536,10,0))</f>
        <v/>
      </c>
      <c r="G163" s="10" t="str">
        <f>IF(ISERROR(VLOOKUP($A163,[5]等殖!$A$1:$P$65536,11,0)),"",VLOOKUP($A163,[5]等殖!$A$1:$P$65536,11,0))</f>
        <v/>
      </c>
      <c r="H163" s="10" t="str">
        <f>IF(ISERROR(VLOOKUP($A163,[5]等殖!$A$1:$P$65536,12,0)),"",VLOOKUP($A163,[5]等殖!$A$1:$P$65536,12,0))</f>
        <v/>
      </c>
      <c r="I163" s="35" t="str">
        <f>IF(ISERROR(VLOOKUP($A163,[5]等殖!$A$1:$P$65536,16,0)),"",VLOOKUP($A163,[5]等殖!$A$1:$P$65536,16,0))</f>
        <v/>
      </c>
      <c r="J163" s="10" t="str">
        <f>IF(ISERROR(VLOOKUP($A163,[5]處所!$A$1:$P$65536,9,0)),"",VLOOKUP($A163,[5]處所!$A$1:$P$65536,9,0))</f>
        <v/>
      </c>
      <c r="K163" s="10" t="str">
        <f>IF(ISERROR(VLOOKUP($A163,[5]處所!$A$1:$P$65536,10,0)),"",VLOOKUP($A163,[5]處所!$A$1:$P$65536,10,0))</f>
        <v/>
      </c>
      <c r="L163" s="10" t="str">
        <f>IF(ISERROR(VLOOKUP($A163,[5]處所!$A$1:$P$65536,11,0)),"",VLOOKUP($A163,[5]處所!$A$1:$P$65536,11,0))</f>
        <v/>
      </c>
      <c r="M163" s="36" t="str">
        <f>IF(ISERROR(VLOOKUP($A163,[5]處所!$A$1:$P$65536,15,0)),"",VLOOKUP($A163,[5]處所!$A$1:$P$65536,15,0))</f>
        <v/>
      </c>
      <c r="N163" s="35" t="str">
        <f>IF(ISERROR(VLOOKUP($A163,[5]處所!$A$1:$P$65536,14,0)),"",VLOOKUP($A163,[5]處所!$A$1:$P$65536,14,0)/100000000)</f>
        <v/>
      </c>
      <c r="O163" s="35" t="e">
        <f>VLOOKUP($A163,[5]公平價格!$A$1:$P$65536,14,0)</f>
        <v>#N/A</v>
      </c>
    </row>
    <row r="164" spans="1:15">
      <c r="A164" s="12"/>
      <c r="B164" s="10"/>
      <c r="C164" s="11"/>
      <c r="D164" s="10"/>
      <c r="E164" s="10"/>
      <c r="F164" s="10" t="str">
        <f>IF(ISERROR(VLOOKUP($A164,[5]等殖!$A$1:$P$65536,10,0)),"",VLOOKUP(A164,[5]等殖!$A$1:$P$65536,10,0))</f>
        <v/>
      </c>
      <c r="G164" s="10" t="str">
        <f>IF(ISERROR(VLOOKUP($A164,[5]等殖!$A$1:$P$65536,11,0)),"",VLOOKUP($A164,[5]等殖!$A$1:$P$65536,11,0))</f>
        <v/>
      </c>
      <c r="H164" s="10" t="str">
        <f>IF(ISERROR(VLOOKUP($A164,[5]等殖!$A$1:$P$65536,12,0)),"",VLOOKUP($A164,[5]等殖!$A$1:$P$65536,12,0))</f>
        <v/>
      </c>
      <c r="I164" s="35" t="str">
        <f>IF(ISERROR(VLOOKUP($A164,[5]等殖!$A$1:$P$65536,16,0)),"",VLOOKUP($A164,[5]等殖!$A$1:$P$65536,16,0))</f>
        <v/>
      </c>
      <c r="J164" s="10" t="str">
        <f>IF(ISERROR(VLOOKUP($A164,[5]處所!$A$1:$P$65536,9,0)),"",VLOOKUP($A164,[5]處所!$A$1:$P$65536,9,0))</f>
        <v/>
      </c>
      <c r="K164" s="10" t="str">
        <f>IF(ISERROR(VLOOKUP($A164,[5]處所!$A$1:$P$65536,10,0)),"",VLOOKUP($A164,[5]處所!$A$1:$P$65536,10,0))</f>
        <v/>
      </c>
      <c r="L164" s="10" t="str">
        <f>IF(ISERROR(VLOOKUP($A164,[5]處所!$A$1:$P$65536,11,0)),"",VLOOKUP($A164,[5]處所!$A$1:$P$65536,11,0))</f>
        <v/>
      </c>
      <c r="M164" s="36" t="str">
        <f>IF(ISERROR(VLOOKUP($A164,[5]處所!$A$1:$P$65536,15,0)),"",VLOOKUP($A164,[5]處所!$A$1:$P$65536,15,0))</f>
        <v/>
      </c>
      <c r="N164" s="35" t="str">
        <f>IF(ISERROR(VLOOKUP($A164,[5]處所!$A$1:$P$65536,14,0)),"",VLOOKUP($A164,[5]處所!$A$1:$P$65536,14,0)/100000000)</f>
        <v/>
      </c>
      <c r="O164" s="35" t="e">
        <f>VLOOKUP($A164,[5]公平價格!$A$1:$P$65536,14,0)</f>
        <v>#N/A</v>
      </c>
    </row>
    <row r="165" spans="1:15">
      <c r="A165" s="12"/>
      <c r="B165" s="10"/>
      <c r="C165" s="11"/>
      <c r="D165" s="10"/>
      <c r="E165" s="10"/>
      <c r="F165" s="10" t="str">
        <f>IF(ISERROR(VLOOKUP($A165,[5]等殖!$A$1:$P$65536,10,0)),"",VLOOKUP(A165,[5]等殖!$A$1:$P$65536,10,0))</f>
        <v/>
      </c>
      <c r="G165" s="10" t="str">
        <f>IF(ISERROR(VLOOKUP($A165,[5]等殖!$A$1:$P$65536,11,0)),"",VLOOKUP($A165,[5]等殖!$A$1:$P$65536,11,0))</f>
        <v/>
      </c>
      <c r="H165" s="10" t="str">
        <f>IF(ISERROR(VLOOKUP($A165,[5]等殖!$A$1:$P$65536,12,0)),"",VLOOKUP($A165,[5]等殖!$A$1:$P$65536,12,0))</f>
        <v/>
      </c>
      <c r="I165" s="35" t="str">
        <f>IF(ISERROR(VLOOKUP($A165,[5]等殖!$A$1:$P$65536,16,0)),"",VLOOKUP($A165,[5]等殖!$A$1:$P$65536,16,0))</f>
        <v/>
      </c>
      <c r="J165" s="10" t="str">
        <f>IF(ISERROR(VLOOKUP($A165,[5]處所!$A$1:$P$65536,9,0)),"",VLOOKUP($A165,[5]處所!$A$1:$P$65536,9,0))</f>
        <v/>
      </c>
      <c r="K165" s="10" t="str">
        <f>IF(ISERROR(VLOOKUP($A165,[5]處所!$A$1:$P$65536,10,0)),"",VLOOKUP($A165,[5]處所!$A$1:$P$65536,10,0))</f>
        <v/>
      </c>
      <c r="L165" s="10" t="str">
        <f>IF(ISERROR(VLOOKUP($A165,[5]處所!$A$1:$P$65536,11,0)),"",VLOOKUP($A165,[5]處所!$A$1:$P$65536,11,0))</f>
        <v/>
      </c>
      <c r="M165" s="36" t="str">
        <f>IF(ISERROR(VLOOKUP($A165,[5]處所!$A$1:$P$65536,15,0)),"",VLOOKUP($A165,[5]處所!$A$1:$P$65536,15,0))</f>
        <v/>
      </c>
      <c r="N165" s="35" t="str">
        <f>IF(ISERROR(VLOOKUP($A165,[5]處所!$A$1:$P$65536,14,0)),"",VLOOKUP($A165,[5]處所!$A$1:$P$65536,14,0)/100000000)</f>
        <v/>
      </c>
      <c r="O165" s="35" t="e">
        <f>VLOOKUP($A165,[5]公平價格!$A$1:$P$65536,14,0)</f>
        <v>#N/A</v>
      </c>
    </row>
    <row r="166" spans="1:15">
      <c r="A166" s="12"/>
      <c r="B166" s="10"/>
      <c r="C166" s="11"/>
      <c r="D166" s="10"/>
      <c r="E166" s="10"/>
      <c r="F166" s="10" t="str">
        <f>IF(ISERROR(VLOOKUP($A166,[5]等殖!$A$1:$P$65536,10,0)),"",VLOOKUP(A166,[5]等殖!$A$1:$P$65536,10,0))</f>
        <v/>
      </c>
      <c r="G166" s="10" t="str">
        <f>IF(ISERROR(VLOOKUP($A166,[5]等殖!$A$1:$P$65536,11,0)),"",VLOOKUP($A166,[5]等殖!$A$1:$P$65536,11,0))</f>
        <v/>
      </c>
      <c r="H166" s="10" t="str">
        <f>IF(ISERROR(VLOOKUP($A166,[5]等殖!$A$1:$P$65536,12,0)),"",VLOOKUP($A166,[5]等殖!$A$1:$P$65536,12,0))</f>
        <v/>
      </c>
      <c r="I166" s="35" t="str">
        <f>IF(ISERROR(VLOOKUP($A166,[5]等殖!$A$1:$P$65536,16,0)),"",VLOOKUP($A166,[5]等殖!$A$1:$P$65536,16,0))</f>
        <v/>
      </c>
      <c r="J166" s="10" t="str">
        <f>IF(ISERROR(VLOOKUP($A166,[5]處所!$A$1:$P$65536,9,0)),"",VLOOKUP($A166,[5]處所!$A$1:$P$65536,9,0))</f>
        <v/>
      </c>
      <c r="K166" s="10" t="str">
        <f>IF(ISERROR(VLOOKUP($A166,[5]處所!$A$1:$P$65536,10,0)),"",VLOOKUP($A166,[5]處所!$A$1:$P$65536,10,0))</f>
        <v/>
      </c>
      <c r="L166" s="10" t="str">
        <f>IF(ISERROR(VLOOKUP($A166,[5]處所!$A$1:$P$65536,11,0)),"",VLOOKUP($A166,[5]處所!$A$1:$P$65536,11,0))</f>
        <v/>
      </c>
      <c r="M166" s="36" t="str">
        <f>IF(ISERROR(VLOOKUP($A166,[5]處所!$A$1:$P$65536,15,0)),"",VLOOKUP($A166,[5]處所!$A$1:$P$65536,15,0))</f>
        <v/>
      </c>
      <c r="N166" s="35" t="str">
        <f>IF(ISERROR(VLOOKUP($A166,[5]處所!$A$1:$P$65536,14,0)),"",VLOOKUP($A166,[5]處所!$A$1:$P$65536,14,0)/100000000)</f>
        <v/>
      </c>
      <c r="O166" s="35" t="e">
        <f>VLOOKUP($A166,[5]公平價格!$A$1:$P$65536,14,0)</f>
        <v>#N/A</v>
      </c>
    </row>
    <row r="167" spans="1:15">
      <c r="A167" s="12"/>
      <c r="B167" s="10"/>
      <c r="C167" s="11"/>
      <c r="D167" s="10"/>
      <c r="E167" s="10"/>
      <c r="F167" s="10" t="str">
        <f>IF(ISERROR(VLOOKUP($A167,[5]等殖!$A$1:$P$65536,10,0)),"",VLOOKUP(A167,[5]等殖!$A$1:$P$65536,10,0))</f>
        <v/>
      </c>
      <c r="G167" s="10" t="str">
        <f>IF(ISERROR(VLOOKUP($A167,[5]等殖!$A$1:$P$65536,11,0)),"",VLOOKUP($A167,[5]等殖!$A$1:$P$65536,11,0))</f>
        <v/>
      </c>
      <c r="H167" s="10" t="str">
        <f>IF(ISERROR(VLOOKUP($A167,[5]等殖!$A$1:$P$65536,12,0)),"",VLOOKUP($A167,[5]等殖!$A$1:$P$65536,12,0))</f>
        <v/>
      </c>
      <c r="I167" s="35" t="str">
        <f>IF(ISERROR(VLOOKUP($A167,[5]等殖!$A$1:$P$65536,16,0)),"",VLOOKUP($A167,[5]等殖!$A$1:$P$65536,16,0))</f>
        <v/>
      </c>
      <c r="J167" s="10" t="str">
        <f>IF(ISERROR(VLOOKUP($A167,[5]處所!$A$1:$P$65536,9,0)),"",VLOOKUP($A167,[5]處所!$A$1:$P$65536,9,0))</f>
        <v/>
      </c>
      <c r="K167" s="10" t="str">
        <f>IF(ISERROR(VLOOKUP($A167,[5]處所!$A$1:$P$65536,10,0)),"",VLOOKUP($A167,[5]處所!$A$1:$P$65536,10,0))</f>
        <v/>
      </c>
      <c r="L167" s="10" t="str">
        <f>IF(ISERROR(VLOOKUP($A167,[5]處所!$A$1:$P$65536,11,0)),"",VLOOKUP($A167,[5]處所!$A$1:$P$65536,11,0))</f>
        <v/>
      </c>
      <c r="M167" s="36" t="str">
        <f>IF(ISERROR(VLOOKUP($A167,[5]處所!$A$1:$P$65536,15,0)),"",VLOOKUP($A167,[5]處所!$A$1:$P$65536,15,0))</f>
        <v/>
      </c>
      <c r="N167" s="35" t="str">
        <f>IF(ISERROR(VLOOKUP($A167,[5]處所!$A$1:$P$65536,14,0)),"",VLOOKUP($A167,[5]處所!$A$1:$P$65536,14,0)/100000000)</f>
        <v/>
      </c>
      <c r="O167" s="35" t="e">
        <f>VLOOKUP($A167,[5]公平價格!$A$1:$P$65536,14,0)</f>
        <v>#N/A</v>
      </c>
    </row>
    <row r="168" spans="1:15">
      <c r="A168" s="12"/>
      <c r="B168" s="10"/>
      <c r="C168" s="11"/>
      <c r="D168" s="10"/>
      <c r="E168" s="10"/>
      <c r="F168" s="10" t="str">
        <f>IF(ISERROR(VLOOKUP($A168,[5]等殖!$A$1:$P$65536,10,0)),"",VLOOKUP(A168,[5]等殖!$A$1:$P$65536,10,0))</f>
        <v/>
      </c>
      <c r="G168" s="10" t="str">
        <f>IF(ISERROR(VLOOKUP($A168,[5]等殖!$A$1:$P$65536,11,0)),"",VLOOKUP($A168,[5]等殖!$A$1:$P$65536,11,0))</f>
        <v/>
      </c>
      <c r="H168" s="10" t="str">
        <f>IF(ISERROR(VLOOKUP($A168,[5]等殖!$A$1:$P$65536,12,0)),"",VLOOKUP($A168,[5]等殖!$A$1:$P$65536,12,0))</f>
        <v/>
      </c>
      <c r="I168" s="35" t="str">
        <f>IF(ISERROR(VLOOKUP($A168,[5]等殖!$A$1:$P$65536,16,0)),"",VLOOKUP($A168,[5]等殖!$A$1:$P$65536,16,0))</f>
        <v/>
      </c>
      <c r="J168" s="10" t="str">
        <f>IF(ISERROR(VLOOKUP($A168,[5]處所!$A$1:$P$65536,9,0)),"",VLOOKUP($A168,[5]處所!$A$1:$P$65536,9,0))</f>
        <v/>
      </c>
      <c r="K168" s="10" t="str">
        <f>IF(ISERROR(VLOOKUP($A168,[5]處所!$A$1:$P$65536,10,0)),"",VLOOKUP($A168,[5]處所!$A$1:$P$65536,10,0))</f>
        <v/>
      </c>
      <c r="L168" s="10" t="str">
        <f>IF(ISERROR(VLOOKUP($A168,[5]處所!$A$1:$P$65536,11,0)),"",VLOOKUP($A168,[5]處所!$A$1:$P$65536,11,0))</f>
        <v/>
      </c>
      <c r="M168" s="36" t="str">
        <f>IF(ISERROR(VLOOKUP($A168,[5]處所!$A$1:$P$65536,15,0)),"",VLOOKUP($A168,[5]處所!$A$1:$P$65536,15,0))</f>
        <v/>
      </c>
      <c r="N168" s="35" t="str">
        <f>IF(ISERROR(VLOOKUP($A168,[5]處所!$A$1:$P$65536,14,0)),"",VLOOKUP($A168,[5]處所!$A$1:$P$65536,14,0)/100000000)</f>
        <v/>
      </c>
      <c r="O168" s="35" t="e">
        <f>VLOOKUP($A168,[5]公平價格!$A$1:$P$65536,14,0)</f>
        <v>#N/A</v>
      </c>
    </row>
    <row r="169" spans="1:15">
      <c r="A169" s="12"/>
      <c r="B169" s="10"/>
      <c r="C169" s="11"/>
      <c r="D169" s="10"/>
      <c r="E169" s="10"/>
      <c r="F169" s="10" t="str">
        <f>IF(ISERROR(VLOOKUP($A169,[5]等殖!$A$1:$P$65536,10,0)),"",VLOOKUP(A169,[5]等殖!$A$1:$P$65536,10,0))</f>
        <v/>
      </c>
      <c r="G169" s="10" t="str">
        <f>IF(ISERROR(VLOOKUP($A169,[5]等殖!$A$1:$P$65536,11,0)),"",VLOOKUP($A169,[5]等殖!$A$1:$P$65536,11,0))</f>
        <v/>
      </c>
      <c r="H169" s="10" t="str">
        <f>IF(ISERROR(VLOOKUP($A169,[5]等殖!$A$1:$P$65536,12,0)),"",VLOOKUP($A169,[5]等殖!$A$1:$P$65536,12,0))</f>
        <v/>
      </c>
      <c r="I169" s="35" t="str">
        <f>IF(ISERROR(VLOOKUP($A169,[5]等殖!$A$1:$P$65536,16,0)),"",VLOOKUP($A169,[5]等殖!$A$1:$P$65536,16,0))</f>
        <v/>
      </c>
      <c r="J169" s="10" t="str">
        <f>IF(ISERROR(VLOOKUP($A169,[5]處所!$A$1:$P$65536,9,0)),"",VLOOKUP($A169,[5]處所!$A$1:$P$65536,9,0))</f>
        <v/>
      </c>
      <c r="K169" s="10" t="str">
        <f>IF(ISERROR(VLOOKUP($A169,[5]處所!$A$1:$P$65536,10,0)),"",VLOOKUP($A169,[5]處所!$A$1:$P$65536,10,0))</f>
        <v/>
      </c>
      <c r="L169" s="10" t="str">
        <f>IF(ISERROR(VLOOKUP($A169,[5]處所!$A$1:$P$65536,11,0)),"",VLOOKUP($A169,[5]處所!$A$1:$P$65536,11,0))</f>
        <v/>
      </c>
      <c r="M169" s="36" t="str">
        <f>IF(ISERROR(VLOOKUP($A169,[5]處所!$A$1:$P$65536,15,0)),"",VLOOKUP($A169,[5]處所!$A$1:$P$65536,15,0))</f>
        <v/>
      </c>
      <c r="N169" s="35" t="str">
        <f>IF(ISERROR(VLOOKUP($A169,[5]處所!$A$1:$P$65536,14,0)),"",VLOOKUP($A169,[5]處所!$A$1:$P$65536,14,0)/100000000)</f>
        <v/>
      </c>
      <c r="O169" s="35" t="e">
        <f>VLOOKUP($A169,[5]公平價格!$A$1:$P$65536,14,0)</f>
        <v>#N/A</v>
      </c>
    </row>
    <row r="170" spans="1:15">
      <c r="A170" s="12"/>
      <c r="B170" s="10"/>
      <c r="C170" s="11"/>
      <c r="D170" s="10"/>
      <c r="E170" s="10"/>
      <c r="F170" s="10" t="str">
        <f>IF(ISERROR(VLOOKUP($A170,[5]等殖!$A$1:$P$65536,10,0)),"",VLOOKUP(A170,[5]等殖!$A$1:$P$65536,10,0))</f>
        <v/>
      </c>
      <c r="G170" s="10" t="str">
        <f>IF(ISERROR(VLOOKUP($A170,[5]等殖!$A$1:$P$65536,11,0)),"",VLOOKUP($A170,[5]等殖!$A$1:$P$65536,11,0))</f>
        <v/>
      </c>
      <c r="H170" s="10" t="str">
        <f>IF(ISERROR(VLOOKUP($A170,[5]等殖!$A$1:$P$65536,12,0)),"",VLOOKUP($A170,[5]等殖!$A$1:$P$65536,12,0))</f>
        <v/>
      </c>
      <c r="I170" s="35" t="str">
        <f>IF(ISERROR(VLOOKUP($A170,[5]等殖!$A$1:$P$65536,16,0)),"",VLOOKUP($A170,[5]等殖!$A$1:$P$65536,16,0))</f>
        <v/>
      </c>
      <c r="J170" s="10" t="str">
        <f>IF(ISERROR(VLOOKUP($A170,[5]處所!$A$1:$P$65536,9,0)),"",VLOOKUP($A170,[5]處所!$A$1:$P$65536,9,0))</f>
        <v/>
      </c>
      <c r="K170" s="10" t="str">
        <f>IF(ISERROR(VLOOKUP($A170,[5]處所!$A$1:$P$65536,10,0)),"",VLOOKUP($A170,[5]處所!$A$1:$P$65536,10,0))</f>
        <v/>
      </c>
      <c r="L170" s="10" t="str">
        <f>IF(ISERROR(VLOOKUP($A170,[5]處所!$A$1:$P$65536,11,0)),"",VLOOKUP($A170,[5]處所!$A$1:$P$65536,11,0))</f>
        <v/>
      </c>
      <c r="M170" s="36" t="str">
        <f>IF(ISERROR(VLOOKUP($A170,[5]處所!$A$1:$P$65536,15,0)),"",VLOOKUP($A170,[5]處所!$A$1:$P$65536,15,0))</f>
        <v/>
      </c>
      <c r="N170" s="35" t="str">
        <f>IF(ISERROR(VLOOKUP($A170,[5]處所!$A$1:$P$65536,14,0)),"",VLOOKUP($A170,[5]處所!$A$1:$P$65536,14,0)/100000000)</f>
        <v/>
      </c>
      <c r="O170" s="35" t="e">
        <f>VLOOKUP($A170,[5]公平價格!$A$1:$P$65536,14,0)</f>
        <v>#N/A</v>
      </c>
    </row>
    <row r="171" spans="1:15">
      <c r="A171" s="12"/>
      <c r="B171" s="10"/>
      <c r="C171" s="11"/>
      <c r="D171" s="10"/>
      <c r="E171" s="10"/>
      <c r="F171" s="10" t="str">
        <f>IF(ISERROR(VLOOKUP($A171,[5]等殖!$A$1:$P$65536,10,0)),"",VLOOKUP(A171,[5]等殖!$A$1:$P$65536,10,0))</f>
        <v/>
      </c>
      <c r="G171" s="10" t="str">
        <f>IF(ISERROR(VLOOKUP($A171,[5]等殖!$A$1:$P$65536,11,0)),"",VLOOKUP($A171,[5]等殖!$A$1:$P$65536,11,0))</f>
        <v/>
      </c>
      <c r="H171" s="10" t="str">
        <f>IF(ISERROR(VLOOKUP($A171,[5]等殖!$A$1:$P$65536,12,0)),"",VLOOKUP($A171,[5]等殖!$A$1:$P$65536,12,0))</f>
        <v/>
      </c>
      <c r="I171" s="35" t="str">
        <f>IF(ISERROR(VLOOKUP($A171,[5]等殖!$A$1:$P$65536,16,0)),"",VLOOKUP($A171,[5]等殖!$A$1:$P$65536,16,0))</f>
        <v/>
      </c>
      <c r="J171" s="10" t="str">
        <f>IF(ISERROR(VLOOKUP($A171,[5]處所!$A$1:$P$65536,9,0)),"",VLOOKUP($A171,[5]處所!$A$1:$P$65536,9,0))</f>
        <v/>
      </c>
      <c r="K171" s="10" t="str">
        <f>IF(ISERROR(VLOOKUP($A171,[5]處所!$A$1:$P$65536,10,0)),"",VLOOKUP($A171,[5]處所!$A$1:$P$65536,10,0))</f>
        <v/>
      </c>
      <c r="L171" s="10" t="str">
        <f>IF(ISERROR(VLOOKUP($A171,[5]處所!$A$1:$P$65536,11,0)),"",VLOOKUP($A171,[5]處所!$A$1:$P$65536,11,0))</f>
        <v/>
      </c>
      <c r="M171" s="36" t="str">
        <f>IF(ISERROR(VLOOKUP($A171,[5]處所!$A$1:$P$65536,15,0)),"",VLOOKUP($A171,[5]處所!$A$1:$P$65536,15,0))</f>
        <v/>
      </c>
      <c r="N171" s="35" t="str">
        <f>IF(ISERROR(VLOOKUP($A171,[5]處所!$A$1:$P$65536,14,0)),"",VLOOKUP($A171,[5]處所!$A$1:$P$65536,14,0)/100000000)</f>
        <v/>
      </c>
      <c r="O171" s="35" t="e">
        <f>VLOOKUP($A171,[5]公平價格!$A$1:$P$65536,14,0)</f>
        <v>#N/A</v>
      </c>
    </row>
    <row r="172" spans="1:15">
      <c r="A172" s="12"/>
      <c r="B172" s="10"/>
      <c r="C172" s="11"/>
      <c r="D172" s="10"/>
      <c r="E172" s="10"/>
      <c r="F172" s="10" t="str">
        <f>IF(ISERROR(VLOOKUP($A172,[5]等殖!$A$1:$P$65536,10,0)),"",VLOOKUP(A172,[5]等殖!$A$1:$P$65536,10,0))</f>
        <v/>
      </c>
      <c r="G172" s="10" t="str">
        <f>IF(ISERROR(VLOOKUP($A172,[5]等殖!$A$1:$P$65536,11,0)),"",VLOOKUP($A172,[5]等殖!$A$1:$P$65536,11,0))</f>
        <v/>
      </c>
      <c r="H172" s="10" t="str">
        <f>IF(ISERROR(VLOOKUP($A172,[5]等殖!$A$1:$P$65536,12,0)),"",VLOOKUP($A172,[5]等殖!$A$1:$P$65536,12,0))</f>
        <v/>
      </c>
      <c r="I172" s="35" t="str">
        <f>IF(ISERROR(VLOOKUP($A172,[5]等殖!$A$1:$P$65536,16,0)),"",VLOOKUP($A172,[5]等殖!$A$1:$P$65536,16,0))</f>
        <v/>
      </c>
      <c r="J172" s="10" t="str">
        <f>IF(ISERROR(VLOOKUP($A172,[5]處所!$A$1:$P$65536,9,0)),"",VLOOKUP($A172,[5]處所!$A$1:$P$65536,9,0))</f>
        <v/>
      </c>
      <c r="K172" s="10" t="str">
        <f>IF(ISERROR(VLOOKUP($A172,[5]處所!$A$1:$P$65536,10,0)),"",VLOOKUP($A172,[5]處所!$A$1:$P$65536,10,0))</f>
        <v/>
      </c>
      <c r="L172" s="10" t="str">
        <f>IF(ISERROR(VLOOKUP($A172,[5]處所!$A$1:$P$65536,11,0)),"",VLOOKUP($A172,[5]處所!$A$1:$P$65536,11,0))</f>
        <v/>
      </c>
      <c r="M172" s="36" t="str">
        <f>IF(ISERROR(VLOOKUP($A172,[5]處所!$A$1:$P$65536,15,0)),"",VLOOKUP($A172,[5]處所!$A$1:$P$65536,15,0))</f>
        <v/>
      </c>
      <c r="N172" s="35" t="str">
        <f>IF(ISERROR(VLOOKUP($A172,[5]處所!$A$1:$P$65536,14,0)),"",VLOOKUP($A172,[5]處所!$A$1:$P$65536,14,0)/100000000)</f>
        <v/>
      </c>
      <c r="O172" s="35" t="e">
        <f>VLOOKUP($A172,[5]公平價格!$A$1:$P$65536,14,0)</f>
        <v>#N/A</v>
      </c>
    </row>
    <row r="173" spans="1:15">
      <c r="A173" s="12"/>
      <c r="B173" s="10"/>
      <c r="C173" s="11"/>
      <c r="D173" s="10"/>
      <c r="E173" s="10"/>
      <c r="F173" s="10" t="str">
        <f>IF(ISERROR(VLOOKUP($A173,[5]等殖!$A$1:$P$65536,10,0)),"",VLOOKUP(A173,[5]等殖!$A$1:$P$65536,10,0))</f>
        <v/>
      </c>
      <c r="G173" s="10" t="str">
        <f>IF(ISERROR(VLOOKUP($A173,[5]等殖!$A$1:$P$65536,11,0)),"",VLOOKUP($A173,[5]等殖!$A$1:$P$65536,11,0))</f>
        <v/>
      </c>
      <c r="H173" s="10" t="str">
        <f>IF(ISERROR(VLOOKUP($A173,[5]等殖!$A$1:$P$65536,12,0)),"",VLOOKUP($A173,[5]等殖!$A$1:$P$65536,12,0))</f>
        <v/>
      </c>
      <c r="I173" s="35" t="str">
        <f>IF(ISERROR(VLOOKUP($A173,[5]等殖!$A$1:$P$65536,16,0)),"",VLOOKUP($A173,[5]等殖!$A$1:$P$65536,16,0))</f>
        <v/>
      </c>
      <c r="J173" s="10" t="str">
        <f>IF(ISERROR(VLOOKUP($A173,[5]處所!$A$1:$P$65536,9,0)),"",VLOOKUP($A173,[5]處所!$A$1:$P$65536,9,0))</f>
        <v/>
      </c>
      <c r="K173" s="10" t="str">
        <f>IF(ISERROR(VLOOKUP($A173,[5]處所!$A$1:$P$65536,10,0)),"",VLOOKUP($A173,[5]處所!$A$1:$P$65536,10,0))</f>
        <v/>
      </c>
      <c r="L173" s="10" t="str">
        <f>IF(ISERROR(VLOOKUP($A173,[5]處所!$A$1:$P$65536,11,0)),"",VLOOKUP($A173,[5]處所!$A$1:$P$65536,11,0))</f>
        <v/>
      </c>
      <c r="M173" s="36" t="str">
        <f>IF(ISERROR(VLOOKUP($A173,[5]處所!$A$1:$P$65536,15,0)),"",VLOOKUP($A173,[5]處所!$A$1:$P$65536,15,0))</f>
        <v/>
      </c>
      <c r="N173" s="35" t="str">
        <f>IF(ISERROR(VLOOKUP($A173,[5]處所!$A$1:$P$65536,14,0)),"",VLOOKUP($A173,[5]處所!$A$1:$P$65536,14,0)/100000000)</f>
        <v/>
      </c>
      <c r="O173" s="35" t="e">
        <f>VLOOKUP($A173,[5]公平價格!$A$1:$P$65536,14,0)</f>
        <v>#N/A</v>
      </c>
    </row>
    <row r="174" spans="1:15">
      <c r="A174" s="12"/>
      <c r="B174" s="10"/>
      <c r="C174" s="11"/>
      <c r="D174" s="10"/>
      <c r="E174" s="10"/>
      <c r="F174" s="10" t="str">
        <f>IF(ISERROR(VLOOKUP($A174,[5]等殖!$A$1:$P$65536,10,0)),"",VLOOKUP(A174,[5]等殖!$A$1:$P$65536,10,0))</f>
        <v/>
      </c>
      <c r="G174" s="10" t="str">
        <f>IF(ISERROR(VLOOKUP($A174,[5]等殖!$A$1:$P$65536,11,0)),"",VLOOKUP($A174,[5]等殖!$A$1:$P$65536,11,0))</f>
        <v/>
      </c>
      <c r="H174" s="10" t="str">
        <f>IF(ISERROR(VLOOKUP($A174,[5]等殖!$A$1:$P$65536,12,0)),"",VLOOKUP($A174,[5]等殖!$A$1:$P$65536,12,0))</f>
        <v/>
      </c>
      <c r="I174" s="35" t="str">
        <f>IF(ISERROR(VLOOKUP($A174,[5]等殖!$A$1:$P$65536,16,0)),"",VLOOKUP($A174,[5]等殖!$A$1:$P$65536,16,0))</f>
        <v/>
      </c>
      <c r="J174" s="10" t="str">
        <f>IF(ISERROR(VLOOKUP($A174,[5]處所!$A$1:$P$65536,9,0)),"",VLOOKUP($A174,[5]處所!$A$1:$P$65536,9,0))</f>
        <v/>
      </c>
      <c r="K174" s="10" t="str">
        <f>IF(ISERROR(VLOOKUP($A174,[5]處所!$A$1:$P$65536,10,0)),"",VLOOKUP($A174,[5]處所!$A$1:$P$65536,10,0))</f>
        <v/>
      </c>
      <c r="L174" s="10" t="str">
        <f>IF(ISERROR(VLOOKUP($A174,[5]處所!$A$1:$P$65536,11,0)),"",VLOOKUP($A174,[5]處所!$A$1:$P$65536,11,0))</f>
        <v/>
      </c>
      <c r="M174" s="36" t="str">
        <f>IF(ISERROR(VLOOKUP($A174,[5]處所!$A$1:$P$65536,15,0)),"",VLOOKUP($A174,[5]處所!$A$1:$P$65536,15,0))</f>
        <v/>
      </c>
      <c r="N174" s="35" t="str">
        <f>IF(ISERROR(VLOOKUP($A174,[5]處所!$A$1:$P$65536,14,0)),"",VLOOKUP($A174,[5]處所!$A$1:$P$65536,14,0)/100000000)</f>
        <v/>
      </c>
      <c r="O174" s="35" t="e">
        <f>VLOOKUP($A174,[5]公平價格!$A$1:$P$65536,14,0)</f>
        <v>#N/A</v>
      </c>
    </row>
    <row r="175" spans="1:15">
      <c r="A175" s="12"/>
      <c r="B175" s="10"/>
      <c r="C175" s="11"/>
      <c r="D175" s="10"/>
      <c r="E175" s="10"/>
      <c r="F175" s="10" t="str">
        <f>IF(ISERROR(VLOOKUP($A175,[5]等殖!$A$1:$P$65536,10,0)),"",VLOOKUP(A175,[5]等殖!$A$1:$P$65536,10,0))</f>
        <v/>
      </c>
      <c r="G175" s="10" t="str">
        <f>IF(ISERROR(VLOOKUP($A175,[5]等殖!$A$1:$P$65536,11,0)),"",VLOOKUP($A175,[5]等殖!$A$1:$P$65536,11,0))</f>
        <v/>
      </c>
      <c r="H175" s="10" t="str">
        <f>IF(ISERROR(VLOOKUP($A175,[5]等殖!$A$1:$P$65536,12,0)),"",VLOOKUP($A175,[5]等殖!$A$1:$P$65536,12,0))</f>
        <v/>
      </c>
      <c r="I175" s="35" t="str">
        <f>IF(ISERROR(VLOOKUP($A175,[5]等殖!$A$1:$P$65536,16,0)),"",VLOOKUP($A175,[5]等殖!$A$1:$P$65536,16,0))</f>
        <v/>
      </c>
      <c r="J175" s="10" t="str">
        <f>IF(ISERROR(VLOOKUP($A175,[5]處所!$A$1:$P$65536,9,0)),"",VLOOKUP($A175,[5]處所!$A$1:$P$65536,9,0))</f>
        <v/>
      </c>
      <c r="K175" s="10" t="str">
        <f>IF(ISERROR(VLOOKUP($A175,[5]處所!$A$1:$P$65536,10,0)),"",VLOOKUP($A175,[5]處所!$A$1:$P$65536,10,0))</f>
        <v/>
      </c>
      <c r="L175" s="10" t="str">
        <f>IF(ISERROR(VLOOKUP($A175,[5]處所!$A$1:$P$65536,11,0)),"",VLOOKUP($A175,[5]處所!$A$1:$P$65536,11,0))</f>
        <v/>
      </c>
      <c r="M175" s="36" t="str">
        <f>IF(ISERROR(VLOOKUP($A175,[5]處所!$A$1:$P$65536,15,0)),"",VLOOKUP($A175,[5]處所!$A$1:$P$65536,15,0))</f>
        <v/>
      </c>
      <c r="N175" s="35" t="str">
        <f>IF(ISERROR(VLOOKUP($A175,[5]處所!$A$1:$P$65536,14,0)),"",VLOOKUP($A175,[5]處所!$A$1:$P$65536,14,0)/100000000)</f>
        <v/>
      </c>
      <c r="O175" s="35" t="e">
        <f>VLOOKUP($A175,[5]公平價格!$A$1:$P$65536,14,0)</f>
        <v>#N/A</v>
      </c>
    </row>
    <row r="176" spans="1:15">
      <c r="A176" s="12"/>
      <c r="B176" s="10"/>
      <c r="C176" s="11"/>
      <c r="D176" s="10"/>
      <c r="E176" s="10"/>
      <c r="F176" s="10" t="str">
        <f>IF(ISERROR(VLOOKUP($A176,[5]等殖!$A$1:$P$65536,10,0)),"",VLOOKUP(A176,[5]等殖!$A$1:$P$65536,10,0))</f>
        <v/>
      </c>
      <c r="G176" s="10" t="str">
        <f>IF(ISERROR(VLOOKUP($A176,[5]等殖!$A$1:$P$65536,11,0)),"",VLOOKUP($A176,[5]等殖!$A$1:$P$65536,11,0))</f>
        <v/>
      </c>
      <c r="H176" s="10" t="str">
        <f>IF(ISERROR(VLOOKUP($A176,[5]等殖!$A$1:$P$65536,12,0)),"",VLOOKUP($A176,[5]等殖!$A$1:$P$65536,12,0))</f>
        <v/>
      </c>
      <c r="I176" s="35" t="str">
        <f>IF(ISERROR(VLOOKUP($A176,[5]等殖!$A$1:$P$65536,16,0)),"",VLOOKUP($A176,[5]等殖!$A$1:$P$65536,16,0))</f>
        <v/>
      </c>
      <c r="J176" s="10" t="str">
        <f>IF(ISERROR(VLOOKUP($A176,[5]處所!$A$1:$P$65536,9,0)),"",VLOOKUP($A176,[5]處所!$A$1:$P$65536,9,0))</f>
        <v/>
      </c>
      <c r="K176" s="10" t="str">
        <f>IF(ISERROR(VLOOKUP($A176,[5]處所!$A$1:$P$65536,10,0)),"",VLOOKUP($A176,[5]處所!$A$1:$P$65536,10,0))</f>
        <v/>
      </c>
      <c r="L176" s="10" t="str">
        <f>IF(ISERROR(VLOOKUP($A176,[5]處所!$A$1:$P$65536,11,0)),"",VLOOKUP($A176,[5]處所!$A$1:$P$65536,11,0))</f>
        <v/>
      </c>
      <c r="M176" s="36" t="str">
        <f>IF(ISERROR(VLOOKUP($A176,[5]處所!$A$1:$P$65536,15,0)),"",VLOOKUP($A176,[5]處所!$A$1:$P$65536,15,0))</f>
        <v/>
      </c>
      <c r="N176" s="35" t="str">
        <f>IF(ISERROR(VLOOKUP($A176,[5]處所!$A$1:$P$65536,14,0)),"",VLOOKUP($A176,[5]處所!$A$1:$P$65536,14,0)/100000000)</f>
        <v/>
      </c>
      <c r="O176" s="35" t="e">
        <f>VLOOKUP($A176,[5]公平價格!$A$1:$P$65536,14,0)</f>
        <v>#N/A</v>
      </c>
    </row>
    <row r="177" spans="1:15">
      <c r="A177" s="12"/>
      <c r="B177" s="10"/>
      <c r="C177" s="11"/>
      <c r="D177" s="10"/>
      <c r="E177" s="10"/>
      <c r="F177" s="10" t="str">
        <f>IF(ISERROR(VLOOKUP($A177,[5]等殖!$A$1:$P$65536,10,0)),"",VLOOKUP(A177,[5]等殖!$A$1:$P$65536,10,0))</f>
        <v/>
      </c>
      <c r="G177" s="10" t="str">
        <f>IF(ISERROR(VLOOKUP($A177,[5]等殖!$A$1:$P$65536,11,0)),"",VLOOKUP($A177,[5]等殖!$A$1:$P$65536,11,0))</f>
        <v/>
      </c>
      <c r="H177" s="10" t="str">
        <f>IF(ISERROR(VLOOKUP($A177,[5]等殖!$A$1:$P$65536,12,0)),"",VLOOKUP($A177,[5]等殖!$A$1:$P$65536,12,0))</f>
        <v/>
      </c>
      <c r="I177" s="35" t="str">
        <f>IF(ISERROR(VLOOKUP($A177,[5]等殖!$A$1:$P$65536,16,0)),"",VLOOKUP($A177,[5]等殖!$A$1:$P$65536,16,0))</f>
        <v/>
      </c>
      <c r="J177" s="10" t="str">
        <f>IF(ISERROR(VLOOKUP($A177,[5]處所!$A$1:$P$65536,9,0)),"",VLOOKUP($A177,[5]處所!$A$1:$P$65536,9,0))</f>
        <v/>
      </c>
      <c r="K177" s="10" t="str">
        <f>IF(ISERROR(VLOOKUP($A177,[5]處所!$A$1:$P$65536,10,0)),"",VLOOKUP($A177,[5]處所!$A$1:$P$65536,10,0))</f>
        <v/>
      </c>
      <c r="L177" s="10" t="str">
        <f>IF(ISERROR(VLOOKUP($A177,[5]處所!$A$1:$P$65536,11,0)),"",VLOOKUP($A177,[5]處所!$A$1:$P$65536,11,0))</f>
        <v/>
      </c>
      <c r="M177" s="36" t="str">
        <f>IF(ISERROR(VLOOKUP($A177,[5]處所!$A$1:$P$65536,15,0)),"",VLOOKUP($A177,[5]處所!$A$1:$P$65536,15,0))</f>
        <v/>
      </c>
      <c r="N177" s="35" t="str">
        <f>IF(ISERROR(VLOOKUP($A177,[5]處所!$A$1:$P$65536,14,0)),"",VLOOKUP($A177,[5]處所!$A$1:$P$65536,14,0)/100000000)</f>
        <v/>
      </c>
      <c r="O177" s="35" t="e">
        <f>VLOOKUP($A177,[5]公平價格!$A$1:$P$65536,14,0)</f>
        <v>#N/A</v>
      </c>
    </row>
    <row r="178" spans="1:15">
      <c r="A178" s="12"/>
      <c r="B178" s="10"/>
      <c r="C178" s="11"/>
      <c r="D178" s="10"/>
      <c r="E178" s="10"/>
      <c r="F178" s="10" t="str">
        <f>IF(ISERROR(VLOOKUP($A178,[5]等殖!$A$1:$P$65536,10,0)),"",VLOOKUP(A178,[5]等殖!$A$1:$P$65536,10,0))</f>
        <v/>
      </c>
      <c r="G178" s="10" t="str">
        <f>IF(ISERROR(VLOOKUP($A178,[5]等殖!$A$1:$P$65536,11,0)),"",VLOOKUP($A178,[5]等殖!$A$1:$P$65536,11,0))</f>
        <v/>
      </c>
      <c r="H178" s="10" t="str">
        <f>IF(ISERROR(VLOOKUP($A178,[5]等殖!$A$1:$P$65536,12,0)),"",VLOOKUP($A178,[5]等殖!$A$1:$P$65536,12,0))</f>
        <v/>
      </c>
      <c r="I178" s="35" t="str">
        <f>IF(ISERROR(VLOOKUP($A178,[5]等殖!$A$1:$P$65536,16,0)),"",VLOOKUP($A178,[5]等殖!$A$1:$P$65536,16,0))</f>
        <v/>
      </c>
      <c r="J178" s="10" t="str">
        <f>IF(ISERROR(VLOOKUP($A178,[5]處所!$A$1:$P$65536,9,0)),"",VLOOKUP($A178,[5]處所!$A$1:$P$65536,9,0))</f>
        <v/>
      </c>
      <c r="K178" s="10" t="str">
        <f>IF(ISERROR(VLOOKUP($A178,[5]處所!$A$1:$P$65536,10,0)),"",VLOOKUP($A178,[5]處所!$A$1:$P$65536,10,0))</f>
        <v/>
      </c>
      <c r="L178" s="10" t="str">
        <f>IF(ISERROR(VLOOKUP($A178,[5]處所!$A$1:$P$65536,11,0)),"",VLOOKUP($A178,[5]處所!$A$1:$P$65536,11,0))</f>
        <v/>
      </c>
      <c r="M178" s="36" t="str">
        <f>IF(ISERROR(VLOOKUP($A178,[5]處所!$A$1:$P$65536,15,0)),"",VLOOKUP($A178,[5]處所!$A$1:$P$65536,15,0))</f>
        <v/>
      </c>
      <c r="N178" s="35" t="str">
        <f>IF(ISERROR(VLOOKUP($A178,[5]處所!$A$1:$P$65536,14,0)),"",VLOOKUP($A178,[5]處所!$A$1:$P$65536,14,0)/100000000)</f>
        <v/>
      </c>
      <c r="O178" s="35" t="e">
        <f>VLOOKUP($A178,[5]公平價格!$A$1:$P$65536,14,0)</f>
        <v>#N/A</v>
      </c>
    </row>
    <row r="179" spans="1:15">
      <c r="A179" s="12"/>
      <c r="B179" s="10"/>
      <c r="C179" s="11"/>
      <c r="D179" s="10"/>
      <c r="E179" s="10"/>
      <c r="F179" s="10" t="str">
        <f>IF(ISERROR(VLOOKUP($A179,[5]等殖!$A$1:$P$65536,10,0)),"",VLOOKUP(A179,[5]等殖!$A$1:$P$65536,10,0))</f>
        <v/>
      </c>
      <c r="G179" s="10" t="str">
        <f>IF(ISERROR(VLOOKUP($A179,[5]等殖!$A$1:$P$65536,11,0)),"",VLOOKUP($A179,[5]等殖!$A$1:$P$65536,11,0))</f>
        <v/>
      </c>
      <c r="H179" s="10" t="str">
        <f>IF(ISERROR(VLOOKUP($A179,[5]等殖!$A$1:$P$65536,12,0)),"",VLOOKUP($A179,[5]等殖!$A$1:$P$65536,12,0))</f>
        <v/>
      </c>
      <c r="I179" s="35" t="str">
        <f>IF(ISERROR(VLOOKUP($A179,[5]等殖!$A$1:$P$65536,16,0)),"",VLOOKUP($A179,[5]等殖!$A$1:$P$65536,16,0))</f>
        <v/>
      </c>
      <c r="J179" s="10" t="str">
        <f>IF(ISERROR(VLOOKUP($A179,[5]處所!$A$1:$P$65536,9,0)),"",VLOOKUP($A179,[5]處所!$A$1:$P$65536,9,0))</f>
        <v/>
      </c>
      <c r="K179" s="10" t="str">
        <f>IF(ISERROR(VLOOKUP($A179,[5]處所!$A$1:$P$65536,10,0)),"",VLOOKUP($A179,[5]處所!$A$1:$P$65536,10,0))</f>
        <v/>
      </c>
      <c r="L179" s="10" t="str">
        <f>IF(ISERROR(VLOOKUP($A179,[5]處所!$A$1:$P$65536,11,0)),"",VLOOKUP($A179,[5]處所!$A$1:$P$65536,11,0))</f>
        <v/>
      </c>
      <c r="M179" s="36" t="str">
        <f>IF(ISERROR(VLOOKUP($A179,[5]處所!$A$1:$P$65536,15,0)),"",VLOOKUP($A179,[5]處所!$A$1:$P$65536,15,0))</f>
        <v/>
      </c>
      <c r="N179" s="35" t="str">
        <f>IF(ISERROR(VLOOKUP($A179,[5]處所!$A$1:$P$65536,14,0)),"",VLOOKUP($A179,[5]處所!$A$1:$P$65536,14,0)/100000000)</f>
        <v/>
      </c>
      <c r="O179" s="35" t="e">
        <f>VLOOKUP($A179,[5]公平價格!$A$1:$P$65536,14,0)</f>
        <v>#N/A</v>
      </c>
    </row>
    <row r="180" spans="1:15">
      <c r="A180" s="12"/>
      <c r="B180" s="10"/>
      <c r="C180" s="11"/>
      <c r="D180" s="10"/>
      <c r="E180" s="10"/>
      <c r="F180" s="10" t="str">
        <f>IF(ISERROR(VLOOKUP($A180,[5]等殖!$A$1:$P$65536,10,0)),"",VLOOKUP(A180,[5]等殖!$A$1:$P$65536,10,0))</f>
        <v/>
      </c>
      <c r="G180" s="10" t="str">
        <f>IF(ISERROR(VLOOKUP($A180,[5]等殖!$A$1:$P$65536,11,0)),"",VLOOKUP($A180,[5]等殖!$A$1:$P$65536,11,0))</f>
        <v/>
      </c>
      <c r="H180" s="10" t="str">
        <f>IF(ISERROR(VLOOKUP($A180,[5]等殖!$A$1:$P$65536,12,0)),"",VLOOKUP($A180,[5]等殖!$A$1:$P$65536,12,0))</f>
        <v/>
      </c>
      <c r="I180" s="35" t="str">
        <f>IF(ISERROR(VLOOKUP($A180,[5]等殖!$A$1:$P$65536,16,0)),"",VLOOKUP($A180,[5]等殖!$A$1:$P$65536,16,0))</f>
        <v/>
      </c>
      <c r="J180" s="10" t="str">
        <f>IF(ISERROR(VLOOKUP($A180,[5]處所!$A$1:$P$65536,9,0)),"",VLOOKUP($A180,[5]處所!$A$1:$P$65536,9,0))</f>
        <v/>
      </c>
      <c r="K180" s="10" t="str">
        <f>IF(ISERROR(VLOOKUP($A180,[5]處所!$A$1:$P$65536,10,0)),"",VLOOKUP($A180,[5]處所!$A$1:$P$65536,10,0))</f>
        <v/>
      </c>
      <c r="L180" s="10" t="str">
        <f>IF(ISERROR(VLOOKUP($A180,[5]處所!$A$1:$P$65536,11,0)),"",VLOOKUP($A180,[5]處所!$A$1:$P$65536,11,0))</f>
        <v/>
      </c>
      <c r="M180" s="36" t="str">
        <f>IF(ISERROR(VLOOKUP($A180,[5]處所!$A$1:$P$65536,15,0)),"",VLOOKUP($A180,[5]處所!$A$1:$P$65536,15,0))</f>
        <v/>
      </c>
      <c r="N180" s="35" t="str">
        <f>IF(ISERROR(VLOOKUP($A180,[5]處所!$A$1:$P$65536,14,0)),"",VLOOKUP($A180,[5]處所!$A$1:$P$65536,14,0)/100000000)</f>
        <v/>
      </c>
      <c r="O180" s="35" t="e">
        <f>VLOOKUP($A180,[5]公平價格!$A$1:$P$65536,14,0)</f>
        <v>#N/A</v>
      </c>
    </row>
    <row r="181" spans="1:15">
      <c r="A181" s="12"/>
      <c r="B181" s="10"/>
      <c r="C181" s="11"/>
      <c r="D181" s="10"/>
      <c r="E181" s="10"/>
      <c r="F181" s="10" t="str">
        <f>IF(ISERROR(VLOOKUP($A181,[5]等殖!$A$1:$P$65536,10,0)),"",VLOOKUP(A181,[5]等殖!$A$1:$P$65536,10,0))</f>
        <v/>
      </c>
      <c r="G181" s="10" t="str">
        <f>IF(ISERROR(VLOOKUP($A181,[5]等殖!$A$1:$P$65536,11,0)),"",VLOOKUP($A181,[5]等殖!$A$1:$P$65536,11,0))</f>
        <v/>
      </c>
      <c r="H181" s="10" t="str">
        <f>IF(ISERROR(VLOOKUP($A181,[5]等殖!$A$1:$P$65536,12,0)),"",VLOOKUP($A181,[5]等殖!$A$1:$P$65536,12,0))</f>
        <v/>
      </c>
      <c r="I181" s="35" t="str">
        <f>IF(ISERROR(VLOOKUP($A181,[5]等殖!$A$1:$P$65536,16,0)),"",VLOOKUP($A181,[5]等殖!$A$1:$P$65536,16,0))</f>
        <v/>
      </c>
      <c r="J181" s="10" t="str">
        <f>IF(ISERROR(VLOOKUP($A181,[5]處所!$A$1:$P$65536,9,0)),"",VLOOKUP($A181,[5]處所!$A$1:$P$65536,9,0))</f>
        <v/>
      </c>
      <c r="K181" s="10" t="str">
        <f>IF(ISERROR(VLOOKUP($A181,[5]處所!$A$1:$P$65536,10,0)),"",VLOOKUP($A181,[5]處所!$A$1:$P$65536,10,0))</f>
        <v/>
      </c>
      <c r="L181" s="10" t="str">
        <f>IF(ISERROR(VLOOKUP($A181,[5]處所!$A$1:$P$65536,11,0)),"",VLOOKUP($A181,[5]處所!$A$1:$P$65536,11,0))</f>
        <v/>
      </c>
      <c r="M181" s="36" t="str">
        <f>IF(ISERROR(VLOOKUP($A181,[5]處所!$A$1:$P$65536,15,0)),"",VLOOKUP($A181,[5]處所!$A$1:$P$65536,15,0))</f>
        <v/>
      </c>
      <c r="N181" s="35" t="str">
        <f>IF(ISERROR(VLOOKUP($A181,[5]處所!$A$1:$P$65536,14,0)),"",VLOOKUP($A181,[5]處所!$A$1:$P$65536,14,0)/100000000)</f>
        <v/>
      </c>
      <c r="O181" s="35" t="e">
        <f>VLOOKUP($A181,[5]公平價格!$A$1:$P$65536,14,0)</f>
        <v>#N/A</v>
      </c>
    </row>
    <row r="182" spans="1:15">
      <c r="A182" s="12"/>
      <c r="B182" s="10"/>
      <c r="C182" s="11"/>
      <c r="D182" s="10"/>
      <c r="E182" s="10"/>
      <c r="F182" s="10" t="str">
        <f>IF(ISERROR(VLOOKUP($A182,[5]等殖!$A$1:$P$65536,10,0)),"",VLOOKUP(A182,[5]等殖!$A$1:$P$65536,10,0))</f>
        <v/>
      </c>
      <c r="G182" s="10" t="str">
        <f>IF(ISERROR(VLOOKUP($A182,[5]等殖!$A$1:$P$65536,11,0)),"",VLOOKUP($A182,[5]等殖!$A$1:$P$65536,11,0))</f>
        <v/>
      </c>
      <c r="H182" s="10" t="str">
        <f>IF(ISERROR(VLOOKUP($A182,[5]等殖!$A$1:$P$65536,12,0)),"",VLOOKUP($A182,[5]等殖!$A$1:$P$65536,12,0))</f>
        <v/>
      </c>
      <c r="I182" s="35" t="str">
        <f>IF(ISERROR(VLOOKUP($A182,[5]等殖!$A$1:$P$65536,16,0)),"",VLOOKUP($A182,[5]等殖!$A$1:$P$65536,16,0))</f>
        <v/>
      </c>
      <c r="J182" s="10" t="str">
        <f>IF(ISERROR(VLOOKUP($A182,[5]處所!$A$1:$P$65536,9,0)),"",VLOOKUP($A182,[5]處所!$A$1:$P$65536,9,0))</f>
        <v/>
      </c>
      <c r="K182" s="10" t="str">
        <f>IF(ISERROR(VLOOKUP($A182,[5]處所!$A$1:$P$65536,10,0)),"",VLOOKUP($A182,[5]處所!$A$1:$P$65536,10,0))</f>
        <v/>
      </c>
      <c r="L182" s="10" t="str">
        <f>IF(ISERROR(VLOOKUP($A182,[5]處所!$A$1:$P$65536,11,0)),"",VLOOKUP($A182,[5]處所!$A$1:$P$65536,11,0))</f>
        <v/>
      </c>
      <c r="M182" s="36" t="str">
        <f>IF(ISERROR(VLOOKUP($A182,[5]處所!$A$1:$P$65536,15,0)),"",VLOOKUP($A182,[5]處所!$A$1:$P$65536,15,0))</f>
        <v/>
      </c>
      <c r="N182" s="35" t="str">
        <f>IF(ISERROR(VLOOKUP($A182,[5]處所!$A$1:$P$65536,14,0)),"",VLOOKUP($A182,[5]處所!$A$1:$P$65536,14,0)/100000000)</f>
        <v/>
      </c>
      <c r="O182" s="35" t="e">
        <f>VLOOKUP($A182,[5]公平價格!$A$1:$P$65536,14,0)</f>
        <v>#N/A</v>
      </c>
    </row>
    <row r="183" spans="1:15">
      <c r="A183" s="12"/>
      <c r="B183" s="10"/>
      <c r="C183" s="11"/>
      <c r="D183" s="10"/>
      <c r="E183" s="10"/>
      <c r="F183" s="10" t="str">
        <f>IF(ISERROR(VLOOKUP($A183,[5]等殖!$A$1:$P$65536,10,0)),"",VLOOKUP(A183,[5]等殖!$A$1:$P$65536,10,0))</f>
        <v/>
      </c>
      <c r="G183" s="10" t="str">
        <f>IF(ISERROR(VLOOKUP($A183,[5]等殖!$A$1:$P$65536,11,0)),"",VLOOKUP($A183,[5]等殖!$A$1:$P$65536,11,0))</f>
        <v/>
      </c>
      <c r="H183" s="10" t="str">
        <f>IF(ISERROR(VLOOKUP($A183,[5]等殖!$A$1:$P$65536,12,0)),"",VLOOKUP($A183,[5]等殖!$A$1:$P$65536,12,0))</f>
        <v/>
      </c>
      <c r="I183" s="35" t="str">
        <f>IF(ISERROR(VLOOKUP($A183,[5]等殖!$A$1:$P$65536,16,0)),"",VLOOKUP($A183,[5]等殖!$A$1:$P$65536,16,0))</f>
        <v/>
      </c>
      <c r="J183" s="10" t="str">
        <f>IF(ISERROR(VLOOKUP($A183,[5]處所!$A$1:$P$65536,9,0)),"",VLOOKUP($A183,[5]處所!$A$1:$P$65536,9,0))</f>
        <v/>
      </c>
      <c r="K183" s="10" t="str">
        <f>IF(ISERROR(VLOOKUP($A183,[5]處所!$A$1:$P$65536,10,0)),"",VLOOKUP($A183,[5]處所!$A$1:$P$65536,10,0))</f>
        <v/>
      </c>
      <c r="L183" s="10" t="str">
        <f>IF(ISERROR(VLOOKUP($A183,[5]處所!$A$1:$P$65536,11,0)),"",VLOOKUP($A183,[5]處所!$A$1:$P$65536,11,0))</f>
        <v/>
      </c>
      <c r="M183" s="36" t="str">
        <f>IF(ISERROR(VLOOKUP($A183,[5]處所!$A$1:$P$65536,15,0)),"",VLOOKUP($A183,[5]處所!$A$1:$P$65536,15,0))</f>
        <v/>
      </c>
      <c r="N183" s="35" t="str">
        <f>IF(ISERROR(VLOOKUP($A183,[5]處所!$A$1:$P$65536,14,0)),"",VLOOKUP($A183,[5]處所!$A$1:$P$65536,14,0)/100000000)</f>
        <v/>
      </c>
      <c r="O183" s="35" t="e">
        <f>VLOOKUP($A183,[5]公平價格!$A$1:$P$65536,14,0)</f>
        <v>#N/A</v>
      </c>
    </row>
    <row r="184" spans="1:15">
      <c r="A184" s="12"/>
      <c r="B184" s="10"/>
      <c r="C184" s="11"/>
      <c r="D184" s="10"/>
      <c r="E184" s="10"/>
      <c r="F184" s="10" t="str">
        <f>IF(ISERROR(VLOOKUP($A184,[5]等殖!$A$1:$P$65536,10,0)),"",VLOOKUP(A184,[5]等殖!$A$1:$P$65536,10,0))</f>
        <v/>
      </c>
      <c r="G184" s="10" t="str">
        <f>IF(ISERROR(VLOOKUP($A184,[5]等殖!$A$1:$P$65536,11,0)),"",VLOOKUP($A184,[5]等殖!$A$1:$P$65536,11,0))</f>
        <v/>
      </c>
      <c r="H184" s="10" t="str">
        <f>IF(ISERROR(VLOOKUP($A184,[5]等殖!$A$1:$P$65536,12,0)),"",VLOOKUP($A184,[5]等殖!$A$1:$P$65536,12,0))</f>
        <v/>
      </c>
      <c r="I184" s="35" t="str">
        <f>IF(ISERROR(VLOOKUP($A184,[5]等殖!$A$1:$P$65536,16,0)),"",VLOOKUP($A184,[5]等殖!$A$1:$P$65536,16,0))</f>
        <v/>
      </c>
      <c r="J184" s="10" t="str">
        <f>IF(ISERROR(VLOOKUP($A184,[5]處所!$A$1:$P$65536,9,0)),"",VLOOKUP($A184,[5]處所!$A$1:$P$65536,9,0))</f>
        <v/>
      </c>
      <c r="K184" s="10" t="str">
        <f>IF(ISERROR(VLOOKUP($A184,[5]處所!$A$1:$P$65536,10,0)),"",VLOOKUP($A184,[5]處所!$A$1:$P$65536,10,0))</f>
        <v/>
      </c>
      <c r="L184" s="10" t="str">
        <f>IF(ISERROR(VLOOKUP($A184,[5]處所!$A$1:$P$65536,11,0)),"",VLOOKUP($A184,[5]處所!$A$1:$P$65536,11,0))</f>
        <v/>
      </c>
      <c r="M184" s="36" t="str">
        <f>IF(ISERROR(VLOOKUP($A184,[5]處所!$A$1:$P$65536,15,0)),"",VLOOKUP($A184,[5]處所!$A$1:$P$65536,15,0))</f>
        <v/>
      </c>
      <c r="N184" s="35" t="str">
        <f>IF(ISERROR(VLOOKUP($A184,[5]處所!$A$1:$P$65536,14,0)),"",VLOOKUP($A184,[5]處所!$A$1:$P$65536,14,0)/100000000)</f>
        <v/>
      </c>
      <c r="O184" s="35" t="e">
        <f>VLOOKUP($A184,[5]公平價格!$A$1:$P$65536,14,0)</f>
        <v>#N/A</v>
      </c>
    </row>
    <row r="185" spans="1:15">
      <c r="A185" s="12"/>
      <c r="B185" s="10"/>
      <c r="C185" s="11"/>
      <c r="D185" s="10"/>
      <c r="E185" s="10"/>
      <c r="F185" s="10" t="str">
        <f>IF(ISERROR(VLOOKUP($A185,[5]等殖!$A$1:$P$65536,10,0)),"",VLOOKUP(A185,[5]等殖!$A$1:$P$65536,10,0))</f>
        <v/>
      </c>
      <c r="G185" s="10" t="str">
        <f>IF(ISERROR(VLOOKUP($A185,[5]等殖!$A$1:$P$65536,11,0)),"",VLOOKUP($A185,[5]等殖!$A$1:$P$65536,11,0))</f>
        <v/>
      </c>
      <c r="H185" s="10" t="str">
        <f>IF(ISERROR(VLOOKUP($A185,[5]等殖!$A$1:$P$65536,12,0)),"",VLOOKUP($A185,[5]等殖!$A$1:$P$65536,12,0))</f>
        <v/>
      </c>
      <c r="I185" s="35" t="str">
        <f>IF(ISERROR(VLOOKUP($A185,[5]等殖!$A$1:$P$65536,16,0)),"",VLOOKUP($A185,[5]等殖!$A$1:$P$65536,16,0))</f>
        <v/>
      </c>
      <c r="J185" s="10" t="str">
        <f>IF(ISERROR(VLOOKUP($A185,[5]處所!$A$1:$P$65536,9,0)),"",VLOOKUP($A185,[5]處所!$A$1:$P$65536,9,0))</f>
        <v/>
      </c>
      <c r="K185" s="10" t="str">
        <f>IF(ISERROR(VLOOKUP($A185,[5]處所!$A$1:$P$65536,10,0)),"",VLOOKUP($A185,[5]處所!$A$1:$P$65536,10,0))</f>
        <v/>
      </c>
      <c r="L185" s="10" t="str">
        <f>IF(ISERROR(VLOOKUP($A185,[5]處所!$A$1:$P$65536,11,0)),"",VLOOKUP($A185,[5]處所!$A$1:$P$65536,11,0))</f>
        <v/>
      </c>
      <c r="M185" s="36" t="str">
        <f>IF(ISERROR(VLOOKUP($A185,[5]處所!$A$1:$P$65536,15,0)),"",VLOOKUP($A185,[5]處所!$A$1:$P$65536,15,0))</f>
        <v/>
      </c>
      <c r="N185" s="35" t="str">
        <f>IF(ISERROR(VLOOKUP($A185,[5]處所!$A$1:$P$65536,14,0)),"",VLOOKUP($A185,[5]處所!$A$1:$P$65536,14,0)/100000000)</f>
        <v/>
      </c>
      <c r="O185" s="35" t="e">
        <f>VLOOKUP($A185,[5]公平價格!$A$1:$P$65536,14,0)</f>
        <v>#N/A</v>
      </c>
    </row>
    <row r="186" spans="1:15">
      <c r="A186" s="12"/>
      <c r="B186" s="10"/>
      <c r="C186" s="11"/>
      <c r="D186" s="10"/>
      <c r="E186" s="10"/>
      <c r="F186" s="10" t="str">
        <f>IF(ISERROR(VLOOKUP($A186,[5]等殖!$A$1:$P$65536,10,0)),"",VLOOKUP(A186,[5]等殖!$A$1:$P$65536,10,0))</f>
        <v/>
      </c>
      <c r="G186" s="10" t="str">
        <f>IF(ISERROR(VLOOKUP($A186,[5]等殖!$A$1:$P$65536,11,0)),"",VLOOKUP($A186,[5]等殖!$A$1:$P$65536,11,0))</f>
        <v/>
      </c>
      <c r="H186" s="10" t="str">
        <f>IF(ISERROR(VLOOKUP($A186,[5]等殖!$A$1:$P$65536,12,0)),"",VLOOKUP($A186,[5]等殖!$A$1:$P$65536,12,0))</f>
        <v/>
      </c>
      <c r="I186" s="35" t="str">
        <f>IF(ISERROR(VLOOKUP($A186,[5]等殖!$A$1:$P$65536,16,0)),"",VLOOKUP($A186,[5]等殖!$A$1:$P$65536,16,0))</f>
        <v/>
      </c>
      <c r="J186" s="10" t="str">
        <f>IF(ISERROR(VLOOKUP($A186,[5]處所!$A$1:$P$65536,9,0)),"",VLOOKUP($A186,[5]處所!$A$1:$P$65536,9,0))</f>
        <v/>
      </c>
      <c r="K186" s="10" t="str">
        <f>IF(ISERROR(VLOOKUP($A186,[5]處所!$A$1:$P$65536,10,0)),"",VLOOKUP($A186,[5]處所!$A$1:$P$65536,10,0))</f>
        <v/>
      </c>
      <c r="L186" s="10" t="str">
        <f>IF(ISERROR(VLOOKUP($A186,[5]處所!$A$1:$P$65536,11,0)),"",VLOOKUP($A186,[5]處所!$A$1:$P$65536,11,0))</f>
        <v/>
      </c>
      <c r="M186" s="36" t="str">
        <f>IF(ISERROR(VLOOKUP($A186,[5]處所!$A$1:$P$65536,15,0)),"",VLOOKUP($A186,[5]處所!$A$1:$P$65536,15,0))</f>
        <v/>
      </c>
      <c r="N186" s="35" t="str">
        <f>IF(ISERROR(VLOOKUP($A186,[5]處所!$A$1:$P$65536,14,0)),"",VLOOKUP($A186,[5]處所!$A$1:$P$65536,14,0)/100000000)</f>
        <v/>
      </c>
      <c r="O186" s="35" t="e">
        <f>VLOOKUP($A186,[5]公平價格!$A$1:$P$65536,14,0)</f>
        <v>#N/A</v>
      </c>
    </row>
    <row r="187" spans="1:15">
      <c r="A187" s="12"/>
      <c r="B187" s="10"/>
      <c r="C187" s="11"/>
      <c r="D187" s="10"/>
      <c r="E187" s="10"/>
      <c r="F187" s="10" t="str">
        <f>IF(ISERROR(VLOOKUP($A187,[5]等殖!$A$1:$P$65536,10,0)),"",VLOOKUP(A187,[5]等殖!$A$1:$P$65536,10,0))</f>
        <v/>
      </c>
      <c r="G187" s="10" t="str">
        <f>IF(ISERROR(VLOOKUP($A187,[5]等殖!$A$1:$P$65536,11,0)),"",VLOOKUP($A187,[5]等殖!$A$1:$P$65536,11,0))</f>
        <v/>
      </c>
      <c r="H187" s="10" t="str">
        <f>IF(ISERROR(VLOOKUP($A187,[5]等殖!$A$1:$P$65536,12,0)),"",VLOOKUP($A187,[5]等殖!$A$1:$P$65536,12,0))</f>
        <v/>
      </c>
      <c r="I187" s="35" t="str">
        <f>IF(ISERROR(VLOOKUP($A187,[5]等殖!$A$1:$P$65536,16,0)),"",VLOOKUP($A187,[5]等殖!$A$1:$P$65536,16,0))</f>
        <v/>
      </c>
      <c r="J187" s="10" t="str">
        <f>IF(ISERROR(VLOOKUP($A187,[5]處所!$A$1:$P$65536,9,0)),"",VLOOKUP($A187,[5]處所!$A$1:$P$65536,9,0))</f>
        <v/>
      </c>
      <c r="K187" s="10" t="str">
        <f>IF(ISERROR(VLOOKUP($A187,[5]處所!$A$1:$P$65536,10,0)),"",VLOOKUP($A187,[5]處所!$A$1:$P$65536,10,0))</f>
        <v/>
      </c>
      <c r="L187" s="10" t="str">
        <f>IF(ISERROR(VLOOKUP($A187,[5]處所!$A$1:$P$65536,11,0)),"",VLOOKUP($A187,[5]處所!$A$1:$P$65536,11,0))</f>
        <v/>
      </c>
      <c r="M187" s="36" t="str">
        <f>IF(ISERROR(VLOOKUP($A187,[5]處所!$A$1:$P$65536,15,0)),"",VLOOKUP($A187,[5]處所!$A$1:$P$65536,15,0))</f>
        <v/>
      </c>
      <c r="N187" s="35" t="str">
        <f>IF(ISERROR(VLOOKUP($A187,[5]處所!$A$1:$P$65536,14,0)),"",VLOOKUP($A187,[5]處所!$A$1:$P$65536,14,0)/100000000)</f>
        <v/>
      </c>
      <c r="O187" s="35" t="e">
        <f>VLOOKUP($A187,[5]公平價格!$A$1:$P$65536,14,0)</f>
        <v>#N/A</v>
      </c>
    </row>
    <row r="188" spans="1:15">
      <c r="A188" s="12"/>
      <c r="B188" s="10"/>
      <c r="C188" s="11"/>
      <c r="D188" s="10"/>
      <c r="E188" s="10"/>
      <c r="F188" s="10" t="str">
        <f>IF(ISERROR(VLOOKUP($A188,[5]等殖!$A$1:$P$65536,10,0)),"",VLOOKUP(A188,[5]等殖!$A$1:$P$65536,10,0))</f>
        <v/>
      </c>
      <c r="G188" s="10" t="str">
        <f>IF(ISERROR(VLOOKUP($A188,[5]等殖!$A$1:$P$65536,11,0)),"",VLOOKUP($A188,[5]等殖!$A$1:$P$65536,11,0))</f>
        <v/>
      </c>
      <c r="H188" s="10" t="str">
        <f>IF(ISERROR(VLOOKUP($A188,[5]等殖!$A$1:$P$65536,12,0)),"",VLOOKUP($A188,[5]等殖!$A$1:$P$65536,12,0))</f>
        <v/>
      </c>
      <c r="I188" s="35" t="str">
        <f>IF(ISERROR(VLOOKUP($A188,[5]等殖!$A$1:$P$65536,16,0)),"",VLOOKUP($A188,[5]等殖!$A$1:$P$65536,16,0))</f>
        <v/>
      </c>
      <c r="J188" s="10" t="str">
        <f>IF(ISERROR(VLOOKUP($A188,[5]處所!$A$1:$P$65536,9,0)),"",VLOOKUP($A188,[5]處所!$A$1:$P$65536,9,0))</f>
        <v/>
      </c>
      <c r="K188" s="10" t="str">
        <f>IF(ISERROR(VLOOKUP($A188,[5]處所!$A$1:$P$65536,10,0)),"",VLOOKUP($A188,[5]處所!$A$1:$P$65536,10,0))</f>
        <v/>
      </c>
      <c r="L188" s="10" t="str">
        <f>IF(ISERROR(VLOOKUP($A188,[5]處所!$A$1:$P$65536,11,0)),"",VLOOKUP($A188,[5]處所!$A$1:$P$65536,11,0))</f>
        <v/>
      </c>
      <c r="M188" s="36" t="str">
        <f>IF(ISERROR(VLOOKUP($A188,[5]處所!$A$1:$P$65536,15,0)),"",VLOOKUP($A188,[5]處所!$A$1:$P$65536,15,0))</f>
        <v/>
      </c>
      <c r="N188" s="35" t="str">
        <f>IF(ISERROR(VLOOKUP($A188,[5]處所!$A$1:$P$65536,14,0)),"",VLOOKUP($A188,[5]處所!$A$1:$P$65536,14,0)/100000000)</f>
        <v/>
      </c>
      <c r="O188" s="35" t="e">
        <f>VLOOKUP($A188,[5]公平價格!$A$1:$P$65536,14,0)</f>
        <v>#N/A</v>
      </c>
    </row>
    <row r="189" spans="1:15">
      <c r="A189" s="12"/>
      <c r="B189" s="10"/>
      <c r="C189" s="11"/>
      <c r="D189" s="10"/>
      <c r="E189" s="10"/>
      <c r="F189" s="10" t="str">
        <f>IF(ISERROR(VLOOKUP($A189,[5]等殖!$A$1:$P$65536,10,0)),"",VLOOKUP(A189,[5]等殖!$A$1:$P$65536,10,0))</f>
        <v/>
      </c>
      <c r="G189" s="10" t="str">
        <f>IF(ISERROR(VLOOKUP($A189,[5]等殖!$A$1:$P$65536,11,0)),"",VLOOKUP($A189,[5]等殖!$A$1:$P$65536,11,0))</f>
        <v/>
      </c>
      <c r="H189" s="10" t="str">
        <f>IF(ISERROR(VLOOKUP($A189,[5]等殖!$A$1:$P$65536,12,0)),"",VLOOKUP($A189,[5]等殖!$A$1:$P$65536,12,0))</f>
        <v/>
      </c>
      <c r="I189" s="35" t="str">
        <f>IF(ISERROR(VLOOKUP($A189,[5]等殖!$A$1:$P$65536,16,0)),"",VLOOKUP($A189,[5]等殖!$A$1:$P$65536,16,0))</f>
        <v/>
      </c>
      <c r="J189" s="10" t="str">
        <f>IF(ISERROR(VLOOKUP($A189,[5]處所!$A$1:$P$65536,9,0)),"",VLOOKUP($A189,[5]處所!$A$1:$P$65536,9,0))</f>
        <v/>
      </c>
      <c r="K189" s="10" t="str">
        <f>IF(ISERROR(VLOOKUP($A189,[5]處所!$A$1:$P$65536,10,0)),"",VLOOKUP($A189,[5]處所!$A$1:$P$65536,10,0))</f>
        <v/>
      </c>
      <c r="L189" s="10" t="str">
        <f>IF(ISERROR(VLOOKUP($A189,[5]處所!$A$1:$P$65536,11,0)),"",VLOOKUP($A189,[5]處所!$A$1:$P$65536,11,0))</f>
        <v/>
      </c>
      <c r="M189" s="36" t="str">
        <f>IF(ISERROR(VLOOKUP($A189,[5]處所!$A$1:$P$65536,15,0)),"",VLOOKUP($A189,[5]處所!$A$1:$P$65536,15,0))</f>
        <v/>
      </c>
      <c r="N189" s="35" t="str">
        <f>IF(ISERROR(VLOOKUP($A189,[5]處所!$A$1:$P$65536,14,0)),"",VLOOKUP($A189,[5]處所!$A$1:$P$65536,14,0)/100000000)</f>
        <v/>
      </c>
      <c r="O189" s="35" t="e">
        <f>VLOOKUP($A189,[5]公平價格!$A$1:$P$65536,14,0)</f>
        <v>#N/A</v>
      </c>
    </row>
    <row r="190" spans="1:15">
      <c r="A190" s="12"/>
      <c r="B190" s="10"/>
      <c r="C190" s="11"/>
      <c r="D190" s="10"/>
      <c r="E190" s="10"/>
      <c r="F190" s="10" t="str">
        <f>IF(ISERROR(VLOOKUP($A190,[5]等殖!$A$1:$P$65536,10,0)),"",VLOOKUP(A190,[5]等殖!$A$1:$P$65536,10,0))</f>
        <v/>
      </c>
      <c r="G190" s="10" t="str">
        <f>IF(ISERROR(VLOOKUP($A190,[5]等殖!$A$1:$P$65536,11,0)),"",VLOOKUP($A190,[5]等殖!$A$1:$P$65536,11,0))</f>
        <v/>
      </c>
      <c r="H190" s="10" t="str">
        <f>IF(ISERROR(VLOOKUP($A190,[5]等殖!$A$1:$P$65536,12,0)),"",VLOOKUP($A190,[5]等殖!$A$1:$P$65536,12,0))</f>
        <v/>
      </c>
      <c r="I190" s="35" t="str">
        <f>IF(ISERROR(VLOOKUP($A190,[5]等殖!$A$1:$P$65536,16,0)),"",VLOOKUP($A190,[5]等殖!$A$1:$P$65536,16,0))</f>
        <v/>
      </c>
      <c r="J190" s="10" t="str">
        <f>IF(ISERROR(VLOOKUP($A190,[5]處所!$A$1:$P$65536,9,0)),"",VLOOKUP($A190,[5]處所!$A$1:$P$65536,9,0))</f>
        <v/>
      </c>
      <c r="K190" s="10" t="str">
        <f>IF(ISERROR(VLOOKUP($A190,[5]處所!$A$1:$P$65536,10,0)),"",VLOOKUP($A190,[5]處所!$A$1:$P$65536,10,0))</f>
        <v/>
      </c>
      <c r="L190" s="10" t="str">
        <f>IF(ISERROR(VLOOKUP($A190,[5]處所!$A$1:$P$65536,11,0)),"",VLOOKUP($A190,[5]處所!$A$1:$P$65536,11,0))</f>
        <v/>
      </c>
      <c r="M190" s="36" t="str">
        <f>IF(ISERROR(VLOOKUP($A190,[5]處所!$A$1:$P$65536,15,0)),"",VLOOKUP($A190,[5]處所!$A$1:$P$65536,15,0))</f>
        <v/>
      </c>
      <c r="N190" s="35" t="str">
        <f>IF(ISERROR(VLOOKUP($A190,[5]處所!$A$1:$P$65536,14,0)),"",VLOOKUP($A190,[5]處所!$A$1:$P$65536,14,0)/100000000)</f>
        <v/>
      </c>
      <c r="O190" s="35" t="e">
        <f>VLOOKUP($A190,[5]公平價格!$A$1:$P$65536,14,0)</f>
        <v>#N/A</v>
      </c>
    </row>
    <row r="191" spans="1:15">
      <c r="A191" s="12"/>
      <c r="B191" s="10"/>
      <c r="C191" s="11"/>
      <c r="D191" s="10"/>
      <c r="E191" s="10"/>
      <c r="F191" s="10" t="str">
        <f>IF(ISERROR(VLOOKUP($A191,[5]等殖!$A$1:$P$65536,10,0)),"",VLOOKUP(A191,[5]等殖!$A$1:$P$65536,10,0))</f>
        <v/>
      </c>
      <c r="G191" s="10" t="str">
        <f>IF(ISERROR(VLOOKUP($A191,[5]等殖!$A$1:$P$65536,11,0)),"",VLOOKUP($A191,[5]等殖!$A$1:$P$65536,11,0))</f>
        <v/>
      </c>
      <c r="H191" s="10" t="str">
        <f>IF(ISERROR(VLOOKUP($A191,[5]等殖!$A$1:$P$65536,12,0)),"",VLOOKUP($A191,[5]等殖!$A$1:$P$65536,12,0))</f>
        <v/>
      </c>
      <c r="I191" s="35" t="str">
        <f>IF(ISERROR(VLOOKUP($A191,[5]等殖!$A$1:$P$65536,16,0)),"",VLOOKUP($A191,[5]等殖!$A$1:$P$65536,16,0))</f>
        <v/>
      </c>
      <c r="J191" s="10" t="str">
        <f>IF(ISERROR(VLOOKUP($A191,[5]處所!$A$1:$P$65536,9,0)),"",VLOOKUP($A191,[5]處所!$A$1:$P$65536,9,0))</f>
        <v/>
      </c>
      <c r="K191" s="10" t="str">
        <f>IF(ISERROR(VLOOKUP($A191,[5]處所!$A$1:$P$65536,10,0)),"",VLOOKUP($A191,[5]處所!$A$1:$P$65536,10,0))</f>
        <v/>
      </c>
      <c r="L191" s="10" t="str">
        <f>IF(ISERROR(VLOOKUP($A191,[5]處所!$A$1:$P$65536,11,0)),"",VLOOKUP($A191,[5]處所!$A$1:$P$65536,11,0))</f>
        <v/>
      </c>
      <c r="M191" s="36" t="str">
        <f>IF(ISERROR(VLOOKUP($A191,[5]處所!$A$1:$P$65536,15,0)),"",VLOOKUP($A191,[5]處所!$A$1:$P$65536,15,0))</f>
        <v/>
      </c>
      <c r="N191" s="35" t="str">
        <f>IF(ISERROR(VLOOKUP($A191,[5]處所!$A$1:$P$65536,14,0)),"",VLOOKUP($A191,[5]處所!$A$1:$P$65536,14,0)/100000000)</f>
        <v/>
      </c>
      <c r="O191" s="35" t="e">
        <f>VLOOKUP($A191,[5]公平價格!$A$1:$P$65536,14,0)</f>
        <v>#N/A</v>
      </c>
    </row>
    <row r="192" spans="1:15">
      <c r="A192" s="12"/>
      <c r="B192" s="10"/>
      <c r="C192" s="11"/>
      <c r="D192" s="10"/>
      <c r="E192" s="10"/>
      <c r="F192" s="10" t="str">
        <f>IF(ISERROR(VLOOKUP($A192,[5]等殖!$A$1:$P$65536,10,0)),"",VLOOKUP(A192,[5]等殖!$A$1:$P$65536,10,0))</f>
        <v/>
      </c>
      <c r="G192" s="10" t="str">
        <f>IF(ISERROR(VLOOKUP($A192,[5]等殖!$A$1:$P$65536,11,0)),"",VLOOKUP($A192,[5]等殖!$A$1:$P$65536,11,0))</f>
        <v/>
      </c>
      <c r="H192" s="10" t="str">
        <f>IF(ISERROR(VLOOKUP($A192,[5]等殖!$A$1:$P$65536,12,0)),"",VLOOKUP($A192,[5]等殖!$A$1:$P$65536,12,0))</f>
        <v/>
      </c>
      <c r="I192" s="35" t="str">
        <f>IF(ISERROR(VLOOKUP($A192,[5]等殖!$A$1:$P$65536,16,0)),"",VLOOKUP($A192,[5]等殖!$A$1:$P$65536,16,0))</f>
        <v/>
      </c>
      <c r="J192" s="10" t="str">
        <f>IF(ISERROR(VLOOKUP($A192,[5]處所!$A$1:$P$65536,9,0)),"",VLOOKUP($A192,[5]處所!$A$1:$P$65536,9,0))</f>
        <v/>
      </c>
      <c r="K192" s="10" t="str">
        <f>IF(ISERROR(VLOOKUP($A192,[5]處所!$A$1:$P$65536,10,0)),"",VLOOKUP($A192,[5]處所!$A$1:$P$65536,10,0))</f>
        <v/>
      </c>
      <c r="L192" s="10" t="str">
        <f>IF(ISERROR(VLOOKUP($A192,[5]處所!$A$1:$P$65536,11,0)),"",VLOOKUP($A192,[5]處所!$A$1:$P$65536,11,0))</f>
        <v/>
      </c>
      <c r="M192" s="36" t="str">
        <f>IF(ISERROR(VLOOKUP($A192,[5]處所!$A$1:$P$65536,15,0)),"",VLOOKUP($A192,[5]處所!$A$1:$P$65536,15,0))</f>
        <v/>
      </c>
      <c r="N192" s="35" t="str">
        <f>IF(ISERROR(VLOOKUP($A192,[5]處所!$A$1:$P$65536,14,0)),"",VLOOKUP($A192,[5]處所!$A$1:$P$65536,14,0)/100000000)</f>
        <v/>
      </c>
      <c r="O192" s="35" t="e">
        <f>VLOOKUP($A192,[5]公平價格!$A$1:$P$65536,14,0)</f>
        <v>#N/A</v>
      </c>
    </row>
    <row r="193" spans="1:15">
      <c r="A193" s="12"/>
      <c r="B193" s="10"/>
      <c r="C193" s="11"/>
      <c r="D193" s="10"/>
      <c r="E193" s="10"/>
      <c r="F193" s="10" t="str">
        <f>IF(ISERROR(VLOOKUP($A193,[5]等殖!$A$1:$P$65536,10,0)),"",VLOOKUP(A193,[5]等殖!$A$1:$P$65536,10,0))</f>
        <v/>
      </c>
      <c r="G193" s="10" t="str">
        <f>IF(ISERROR(VLOOKUP($A193,[5]等殖!$A$1:$P$65536,11,0)),"",VLOOKUP($A193,[5]等殖!$A$1:$P$65536,11,0))</f>
        <v/>
      </c>
      <c r="H193" s="10" t="str">
        <f>IF(ISERROR(VLOOKUP($A193,[5]等殖!$A$1:$P$65536,12,0)),"",VLOOKUP($A193,[5]等殖!$A$1:$P$65536,12,0))</f>
        <v/>
      </c>
      <c r="I193" s="35" t="str">
        <f>IF(ISERROR(VLOOKUP($A193,[5]等殖!$A$1:$P$65536,16,0)),"",VLOOKUP($A193,[5]等殖!$A$1:$P$65536,16,0))</f>
        <v/>
      </c>
      <c r="J193" s="10" t="str">
        <f>IF(ISERROR(VLOOKUP($A193,[5]處所!$A$1:$P$65536,9,0)),"",VLOOKUP($A193,[5]處所!$A$1:$P$65536,9,0))</f>
        <v/>
      </c>
      <c r="K193" s="10" t="str">
        <f>IF(ISERROR(VLOOKUP($A193,[5]處所!$A$1:$P$65536,10,0)),"",VLOOKUP($A193,[5]處所!$A$1:$P$65536,10,0))</f>
        <v/>
      </c>
      <c r="L193" s="10" t="str">
        <f>IF(ISERROR(VLOOKUP($A193,[5]處所!$A$1:$P$65536,11,0)),"",VLOOKUP($A193,[5]處所!$A$1:$P$65536,11,0))</f>
        <v/>
      </c>
      <c r="M193" s="36" t="str">
        <f>IF(ISERROR(VLOOKUP($A193,[5]處所!$A$1:$P$65536,15,0)),"",VLOOKUP($A193,[5]處所!$A$1:$P$65536,15,0))</f>
        <v/>
      </c>
      <c r="N193" s="35" t="str">
        <f>IF(ISERROR(VLOOKUP($A193,[5]處所!$A$1:$P$65536,14,0)),"",VLOOKUP($A193,[5]處所!$A$1:$P$65536,14,0)/100000000)</f>
        <v/>
      </c>
      <c r="O193" s="35" t="e">
        <f>VLOOKUP($A193,[5]公平價格!$A$1:$P$65536,14,0)</f>
        <v>#N/A</v>
      </c>
    </row>
    <row r="194" spans="1:15">
      <c r="A194" s="12"/>
      <c r="B194" s="10"/>
      <c r="C194" s="11"/>
      <c r="D194" s="10"/>
      <c r="E194" s="10"/>
      <c r="F194" s="10" t="str">
        <f>IF(ISERROR(VLOOKUP($A194,[5]等殖!$A$1:$P$65536,10,0)),"",VLOOKUP(A194,[5]等殖!$A$1:$P$65536,10,0))</f>
        <v/>
      </c>
      <c r="G194" s="10" t="str">
        <f>IF(ISERROR(VLOOKUP($A194,[5]等殖!$A$1:$P$65536,11,0)),"",VLOOKUP($A194,[5]等殖!$A$1:$P$65536,11,0))</f>
        <v/>
      </c>
      <c r="H194" s="10" t="str">
        <f>IF(ISERROR(VLOOKUP($A194,[5]等殖!$A$1:$P$65536,12,0)),"",VLOOKUP($A194,[5]等殖!$A$1:$P$65536,12,0))</f>
        <v/>
      </c>
      <c r="I194" s="35" t="str">
        <f>IF(ISERROR(VLOOKUP($A194,[5]等殖!$A$1:$P$65536,16,0)),"",VLOOKUP($A194,[5]等殖!$A$1:$P$65536,16,0))</f>
        <v/>
      </c>
      <c r="J194" s="10" t="str">
        <f>IF(ISERROR(VLOOKUP($A194,[5]處所!$A$1:$P$65536,9,0)),"",VLOOKUP($A194,[5]處所!$A$1:$P$65536,9,0))</f>
        <v/>
      </c>
      <c r="K194" s="10" t="str">
        <f>IF(ISERROR(VLOOKUP($A194,[5]處所!$A$1:$P$65536,10,0)),"",VLOOKUP($A194,[5]處所!$A$1:$P$65536,10,0))</f>
        <v/>
      </c>
      <c r="L194" s="10" t="str">
        <f>IF(ISERROR(VLOOKUP($A194,[5]處所!$A$1:$P$65536,11,0)),"",VLOOKUP($A194,[5]處所!$A$1:$P$65536,11,0))</f>
        <v/>
      </c>
      <c r="M194" s="36" t="str">
        <f>IF(ISERROR(VLOOKUP($A194,[5]處所!$A$1:$P$65536,15,0)),"",VLOOKUP($A194,[5]處所!$A$1:$P$65536,15,0))</f>
        <v/>
      </c>
      <c r="N194" s="35" t="str">
        <f>IF(ISERROR(VLOOKUP($A194,[5]處所!$A$1:$P$65536,14,0)),"",VLOOKUP($A194,[5]處所!$A$1:$P$65536,14,0)/100000000)</f>
        <v/>
      </c>
      <c r="O194" s="35" t="e">
        <f>VLOOKUP($A194,[5]公平價格!$A$1:$P$65536,14,0)</f>
        <v>#N/A</v>
      </c>
    </row>
    <row r="195" spans="1:15">
      <c r="A195" s="12"/>
      <c r="B195" s="10"/>
      <c r="C195" s="11"/>
      <c r="D195" s="10"/>
      <c r="E195" s="10"/>
      <c r="F195" s="10" t="str">
        <f>IF(ISERROR(VLOOKUP($A195,[5]等殖!$A$1:$P$65536,10,0)),"",VLOOKUP(A195,[5]等殖!$A$1:$P$65536,10,0))</f>
        <v/>
      </c>
      <c r="G195" s="10" t="str">
        <f>IF(ISERROR(VLOOKUP($A195,[5]等殖!$A$1:$P$65536,11,0)),"",VLOOKUP($A195,[5]等殖!$A$1:$P$65536,11,0))</f>
        <v/>
      </c>
      <c r="H195" s="10" t="str">
        <f>IF(ISERROR(VLOOKUP($A195,[5]等殖!$A$1:$P$65536,12,0)),"",VLOOKUP($A195,[5]等殖!$A$1:$P$65536,12,0))</f>
        <v/>
      </c>
      <c r="I195" s="35" t="str">
        <f>IF(ISERROR(VLOOKUP($A195,[5]等殖!$A$1:$P$65536,16,0)),"",VLOOKUP($A195,[5]等殖!$A$1:$P$65536,16,0))</f>
        <v/>
      </c>
      <c r="J195" s="10" t="str">
        <f>IF(ISERROR(VLOOKUP($A195,[5]處所!$A$1:$P$65536,9,0)),"",VLOOKUP($A195,[5]處所!$A$1:$P$65536,9,0))</f>
        <v/>
      </c>
      <c r="K195" s="10" t="str">
        <f>IF(ISERROR(VLOOKUP($A195,[5]處所!$A$1:$P$65536,10,0)),"",VLOOKUP($A195,[5]處所!$A$1:$P$65536,10,0))</f>
        <v/>
      </c>
      <c r="L195" s="10" t="str">
        <f>IF(ISERROR(VLOOKUP($A195,[5]處所!$A$1:$P$65536,11,0)),"",VLOOKUP($A195,[5]處所!$A$1:$P$65536,11,0))</f>
        <v/>
      </c>
      <c r="M195" s="36" t="str">
        <f>IF(ISERROR(VLOOKUP($A195,[5]處所!$A$1:$P$65536,15,0)),"",VLOOKUP($A195,[5]處所!$A$1:$P$65536,15,0))</f>
        <v/>
      </c>
      <c r="N195" s="35" t="str">
        <f>IF(ISERROR(VLOOKUP($A195,[5]處所!$A$1:$P$65536,14,0)),"",VLOOKUP($A195,[5]處所!$A$1:$P$65536,14,0)/100000000)</f>
        <v/>
      </c>
      <c r="O195" s="35" t="e">
        <f>VLOOKUP($A195,[5]公平價格!$A$1:$P$65536,14,0)</f>
        <v>#N/A</v>
      </c>
    </row>
    <row r="196" spans="1:15">
      <c r="A196" s="12"/>
      <c r="B196" s="10"/>
      <c r="C196" s="11"/>
      <c r="D196" s="10"/>
      <c r="E196" s="10"/>
      <c r="F196" s="10" t="str">
        <f>IF(ISERROR(VLOOKUP($A196,[5]等殖!$A$1:$P$65536,10,0)),"",VLOOKUP(A196,[5]等殖!$A$1:$P$65536,10,0))</f>
        <v/>
      </c>
      <c r="G196" s="10" t="str">
        <f>IF(ISERROR(VLOOKUP($A196,[5]等殖!$A$1:$P$65536,11,0)),"",VLOOKUP($A196,[5]等殖!$A$1:$P$65536,11,0))</f>
        <v/>
      </c>
      <c r="H196" s="10" t="str">
        <f>IF(ISERROR(VLOOKUP($A196,[5]等殖!$A$1:$P$65536,12,0)),"",VLOOKUP($A196,[5]等殖!$A$1:$P$65536,12,0))</f>
        <v/>
      </c>
      <c r="I196" s="35" t="str">
        <f>IF(ISERROR(VLOOKUP($A196,[5]等殖!$A$1:$P$65536,16,0)),"",VLOOKUP($A196,[5]等殖!$A$1:$P$65536,16,0))</f>
        <v/>
      </c>
      <c r="J196" s="10" t="str">
        <f>IF(ISERROR(VLOOKUP($A196,[5]處所!$A$1:$P$65536,9,0)),"",VLOOKUP($A196,[5]處所!$A$1:$P$65536,9,0))</f>
        <v/>
      </c>
      <c r="K196" s="10" t="str">
        <f>IF(ISERROR(VLOOKUP($A196,[5]處所!$A$1:$P$65536,10,0)),"",VLOOKUP($A196,[5]處所!$A$1:$P$65536,10,0))</f>
        <v/>
      </c>
      <c r="L196" s="10" t="str">
        <f>IF(ISERROR(VLOOKUP($A196,[5]處所!$A$1:$P$65536,11,0)),"",VLOOKUP($A196,[5]處所!$A$1:$P$65536,11,0))</f>
        <v/>
      </c>
      <c r="M196" s="36" t="str">
        <f>IF(ISERROR(VLOOKUP($A196,[5]處所!$A$1:$P$65536,15,0)),"",VLOOKUP($A196,[5]處所!$A$1:$P$65536,15,0))</f>
        <v/>
      </c>
      <c r="N196" s="35" t="str">
        <f>IF(ISERROR(VLOOKUP($A196,[5]處所!$A$1:$P$65536,14,0)),"",VLOOKUP($A196,[5]處所!$A$1:$P$65536,14,0)/100000000)</f>
        <v/>
      </c>
      <c r="O196" s="35" t="e">
        <f>VLOOKUP($A196,[5]公平價格!$A$1:$P$65536,14,0)</f>
        <v>#N/A</v>
      </c>
    </row>
    <row r="197" spans="1:15">
      <c r="A197" s="12"/>
      <c r="B197" s="10"/>
      <c r="C197" s="11"/>
      <c r="D197" s="10"/>
      <c r="E197" s="10"/>
      <c r="F197" s="10" t="str">
        <f>IF(ISERROR(VLOOKUP($A197,[5]等殖!$A$1:$P$65536,10,0)),"",VLOOKUP(A197,[5]等殖!$A$1:$P$65536,10,0))</f>
        <v/>
      </c>
      <c r="G197" s="10" t="str">
        <f>IF(ISERROR(VLOOKUP($A197,[5]等殖!$A$1:$P$65536,11,0)),"",VLOOKUP($A197,[5]等殖!$A$1:$P$65536,11,0))</f>
        <v/>
      </c>
      <c r="H197" s="10" t="str">
        <f>IF(ISERROR(VLOOKUP($A197,[5]等殖!$A$1:$P$65536,12,0)),"",VLOOKUP($A197,[5]等殖!$A$1:$P$65536,12,0))</f>
        <v/>
      </c>
      <c r="I197" s="35" t="str">
        <f>IF(ISERROR(VLOOKUP($A197,[5]等殖!$A$1:$P$65536,16,0)),"",VLOOKUP($A197,[5]等殖!$A$1:$P$65536,16,0))</f>
        <v/>
      </c>
      <c r="J197" s="10" t="str">
        <f>IF(ISERROR(VLOOKUP($A197,[5]處所!$A$1:$P$65536,9,0)),"",VLOOKUP($A197,[5]處所!$A$1:$P$65536,9,0))</f>
        <v/>
      </c>
      <c r="K197" s="10" t="str">
        <f>IF(ISERROR(VLOOKUP($A197,[5]處所!$A$1:$P$65536,10,0)),"",VLOOKUP($A197,[5]處所!$A$1:$P$65536,10,0))</f>
        <v/>
      </c>
      <c r="L197" s="10" t="str">
        <f>IF(ISERROR(VLOOKUP($A197,[5]處所!$A$1:$P$65536,11,0)),"",VLOOKUP($A197,[5]處所!$A$1:$P$65536,11,0))</f>
        <v/>
      </c>
      <c r="M197" s="36" t="str">
        <f>IF(ISERROR(VLOOKUP($A197,[5]處所!$A$1:$P$65536,15,0)),"",VLOOKUP($A197,[5]處所!$A$1:$P$65536,15,0))</f>
        <v/>
      </c>
      <c r="N197" s="35" t="str">
        <f>IF(ISERROR(VLOOKUP($A197,[5]處所!$A$1:$P$65536,14,0)),"",VLOOKUP($A197,[5]處所!$A$1:$P$65536,14,0)/100000000)</f>
        <v/>
      </c>
      <c r="O197" s="35" t="e">
        <f>VLOOKUP($A197,[5]公平價格!$A$1:$P$65536,14,0)</f>
        <v>#N/A</v>
      </c>
    </row>
    <row r="198" spans="1:15">
      <c r="A198" s="12"/>
      <c r="B198" s="10"/>
      <c r="C198" s="11"/>
      <c r="D198" s="10"/>
      <c r="E198" s="10"/>
      <c r="F198" s="10" t="str">
        <f>IF(ISERROR(VLOOKUP($A198,[5]等殖!$A$1:$P$65536,10,0)),"",VLOOKUP(A198,[5]等殖!$A$1:$P$65536,10,0))</f>
        <v/>
      </c>
      <c r="G198" s="10" t="str">
        <f>IF(ISERROR(VLOOKUP($A198,[5]等殖!$A$1:$P$65536,11,0)),"",VLOOKUP($A198,[5]等殖!$A$1:$P$65536,11,0))</f>
        <v/>
      </c>
      <c r="H198" s="10" t="str">
        <f>IF(ISERROR(VLOOKUP($A198,[5]等殖!$A$1:$P$65536,12,0)),"",VLOOKUP($A198,[5]等殖!$A$1:$P$65536,12,0))</f>
        <v/>
      </c>
      <c r="I198" s="35" t="str">
        <f>IF(ISERROR(VLOOKUP($A198,[5]等殖!$A$1:$P$65536,16,0)),"",VLOOKUP($A198,[5]等殖!$A$1:$P$65536,16,0))</f>
        <v/>
      </c>
      <c r="J198" s="10" t="str">
        <f>IF(ISERROR(VLOOKUP($A198,[5]處所!$A$1:$P$65536,9,0)),"",VLOOKUP($A198,[5]處所!$A$1:$P$65536,9,0))</f>
        <v/>
      </c>
      <c r="K198" s="10" t="str">
        <f>IF(ISERROR(VLOOKUP($A198,[5]處所!$A$1:$P$65536,10,0)),"",VLOOKUP($A198,[5]處所!$A$1:$P$65536,10,0))</f>
        <v/>
      </c>
      <c r="L198" s="10" t="str">
        <f>IF(ISERROR(VLOOKUP($A198,[5]處所!$A$1:$P$65536,11,0)),"",VLOOKUP($A198,[5]處所!$A$1:$P$65536,11,0))</f>
        <v/>
      </c>
      <c r="M198" s="36" t="str">
        <f>IF(ISERROR(VLOOKUP($A198,[5]處所!$A$1:$P$65536,15,0)),"",VLOOKUP($A198,[5]處所!$A$1:$P$65536,15,0))</f>
        <v/>
      </c>
      <c r="N198" s="35" t="str">
        <f>IF(ISERROR(VLOOKUP($A198,[5]處所!$A$1:$P$65536,14,0)),"",VLOOKUP($A198,[5]處所!$A$1:$P$65536,14,0)/100000000)</f>
        <v/>
      </c>
      <c r="O198" s="35" t="e">
        <f>VLOOKUP($A198,[5]公平價格!$A$1:$P$65536,14,0)</f>
        <v>#N/A</v>
      </c>
    </row>
    <row r="199" spans="1:15">
      <c r="A199" s="12"/>
      <c r="B199" s="10"/>
      <c r="C199" s="11"/>
      <c r="D199" s="10"/>
      <c r="E199" s="10"/>
      <c r="F199" s="10" t="str">
        <f>IF(ISERROR(VLOOKUP($A199,[5]等殖!$A$1:$P$65536,10,0)),"",VLOOKUP(A199,[5]等殖!$A$1:$P$65536,10,0))</f>
        <v/>
      </c>
      <c r="G199" s="10" t="str">
        <f>IF(ISERROR(VLOOKUP($A199,[5]等殖!$A$1:$P$65536,11,0)),"",VLOOKUP($A199,[5]等殖!$A$1:$P$65536,11,0))</f>
        <v/>
      </c>
      <c r="H199" s="10" t="str">
        <f>IF(ISERROR(VLOOKUP($A199,[5]等殖!$A$1:$P$65536,12,0)),"",VLOOKUP($A199,[5]等殖!$A$1:$P$65536,12,0))</f>
        <v/>
      </c>
      <c r="I199" s="35" t="str">
        <f>IF(ISERROR(VLOOKUP($A199,[5]等殖!$A$1:$P$65536,16,0)),"",VLOOKUP($A199,[5]等殖!$A$1:$P$65536,16,0))</f>
        <v/>
      </c>
      <c r="J199" s="10" t="str">
        <f>IF(ISERROR(VLOOKUP($A199,[5]處所!$A$1:$P$65536,9,0)),"",VLOOKUP($A199,[5]處所!$A$1:$P$65536,9,0))</f>
        <v/>
      </c>
      <c r="K199" s="10" t="str">
        <f>IF(ISERROR(VLOOKUP($A199,[5]處所!$A$1:$P$65536,10,0)),"",VLOOKUP($A199,[5]處所!$A$1:$P$65536,10,0))</f>
        <v/>
      </c>
      <c r="L199" s="10" t="str">
        <f>IF(ISERROR(VLOOKUP($A199,[5]處所!$A$1:$P$65536,11,0)),"",VLOOKUP($A199,[5]處所!$A$1:$P$65536,11,0))</f>
        <v/>
      </c>
      <c r="M199" s="36" t="str">
        <f>IF(ISERROR(VLOOKUP($A199,[5]處所!$A$1:$P$65536,15,0)),"",VLOOKUP($A199,[5]處所!$A$1:$P$65536,15,0))</f>
        <v/>
      </c>
      <c r="N199" s="35" t="str">
        <f>IF(ISERROR(VLOOKUP($A199,[5]處所!$A$1:$P$65536,14,0)),"",VLOOKUP($A199,[5]處所!$A$1:$P$65536,14,0)/100000000)</f>
        <v/>
      </c>
      <c r="O199" s="35" t="e">
        <f>VLOOKUP($A199,[5]公平價格!$A$1:$P$65536,14,0)</f>
        <v>#N/A</v>
      </c>
    </row>
    <row r="200" spans="1:15">
      <c r="A200" s="12"/>
      <c r="B200" s="10"/>
      <c r="C200" s="11"/>
      <c r="D200" s="10"/>
      <c r="E200" s="10"/>
      <c r="F200" s="10" t="str">
        <f>IF(ISERROR(VLOOKUP($A200,[5]等殖!$A$1:$P$65536,10,0)),"",VLOOKUP(A200,[5]等殖!$A$1:$P$65536,10,0))</f>
        <v/>
      </c>
      <c r="G200" s="10" t="str">
        <f>IF(ISERROR(VLOOKUP($A200,[5]等殖!$A$1:$P$65536,11,0)),"",VLOOKUP($A200,[5]等殖!$A$1:$P$65536,11,0))</f>
        <v/>
      </c>
      <c r="H200" s="10" t="str">
        <f>IF(ISERROR(VLOOKUP($A200,[5]等殖!$A$1:$P$65536,12,0)),"",VLOOKUP($A200,[5]等殖!$A$1:$P$65536,12,0))</f>
        <v/>
      </c>
      <c r="I200" s="35" t="str">
        <f>IF(ISERROR(VLOOKUP($A200,[5]等殖!$A$1:$P$65536,16,0)),"",VLOOKUP($A200,[5]等殖!$A$1:$P$65536,16,0))</f>
        <v/>
      </c>
      <c r="J200" s="10" t="str">
        <f>IF(ISERROR(VLOOKUP($A200,[5]處所!$A$1:$P$65536,9,0)),"",VLOOKUP($A200,[5]處所!$A$1:$P$65536,9,0))</f>
        <v/>
      </c>
      <c r="K200" s="10" t="str">
        <f>IF(ISERROR(VLOOKUP($A200,[5]處所!$A$1:$P$65536,10,0)),"",VLOOKUP($A200,[5]處所!$A$1:$P$65536,10,0))</f>
        <v/>
      </c>
      <c r="L200" s="10" t="str">
        <f>IF(ISERROR(VLOOKUP($A200,[5]處所!$A$1:$P$65536,11,0)),"",VLOOKUP($A200,[5]處所!$A$1:$P$65536,11,0))</f>
        <v/>
      </c>
      <c r="M200" s="36" t="str">
        <f>IF(ISERROR(VLOOKUP($A200,[5]處所!$A$1:$P$65536,15,0)),"",VLOOKUP($A200,[5]處所!$A$1:$P$65536,15,0))</f>
        <v/>
      </c>
      <c r="N200" s="35" t="str">
        <f>IF(ISERROR(VLOOKUP($A200,[5]處所!$A$1:$P$65536,14,0)),"",VLOOKUP($A200,[5]處所!$A$1:$P$65536,14,0)/100000000)</f>
        <v/>
      </c>
      <c r="O200" s="35" t="e">
        <f>VLOOKUP($A200,[5]公平價格!$A$1:$P$65536,14,0)</f>
        <v>#N/A</v>
      </c>
    </row>
    <row r="201" spans="1:15">
      <c r="A201" s="12"/>
      <c r="B201" s="10"/>
      <c r="C201" s="11"/>
      <c r="D201" s="10"/>
      <c r="E201" s="10"/>
      <c r="F201" s="10" t="str">
        <f>IF(ISERROR(VLOOKUP($A201,[5]等殖!$A$1:$P$65536,10,0)),"",VLOOKUP(A201,[5]等殖!$A$1:$P$65536,10,0))</f>
        <v/>
      </c>
      <c r="G201" s="10" t="str">
        <f>IF(ISERROR(VLOOKUP($A201,[5]等殖!$A$1:$P$65536,11,0)),"",VLOOKUP($A201,[5]等殖!$A$1:$P$65536,11,0))</f>
        <v/>
      </c>
      <c r="H201" s="10" t="str">
        <f>IF(ISERROR(VLOOKUP($A201,[5]等殖!$A$1:$P$65536,12,0)),"",VLOOKUP($A201,[5]等殖!$A$1:$P$65536,12,0))</f>
        <v/>
      </c>
      <c r="I201" s="35" t="str">
        <f>IF(ISERROR(VLOOKUP($A201,[5]等殖!$A$1:$P$65536,16,0)),"",VLOOKUP($A201,[5]等殖!$A$1:$P$65536,16,0))</f>
        <v/>
      </c>
      <c r="J201" s="10" t="str">
        <f>IF(ISERROR(VLOOKUP($A201,[5]處所!$A$1:$P$65536,9,0)),"",VLOOKUP($A201,[5]處所!$A$1:$P$65536,9,0))</f>
        <v/>
      </c>
      <c r="K201" s="10" t="str">
        <f>IF(ISERROR(VLOOKUP($A201,[5]處所!$A$1:$P$65536,10,0)),"",VLOOKUP($A201,[5]處所!$A$1:$P$65536,10,0))</f>
        <v/>
      </c>
      <c r="L201" s="10" t="str">
        <f>IF(ISERROR(VLOOKUP($A201,[5]處所!$A$1:$P$65536,11,0)),"",VLOOKUP($A201,[5]處所!$A$1:$P$65536,11,0))</f>
        <v/>
      </c>
      <c r="M201" s="36" t="str">
        <f>IF(ISERROR(VLOOKUP($A201,[5]處所!$A$1:$P$65536,15,0)),"",VLOOKUP($A201,[5]處所!$A$1:$P$65536,15,0))</f>
        <v/>
      </c>
      <c r="N201" s="35" t="str">
        <f>IF(ISERROR(VLOOKUP($A201,[5]處所!$A$1:$P$65536,14,0)),"",VLOOKUP($A201,[5]處所!$A$1:$P$65536,14,0)/100000000)</f>
        <v/>
      </c>
      <c r="O201" s="35" t="e">
        <f>VLOOKUP($A201,[5]公平價格!$A$1:$P$65536,14,0)</f>
        <v>#N/A</v>
      </c>
    </row>
    <row r="202" spans="1:15">
      <c r="A202" s="12"/>
      <c r="B202" s="10"/>
      <c r="C202" s="11"/>
      <c r="D202" s="10"/>
      <c r="E202" s="10"/>
      <c r="F202" s="10" t="str">
        <f>IF(ISERROR(VLOOKUP($A202,[5]等殖!$A$1:$P$65536,10,0)),"",VLOOKUP(A202,[5]等殖!$A$1:$P$65536,10,0))</f>
        <v/>
      </c>
      <c r="G202" s="10" t="str">
        <f>IF(ISERROR(VLOOKUP($A202,[5]等殖!$A$1:$P$65536,11,0)),"",VLOOKUP($A202,[5]等殖!$A$1:$P$65536,11,0))</f>
        <v/>
      </c>
      <c r="H202" s="10" t="str">
        <f>IF(ISERROR(VLOOKUP($A202,[5]等殖!$A$1:$P$65536,12,0)),"",VLOOKUP($A202,[5]等殖!$A$1:$P$65536,12,0))</f>
        <v/>
      </c>
      <c r="I202" s="35" t="str">
        <f>IF(ISERROR(VLOOKUP($A202,[5]等殖!$A$1:$P$65536,16,0)),"",VLOOKUP($A202,[5]等殖!$A$1:$P$65536,16,0))</f>
        <v/>
      </c>
      <c r="J202" s="10" t="str">
        <f>IF(ISERROR(VLOOKUP($A202,[5]處所!$A$1:$P$65536,9,0)),"",VLOOKUP($A202,[5]處所!$A$1:$P$65536,9,0))</f>
        <v/>
      </c>
      <c r="K202" s="10" t="str">
        <f>IF(ISERROR(VLOOKUP($A202,[5]處所!$A$1:$P$65536,10,0)),"",VLOOKUP($A202,[5]處所!$A$1:$P$65536,10,0))</f>
        <v/>
      </c>
      <c r="L202" s="10" t="str">
        <f>IF(ISERROR(VLOOKUP($A202,[5]處所!$A$1:$P$65536,11,0)),"",VLOOKUP($A202,[5]處所!$A$1:$P$65536,11,0))</f>
        <v/>
      </c>
      <c r="M202" s="36" t="str">
        <f>IF(ISERROR(VLOOKUP($A202,[5]處所!$A$1:$P$65536,15,0)),"",VLOOKUP($A202,[5]處所!$A$1:$P$65536,15,0))</f>
        <v/>
      </c>
      <c r="N202" s="35" t="str">
        <f>IF(ISERROR(VLOOKUP($A202,[5]處所!$A$1:$P$65536,14,0)),"",VLOOKUP($A202,[5]處所!$A$1:$P$65536,14,0)/100000000)</f>
        <v/>
      </c>
      <c r="O202" s="35" t="e">
        <f>VLOOKUP($A202,[5]公平價格!$A$1:$P$65536,14,0)</f>
        <v>#N/A</v>
      </c>
    </row>
    <row r="203" spans="1:15">
      <c r="A203" s="12"/>
      <c r="B203" s="10"/>
      <c r="C203" s="11"/>
      <c r="D203" s="10"/>
      <c r="E203" s="10"/>
      <c r="F203" s="10" t="str">
        <f>IF(ISERROR(VLOOKUP($A203,[5]等殖!$A$1:$P$65536,10,0)),"",VLOOKUP(A203,[5]等殖!$A$1:$P$65536,10,0))</f>
        <v/>
      </c>
      <c r="G203" s="10" t="str">
        <f>IF(ISERROR(VLOOKUP($A203,[5]等殖!$A$1:$P$65536,11,0)),"",VLOOKUP($A203,[5]等殖!$A$1:$P$65536,11,0))</f>
        <v/>
      </c>
      <c r="H203" s="10" t="str">
        <f>IF(ISERROR(VLOOKUP($A203,[5]等殖!$A$1:$P$65536,12,0)),"",VLOOKUP($A203,[5]等殖!$A$1:$P$65536,12,0))</f>
        <v/>
      </c>
      <c r="I203" s="35" t="str">
        <f>IF(ISERROR(VLOOKUP($A203,[5]等殖!$A$1:$P$65536,16,0)),"",VLOOKUP($A203,[5]等殖!$A$1:$P$65536,16,0))</f>
        <v/>
      </c>
      <c r="J203" s="10" t="str">
        <f>IF(ISERROR(VLOOKUP($A203,[5]處所!$A$1:$P$65536,9,0)),"",VLOOKUP($A203,[5]處所!$A$1:$P$65536,9,0))</f>
        <v/>
      </c>
      <c r="K203" s="10" t="str">
        <f>IF(ISERROR(VLOOKUP($A203,[5]處所!$A$1:$P$65536,10,0)),"",VLOOKUP($A203,[5]處所!$A$1:$P$65536,10,0))</f>
        <v/>
      </c>
      <c r="L203" s="10" t="str">
        <f>IF(ISERROR(VLOOKUP($A203,[5]處所!$A$1:$P$65536,11,0)),"",VLOOKUP($A203,[5]處所!$A$1:$P$65536,11,0))</f>
        <v/>
      </c>
      <c r="M203" s="36" t="str">
        <f>IF(ISERROR(VLOOKUP($A203,[5]處所!$A$1:$P$65536,15,0)),"",VLOOKUP($A203,[5]處所!$A$1:$P$65536,15,0))</f>
        <v/>
      </c>
      <c r="N203" s="35" t="str">
        <f>IF(ISERROR(VLOOKUP($A203,[5]處所!$A$1:$P$65536,14,0)),"",VLOOKUP($A203,[5]處所!$A$1:$P$65536,14,0)/100000000)</f>
        <v/>
      </c>
      <c r="O203" s="35" t="e">
        <f>VLOOKUP($A203,[5]公平價格!$A$1:$P$65536,14,0)</f>
        <v>#N/A</v>
      </c>
    </row>
    <row r="204" spans="1:15">
      <c r="A204" s="12"/>
      <c r="B204" s="10"/>
      <c r="C204" s="11"/>
      <c r="D204" s="10"/>
      <c r="E204" s="10"/>
      <c r="F204" s="10" t="str">
        <f>IF(ISERROR(VLOOKUP($A204,[5]等殖!$A$1:$P$65536,10,0)),"",VLOOKUP(A204,[5]等殖!$A$1:$P$65536,10,0))</f>
        <v/>
      </c>
      <c r="G204" s="10" t="str">
        <f>IF(ISERROR(VLOOKUP($A204,[5]等殖!$A$1:$P$65536,11,0)),"",VLOOKUP($A204,[5]等殖!$A$1:$P$65536,11,0))</f>
        <v/>
      </c>
      <c r="H204" s="10" t="str">
        <f>IF(ISERROR(VLOOKUP($A204,[5]等殖!$A$1:$P$65536,12,0)),"",VLOOKUP($A204,[5]等殖!$A$1:$P$65536,12,0))</f>
        <v/>
      </c>
      <c r="I204" s="35" t="str">
        <f>IF(ISERROR(VLOOKUP($A204,[5]等殖!$A$1:$P$65536,16,0)),"",VLOOKUP($A204,[5]等殖!$A$1:$P$65536,16,0))</f>
        <v/>
      </c>
      <c r="J204" s="10" t="str">
        <f>IF(ISERROR(VLOOKUP($A204,[5]處所!$A$1:$P$65536,9,0)),"",VLOOKUP($A204,[5]處所!$A$1:$P$65536,9,0))</f>
        <v/>
      </c>
      <c r="K204" s="10" t="str">
        <f>IF(ISERROR(VLOOKUP($A204,[5]處所!$A$1:$P$65536,10,0)),"",VLOOKUP($A204,[5]處所!$A$1:$P$65536,10,0))</f>
        <v/>
      </c>
      <c r="L204" s="10" t="str">
        <f>IF(ISERROR(VLOOKUP($A204,[5]處所!$A$1:$P$65536,11,0)),"",VLOOKUP($A204,[5]處所!$A$1:$P$65536,11,0))</f>
        <v/>
      </c>
      <c r="M204" s="36" t="str">
        <f>IF(ISERROR(VLOOKUP($A204,[5]處所!$A$1:$P$65536,15,0)),"",VLOOKUP($A204,[5]處所!$A$1:$P$65536,15,0))</f>
        <v/>
      </c>
      <c r="N204" s="35" t="str">
        <f>IF(ISERROR(VLOOKUP($A204,[5]處所!$A$1:$P$65536,14,0)),"",VLOOKUP($A204,[5]處所!$A$1:$P$65536,14,0)/100000000)</f>
        <v/>
      </c>
      <c r="O204" s="35" t="e">
        <f>VLOOKUP($A204,[5]公平價格!$A$1:$P$65536,14,0)</f>
        <v>#N/A</v>
      </c>
    </row>
    <row r="205" spans="1:15">
      <c r="A205" s="12"/>
      <c r="B205" s="10"/>
      <c r="C205" s="11"/>
      <c r="D205" s="10"/>
      <c r="E205" s="10"/>
      <c r="F205" s="10" t="str">
        <f>IF(ISERROR(VLOOKUP($A205,[5]等殖!$A$1:$P$65536,10,0)),"",VLOOKUP(A205,[5]等殖!$A$1:$P$65536,10,0))</f>
        <v/>
      </c>
      <c r="G205" s="10" t="str">
        <f>IF(ISERROR(VLOOKUP($A205,[5]等殖!$A$1:$P$65536,11,0)),"",VLOOKUP($A205,[5]等殖!$A$1:$P$65536,11,0))</f>
        <v/>
      </c>
      <c r="H205" s="10" t="str">
        <f>IF(ISERROR(VLOOKUP($A205,[5]等殖!$A$1:$P$65536,12,0)),"",VLOOKUP($A205,[5]等殖!$A$1:$P$65536,12,0))</f>
        <v/>
      </c>
      <c r="I205" s="35" t="str">
        <f>IF(ISERROR(VLOOKUP($A205,[5]等殖!$A$1:$P$65536,16,0)),"",VLOOKUP($A205,[5]等殖!$A$1:$P$65536,16,0))</f>
        <v/>
      </c>
      <c r="J205" s="10" t="str">
        <f>IF(ISERROR(VLOOKUP($A205,[5]處所!$A$1:$P$65536,9,0)),"",VLOOKUP($A205,[5]處所!$A$1:$P$65536,9,0))</f>
        <v/>
      </c>
      <c r="K205" s="10" t="str">
        <f>IF(ISERROR(VLOOKUP($A205,[5]處所!$A$1:$P$65536,10,0)),"",VLOOKUP($A205,[5]處所!$A$1:$P$65536,10,0))</f>
        <v/>
      </c>
      <c r="L205" s="10" t="str">
        <f>IF(ISERROR(VLOOKUP($A205,[5]處所!$A$1:$P$65536,11,0)),"",VLOOKUP($A205,[5]處所!$A$1:$P$65536,11,0))</f>
        <v/>
      </c>
      <c r="M205" s="36" t="str">
        <f>IF(ISERROR(VLOOKUP($A205,[5]處所!$A$1:$P$65536,15,0)),"",VLOOKUP($A205,[5]處所!$A$1:$P$65536,15,0))</f>
        <v/>
      </c>
      <c r="N205" s="35" t="str">
        <f>IF(ISERROR(VLOOKUP($A205,[5]處所!$A$1:$P$65536,14,0)),"",VLOOKUP($A205,[5]處所!$A$1:$P$65536,14,0)/100000000)</f>
        <v/>
      </c>
      <c r="O205" s="35" t="e">
        <f>VLOOKUP($A205,[5]公平價格!$A$1:$P$65536,14,0)</f>
        <v>#N/A</v>
      </c>
    </row>
    <row r="206" spans="1:15">
      <c r="A206" s="12"/>
      <c r="B206" s="10"/>
      <c r="C206" s="11"/>
      <c r="D206" s="10"/>
      <c r="E206" s="10"/>
      <c r="F206" s="10" t="str">
        <f>IF(ISERROR(VLOOKUP($A206,[5]等殖!$A$1:$P$65536,10,0)),"",VLOOKUP(A206,[5]等殖!$A$1:$P$65536,10,0))</f>
        <v/>
      </c>
      <c r="G206" s="10" t="str">
        <f>IF(ISERROR(VLOOKUP($A206,[5]等殖!$A$1:$P$65536,11,0)),"",VLOOKUP($A206,[5]等殖!$A$1:$P$65536,11,0))</f>
        <v/>
      </c>
      <c r="H206" s="10" t="str">
        <f>IF(ISERROR(VLOOKUP($A206,[5]等殖!$A$1:$P$65536,12,0)),"",VLOOKUP($A206,[5]等殖!$A$1:$P$65536,12,0))</f>
        <v/>
      </c>
      <c r="I206" s="35" t="str">
        <f>IF(ISERROR(VLOOKUP($A206,[5]等殖!$A$1:$P$65536,16,0)),"",VLOOKUP($A206,[5]等殖!$A$1:$P$65536,16,0))</f>
        <v/>
      </c>
      <c r="J206" s="10" t="str">
        <f>IF(ISERROR(VLOOKUP($A206,[5]處所!$A$1:$P$65536,9,0)),"",VLOOKUP($A206,[5]處所!$A$1:$P$65536,9,0))</f>
        <v/>
      </c>
      <c r="K206" s="10" t="str">
        <f>IF(ISERROR(VLOOKUP($A206,[5]處所!$A$1:$P$65536,10,0)),"",VLOOKUP($A206,[5]處所!$A$1:$P$65536,10,0))</f>
        <v/>
      </c>
      <c r="L206" s="10" t="str">
        <f>IF(ISERROR(VLOOKUP($A206,[5]處所!$A$1:$P$65536,11,0)),"",VLOOKUP($A206,[5]處所!$A$1:$P$65536,11,0))</f>
        <v/>
      </c>
      <c r="M206" s="36" t="str">
        <f>IF(ISERROR(VLOOKUP($A206,[5]處所!$A$1:$P$65536,15,0)),"",VLOOKUP($A206,[5]處所!$A$1:$P$65536,15,0))</f>
        <v/>
      </c>
      <c r="N206" s="35" t="str">
        <f>IF(ISERROR(VLOOKUP($A206,[5]處所!$A$1:$P$65536,14,0)),"",VLOOKUP($A206,[5]處所!$A$1:$P$65536,14,0)/100000000)</f>
        <v/>
      </c>
      <c r="O206" s="35" t="e">
        <f>VLOOKUP($A206,[5]公平價格!$A$1:$P$65536,14,0)</f>
        <v>#N/A</v>
      </c>
    </row>
    <row r="207" spans="1:15">
      <c r="A207" s="12"/>
      <c r="B207" s="10"/>
      <c r="C207" s="11"/>
      <c r="D207" s="10"/>
      <c r="E207" s="10"/>
      <c r="F207" s="10" t="str">
        <f>IF(ISERROR(VLOOKUP($A207,[5]等殖!$A$1:$P$65536,10,0)),"",VLOOKUP(A207,[5]等殖!$A$1:$P$65536,10,0))</f>
        <v/>
      </c>
      <c r="G207" s="10" t="str">
        <f>IF(ISERROR(VLOOKUP($A207,[5]等殖!$A$1:$P$65536,11,0)),"",VLOOKUP($A207,[5]等殖!$A$1:$P$65536,11,0))</f>
        <v/>
      </c>
      <c r="H207" s="10" t="str">
        <f>IF(ISERROR(VLOOKUP($A207,[5]等殖!$A$1:$P$65536,12,0)),"",VLOOKUP($A207,[5]等殖!$A$1:$P$65536,12,0))</f>
        <v/>
      </c>
      <c r="I207" s="35" t="str">
        <f>IF(ISERROR(VLOOKUP($A207,[5]等殖!$A$1:$P$65536,16,0)),"",VLOOKUP($A207,[5]等殖!$A$1:$P$65536,16,0))</f>
        <v/>
      </c>
      <c r="J207" s="10" t="str">
        <f>IF(ISERROR(VLOOKUP($A207,[5]處所!$A$1:$P$65536,9,0)),"",VLOOKUP($A207,[5]處所!$A$1:$P$65536,9,0))</f>
        <v/>
      </c>
      <c r="K207" s="10" t="str">
        <f>IF(ISERROR(VLOOKUP($A207,[5]處所!$A$1:$P$65536,10,0)),"",VLOOKUP($A207,[5]處所!$A$1:$P$65536,10,0))</f>
        <v/>
      </c>
      <c r="L207" s="10" t="str">
        <f>IF(ISERROR(VLOOKUP($A207,[5]處所!$A$1:$P$65536,11,0)),"",VLOOKUP($A207,[5]處所!$A$1:$P$65536,11,0))</f>
        <v/>
      </c>
      <c r="M207" s="36" t="str">
        <f>IF(ISERROR(VLOOKUP($A207,[5]處所!$A$1:$P$65536,15,0)),"",VLOOKUP($A207,[5]處所!$A$1:$P$65536,15,0))</f>
        <v/>
      </c>
      <c r="N207" s="35" t="str">
        <f>IF(ISERROR(VLOOKUP($A207,[5]處所!$A$1:$P$65536,14,0)),"",VLOOKUP($A207,[5]處所!$A$1:$P$65536,14,0)/100000000)</f>
        <v/>
      </c>
      <c r="O207" s="35" t="e">
        <f>VLOOKUP($A207,[5]公平價格!$A$1:$P$65536,14,0)</f>
        <v>#N/A</v>
      </c>
    </row>
    <row r="208" spans="1:15">
      <c r="A208" s="12"/>
      <c r="B208" s="10"/>
      <c r="C208" s="11"/>
      <c r="D208" s="10"/>
      <c r="E208" s="10"/>
      <c r="F208" s="10" t="str">
        <f>IF(ISERROR(VLOOKUP($A208,[5]等殖!$A$1:$P$65536,10,0)),"",VLOOKUP(A208,[5]等殖!$A$1:$P$65536,10,0))</f>
        <v/>
      </c>
      <c r="G208" s="10" t="str">
        <f>IF(ISERROR(VLOOKUP($A208,[5]等殖!$A$1:$P$65536,11,0)),"",VLOOKUP($A208,[5]等殖!$A$1:$P$65536,11,0))</f>
        <v/>
      </c>
      <c r="H208" s="10" t="str">
        <f>IF(ISERROR(VLOOKUP($A208,[5]等殖!$A$1:$P$65536,12,0)),"",VLOOKUP($A208,[5]等殖!$A$1:$P$65536,12,0))</f>
        <v/>
      </c>
      <c r="I208" s="35" t="str">
        <f>IF(ISERROR(VLOOKUP($A208,[5]等殖!$A$1:$P$65536,16,0)),"",VLOOKUP($A208,[5]等殖!$A$1:$P$65536,16,0))</f>
        <v/>
      </c>
      <c r="J208" s="10" t="str">
        <f>IF(ISERROR(VLOOKUP($A208,[5]處所!$A$1:$P$65536,9,0)),"",VLOOKUP($A208,[5]處所!$A$1:$P$65536,9,0))</f>
        <v/>
      </c>
      <c r="K208" s="10" t="str">
        <f>IF(ISERROR(VLOOKUP($A208,[5]處所!$A$1:$P$65536,10,0)),"",VLOOKUP($A208,[5]處所!$A$1:$P$65536,10,0))</f>
        <v/>
      </c>
      <c r="L208" s="10" t="str">
        <f>IF(ISERROR(VLOOKUP($A208,[5]處所!$A$1:$P$65536,11,0)),"",VLOOKUP($A208,[5]處所!$A$1:$P$65536,11,0))</f>
        <v/>
      </c>
      <c r="M208" s="36" t="str">
        <f>IF(ISERROR(VLOOKUP($A208,[5]處所!$A$1:$P$65536,15,0)),"",VLOOKUP($A208,[5]處所!$A$1:$P$65536,15,0))</f>
        <v/>
      </c>
      <c r="N208" s="35" t="str">
        <f>IF(ISERROR(VLOOKUP($A208,[5]處所!$A$1:$P$65536,14,0)),"",VLOOKUP($A208,[5]處所!$A$1:$P$65536,14,0)/100000000)</f>
        <v/>
      </c>
      <c r="O208" s="35" t="e">
        <f>VLOOKUP($A208,[5]公平價格!$A$1:$P$65536,14,0)</f>
        <v>#N/A</v>
      </c>
    </row>
    <row r="209" spans="1:15">
      <c r="A209" s="12"/>
      <c r="B209" s="10"/>
      <c r="C209" s="11"/>
      <c r="D209" s="10"/>
      <c r="E209" s="10"/>
      <c r="F209" s="10" t="str">
        <f>IF(ISERROR(VLOOKUP($A209,[5]等殖!$A$1:$P$65536,10,0)),"",VLOOKUP(A209,[5]等殖!$A$1:$P$65536,10,0))</f>
        <v/>
      </c>
      <c r="G209" s="10" t="str">
        <f>IF(ISERROR(VLOOKUP($A209,[5]等殖!$A$1:$P$65536,11,0)),"",VLOOKUP($A209,[5]等殖!$A$1:$P$65536,11,0))</f>
        <v/>
      </c>
      <c r="H209" s="10" t="str">
        <f>IF(ISERROR(VLOOKUP($A209,[5]等殖!$A$1:$P$65536,12,0)),"",VLOOKUP($A209,[5]等殖!$A$1:$P$65536,12,0))</f>
        <v/>
      </c>
      <c r="I209" s="35" t="str">
        <f>IF(ISERROR(VLOOKUP($A209,[5]等殖!$A$1:$P$65536,16,0)),"",VLOOKUP($A209,[5]等殖!$A$1:$P$65536,16,0))</f>
        <v/>
      </c>
      <c r="J209" s="10" t="str">
        <f>IF(ISERROR(VLOOKUP($A209,[5]處所!$A$1:$P$65536,9,0)),"",VLOOKUP($A209,[5]處所!$A$1:$P$65536,9,0))</f>
        <v/>
      </c>
      <c r="K209" s="10" t="str">
        <f>IF(ISERROR(VLOOKUP($A209,[5]處所!$A$1:$P$65536,10,0)),"",VLOOKUP($A209,[5]處所!$A$1:$P$65536,10,0))</f>
        <v/>
      </c>
      <c r="L209" s="10" t="str">
        <f>IF(ISERROR(VLOOKUP($A209,[5]處所!$A$1:$P$65536,11,0)),"",VLOOKUP($A209,[5]處所!$A$1:$P$65536,11,0))</f>
        <v/>
      </c>
      <c r="M209" s="36" t="str">
        <f>IF(ISERROR(VLOOKUP($A209,[5]處所!$A$1:$P$65536,15,0)),"",VLOOKUP($A209,[5]處所!$A$1:$P$65536,15,0))</f>
        <v/>
      </c>
      <c r="N209" s="35" t="str">
        <f>IF(ISERROR(VLOOKUP($A209,[5]處所!$A$1:$P$65536,14,0)),"",VLOOKUP($A209,[5]處所!$A$1:$P$65536,14,0)/100000000)</f>
        <v/>
      </c>
      <c r="O209" s="35" t="e">
        <f>VLOOKUP($A209,[5]公平價格!$A$1:$P$65536,14,0)</f>
        <v>#N/A</v>
      </c>
    </row>
    <row r="210" spans="1:15">
      <c r="A210" s="12"/>
      <c r="B210" s="10"/>
      <c r="C210" s="11"/>
      <c r="D210" s="10"/>
      <c r="E210" s="10"/>
      <c r="F210" s="10" t="str">
        <f>IF(ISERROR(VLOOKUP($A210,[5]等殖!$A$1:$P$65536,10,0)),"",VLOOKUP(A210,[5]等殖!$A$1:$P$65536,10,0))</f>
        <v/>
      </c>
      <c r="G210" s="10" t="str">
        <f>IF(ISERROR(VLOOKUP($A210,[5]等殖!$A$1:$P$65536,11,0)),"",VLOOKUP($A210,[5]等殖!$A$1:$P$65536,11,0))</f>
        <v/>
      </c>
      <c r="H210" s="10" t="str">
        <f>IF(ISERROR(VLOOKUP($A210,[5]等殖!$A$1:$P$65536,12,0)),"",VLOOKUP($A210,[5]等殖!$A$1:$P$65536,12,0))</f>
        <v/>
      </c>
      <c r="I210" s="35" t="str">
        <f>IF(ISERROR(VLOOKUP($A210,[5]等殖!$A$1:$P$65536,16,0)),"",VLOOKUP($A210,[5]等殖!$A$1:$P$65536,16,0))</f>
        <v/>
      </c>
      <c r="J210" s="10" t="str">
        <f>IF(ISERROR(VLOOKUP($A210,[5]處所!$A$1:$P$65536,9,0)),"",VLOOKUP($A210,[5]處所!$A$1:$P$65536,9,0))</f>
        <v/>
      </c>
      <c r="K210" s="10" t="str">
        <f>IF(ISERROR(VLOOKUP($A210,[5]處所!$A$1:$P$65536,10,0)),"",VLOOKUP($A210,[5]處所!$A$1:$P$65536,10,0))</f>
        <v/>
      </c>
      <c r="L210" s="10" t="str">
        <f>IF(ISERROR(VLOOKUP($A210,[5]處所!$A$1:$P$65536,11,0)),"",VLOOKUP($A210,[5]處所!$A$1:$P$65536,11,0))</f>
        <v/>
      </c>
      <c r="M210" s="36" t="str">
        <f>IF(ISERROR(VLOOKUP($A210,[5]處所!$A$1:$P$65536,15,0)),"",VLOOKUP($A210,[5]處所!$A$1:$P$65536,15,0))</f>
        <v/>
      </c>
      <c r="N210" s="35" t="str">
        <f>IF(ISERROR(VLOOKUP($A210,[5]處所!$A$1:$P$65536,14,0)),"",VLOOKUP($A210,[5]處所!$A$1:$P$65536,14,0)/100000000)</f>
        <v/>
      </c>
      <c r="O210" s="35" t="e">
        <f>VLOOKUP($A210,[5]公平價格!$A$1:$P$65536,14,0)</f>
        <v>#N/A</v>
      </c>
    </row>
    <row r="211" spans="1:15">
      <c r="A211" s="12"/>
      <c r="B211" s="10"/>
      <c r="C211" s="11"/>
      <c r="D211" s="10"/>
      <c r="E211" s="10"/>
      <c r="F211" s="10" t="str">
        <f>IF(ISERROR(VLOOKUP($A211,[5]等殖!$A$1:$P$65536,10,0)),"",VLOOKUP(A211,[5]等殖!$A$1:$P$65536,10,0))</f>
        <v/>
      </c>
      <c r="G211" s="10" t="str">
        <f>IF(ISERROR(VLOOKUP($A211,[5]等殖!$A$1:$P$65536,11,0)),"",VLOOKUP($A211,[5]等殖!$A$1:$P$65536,11,0))</f>
        <v/>
      </c>
      <c r="H211" s="10" t="str">
        <f>IF(ISERROR(VLOOKUP($A211,[5]等殖!$A$1:$P$65536,12,0)),"",VLOOKUP($A211,[5]等殖!$A$1:$P$65536,12,0))</f>
        <v/>
      </c>
      <c r="I211" s="35" t="str">
        <f>IF(ISERROR(VLOOKUP($A211,[5]等殖!$A$1:$P$65536,16,0)),"",VLOOKUP($A211,[5]等殖!$A$1:$P$65536,16,0))</f>
        <v/>
      </c>
      <c r="J211" s="10" t="str">
        <f>IF(ISERROR(VLOOKUP($A211,[5]處所!$A$1:$P$65536,9,0)),"",VLOOKUP($A211,[5]處所!$A$1:$P$65536,9,0))</f>
        <v/>
      </c>
      <c r="K211" s="10" t="str">
        <f>IF(ISERROR(VLOOKUP($A211,[5]處所!$A$1:$P$65536,10,0)),"",VLOOKUP($A211,[5]處所!$A$1:$P$65536,10,0))</f>
        <v/>
      </c>
      <c r="L211" s="10" t="str">
        <f>IF(ISERROR(VLOOKUP($A211,[5]處所!$A$1:$P$65536,11,0)),"",VLOOKUP($A211,[5]處所!$A$1:$P$65536,11,0))</f>
        <v/>
      </c>
      <c r="M211" s="36" t="str">
        <f>IF(ISERROR(VLOOKUP($A211,[5]處所!$A$1:$P$65536,15,0)),"",VLOOKUP($A211,[5]處所!$A$1:$P$65536,15,0))</f>
        <v/>
      </c>
      <c r="N211" s="35" t="str">
        <f>IF(ISERROR(VLOOKUP($A211,[5]處所!$A$1:$P$65536,14,0)),"",VLOOKUP($A211,[5]處所!$A$1:$P$65536,14,0)/100000000)</f>
        <v/>
      </c>
      <c r="O211" s="35" t="e">
        <f>VLOOKUP($A211,[5]公平價格!$A$1:$P$65536,14,0)</f>
        <v>#N/A</v>
      </c>
    </row>
    <row r="212" spans="1:15">
      <c r="A212" s="12"/>
      <c r="B212" s="10"/>
      <c r="C212" s="11"/>
      <c r="D212" s="10"/>
      <c r="E212" s="10"/>
      <c r="F212" s="10" t="str">
        <f>IF(ISERROR(VLOOKUP($A212,[5]等殖!$A$1:$P$65536,10,0)),"",VLOOKUP(A212,[5]等殖!$A$1:$P$65536,10,0))</f>
        <v/>
      </c>
      <c r="G212" s="10" t="str">
        <f>IF(ISERROR(VLOOKUP($A212,[5]等殖!$A$1:$P$65536,11,0)),"",VLOOKUP($A212,[5]等殖!$A$1:$P$65536,11,0))</f>
        <v/>
      </c>
      <c r="H212" s="10" t="str">
        <f>IF(ISERROR(VLOOKUP($A212,[5]等殖!$A$1:$P$65536,12,0)),"",VLOOKUP($A212,[5]等殖!$A$1:$P$65536,12,0))</f>
        <v/>
      </c>
      <c r="I212" s="35" t="str">
        <f>IF(ISERROR(VLOOKUP($A212,[5]等殖!$A$1:$P$65536,16,0)),"",VLOOKUP($A212,[5]等殖!$A$1:$P$65536,16,0))</f>
        <v/>
      </c>
      <c r="J212" s="10" t="str">
        <f>IF(ISERROR(VLOOKUP($A212,[5]處所!$A$1:$P$65536,9,0)),"",VLOOKUP($A212,[5]處所!$A$1:$P$65536,9,0))</f>
        <v/>
      </c>
      <c r="K212" s="10" t="str">
        <f>IF(ISERROR(VLOOKUP($A212,[5]處所!$A$1:$P$65536,10,0)),"",VLOOKUP($A212,[5]處所!$A$1:$P$65536,10,0))</f>
        <v/>
      </c>
      <c r="L212" s="10" t="str">
        <f>IF(ISERROR(VLOOKUP($A212,[5]處所!$A$1:$P$65536,11,0)),"",VLOOKUP($A212,[5]處所!$A$1:$P$65536,11,0))</f>
        <v/>
      </c>
      <c r="M212" s="36" t="str">
        <f>IF(ISERROR(VLOOKUP($A212,[5]處所!$A$1:$P$65536,15,0)),"",VLOOKUP($A212,[5]處所!$A$1:$P$65536,15,0))</f>
        <v/>
      </c>
      <c r="N212" s="35" t="str">
        <f>IF(ISERROR(VLOOKUP($A212,[5]處所!$A$1:$P$65536,14,0)),"",VLOOKUP($A212,[5]處所!$A$1:$P$65536,14,0)/100000000)</f>
        <v/>
      </c>
      <c r="O212" s="35" t="e">
        <f>VLOOKUP($A212,[5]公平價格!$A$1:$P$65536,14,0)</f>
        <v>#N/A</v>
      </c>
    </row>
    <row r="213" spans="1:15">
      <c r="A213" s="12"/>
      <c r="B213" s="10"/>
      <c r="C213" s="11"/>
      <c r="D213" s="10"/>
      <c r="E213" s="10"/>
      <c r="F213" s="10" t="str">
        <f>IF(ISERROR(VLOOKUP($A213,[5]等殖!$A$1:$P$65536,10,0)),"",VLOOKUP(A213,[5]等殖!$A$1:$P$65536,10,0))</f>
        <v/>
      </c>
      <c r="G213" s="10" t="str">
        <f>IF(ISERROR(VLOOKUP($A213,[5]等殖!$A$1:$P$65536,11,0)),"",VLOOKUP($A213,[5]等殖!$A$1:$P$65536,11,0))</f>
        <v/>
      </c>
      <c r="H213" s="10" t="str">
        <f>IF(ISERROR(VLOOKUP($A213,[5]等殖!$A$1:$P$65536,12,0)),"",VLOOKUP($A213,[5]等殖!$A$1:$P$65536,12,0))</f>
        <v/>
      </c>
      <c r="I213" s="35" t="str">
        <f>IF(ISERROR(VLOOKUP($A213,[5]等殖!$A$1:$P$65536,16,0)),"",VLOOKUP($A213,[5]等殖!$A$1:$P$65536,16,0))</f>
        <v/>
      </c>
      <c r="J213" s="10" t="str">
        <f>IF(ISERROR(VLOOKUP($A213,[5]處所!$A$1:$P$65536,9,0)),"",VLOOKUP($A213,[5]處所!$A$1:$P$65536,9,0))</f>
        <v/>
      </c>
      <c r="K213" s="10" t="str">
        <f>IF(ISERROR(VLOOKUP($A213,[5]處所!$A$1:$P$65536,10,0)),"",VLOOKUP($A213,[5]處所!$A$1:$P$65536,10,0))</f>
        <v/>
      </c>
      <c r="L213" s="10" t="str">
        <f>IF(ISERROR(VLOOKUP($A213,[5]處所!$A$1:$P$65536,11,0)),"",VLOOKUP($A213,[5]處所!$A$1:$P$65536,11,0))</f>
        <v/>
      </c>
      <c r="M213" s="36" t="str">
        <f>IF(ISERROR(VLOOKUP($A213,[5]處所!$A$1:$P$65536,15,0)),"",VLOOKUP($A213,[5]處所!$A$1:$P$65536,15,0))</f>
        <v/>
      </c>
      <c r="N213" s="35" t="str">
        <f>IF(ISERROR(VLOOKUP($A213,[5]處所!$A$1:$P$65536,14,0)),"",VLOOKUP($A213,[5]處所!$A$1:$P$65536,14,0)/100000000)</f>
        <v/>
      </c>
      <c r="O213" s="35" t="e">
        <f>VLOOKUP($A213,[5]公平價格!$A$1:$P$65536,14,0)</f>
        <v>#N/A</v>
      </c>
    </row>
    <row r="214" spans="1:15">
      <c r="A214" s="12"/>
      <c r="B214" s="10"/>
      <c r="C214" s="11"/>
      <c r="D214" s="10"/>
      <c r="E214" s="10"/>
      <c r="F214" s="10" t="str">
        <f>IF(ISERROR(VLOOKUP($A214,[5]等殖!$A$1:$P$65536,10,0)),"",VLOOKUP(A214,[5]等殖!$A$1:$P$65536,10,0))</f>
        <v/>
      </c>
      <c r="G214" s="10" t="str">
        <f>IF(ISERROR(VLOOKUP($A214,[5]等殖!$A$1:$P$65536,11,0)),"",VLOOKUP($A214,[5]等殖!$A$1:$P$65536,11,0))</f>
        <v/>
      </c>
      <c r="H214" s="10" t="str">
        <f>IF(ISERROR(VLOOKUP($A214,[5]等殖!$A$1:$P$65536,12,0)),"",VLOOKUP($A214,[5]等殖!$A$1:$P$65536,12,0))</f>
        <v/>
      </c>
      <c r="I214" s="35" t="str">
        <f>IF(ISERROR(VLOOKUP($A214,[5]等殖!$A$1:$P$65536,16,0)),"",VLOOKUP($A214,[5]等殖!$A$1:$P$65536,16,0))</f>
        <v/>
      </c>
      <c r="J214" s="10" t="str">
        <f>IF(ISERROR(VLOOKUP($A214,[5]處所!$A$1:$P$65536,9,0)),"",VLOOKUP($A214,[5]處所!$A$1:$P$65536,9,0))</f>
        <v/>
      </c>
      <c r="K214" s="10" t="str">
        <f>IF(ISERROR(VLOOKUP($A214,[5]處所!$A$1:$P$65536,10,0)),"",VLOOKUP($A214,[5]處所!$A$1:$P$65536,10,0))</f>
        <v/>
      </c>
      <c r="L214" s="10" t="str">
        <f>IF(ISERROR(VLOOKUP($A214,[5]處所!$A$1:$P$65536,11,0)),"",VLOOKUP($A214,[5]處所!$A$1:$P$65536,11,0))</f>
        <v/>
      </c>
      <c r="M214" s="36" t="str">
        <f>IF(ISERROR(VLOOKUP($A214,[5]處所!$A$1:$P$65536,15,0)),"",VLOOKUP($A214,[5]處所!$A$1:$P$65536,15,0))</f>
        <v/>
      </c>
      <c r="N214" s="35" t="str">
        <f>IF(ISERROR(VLOOKUP($A214,[5]處所!$A$1:$P$65536,14,0)),"",VLOOKUP($A214,[5]處所!$A$1:$P$65536,14,0)/100000000)</f>
        <v/>
      </c>
      <c r="O214" s="35" t="e">
        <f>VLOOKUP($A214,[5]公平價格!$A$1:$P$65536,14,0)</f>
        <v>#N/A</v>
      </c>
    </row>
    <row r="215" spans="1:15">
      <c r="A215" s="12"/>
      <c r="B215" s="10"/>
      <c r="C215" s="11"/>
      <c r="D215" s="10"/>
      <c r="E215" s="10"/>
      <c r="F215" s="10" t="str">
        <f>IF(ISERROR(VLOOKUP($A215,[5]等殖!$A$1:$P$65536,10,0)),"",VLOOKUP(A215,[5]等殖!$A$1:$P$65536,10,0))</f>
        <v/>
      </c>
      <c r="G215" s="10" t="str">
        <f>IF(ISERROR(VLOOKUP($A215,[5]等殖!$A$1:$P$65536,11,0)),"",VLOOKUP($A215,[5]等殖!$A$1:$P$65536,11,0))</f>
        <v/>
      </c>
      <c r="H215" s="10" t="str">
        <f>IF(ISERROR(VLOOKUP($A215,[5]等殖!$A$1:$P$65536,12,0)),"",VLOOKUP($A215,[5]等殖!$A$1:$P$65536,12,0))</f>
        <v/>
      </c>
      <c r="I215" s="35" t="str">
        <f>IF(ISERROR(VLOOKUP($A215,[5]等殖!$A$1:$P$65536,16,0)),"",VLOOKUP($A215,[5]等殖!$A$1:$P$65536,16,0))</f>
        <v/>
      </c>
      <c r="J215" s="10" t="str">
        <f>IF(ISERROR(VLOOKUP($A215,[5]處所!$A$1:$P$65536,9,0)),"",VLOOKUP($A215,[5]處所!$A$1:$P$65536,9,0))</f>
        <v/>
      </c>
      <c r="K215" s="10" t="str">
        <f>IF(ISERROR(VLOOKUP($A215,[5]處所!$A$1:$P$65536,10,0)),"",VLOOKUP($A215,[5]處所!$A$1:$P$65536,10,0))</f>
        <v/>
      </c>
      <c r="L215" s="10" t="str">
        <f>IF(ISERROR(VLOOKUP($A215,[5]處所!$A$1:$P$65536,11,0)),"",VLOOKUP($A215,[5]處所!$A$1:$P$65536,11,0))</f>
        <v/>
      </c>
      <c r="M215" s="36" t="str">
        <f>IF(ISERROR(VLOOKUP($A215,[5]處所!$A$1:$P$65536,15,0)),"",VLOOKUP($A215,[5]處所!$A$1:$P$65536,15,0))</f>
        <v/>
      </c>
      <c r="N215" s="35" t="str">
        <f>IF(ISERROR(VLOOKUP($A215,[5]處所!$A$1:$P$65536,14,0)),"",VLOOKUP($A215,[5]處所!$A$1:$P$65536,14,0)/100000000)</f>
        <v/>
      </c>
      <c r="O215" s="35" t="e">
        <f>VLOOKUP($A215,[5]公平價格!$A$1:$P$65536,14,0)</f>
        <v>#N/A</v>
      </c>
    </row>
    <row r="216" spans="1:15">
      <c r="A216" s="12"/>
      <c r="B216" s="10"/>
      <c r="C216" s="11"/>
      <c r="D216" s="10"/>
      <c r="E216" s="10"/>
      <c r="F216" s="10" t="str">
        <f>IF(ISERROR(VLOOKUP($A216,[5]等殖!$A$1:$P$65536,10,0)),"",VLOOKUP(A216,[5]等殖!$A$1:$P$65536,10,0))</f>
        <v/>
      </c>
      <c r="G216" s="10" t="str">
        <f>IF(ISERROR(VLOOKUP($A216,[5]等殖!$A$1:$P$65536,11,0)),"",VLOOKUP($A216,[5]等殖!$A$1:$P$65536,11,0))</f>
        <v/>
      </c>
      <c r="H216" s="10" t="str">
        <f>IF(ISERROR(VLOOKUP($A216,[5]等殖!$A$1:$P$65536,12,0)),"",VLOOKUP($A216,[5]等殖!$A$1:$P$65536,12,0))</f>
        <v/>
      </c>
      <c r="I216" s="35" t="str">
        <f>IF(ISERROR(VLOOKUP($A216,[5]等殖!$A$1:$P$65536,16,0)),"",VLOOKUP($A216,[5]等殖!$A$1:$P$65536,16,0))</f>
        <v/>
      </c>
      <c r="J216" s="10" t="str">
        <f>IF(ISERROR(VLOOKUP($A216,[5]處所!$A$1:$P$65536,9,0)),"",VLOOKUP($A216,[5]處所!$A$1:$P$65536,9,0))</f>
        <v/>
      </c>
      <c r="K216" s="10" t="str">
        <f>IF(ISERROR(VLOOKUP($A216,[5]處所!$A$1:$P$65536,10,0)),"",VLOOKUP($A216,[5]處所!$A$1:$P$65536,10,0))</f>
        <v/>
      </c>
      <c r="L216" s="10" t="str">
        <f>IF(ISERROR(VLOOKUP($A216,[5]處所!$A$1:$P$65536,11,0)),"",VLOOKUP($A216,[5]處所!$A$1:$P$65536,11,0))</f>
        <v/>
      </c>
      <c r="M216" s="36" t="str">
        <f>IF(ISERROR(VLOOKUP($A216,[5]處所!$A$1:$P$65536,15,0)),"",VLOOKUP($A216,[5]處所!$A$1:$P$65536,15,0))</f>
        <v/>
      </c>
      <c r="N216" s="35" t="str">
        <f>IF(ISERROR(VLOOKUP($A216,[5]處所!$A$1:$P$65536,14,0)),"",VLOOKUP($A216,[5]處所!$A$1:$P$65536,14,0)/100000000)</f>
        <v/>
      </c>
      <c r="O216" s="35" t="e">
        <f>VLOOKUP($A216,[5]公平價格!$A$1:$P$65536,14,0)</f>
        <v>#N/A</v>
      </c>
    </row>
    <row r="217" spans="1:15">
      <c r="A217" s="12"/>
      <c r="B217" s="10"/>
      <c r="C217" s="11"/>
      <c r="D217" s="10"/>
      <c r="E217" s="10"/>
      <c r="F217" s="10" t="str">
        <f>IF(ISERROR(VLOOKUP($A217,[5]等殖!$A$1:$P$65536,10,0)),"",VLOOKUP(A217,[5]等殖!$A$1:$P$65536,10,0))</f>
        <v/>
      </c>
      <c r="G217" s="10" t="str">
        <f>IF(ISERROR(VLOOKUP($A217,[5]等殖!$A$1:$P$65536,11,0)),"",VLOOKUP($A217,[5]等殖!$A$1:$P$65536,11,0))</f>
        <v/>
      </c>
      <c r="H217" s="10" t="str">
        <f>IF(ISERROR(VLOOKUP($A217,[5]等殖!$A$1:$P$65536,12,0)),"",VLOOKUP($A217,[5]等殖!$A$1:$P$65536,12,0))</f>
        <v/>
      </c>
      <c r="I217" s="35" t="str">
        <f>IF(ISERROR(VLOOKUP($A217,[5]等殖!$A$1:$P$65536,16,0)),"",VLOOKUP($A217,[5]等殖!$A$1:$P$65536,16,0))</f>
        <v/>
      </c>
      <c r="J217" s="10" t="str">
        <f>IF(ISERROR(VLOOKUP($A217,[5]處所!$A$1:$P$65536,9,0)),"",VLOOKUP($A217,[5]處所!$A$1:$P$65536,9,0))</f>
        <v/>
      </c>
      <c r="K217" s="10" t="str">
        <f>IF(ISERROR(VLOOKUP($A217,[5]處所!$A$1:$P$65536,10,0)),"",VLOOKUP($A217,[5]處所!$A$1:$P$65536,10,0))</f>
        <v/>
      </c>
      <c r="L217" s="10" t="str">
        <f>IF(ISERROR(VLOOKUP($A217,[5]處所!$A$1:$P$65536,11,0)),"",VLOOKUP($A217,[5]處所!$A$1:$P$65536,11,0))</f>
        <v/>
      </c>
      <c r="M217" s="36" t="str">
        <f>IF(ISERROR(VLOOKUP($A217,[5]處所!$A$1:$P$65536,15,0)),"",VLOOKUP($A217,[5]處所!$A$1:$P$65536,15,0))</f>
        <v/>
      </c>
      <c r="N217" s="35" t="str">
        <f>IF(ISERROR(VLOOKUP($A217,[5]處所!$A$1:$P$65536,14,0)),"",VLOOKUP($A217,[5]處所!$A$1:$P$65536,14,0)/100000000)</f>
        <v/>
      </c>
      <c r="O217" s="35" t="e">
        <f>VLOOKUP($A217,[5]公平價格!$A$1:$P$65536,14,0)</f>
        <v>#N/A</v>
      </c>
    </row>
    <row r="218" spans="1:15">
      <c r="A218" s="12"/>
      <c r="B218" s="10"/>
      <c r="C218" s="11"/>
      <c r="D218" s="10"/>
      <c r="E218" s="10"/>
      <c r="F218" s="10" t="str">
        <f>IF(ISERROR(VLOOKUP($A218,[5]等殖!$A$1:$P$65536,10,0)),"",VLOOKUP(A218,[5]等殖!$A$1:$P$65536,10,0))</f>
        <v/>
      </c>
      <c r="G218" s="10" t="str">
        <f>IF(ISERROR(VLOOKUP($A218,[5]等殖!$A$1:$P$65536,11,0)),"",VLOOKUP($A218,[5]等殖!$A$1:$P$65536,11,0))</f>
        <v/>
      </c>
      <c r="H218" s="10" t="str">
        <f>IF(ISERROR(VLOOKUP($A218,[5]等殖!$A$1:$P$65536,12,0)),"",VLOOKUP($A218,[5]等殖!$A$1:$P$65536,12,0))</f>
        <v/>
      </c>
      <c r="I218" s="35" t="str">
        <f>IF(ISERROR(VLOOKUP($A218,[5]等殖!$A$1:$P$65536,16,0)),"",VLOOKUP($A218,[5]等殖!$A$1:$P$65536,16,0))</f>
        <v/>
      </c>
      <c r="J218" s="10" t="str">
        <f>IF(ISERROR(VLOOKUP($A218,[5]處所!$A$1:$P$65536,9,0)),"",VLOOKUP($A218,[5]處所!$A$1:$P$65536,9,0))</f>
        <v/>
      </c>
      <c r="K218" s="10" t="str">
        <f>IF(ISERROR(VLOOKUP($A218,[5]處所!$A$1:$P$65536,10,0)),"",VLOOKUP($A218,[5]處所!$A$1:$P$65536,10,0))</f>
        <v/>
      </c>
      <c r="L218" s="10" t="str">
        <f>IF(ISERROR(VLOOKUP($A218,[5]處所!$A$1:$P$65536,11,0)),"",VLOOKUP($A218,[5]處所!$A$1:$P$65536,11,0))</f>
        <v/>
      </c>
      <c r="M218" s="36" t="str">
        <f>IF(ISERROR(VLOOKUP($A218,[5]處所!$A$1:$P$65536,15,0)),"",VLOOKUP($A218,[5]處所!$A$1:$P$65536,15,0))</f>
        <v/>
      </c>
      <c r="N218" s="35" t="str">
        <f>IF(ISERROR(VLOOKUP($A218,[5]處所!$A$1:$P$65536,14,0)),"",VLOOKUP($A218,[5]處所!$A$1:$P$65536,14,0)/100000000)</f>
        <v/>
      </c>
      <c r="O218" s="35" t="e">
        <f>VLOOKUP($A218,[5]公平價格!$A$1:$P$65536,14,0)</f>
        <v>#N/A</v>
      </c>
    </row>
    <row r="219" spans="1:15">
      <c r="A219" s="12"/>
      <c r="B219" s="10"/>
      <c r="C219" s="11"/>
      <c r="D219" s="10"/>
      <c r="E219" s="10"/>
      <c r="F219" s="10" t="str">
        <f>IF(ISERROR(VLOOKUP($A219,[5]等殖!$A$1:$P$65536,10,0)),"",VLOOKUP(A219,[5]等殖!$A$1:$P$65536,10,0))</f>
        <v/>
      </c>
      <c r="G219" s="10" t="str">
        <f>IF(ISERROR(VLOOKUP($A219,[5]等殖!$A$1:$P$65536,11,0)),"",VLOOKUP($A219,[5]等殖!$A$1:$P$65536,11,0))</f>
        <v/>
      </c>
      <c r="H219" s="10" t="str">
        <f>IF(ISERROR(VLOOKUP($A219,[5]等殖!$A$1:$P$65536,12,0)),"",VLOOKUP($A219,[5]等殖!$A$1:$P$65536,12,0))</f>
        <v/>
      </c>
      <c r="I219" s="35" t="str">
        <f>IF(ISERROR(VLOOKUP($A219,[5]等殖!$A$1:$P$65536,16,0)),"",VLOOKUP($A219,[5]等殖!$A$1:$P$65536,16,0))</f>
        <v/>
      </c>
      <c r="J219" s="10" t="str">
        <f>IF(ISERROR(VLOOKUP($A219,[5]處所!$A$1:$P$65536,9,0)),"",VLOOKUP($A219,[5]處所!$A$1:$P$65536,9,0))</f>
        <v/>
      </c>
      <c r="K219" s="10" t="str">
        <f>IF(ISERROR(VLOOKUP($A219,[5]處所!$A$1:$P$65536,10,0)),"",VLOOKUP($A219,[5]處所!$A$1:$P$65536,10,0))</f>
        <v/>
      </c>
      <c r="L219" s="10" t="str">
        <f>IF(ISERROR(VLOOKUP($A219,[5]處所!$A$1:$P$65536,11,0)),"",VLOOKUP($A219,[5]處所!$A$1:$P$65536,11,0))</f>
        <v/>
      </c>
      <c r="M219" s="36" t="str">
        <f>IF(ISERROR(VLOOKUP($A219,[5]處所!$A$1:$P$65536,15,0)),"",VLOOKUP($A219,[5]處所!$A$1:$P$65536,15,0))</f>
        <v/>
      </c>
      <c r="N219" s="35" t="str">
        <f>IF(ISERROR(VLOOKUP($A219,[5]處所!$A$1:$P$65536,14,0)),"",VLOOKUP($A219,[5]處所!$A$1:$P$65536,14,0)/100000000)</f>
        <v/>
      </c>
      <c r="O219" s="35" t="e">
        <f>VLOOKUP($A219,[5]公平價格!$A$1:$P$65536,14,0)</f>
        <v>#N/A</v>
      </c>
    </row>
    <row r="220" spans="1:15">
      <c r="A220" s="12"/>
      <c r="B220" s="10"/>
      <c r="C220" s="11"/>
      <c r="D220" s="10"/>
      <c r="E220" s="10"/>
      <c r="F220" s="10" t="str">
        <f>IF(ISERROR(VLOOKUP($A220,[5]等殖!$A$1:$P$65536,10,0)),"",VLOOKUP(A220,[5]等殖!$A$1:$P$65536,10,0))</f>
        <v/>
      </c>
      <c r="G220" s="10" t="str">
        <f>IF(ISERROR(VLOOKUP($A220,[5]等殖!$A$1:$P$65536,11,0)),"",VLOOKUP($A220,[5]等殖!$A$1:$P$65536,11,0))</f>
        <v/>
      </c>
      <c r="H220" s="10" t="str">
        <f>IF(ISERROR(VLOOKUP($A220,[5]等殖!$A$1:$P$65536,12,0)),"",VLOOKUP($A220,[5]等殖!$A$1:$P$65536,12,0))</f>
        <v/>
      </c>
      <c r="I220" s="35" t="str">
        <f>IF(ISERROR(VLOOKUP($A220,[5]等殖!$A$1:$P$65536,16,0)),"",VLOOKUP($A220,[5]等殖!$A$1:$P$65536,16,0))</f>
        <v/>
      </c>
      <c r="J220" s="10" t="str">
        <f>IF(ISERROR(VLOOKUP($A220,[5]處所!$A$1:$P$65536,9,0)),"",VLOOKUP($A220,[5]處所!$A$1:$P$65536,9,0))</f>
        <v/>
      </c>
      <c r="K220" s="10" t="str">
        <f>IF(ISERROR(VLOOKUP($A220,[5]處所!$A$1:$P$65536,10,0)),"",VLOOKUP($A220,[5]處所!$A$1:$P$65536,10,0))</f>
        <v/>
      </c>
      <c r="L220" s="10" t="str">
        <f>IF(ISERROR(VLOOKUP($A220,[5]處所!$A$1:$P$65536,11,0)),"",VLOOKUP($A220,[5]處所!$A$1:$P$65536,11,0))</f>
        <v/>
      </c>
      <c r="M220" s="36" t="str">
        <f>IF(ISERROR(VLOOKUP($A220,[5]處所!$A$1:$P$65536,15,0)),"",VLOOKUP($A220,[5]處所!$A$1:$P$65536,15,0))</f>
        <v/>
      </c>
      <c r="N220" s="35" t="str">
        <f>IF(ISERROR(VLOOKUP($A220,[5]處所!$A$1:$P$65536,14,0)),"",VLOOKUP($A220,[5]處所!$A$1:$P$65536,14,0)/100000000)</f>
        <v/>
      </c>
      <c r="O220" s="35" t="e">
        <f>VLOOKUP($A220,[5]公平價格!$A$1:$P$65536,14,0)</f>
        <v>#N/A</v>
      </c>
    </row>
    <row r="221" spans="1:15">
      <c r="A221" s="12"/>
      <c r="B221" s="10"/>
      <c r="C221" s="11"/>
      <c r="D221" s="10"/>
      <c r="E221" s="10"/>
      <c r="F221" s="10" t="str">
        <f>IF(ISERROR(VLOOKUP($A221,[5]等殖!$A$1:$P$65536,10,0)),"",VLOOKUP(A221,[5]等殖!$A$1:$P$65536,10,0))</f>
        <v/>
      </c>
      <c r="G221" s="10" t="str">
        <f>IF(ISERROR(VLOOKUP($A221,[5]等殖!$A$1:$P$65536,11,0)),"",VLOOKUP($A221,[5]等殖!$A$1:$P$65536,11,0))</f>
        <v/>
      </c>
      <c r="H221" s="10" t="str">
        <f>IF(ISERROR(VLOOKUP($A221,[5]等殖!$A$1:$P$65536,12,0)),"",VLOOKUP($A221,[5]等殖!$A$1:$P$65536,12,0))</f>
        <v/>
      </c>
      <c r="I221" s="35" t="str">
        <f>IF(ISERROR(VLOOKUP($A221,[5]等殖!$A$1:$P$65536,16,0)),"",VLOOKUP($A221,[5]等殖!$A$1:$P$65536,16,0))</f>
        <v/>
      </c>
      <c r="J221" s="10" t="str">
        <f>IF(ISERROR(VLOOKUP($A221,[5]處所!$A$1:$P$65536,9,0)),"",VLOOKUP($A221,[5]處所!$A$1:$P$65536,9,0))</f>
        <v/>
      </c>
      <c r="K221" s="10" t="str">
        <f>IF(ISERROR(VLOOKUP($A221,[5]處所!$A$1:$P$65536,10,0)),"",VLOOKUP($A221,[5]處所!$A$1:$P$65536,10,0))</f>
        <v/>
      </c>
      <c r="L221" s="10" t="str">
        <f>IF(ISERROR(VLOOKUP($A221,[5]處所!$A$1:$P$65536,11,0)),"",VLOOKUP($A221,[5]處所!$A$1:$P$65536,11,0))</f>
        <v/>
      </c>
      <c r="M221" s="36" t="str">
        <f>IF(ISERROR(VLOOKUP($A221,[5]處所!$A$1:$P$65536,15,0)),"",VLOOKUP($A221,[5]處所!$A$1:$P$65536,15,0))</f>
        <v/>
      </c>
      <c r="N221" s="35" t="str">
        <f>IF(ISERROR(VLOOKUP($A221,[5]處所!$A$1:$P$65536,14,0)),"",VLOOKUP($A221,[5]處所!$A$1:$P$65536,14,0)/100000000)</f>
        <v/>
      </c>
      <c r="O221" s="35" t="e">
        <f>VLOOKUP($A221,[5]公平價格!$A$1:$P$65536,14,0)</f>
        <v>#N/A</v>
      </c>
    </row>
    <row r="222" spans="1:15">
      <c r="A222" s="12"/>
      <c r="B222" s="10"/>
      <c r="C222" s="11"/>
      <c r="D222" s="10"/>
      <c r="E222" s="10"/>
      <c r="F222" s="10" t="str">
        <f>IF(ISERROR(VLOOKUP($A222,[5]等殖!$A$1:$P$65536,10,0)),"",VLOOKUP(A222,[5]等殖!$A$1:$P$65536,10,0))</f>
        <v/>
      </c>
      <c r="G222" s="10" t="str">
        <f>IF(ISERROR(VLOOKUP($A222,[5]等殖!$A$1:$P$65536,11,0)),"",VLOOKUP($A222,[5]等殖!$A$1:$P$65536,11,0))</f>
        <v/>
      </c>
      <c r="H222" s="10" t="str">
        <f>IF(ISERROR(VLOOKUP($A222,[5]等殖!$A$1:$P$65536,12,0)),"",VLOOKUP($A222,[5]等殖!$A$1:$P$65536,12,0))</f>
        <v/>
      </c>
      <c r="I222" s="35" t="str">
        <f>IF(ISERROR(VLOOKUP($A222,[5]等殖!$A$1:$P$65536,16,0)),"",VLOOKUP($A222,[5]等殖!$A$1:$P$65536,16,0))</f>
        <v/>
      </c>
      <c r="J222" s="10" t="str">
        <f>IF(ISERROR(VLOOKUP($A222,[5]處所!$A$1:$P$65536,9,0)),"",VLOOKUP($A222,[5]處所!$A$1:$P$65536,9,0))</f>
        <v/>
      </c>
      <c r="K222" s="10" t="str">
        <f>IF(ISERROR(VLOOKUP($A222,[5]處所!$A$1:$P$65536,10,0)),"",VLOOKUP($A222,[5]處所!$A$1:$P$65536,10,0))</f>
        <v/>
      </c>
      <c r="L222" s="10" t="str">
        <f>IF(ISERROR(VLOOKUP($A222,[5]處所!$A$1:$P$65536,11,0)),"",VLOOKUP($A222,[5]處所!$A$1:$P$65536,11,0))</f>
        <v/>
      </c>
      <c r="M222" s="36" t="str">
        <f>IF(ISERROR(VLOOKUP($A222,[5]處所!$A$1:$P$65536,15,0)),"",VLOOKUP($A222,[5]處所!$A$1:$P$65536,15,0))</f>
        <v/>
      </c>
      <c r="N222" s="35" t="str">
        <f>IF(ISERROR(VLOOKUP($A222,[5]處所!$A$1:$P$65536,14,0)),"",VLOOKUP($A222,[5]處所!$A$1:$P$65536,14,0)/100000000)</f>
        <v/>
      </c>
      <c r="O222" s="35" t="e">
        <f>VLOOKUP($A222,[5]公平價格!$A$1:$P$65536,14,0)</f>
        <v>#N/A</v>
      </c>
    </row>
    <row r="223" spans="1:15">
      <c r="A223" s="12"/>
      <c r="B223" s="10"/>
      <c r="C223" s="11"/>
      <c r="D223" s="10"/>
      <c r="E223" s="10"/>
      <c r="F223" s="10" t="str">
        <f>IF(ISERROR(VLOOKUP($A223,[5]等殖!$A$1:$P$65536,10,0)),"",VLOOKUP(A223,[5]等殖!$A$1:$P$65536,10,0))</f>
        <v/>
      </c>
      <c r="G223" s="10" t="str">
        <f>IF(ISERROR(VLOOKUP($A223,[5]等殖!$A$1:$P$65536,11,0)),"",VLOOKUP($A223,[5]等殖!$A$1:$P$65536,11,0))</f>
        <v/>
      </c>
      <c r="H223" s="10" t="str">
        <f>IF(ISERROR(VLOOKUP($A223,[5]等殖!$A$1:$P$65536,12,0)),"",VLOOKUP($A223,[5]等殖!$A$1:$P$65536,12,0))</f>
        <v/>
      </c>
      <c r="I223" s="35" t="str">
        <f>IF(ISERROR(VLOOKUP($A223,[5]等殖!$A$1:$P$65536,16,0)),"",VLOOKUP($A223,[5]等殖!$A$1:$P$65536,16,0))</f>
        <v/>
      </c>
      <c r="J223" s="10" t="str">
        <f>IF(ISERROR(VLOOKUP($A223,[5]處所!$A$1:$P$65536,9,0)),"",VLOOKUP($A223,[5]處所!$A$1:$P$65536,9,0))</f>
        <v/>
      </c>
      <c r="K223" s="10" t="str">
        <f>IF(ISERROR(VLOOKUP($A223,[5]處所!$A$1:$P$65536,10,0)),"",VLOOKUP($A223,[5]處所!$A$1:$P$65536,10,0))</f>
        <v/>
      </c>
      <c r="L223" s="10" t="str">
        <f>IF(ISERROR(VLOOKUP($A223,[5]處所!$A$1:$P$65536,11,0)),"",VLOOKUP($A223,[5]處所!$A$1:$P$65536,11,0))</f>
        <v/>
      </c>
      <c r="M223" s="36" t="str">
        <f>IF(ISERROR(VLOOKUP($A223,[5]處所!$A$1:$P$65536,15,0)),"",VLOOKUP($A223,[5]處所!$A$1:$P$65536,15,0))</f>
        <v/>
      </c>
      <c r="N223" s="35" t="str">
        <f>IF(ISERROR(VLOOKUP($A223,[5]處所!$A$1:$P$65536,14,0)),"",VLOOKUP($A223,[5]處所!$A$1:$P$65536,14,0)/100000000)</f>
        <v/>
      </c>
      <c r="O223" s="35" t="e">
        <f>VLOOKUP($A223,[5]公平價格!$A$1:$P$65536,14,0)</f>
        <v>#N/A</v>
      </c>
    </row>
    <row r="224" spans="1:15">
      <c r="A224" s="12"/>
      <c r="B224" s="10"/>
      <c r="C224" s="11"/>
      <c r="D224" s="10"/>
      <c r="E224" s="10"/>
      <c r="F224" s="10" t="str">
        <f>IF(ISERROR(VLOOKUP($A224,[5]等殖!$A$1:$P$65536,10,0)),"",VLOOKUP(A224,[5]等殖!$A$1:$P$65536,10,0))</f>
        <v/>
      </c>
      <c r="G224" s="10" t="str">
        <f>IF(ISERROR(VLOOKUP($A224,[5]等殖!$A$1:$P$65536,11,0)),"",VLOOKUP($A224,[5]等殖!$A$1:$P$65536,11,0))</f>
        <v/>
      </c>
      <c r="H224" s="10" t="str">
        <f>IF(ISERROR(VLOOKUP($A224,[5]等殖!$A$1:$P$65536,12,0)),"",VLOOKUP($A224,[5]等殖!$A$1:$P$65536,12,0))</f>
        <v/>
      </c>
      <c r="I224" s="35" t="str">
        <f>IF(ISERROR(VLOOKUP($A224,[5]等殖!$A$1:$P$65536,16,0)),"",VLOOKUP($A224,[5]等殖!$A$1:$P$65536,16,0))</f>
        <v/>
      </c>
      <c r="J224" s="10" t="str">
        <f>IF(ISERROR(VLOOKUP($A224,[5]處所!$A$1:$P$65536,9,0)),"",VLOOKUP($A224,[5]處所!$A$1:$P$65536,9,0))</f>
        <v/>
      </c>
      <c r="K224" s="10" t="str">
        <f>IF(ISERROR(VLOOKUP($A224,[5]處所!$A$1:$P$65536,10,0)),"",VLOOKUP($A224,[5]處所!$A$1:$P$65536,10,0))</f>
        <v/>
      </c>
      <c r="L224" s="10" t="str">
        <f>IF(ISERROR(VLOOKUP($A224,[5]處所!$A$1:$P$65536,11,0)),"",VLOOKUP($A224,[5]處所!$A$1:$P$65536,11,0))</f>
        <v/>
      </c>
      <c r="M224" s="36" t="str">
        <f>IF(ISERROR(VLOOKUP($A224,[5]處所!$A$1:$P$65536,15,0)),"",VLOOKUP($A224,[5]處所!$A$1:$P$65536,15,0))</f>
        <v/>
      </c>
      <c r="N224" s="35" t="str">
        <f>IF(ISERROR(VLOOKUP($A224,[5]處所!$A$1:$P$65536,14,0)),"",VLOOKUP($A224,[5]處所!$A$1:$P$65536,14,0)/100000000)</f>
        <v/>
      </c>
      <c r="O224" s="35" t="e">
        <f>VLOOKUP($A224,[5]公平價格!$A$1:$P$65536,14,0)</f>
        <v>#N/A</v>
      </c>
    </row>
    <row r="225" spans="1:15">
      <c r="A225" s="12"/>
      <c r="B225" s="10"/>
      <c r="C225" s="11"/>
      <c r="D225" s="10"/>
      <c r="E225" s="10"/>
      <c r="F225" s="10" t="str">
        <f>IF(ISERROR(VLOOKUP($A225,[5]等殖!$A$1:$P$65536,10,0)),"",VLOOKUP(A225,[5]等殖!$A$1:$P$65536,10,0))</f>
        <v/>
      </c>
      <c r="G225" s="10" t="str">
        <f>IF(ISERROR(VLOOKUP($A225,[5]等殖!$A$1:$P$65536,11,0)),"",VLOOKUP($A225,[5]等殖!$A$1:$P$65536,11,0))</f>
        <v/>
      </c>
      <c r="H225" s="10" t="str">
        <f>IF(ISERROR(VLOOKUP($A225,[5]等殖!$A$1:$P$65536,12,0)),"",VLOOKUP($A225,[5]等殖!$A$1:$P$65536,12,0))</f>
        <v/>
      </c>
      <c r="I225" s="35" t="str">
        <f>IF(ISERROR(VLOOKUP($A225,[5]等殖!$A$1:$P$65536,16,0)),"",VLOOKUP($A225,[5]等殖!$A$1:$P$65536,16,0))</f>
        <v/>
      </c>
      <c r="J225" s="10" t="str">
        <f>IF(ISERROR(VLOOKUP($A225,[5]處所!$A$1:$P$65536,9,0)),"",VLOOKUP($A225,[5]處所!$A$1:$P$65536,9,0))</f>
        <v/>
      </c>
      <c r="K225" s="10" t="str">
        <f>IF(ISERROR(VLOOKUP($A225,[5]處所!$A$1:$P$65536,10,0)),"",VLOOKUP($A225,[5]處所!$A$1:$P$65536,10,0))</f>
        <v/>
      </c>
      <c r="L225" s="10" t="str">
        <f>IF(ISERROR(VLOOKUP($A225,[5]處所!$A$1:$P$65536,11,0)),"",VLOOKUP($A225,[5]處所!$A$1:$P$65536,11,0))</f>
        <v/>
      </c>
      <c r="M225" s="36" t="str">
        <f>IF(ISERROR(VLOOKUP($A225,[5]處所!$A$1:$P$65536,15,0)),"",VLOOKUP($A225,[5]處所!$A$1:$P$65536,15,0))</f>
        <v/>
      </c>
      <c r="N225" s="35" t="str">
        <f>IF(ISERROR(VLOOKUP($A225,[5]處所!$A$1:$P$65536,14,0)),"",VLOOKUP($A225,[5]處所!$A$1:$P$65536,14,0)/100000000)</f>
        <v/>
      </c>
      <c r="O225" s="35" t="e">
        <f>VLOOKUP($A225,[5]公平價格!$A$1:$P$65536,14,0)</f>
        <v>#N/A</v>
      </c>
    </row>
    <row r="226" spans="1:15">
      <c r="A226" s="12"/>
      <c r="B226" s="10"/>
      <c r="C226" s="11"/>
      <c r="D226" s="10"/>
      <c r="E226" s="10"/>
      <c r="F226" s="10" t="str">
        <f>IF(ISERROR(VLOOKUP($A226,[5]等殖!$A$1:$P$65536,10,0)),"",VLOOKUP(A226,[5]等殖!$A$1:$P$65536,10,0))</f>
        <v/>
      </c>
      <c r="G226" s="10" t="str">
        <f>IF(ISERROR(VLOOKUP($A226,[5]等殖!$A$1:$P$65536,11,0)),"",VLOOKUP($A226,[5]等殖!$A$1:$P$65536,11,0))</f>
        <v/>
      </c>
      <c r="H226" s="10" t="str">
        <f>IF(ISERROR(VLOOKUP($A226,[5]等殖!$A$1:$P$65536,12,0)),"",VLOOKUP($A226,[5]等殖!$A$1:$P$65536,12,0))</f>
        <v/>
      </c>
      <c r="I226" s="35" t="str">
        <f>IF(ISERROR(VLOOKUP($A226,[5]等殖!$A$1:$P$65536,16,0)),"",VLOOKUP($A226,[5]等殖!$A$1:$P$65536,16,0))</f>
        <v/>
      </c>
      <c r="J226" s="10" t="str">
        <f>IF(ISERROR(VLOOKUP($A226,[5]處所!$A$1:$P$65536,9,0)),"",VLOOKUP($A226,[5]處所!$A$1:$P$65536,9,0))</f>
        <v/>
      </c>
      <c r="K226" s="10" t="str">
        <f>IF(ISERROR(VLOOKUP($A226,[5]處所!$A$1:$P$65536,10,0)),"",VLOOKUP($A226,[5]處所!$A$1:$P$65536,10,0))</f>
        <v/>
      </c>
      <c r="L226" s="10" t="str">
        <f>IF(ISERROR(VLOOKUP($A226,[5]處所!$A$1:$P$65536,11,0)),"",VLOOKUP($A226,[5]處所!$A$1:$P$65536,11,0))</f>
        <v/>
      </c>
      <c r="M226" s="36" t="str">
        <f>IF(ISERROR(VLOOKUP($A226,[5]處所!$A$1:$P$65536,15,0)),"",VLOOKUP($A226,[5]處所!$A$1:$P$65536,15,0))</f>
        <v/>
      </c>
      <c r="N226" s="35" t="str">
        <f>IF(ISERROR(VLOOKUP($A226,[5]處所!$A$1:$P$65536,14,0)),"",VLOOKUP($A226,[5]處所!$A$1:$P$65536,14,0)/100000000)</f>
        <v/>
      </c>
      <c r="O226" s="35" t="e">
        <f>VLOOKUP($A226,[5]公平價格!$A$1:$P$65536,14,0)</f>
        <v>#N/A</v>
      </c>
    </row>
    <row r="227" spans="1:15">
      <c r="A227" s="12"/>
      <c r="B227" s="10"/>
      <c r="C227" s="11"/>
      <c r="D227" s="10"/>
      <c r="E227" s="10"/>
      <c r="F227" s="10" t="str">
        <f>IF(ISERROR(VLOOKUP($A227,[5]等殖!$A$1:$P$65536,10,0)),"",VLOOKUP(A227,[5]等殖!$A$1:$P$65536,10,0))</f>
        <v/>
      </c>
      <c r="G227" s="10" t="str">
        <f>IF(ISERROR(VLOOKUP($A227,[5]等殖!$A$1:$P$65536,11,0)),"",VLOOKUP($A227,[5]等殖!$A$1:$P$65536,11,0))</f>
        <v/>
      </c>
      <c r="H227" s="10" t="str">
        <f>IF(ISERROR(VLOOKUP($A227,[5]等殖!$A$1:$P$65536,12,0)),"",VLOOKUP($A227,[5]等殖!$A$1:$P$65536,12,0))</f>
        <v/>
      </c>
      <c r="I227" s="35" t="str">
        <f>IF(ISERROR(VLOOKUP($A227,[5]等殖!$A$1:$P$65536,16,0)),"",VLOOKUP($A227,[5]等殖!$A$1:$P$65536,16,0))</f>
        <v/>
      </c>
      <c r="J227" s="10" t="str">
        <f>IF(ISERROR(VLOOKUP($A227,[5]處所!$A$1:$P$65536,9,0)),"",VLOOKUP($A227,[5]處所!$A$1:$P$65536,9,0))</f>
        <v/>
      </c>
      <c r="K227" s="10" t="str">
        <f>IF(ISERROR(VLOOKUP($A227,[5]處所!$A$1:$P$65536,10,0)),"",VLOOKUP($A227,[5]處所!$A$1:$P$65536,10,0))</f>
        <v/>
      </c>
      <c r="L227" s="10" t="str">
        <f>IF(ISERROR(VLOOKUP($A227,[5]處所!$A$1:$P$65536,11,0)),"",VLOOKUP($A227,[5]處所!$A$1:$P$65536,11,0))</f>
        <v/>
      </c>
      <c r="M227" s="36" t="str">
        <f>IF(ISERROR(VLOOKUP($A227,[5]處所!$A$1:$P$65536,15,0)),"",VLOOKUP($A227,[5]處所!$A$1:$P$65536,15,0))</f>
        <v/>
      </c>
      <c r="N227" s="35" t="str">
        <f>IF(ISERROR(VLOOKUP($A227,[5]處所!$A$1:$P$65536,14,0)),"",VLOOKUP($A227,[5]處所!$A$1:$P$65536,14,0)/100000000)</f>
        <v/>
      </c>
      <c r="O227" s="35" t="e">
        <f>VLOOKUP($A227,[5]公平價格!$A$1:$P$65536,14,0)</f>
        <v>#N/A</v>
      </c>
    </row>
    <row r="228" spans="1:15">
      <c r="A228" s="12"/>
      <c r="B228" s="10"/>
      <c r="C228" s="11"/>
      <c r="D228" s="10"/>
      <c r="E228" s="10"/>
      <c r="F228" s="10" t="str">
        <f>IF(ISERROR(VLOOKUP($A228,[5]等殖!$A$1:$P$65536,10,0)),"",VLOOKUP(A228,[5]等殖!$A$1:$P$65536,10,0))</f>
        <v/>
      </c>
      <c r="G228" s="10" t="str">
        <f>IF(ISERROR(VLOOKUP($A228,[5]等殖!$A$1:$P$65536,11,0)),"",VLOOKUP($A228,[5]等殖!$A$1:$P$65536,11,0))</f>
        <v/>
      </c>
      <c r="H228" s="10" t="str">
        <f>IF(ISERROR(VLOOKUP($A228,[5]等殖!$A$1:$P$65536,12,0)),"",VLOOKUP($A228,[5]等殖!$A$1:$P$65536,12,0))</f>
        <v/>
      </c>
      <c r="I228" s="35" t="str">
        <f>IF(ISERROR(VLOOKUP($A228,[5]等殖!$A$1:$P$65536,16,0)),"",VLOOKUP($A228,[5]等殖!$A$1:$P$65536,16,0))</f>
        <v/>
      </c>
      <c r="J228" s="10" t="str">
        <f>IF(ISERROR(VLOOKUP($A228,[5]處所!$A$1:$P$65536,9,0)),"",VLOOKUP($A228,[5]處所!$A$1:$P$65536,9,0))</f>
        <v/>
      </c>
      <c r="K228" s="10" t="str">
        <f>IF(ISERROR(VLOOKUP($A228,[5]處所!$A$1:$P$65536,10,0)),"",VLOOKUP($A228,[5]處所!$A$1:$P$65536,10,0))</f>
        <v/>
      </c>
      <c r="L228" s="10" t="str">
        <f>IF(ISERROR(VLOOKUP($A228,[5]處所!$A$1:$P$65536,11,0)),"",VLOOKUP($A228,[5]處所!$A$1:$P$65536,11,0))</f>
        <v/>
      </c>
      <c r="M228" s="36" t="str">
        <f>IF(ISERROR(VLOOKUP($A228,[5]處所!$A$1:$P$65536,15,0)),"",VLOOKUP($A228,[5]處所!$A$1:$P$65536,15,0))</f>
        <v/>
      </c>
      <c r="N228" s="35" t="str">
        <f>IF(ISERROR(VLOOKUP($A228,[5]處所!$A$1:$P$65536,14,0)),"",VLOOKUP($A228,[5]處所!$A$1:$P$65536,14,0)/100000000)</f>
        <v/>
      </c>
      <c r="O228" s="35" t="e">
        <f>VLOOKUP($A228,[5]公平價格!$A$1:$P$65536,14,0)</f>
        <v>#N/A</v>
      </c>
    </row>
    <row r="229" spans="1:15">
      <c r="A229" s="12"/>
      <c r="B229" s="10"/>
      <c r="C229" s="11"/>
      <c r="D229" s="10"/>
      <c r="E229" s="10"/>
      <c r="F229" s="10" t="str">
        <f>IF(ISERROR(VLOOKUP($A229,[5]等殖!$A$1:$P$65536,10,0)),"",VLOOKUP(A229,[5]等殖!$A$1:$P$65536,10,0))</f>
        <v/>
      </c>
      <c r="G229" s="10" t="str">
        <f>IF(ISERROR(VLOOKUP($A229,[5]等殖!$A$1:$P$65536,11,0)),"",VLOOKUP($A229,[5]等殖!$A$1:$P$65536,11,0))</f>
        <v/>
      </c>
      <c r="H229" s="10" t="str">
        <f>IF(ISERROR(VLOOKUP($A229,[5]等殖!$A$1:$P$65536,12,0)),"",VLOOKUP($A229,[5]等殖!$A$1:$P$65536,12,0))</f>
        <v/>
      </c>
      <c r="I229" s="35" t="str">
        <f>IF(ISERROR(VLOOKUP($A229,[5]等殖!$A$1:$P$65536,16,0)),"",VLOOKUP($A229,[5]等殖!$A$1:$P$65536,16,0))</f>
        <v/>
      </c>
      <c r="J229" s="10" t="str">
        <f>IF(ISERROR(VLOOKUP($A229,[5]處所!$A$1:$P$65536,9,0)),"",VLOOKUP($A229,[5]處所!$A$1:$P$65536,9,0))</f>
        <v/>
      </c>
      <c r="K229" s="10" t="str">
        <f>IF(ISERROR(VLOOKUP($A229,[5]處所!$A$1:$P$65536,10,0)),"",VLOOKUP($A229,[5]處所!$A$1:$P$65536,10,0))</f>
        <v/>
      </c>
      <c r="L229" s="10" t="str">
        <f>IF(ISERROR(VLOOKUP($A229,[5]處所!$A$1:$P$65536,11,0)),"",VLOOKUP($A229,[5]處所!$A$1:$P$65536,11,0))</f>
        <v/>
      </c>
      <c r="M229" s="36" t="str">
        <f>IF(ISERROR(VLOOKUP($A229,[5]處所!$A$1:$P$65536,15,0)),"",VLOOKUP($A229,[5]處所!$A$1:$P$65536,15,0))</f>
        <v/>
      </c>
      <c r="N229" s="35" t="str">
        <f>IF(ISERROR(VLOOKUP($A229,[5]處所!$A$1:$P$65536,14,0)),"",VLOOKUP($A229,[5]處所!$A$1:$P$65536,14,0)/100000000)</f>
        <v/>
      </c>
      <c r="O229" s="35" t="e">
        <f>VLOOKUP($A229,[5]公平價格!$A$1:$P$65536,14,0)</f>
        <v>#N/A</v>
      </c>
    </row>
    <row r="230" spans="1:15">
      <c r="A230" s="12"/>
      <c r="B230" s="10"/>
      <c r="C230" s="11"/>
      <c r="D230" s="10"/>
      <c r="E230" s="10"/>
      <c r="F230" s="10" t="str">
        <f>IF(ISERROR(VLOOKUP($A230,[5]等殖!$A$1:$P$65536,10,0)),"",VLOOKUP(A230,[5]等殖!$A$1:$P$65536,10,0))</f>
        <v/>
      </c>
      <c r="G230" s="10" t="str">
        <f>IF(ISERROR(VLOOKUP($A230,[5]等殖!$A$1:$P$65536,11,0)),"",VLOOKUP($A230,[5]等殖!$A$1:$P$65536,11,0))</f>
        <v/>
      </c>
      <c r="H230" s="10" t="str">
        <f>IF(ISERROR(VLOOKUP($A230,[5]等殖!$A$1:$P$65536,12,0)),"",VLOOKUP($A230,[5]等殖!$A$1:$P$65536,12,0))</f>
        <v/>
      </c>
      <c r="I230" s="35" t="str">
        <f>IF(ISERROR(VLOOKUP($A230,[5]等殖!$A$1:$P$65536,16,0)),"",VLOOKUP($A230,[5]等殖!$A$1:$P$65536,16,0))</f>
        <v/>
      </c>
      <c r="J230" s="10" t="str">
        <f>IF(ISERROR(VLOOKUP($A230,[5]處所!$A$1:$P$65536,9,0)),"",VLOOKUP($A230,[5]處所!$A$1:$P$65536,9,0))</f>
        <v/>
      </c>
      <c r="K230" s="10" t="str">
        <f>IF(ISERROR(VLOOKUP($A230,[5]處所!$A$1:$P$65536,10,0)),"",VLOOKUP($A230,[5]處所!$A$1:$P$65536,10,0))</f>
        <v/>
      </c>
      <c r="L230" s="10" t="str">
        <f>IF(ISERROR(VLOOKUP($A230,[5]處所!$A$1:$P$65536,11,0)),"",VLOOKUP($A230,[5]處所!$A$1:$P$65536,11,0))</f>
        <v/>
      </c>
      <c r="M230" s="36" t="str">
        <f>IF(ISERROR(VLOOKUP($A230,[5]處所!$A$1:$P$65536,15,0)),"",VLOOKUP($A230,[5]處所!$A$1:$P$65536,15,0))</f>
        <v/>
      </c>
      <c r="N230" s="35" t="str">
        <f>IF(ISERROR(VLOOKUP($A230,[5]處所!$A$1:$P$65536,14,0)),"",VLOOKUP($A230,[5]處所!$A$1:$P$65536,14,0)/100000000)</f>
        <v/>
      </c>
      <c r="O230" s="35" t="e">
        <f>VLOOKUP($A230,[5]公平價格!$A$1:$P$65536,14,0)</f>
        <v>#N/A</v>
      </c>
    </row>
    <row r="231" spans="1:15">
      <c r="A231" s="12"/>
      <c r="B231" s="10"/>
      <c r="C231" s="11"/>
      <c r="D231" s="10"/>
      <c r="E231" s="10"/>
      <c r="F231" s="10" t="str">
        <f>IF(ISERROR(VLOOKUP($A231,[5]等殖!$A$1:$P$65536,10,0)),"",VLOOKUP(A231,[5]等殖!$A$1:$P$65536,10,0))</f>
        <v/>
      </c>
      <c r="G231" s="10" t="str">
        <f>IF(ISERROR(VLOOKUP($A231,[5]等殖!$A$1:$P$65536,11,0)),"",VLOOKUP($A231,[5]等殖!$A$1:$P$65536,11,0))</f>
        <v/>
      </c>
      <c r="H231" s="10" t="str">
        <f>IF(ISERROR(VLOOKUP($A231,[5]等殖!$A$1:$P$65536,12,0)),"",VLOOKUP($A231,[5]等殖!$A$1:$P$65536,12,0))</f>
        <v/>
      </c>
      <c r="I231" s="35" t="str">
        <f>IF(ISERROR(VLOOKUP($A231,[5]等殖!$A$1:$P$65536,16,0)),"",VLOOKUP($A231,[5]等殖!$A$1:$P$65536,16,0))</f>
        <v/>
      </c>
      <c r="J231" s="10" t="str">
        <f>IF(ISERROR(VLOOKUP($A231,[5]處所!$A$1:$P$65536,9,0)),"",VLOOKUP($A231,[5]處所!$A$1:$P$65536,9,0))</f>
        <v/>
      </c>
      <c r="K231" s="10" t="str">
        <f>IF(ISERROR(VLOOKUP($A231,[5]處所!$A$1:$P$65536,10,0)),"",VLOOKUP($A231,[5]處所!$A$1:$P$65536,10,0))</f>
        <v/>
      </c>
      <c r="L231" s="10" t="str">
        <f>IF(ISERROR(VLOOKUP($A231,[5]處所!$A$1:$P$65536,11,0)),"",VLOOKUP($A231,[5]處所!$A$1:$P$65536,11,0))</f>
        <v/>
      </c>
      <c r="M231" s="36" t="str">
        <f>IF(ISERROR(VLOOKUP($A231,[5]處所!$A$1:$P$65536,15,0)),"",VLOOKUP($A231,[5]處所!$A$1:$P$65536,15,0))</f>
        <v/>
      </c>
      <c r="N231" s="35" t="str">
        <f>IF(ISERROR(VLOOKUP($A231,[5]處所!$A$1:$P$65536,14,0)),"",VLOOKUP($A231,[5]處所!$A$1:$P$65536,14,0)/100000000)</f>
        <v/>
      </c>
      <c r="O231" s="35" t="e">
        <f>VLOOKUP($A231,[5]公平價格!$A$1:$P$65536,14,0)</f>
        <v>#N/A</v>
      </c>
    </row>
    <row r="232" spans="1:15">
      <c r="A232" s="12"/>
      <c r="B232" s="10"/>
      <c r="C232" s="11"/>
      <c r="D232" s="10"/>
      <c r="E232" s="10"/>
      <c r="F232" s="10" t="str">
        <f>IF(ISERROR(VLOOKUP($A232,[5]等殖!$A$1:$P$65536,10,0)),"",VLOOKUP(A232,[5]等殖!$A$1:$P$65536,10,0))</f>
        <v/>
      </c>
      <c r="G232" s="10" t="str">
        <f>IF(ISERROR(VLOOKUP($A232,[5]等殖!$A$1:$P$65536,11,0)),"",VLOOKUP($A232,[5]等殖!$A$1:$P$65536,11,0))</f>
        <v/>
      </c>
      <c r="H232" s="10" t="str">
        <f>IF(ISERROR(VLOOKUP($A232,[5]等殖!$A$1:$P$65536,12,0)),"",VLOOKUP($A232,[5]等殖!$A$1:$P$65536,12,0))</f>
        <v/>
      </c>
      <c r="I232" s="35" t="str">
        <f>IF(ISERROR(VLOOKUP($A232,[5]等殖!$A$1:$P$65536,16,0)),"",VLOOKUP($A232,[5]等殖!$A$1:$P$65536,16,0))</f>
        <v/>
      </c>
      <c r="J232" s="10" t="str">
        <f>IF(ISERROR(VLOOKUP($A232,[5]處所!$A$1:$P$65536,9,0)),"",VLOOKUP($A232,[5]處所!$A$1:$P$65536,9,0))</f>
        <v/>
      </c>
      <c r="K232" s="10" t="str">
        <f>IF(ISERROR(VLOOKUP($A232,[5]處所!$A$1:$P$65536,10,0)),"",VLOOKUP($A232,[5]處所!$A$1:$P$65536,10,0))</f>
        <v/>
      </c>
      <c r="L232" s="10" t="str">
        <f>IF(ISERROR(VLOOKUP($A232,[5]處所!$A$1:$P$65536,11,0)),"",VLOOKUP($A232,[5]處所!$A$1:$P$65536,11,0))</f>
        <v/>
      </c>
      <c r="M232" s="36" t="str">
        <f>IF(ISERROR(VLOOKUP($A232,[5]處所!$A$1:$P$65536,15,0)),"",VLOOKUP($A232,[5]處所!$A$1:$P$65536,15,0))</f>
        <v/>
      </c>
      <c r="N232" s="35" t="str">
        <f>IF(ISERROR(VLOOKUP($A232,[5]處所!$A$1:$P$65536,14,0)),"",VLOOKUP($A232,[5]處所!$A$1:$P$65536,14,0)/100000000)</f>
        <v/>
      </c>
      <c r="O232" s="35" t="e">
        <f>VLOOKUP($A232,[5]公平價格!$A$1:$P$65536,14,0)</f>
        <v>#N/A</v>
      </c>
    </row>
    <row r="233" spans="1:15">
      <c r="A233" s="12"/>
      <c r="B233" s="10"/>
      <c r="C233" s="11"/>
      <c r="D233" s="10"/>
      <c r="E233" s="10"/>
      <c r="F233" s="10" t="str">
        <f>IF(ISERROR(VLOOKUP($A233,[5]等殖!$A$1:$P$65536,10,0)),"",VLOOKUP(A233,[5]等殖!$A$1:$P$65536,10,0))</f>
        <v/>
      </c>
      <c r="G233" s="10" t="str">
        <f>IF(ISERROR(VLOOKUP($A233,[5]等殖!$A$1:$P$65536,11,0)),"",VLOOKUP($A233,[5]等殖!$A$1:$P$65536,11,0))</f>
        <v/>
      </c>
      <c r="H233" s="10" t="str">
        <f>IF(ISERROR(VLOOKUP($A233,[5]等殖!$A$1:$P$65536,12,0)),"",VLOOKUP($A233,[5]等殖!$A$1:$P$65536,12,0))</f>
        <v/>
      </c>
      <c r="I233" s="35" t="str">
        <f>IF(ISERROR(VLOOKUP($A233,[5]等殖!$A$1:$P$65536,16,0)),"",VLOOKUP($A233,[5]等殖!$A$1:$P$65536,16,0))</f>
        <v/>
      </c>
      <c r="J233" s="10" t="str">
        <f>IF(ISERROR(VLOOKUP($A233,[5]處所!$A$1:$P$65536,9,0)),"",VLOOKUP($A233,[5]處所!$A$1:$P$65536,9,0))</f>
        <v/>
      </c>
      <c r="K233" s="10" t="str">
        <f>IF(ISERROR(VLOOKUP($A233,[5]處所!$A$1:$P$65536,10,0)),"",VLOOKUP($A233,[5]處所!$A$1:$P$65536,10,0))</f>
        <v/>
      </c>
      <c r="L233" s="10" t="str">
        <f>IF(ISERROR(VLOOKUP($A233,[5]處所!$A$1:$P$65536,11,0)),"",VLOOKUP($A233,[5]處所!$A$1:$P$65536,11,0))</f>
        <v/>
      </c>
      <c r="M233" s="36" t="str">
        <f>IF(ISERROR(VLOOKUP($A233,[5]處所!$A$1:$P$65536,15,0)),"",VLOOKUP($A233,[5]處所!$A$1:$P$65536,15,0))</f>
        <v/>
      </c>
      <c r="N233" s="35" t="str">
        <f>IF(ISERROR(VLOOKUP($A233,[5]處所!$A$1:$P$65536,14,0)),"",VLOOKUP($A233,[5]處所!$A$1:$P$65536,14,0)/100000000)</f>
        <v/>
      </c>
      <c r="O233" s="35" t="e">
        <f>VLOOKUP($A233,[5]公平價格!$A$1:$P$65536,14,0)</f>
        <v>#N/A</v>
      </c>
    </row>
    <row r="234" spans="1:15">
      <c r="A234" s="12"/>
      <c r="B234" s="10"/>
      <c r="C234" s="11"/>
      <c r="D234" s="10"/>
      <c r="E234" s="10"/>
      <c r="F234" s="10" t="str">
        <f>IF(ISERROR(VLOOKUP($A234,[5]等殖!$A$1:$P$65536,10,0)),"",VLOOKUP(A234,[5]等殖!$A$1:$P$65536,10,0))</f>
        <v/>
      </c>
      <c r="G234" s="10" t="str">
        <f>IF(ISERROR(VLOOKUP($A234,[5]等殖!$A$1:$P$65536,11,0)),"",VLOOKUP($A234,[5]等殖!$A$1:$P$65536,11,0))</f>
        <v/>
      </c>
      <c r="H234" s="10" t="str">
        <f>IF(ISERROR(VLOOKUP($A234,[5]等殖!$A$1:$P$65536,12,0)),"",VLOOKUP($A234,[5]等殖!$A$1:$P$65536,12,0))</f>
        <v/>
      </c>
      <c r="I234" s="35" t="str">
        <f>IF(ISERROR(VLOOKUP($A234,[5]等殖!$A$1:$P$65536,16,0)),"",VLOOKUP($A234,[5]等殖!$A$1:$P$65536,16,0))</f>
        <v/>
      </c>
      <c r="J234" s="10" t="str">
        <f>IF(ISERROR(VLOOKUP($A234,[5]處所!$A$1:$P$65536,9,0)),"",VLOOKUP($A234,[5]處所!$A$1:$P$65536,9,0))</f>
        <v/>
      </c>
      <c r="K234" s="10" t="str">
        <f>IF(ISERROR(VLOOKUP($A234,[5]處所!$A$1:$P$65536,10,0)),"",VLOOKUP($A234,[5]處所!$A$1:$P$65536,10,0))</f>
        <v/>
      </c>
      <c r="L234" s="10" t="str">
        <f>IF(ISERROR(VLOOKUP($A234,[5]處所!$A$1:$P$65536,11,0)),"",VLOOKUP($A234,[5]處所!$A$1:$P$65536,11,0))</f>
        <v/>
      </c>
      <c r="M234" s="36" t="str">
        <f>IF(ISERROR(VLOOKUP($A234,[5]處所!$A$1:$P$65536,15,0)),"",VLOOKUP($A234,[5]處所!$A$1:$P$65536,15,0))</f>
        <v/>
      </c>
      <c r="N234" s="35" t="str">
        <f>IF(ISERROR(VLOOKUP($A234,[5]處所!$A$1:$P$65536,14,0)),"",VLOOKUP($A234,[5]處所!$A$1:$P$65536,14,0)/100000000)</f>
        <v/>
      </c>
      <c r="O234" s="35" t="e">
        <f>VLOOKUP($A234,[5]公平價格!$A$1:$P$65536,14,0)</f>
        <v>#N/A</v>
      </c>
    </row>
    <row r="235" spans="1:15">
      <c r="A235" s="12"/>
      <c r="B235" s="10"/>
      <c r="C235" s="11"/>
      <c r="D235" s="10"/>
      <c r="E235" s="10"/>
      <c r="F235" s="10" t="str">
        <f>IF(ISERROR(VLOOKUP($A235,[5]等殖!$A$1:$P$65536,10,0)),"",VLOOKUP(A235,[5]等殖!$A$1:$P$65536,10,0))</f>
        <v/>
      </c>
      <c r="G235" s="10" t="str">
        <f>IF(ISERROR(VLOOKUP($A235,[5]等殖!$A$1:$P$65536,11,0)),"",VLOOKUP($A235,[5]等殖!$A$1:$P$65536,11,0))</f>
        <v/>
      </c>
      <c r="H235" s="10" t="str">
        <f>IF(ISERROR(VLOOKUP($A235,[5]等殖!$A$1:$P$65536,12,0)),"",VLOOKUP($A235,[5]等殖!$A$1:$P$65536,12,0))</f>
        <v/>
      </c>
      <c r="I235" s="35" t="str">
        <f>IF(ISERROR(VLOOKUP($A235,[5]等殖!$A$1:$P$65536,16,0)),"",VLOOKUP($A235,[5]等殖!$A$1:$P$65536,16,0))</f>
        <v/>
      </c>
      <c r="J235" s="10" t="str">
        <f>IF(ISERROR(VLOOKUP($A235,[5]處所!$A$1:$P$65536,9,0)),"",VLOOKUP($A235,[5]處所!$A$1:$P$65536,9,0))</f>
        <v/>
      </c>
      <c r="K235" s="10" t="str">
        <f>IF(ISERROR(VLOOKUP($A235,[5]處所!$A$1:$P$65536,10,0)),"",VLOOKUP($A235,[5]處所!$A$1:$P$65536,10,0))</f>
        <v/>
      </c>
      <c r="L235" s="10" t="str">
        <f>IF(ISERROR(VLOOKUP($A235,[5]處所!$A$1:$P$65536,11,0)),"",VLOOKUP($A235,[5]處所!$A$1:$P$65536,11,0))</f>
        <v/>
      </c>
      <c r="M235" s="36" t="str">
        <f>IF(ISERROR(VLOOKUP($A235,[5]處所!$A$1:$P$65536,15,0)),"",VLOOKUP($A235,[5]處所!$A$1:$P$65536,15,0))</f>
        <v/>
      </c>
      <c r="N235" s="35" t="str">
        <f>IF(ISERROR(VLOOKUP($A235,[5]處所!$A$1:$P$65536,14,0)),"",VLOOKUP($A235,[5]處所!$A$1:$P$65536,14,0)/100000000)</f>
        <v/>
      </c>
      <c r="O235" s="35" t="e">
        <f>VLOOKUP($A235,[5]公平價格!$A$1:$P$65536,14,0)</f>
        <v>#N/A</v>
      </c>
    </row>
    <row r="236" spans="1:15">
      <c r="A236" s="12"/>
      <c r="B236" s="10"/>
      <c r="C236" s="11"/>
      <c r="D236" s="10"/>
      <c r="E236" s="10"/>
      <c r="F236" s="10" t="str">
        <f>IF(ISERROR(VLOOKUP($A236,[5]等殖!$A$1:$P$65536,10,0)),"",VLOOKUP(A236,[5]等殖!$A$1:$P$65536,10,0))</f>
        <v/>
      </c>
      <c r="G236" s="10" t="str">
        <f>IF(ISERROR(VLOOKUP($A236,[5]等殖!$A$1:$P$65536,11,0)),"",VLOOKUP($A236,[5]等殖!$A$1:$P$65536,11,0))</f>
        <v/>
      </c>
      <c r="H236" s="10" t="str">
        <f>IF(ISERROR(VLOOKUP($A236,[5]等殖!$A$1:$P$65536,12,0)),"",VLOOKUP($A236,[5]等殖!$A$1:$P$65536,12,0))</f>
        <v/>
      </c>
      <c r="I236" s="35" t="str">
        <f>IF(ISERROR(VLOOKUP($A236,[5]等殖!$A$1:$P$65536,16,0)),"",VLOOKUP($A236,[5]等殖!$A$1:$P$65536,16,0))</f>
        <v/>
      </c>
      <c r="J236" s="10" t="str">
        <f>IF(ISERROR(VLOOKUP($A236,[5]處所!$A$1:$P$65536,9,0)),"",VLOOKUP($A236,[5]處所!$A$1:$P$65536,9,0))</f>
        <v/>
      </c>
      <c r="K236" s="10" t="str">
        <f>IF(ISERROR(VLOOKUP($A236,[5]處所!$A$1:$P$65536,10,0)),"",VLOOKUP($A236,[5]處所!$A$1:$P$65536,10,0))</f>
        <v/>
      </c>
      <c r="L236" s="10" t="str">
        <f>IF(ISERROR(VLOOKUP($A236,[5]處所!$A$1:$P$65536,11,0)),"",VLOOKUP($A236,[5]處所!$A$1:$P$65536,11,0))</f>
        <v/>
      </c>
      <c r="M236" s="36" t="str">
        <f>IF(ISERROR(VLOOKUP($A236,[5]處所!$A$1:$P$65536,15,0)),"",VLOOKUP($A236,[5]處所!$A$1:$P$65536,15,0))</f>
        <v/>
      </c>
      <c r="N236" s="35" t="str">
        <f>IF(ISERROR(VLOOKUP($A236,[5]處所!$A$1:$P$65536,14,0)),"",VLOOKUP($A236,[5]處所!$A$1:$P$65536,14,0)/100000000)</f>
        <v/>
      </c>
      <c r="O236" s="35" t="e">
        <f>VLOOKUP($A236,[5]公平價格!$A$1:$P$65536,14,0)</f>
        <v>#N/A</v>
      </c>
    </row>
    <row r="237" spans="1:15">
      <c r="A237" s="12"/>
      <c r="B237" s="10"/>
      <c r="C237" s="11"/>
      <c r="D237" s="10"/>
      <c r="E237" s="10"/>
      <c r="F237" s="10" t="str">
        <f>IF(ISERROR(VLOOKUP($A237,[5]等殖!$A$1:$P$65536,10,0)),"",VLOOKUP(A237,[5]等殖!$A$1:$P$65536,10,0))</f>
        <v/>
      </c>
      <c r="G237" s="10" t="str">
        <f>IF(ISERROR(VLOOKUP($A237,[5]等殖!$A$1:$P$65536,11,0)),"",VLOOKUP($A237,[5]等殖!$A$1:$P$65536,11,0))</f>
        <v/>
      </c>
      <c r="H237" s="10" t="str">
        <f>IF(ISERROR(VLOOKUP($A237,[5]等殖!$A$1:$P$65536,12,0)),"",VLOOKUP($A237,[5]等殖!$A$1:$P$65536,12,0))</f>
        <v/>
      </c>
      <c r="I237" s="35" t="str">
        <f>IF(ISERROR(VLOOKUP($A237,[5]等殖!$A$1:$P$65536,16,0)),"",VLOOKUP($A237,[5]等殖!$A$1:$P$65536,16,0))</f>
        <v/>
      </c>
      <c r="J237" s="10" t="str">
        <f>IF(ISERROR(VLOOKUP($A237,[5]處所!$A$1:$P$65536,9,0)),"",VLOOKUP($A237,[5]處所!$A$1:$P$65536,9,0))</f>
        <v/>
      </c>
      <c r="K237" s="10" t="str">
        <f>IF(ISERROR(VLOOKUP($A237,[5]處所!$A$1:$P$65536,10,0)),"",VLOOKUP($A237,[5]處所!$A$1:$P$65536,10,0))</f>
        <v/>
      </c>
      <c r="L237" s="10" t="str">
        <f>IF(ISERROR(VLOOKUP($A237,[5]處所!$A$1:$P$65536,11,0)),"",VLOOKUP($A237,[5]處所!$A$1:$P$65536,11,0))</f>
        <v/>
      </c>
      <c r="M237" s="36" t="str">
        <f>IF(ISERROR(VLOOKUP($A237,[5]處所!$A$1:$P$65536,15,0)),"",VLOOKUP($A237,[5]處所!$A$1:$P$65536,15,0))</f>
        <v/>
      </c>
      <c r="N237" s="35" t="str">
        <f>IF(ISERROR(VLOOKUP($A237,[5]處所!$A$1:$P$65536,14,0)),"",VLOOKUP($A237,[5]處所!$A$1:$P$65536,14,0)/100000000)</f>
        <v/>
      </c>
      <c r="O237" s="35" t="e">
        <f>VLOOKUP($A237,[5]公平價格!$A$1:$P$65536,14,0)</f>
        <v>#N/A</v>
      </c>
    </row>
    <row r="238" spans="1:15">
      <c r="A238" s="12"/>
      <c r="B238" s="10"/>
      <c r="C238" s="11"/>
      <c r="D238" s="10"/>
      <c r="E238" s="10"/>
      <c r="F238" s="10" t="str">
        <f>IF(ISERROR(VLOOKUP($A238,[5]等殖!$A$1:$P$65536,10,0)),"",VLOOKUP(A238,[5]等殖!$A$1:$P$65536,10,0))</f>
        <v/>
      </c>
      <c r="G238" s="10" t="str">
        <f>IF(ISERROR(VLOOKUP($A238,[5]等殖!$A$1:$P$65536,11,0)),"",VLOOKUP($A238,[5]等殖!$A$1:$P$65536,11,0))</f>
        <v/>
      </c>
      <c r="H238" s="10" t="str">
        <f>IF(ISERROR(VLOOKUP($A238,[5]等殖!$A$1:$P$65536,12,0)),"",VLOOKUP($A238,[5]等殖!$A$1:$P$65536,12,0))</f>
        <v/>
      </c>
      <c r="I238" s="35" t="str">
        <f>IF(ISERROR(VLOOKUP($A238,[5]等殖!$A$1:$P$65536,16,0)),"",VLOOKUP($A238,[5]等殖!$A$1:$P$65536,16,0))</f>
        <v/>
      </c>
      <c r="J238" s="10" t="str">
        <f>IF(ISERROR(VLOOKUP($A238,[5]處所!$A$1:$P$65536,9,0)),"",VLOOKUP($A238,[5]處所!$A$1:$P$65536,9,0))</f>
        <v/>
      </c>
      <c r="K238" s="10" t="str">
        <f>IF(ISERROR(VLOOKUP($A238,[5]處所!$A$1:$P$65536,10,0)),"",VLOOKUP($A238,[5]處所!$A$1:$P$65536,10,0))</f>
        <v/>
      </c>
      <c r="L238" s="10" t="str">
        <f>IF(ISERROR(VLOOKUP($A238,[5]處所!$A$1:$P$65536,11,0)),"",VLOOKUP($A238,[5]處所!$A$1:$P$65536,11,0))</f>
        <v/>
      </c>
      <c r="M238" s="36" t="str">
        <f>IF(ISERROR(VLOOKUP($A238,[5]處所!$A$1:$P$65536,15,0)),"",VLOOKUP($A238,[5]處所!$A$1:$P$65536,15,0))</f>
        <v/>
      </c>
      <c r="N238" s="35" t="str">
        <f>IF(ISERROR(VLOOKUP($A238,[5]處所!$A$1:$P$65536,14,0)),"",VLOOKUP($A238,[5]處所!$A$1:$P$65536,14,0)/100000000)</f>
        <v/>
      </c>
      <c r="O238" s="35" t="e">
        <f>VLOOKUP($A238,[5]公平價格!$A$1:$P$65536,14,0)</f>
        <v>#N/A</v>
      </c>
    </row>
    <row r="239" spans="1:15">
      <c r="A239" s="12"/>
      <c r="B239" s="10"/>
      <c r="C239" s="11"/>
      <c r="D239" s="10"/>
      <c r="E239" s="10"/>
      <c r="F239" s="10" t="str">
        <f>IF(ISERROR(VLOOKUP($A239,[5]等殖!$A$1:$P$65536,10,0)),"",VLOOKUP(A239,[5]等殖!$A$1:$P$65536,10,0))</f>
        <v/>
      </c>
      <c r="G239" s="10" t="str">
        <f>IF(ISERROR(VLOOKUP($A239,[5]等殖!$A$1:$P$65536,11,0)),"",VLOOKUP($A239,[5]等殖!$A$1:$P$65536,11,0))</f>
        <v/>
      </c>
      <c r="H239" s="10" t="str">
        <f>IF(ISERROR(VLOOKUP($A239,[5]等殖!$A$1:$P$65536,12,0)),"",VLOOKUP($A239,[5]等殖!$A$1:$P$65536,12,0))</f>
        <v/>
      </c>
      <c r="I239" s="35" t="str">
        <f>IF(ISERROR(VLOOKUP($A239,[5]等殖!$A$1:$P$65536,16,0)),"",VLOOKUP($A239,[5]等殖!$A$1:$P$65536,16,0))</f>
        <v/>
      </c>
      <c r="J239" s="10" t="str">
        <f>IF(ISERROR(VLOOKUP($A239,[5]處所!$A$1:$P$65536,9,0)),"",VLOOKUP($A239,[5]處所!$A$1:$P$65536,9,0))</f>
        <v/>
      </c>
      <c r="K239" s="10" t="str">
        <f>IF(ISERROR(VLOOKUP($A239,[5]處所!$A$1:$P$65536,10,0)),"",VLOOKUP($A239,[5]處所!$A$1:$P$65536,10,0))</f>
        <v/>
      </c>
      <c r="L239" s="10" t="str">
        <f>IF(ISERROR(VLOOKUP($A239,[5]處所!$A$1:$P$65536,11,0)),"",VLOOKUP($A239,[5]處所!$A$1:$P$65536,11,0))</f>
        <v/>
      </c>
      <c r="M239" s="36" t="str">
        <f>IF(ISERROR(VLOOKUP($A239,[5]處所!$A$1:$P$65536,15,0)),"",VLOOKUP($A239,[5]處所!$A$1:$P$65536,15,0))</f>
        <v/>
      </c>
      <c r="N239" s="35" t="str">
        <f>IF(ISERROR(VLOOKUP($A239,[5]處所!$A$1:$P$65536,14,0)),"",VLOOKUP($A239,[5]處所!$A$1:$P$65536,14,0)/100000000)</f>
        <v/>
      </c>
      <c r="O239" s="35" t="e">
        <f>VLOOKUP($A239,[5]公平價格!$A$1:$P$65536,14,0)</f>
        <v>#N/A</v>
      </c>
    </row>
    <row r="240" spans="1:15">
      <c r="A240" s="12"/>
      <c r="B240" s="10"/>
      <c r="C240" s="11"/>
      <c r="D240" s="10"/>
      <c r="E240" s="10"/>
      <c r="F240" s="10" t="str">
        <f>IF(ISERROR(VLOOKUP($A240,[5]等殖!$A$1:$P$65536,10,0)),"",VLOOKUP(A240,[5]等殖!$A$1:$P$65536,10,0))</f>
        <v/>
      </c>
      <c r="G240" s="10" t="str">
        <f>IF(ISERROR(VLOOKUP($A240,[5]等殖!$A$1:$P$65536,11,0)),"",VLOOKUP($A240,[5]等殖!$A$1:$P$65536,11,0))</f>
        <v/>
      </c>
      <c r="H240" s="10" t="str">
        <f>IF(ISERROR(VLOOKUP($A240,[5]等殖!$A$1:$P$65536,12,0)),"",VLOOKUP($A240,[5]等殖!$A$1:$P$65536,12,0))</f>
        <v/>
      </c>
      <c r="I240" s="35" t="str">
        <f>IF(ISERROR(VLOOKUP($A240,[5]等殖!$A$1:$P$65536,16,0)),"",VLOOKUP($A240,[5]等殖!$A$1:$P$65536,16,0))</f>
        <v/>
      </c>
      <c r="J240" s="10" t="str">
        <f>IF(ISERROR(VLOOKUP($A240,[5]處所!$A$1:$P$65536,9,0)),"",VLOOKUP($A240,[5]處所!$A$1:$P$65536,9,0))</f>
        <v/>
      </c>
      <c r="K240" s="10" t="str">
        <f>IF(ISERROR(VLOOKUP($A240,[5]處所!$A$1:$P$65536,10,0)),"",VLOOKUP($A240,[5]處所!$A$1:$P$65536,10,0))</f>
        <v/>
      </c>
      <c r="L240" s="10" t="str">
        <f>IF(ISERROR(VLOOKUP($A240,[5]處所!$A$1:$P$65536,11,0)),"",VLOOKUP($A240,[5]處所!$A$1:$P$65536,11,0))</f>
        <v/>
      </c>
      <c r="M240" s="36" t="str">
        <f>IF(ISERROR(VLOOKUP($A240,[5]處所!$A$1:$P$65536,15,0)),"",VLOOKUP($A240,[5]處所!$A$1:$P$65536,15,0))</f>
        <v/>
      </c>
      <c r="N240" s="35" t="str">
        <f>IF(ISERROR(VLOOKUP($A240,[5]處所!$A$1:$P$65536,14,0)),"",VLOOKUP($A240,[5]處所!$A$1:$P$65536,14,0)/100000000)</f>
        <v/>
      </c>
      <c r="O240" s="35" t="e">
        <f>VLOOKUP($A240,[5]公平價格!$A$1:$P$65536,14,0)</f>
        <v>#N/A</v>
      </c>
    </row>
    <row r="241" spans="1:15">
      <c r="A241" s="12"/>
      <c r="B241" s="10"/>
      <c r="C241" s="11"/>
      <c r="D241" s="10"/>
      <c r="E241" s="10"/>
      <c r="F241" s="10" t="str">
        <f>IF(ISERROR(VLOOKUP($A241,[5]等殖!$A$1:$P$65536,10,0)),"",VLOOKUP(A241,[5]等殖!$A$1:$P$65536,10,0))</f>
        <v/>
      </c>
      <c r="G241" s="10" t="str">
        <f>IF(ISERROR(VLOOKUP($A241,[5]等殖!$A$1:$P$65536,11,0)),"",VLOOKUP($A241,[5]等殖!$A$1:$P$65536,11,0))</f>
        <v/>
      </c>
      <c r="H241" s="10" t="str">
        <f>IF(ISERROR(VLOOKUP($A241,[5]等殖!$A$1:$P$65536,12,0)),"",VLOOKUP($A241,[5]等殖!$A$1:$P$65536,12,0))</f>
        <v/>
      </c>
      <c r="I241" s="35" t="str">
        <f>IF(ISERROR(VLOOKUP($A241,[5]等殖!$A$1:$P$65536,16,0)),"",VLOOKUP($A241,[5]等殖!$A$1:$P$65536,16,0))</f>
        <v/>
      </c>
      <c r="J241" s="10" t="str">
        <f>IF(ISERROR(VLOOKUP($A241,[5]處所!$A$1:$P$65536,9,0)),"",VLOOKUP($A241,[5]處所!$A$1:$P$65536,9,0))</f>
        <v/>
      </c>
      <c r="K241" s="10" t="str">
        <f>IF(ISERROR(VLOOKUP($A241,[5]處所!$A$1:$P$65536,10,0)),"",VLOOKUP($A241,[5]處所!$A$1:$P$65536,10,0))</f>
        <v/>
      </c>
      <c r="L241" s="10" t="str">
        <f>IF(ISERROR(VLOOKUP($A241,[5]處所!$A$1:$P$65536,11,0)),"",VLOOKUP($A241,[5]處所!$A$1:$P$65536,11,0))</f>
        <v/>
      </c>
      <c r="M241" s="36" t="str">
        <f>IF(ISERROR(VLOOKUP($A241,[5]處所!$A$1:$P$65536,15,0)),"",VLOOKUP($A241,[5]處所!$A$1:$P$65536,15,0))</f>
        <v/>
      </c>
      <c r="N241" s="35" t="str">
        <f>IF(ISERROR(VLOOKUP($A241,[5]處所!$A$1:$P$65536,14,0)),"",VLOOKUP($A241,[5]處所!$A$1:$P$65536,14,0)/100000000)</f>
        <v/>
      </c>
      <c r="O241" s="35" t="e">
        <f>VLOOKUP($A241,[5]公平價格!$A$1:$P$65536,14,0)</f>
        <v>#N/A</v>
      </c>
    </row>
    <row r="242" spans="1:15">
      <c r="A242" s="12"/>
      <c r="B242" s="10"/>
      <c r="C242" s="11"/>
      <c r="D242" s="10"/>
      <c r="E242" s="10"/>
      <c r="F242" s="10" t="str">
        <f>IF(ISERROR(VLOOKUP($A242,[5]等殖!$A$1:$P$65536,10,0)),"",VLOOKUP(A242,[5]等殖!$A$1:$P$65536,10,0))</f>
        <v/>
      </c>
      <c r="G242" s="10" t="str">
        <f>IF(ISERROR(VLOOKUP($A242,[5]等殖!$A$1:$P$65536,11,0)),"",VLOOKUP($A242,[5]等殖!$A$1:$P$65536,11,0))</f>
        <v/>
      </c>
      <c r="H242" s="10" t="str">
        <f>IF(ISERROR(VLOOKUP($A242,[5]等殖!$A$1:$P$65536,12,0)),"",VLOOKUP($A242,[5]等殖!$A$1:$P$65536,12,0))</f>
        <v/>
      </c>
      <c r="I242" s="35" t="str">
        <f>IF(ISERROR(VLOOKUP($A242,[5]等殖!$A$1:$P$65536,16,0)),"",VLOOKUP($A242,[5]等殖!$A$1:$P$65536,16,0))</f>
        <v/>
      </c>
      <c r="J242" s="10" t="str">
        <f>IF(ISERROR(VLOOKUP($A242,[5]處所!$A$1:$P$65536,9,0)),"",VLOOKUP($A242,[5]處所!$A$1:$P$65536,9,0))</f>
        <v/>
      </c>
      <c r="K242" s="10" t="str">
        <f>IF(ISERROR(VLOOKUP($A242,[5]處所!$A$1:$P$65536,10,0)),"",VLOOKUP($A242,[5]處所!$A$1:$P$65536,10,0))</f>
        <v/>
      </c>
      <c r="L242" s="10" t="str">
        <f>IF(ISERROR(VLOOKUP($A242,[5]處所!$A$1:$P$65536,11,0)),"",VLOOKUP($A242,[5]處所!$A$1:$P$65536,11,0))</f>
        <v/>
      </c>
      <c r="M242" s="36" t="str">
        <f>IF(ISERROR(VLOOKUP($A242,[5]處所!$A$1:$P$65536,15,0)),"",VLOOKUP($A242,[5]處所!$A$1:$P$65536,15,0))</f>
        <v/>
      </c>
      <c r="N242" s="35" t="str">
        <f>IF(ISERROR(VLOOKUP($A242,[5]處所!$A$1:$P$65536,14,0)),"",VLOOKUP($A242,[5]處所!$A$1:$P$65536,14,0)/100000000)</f>
        <v/>
      </c>
      <c r="O242" s="35" t="e">
        <f>VLOOKUP($A242,[5]公平價格!$A$1:$P$65536,14,0)</f>
        <v>#N/A</v>
      </c>
    </row>
    <row r="243" spans="1:15">
      <c r="A243" s="12"/>
      <c r="B243" s="10"/>
      <c r="C243" s="11"/>
      <c r="D243" s="10"/>
      <c r="E243" s="10"/>
      <c r="F243" s="10" t="str">
        <f>IF(ISERROR(VLOOKUP($A243,[5]等殖!$A$1:$P$65536,10,0)),"",VLOOKUP(A243,[5]等殖!$A$1:$P$65536,10,0))</f>
        <v/>
      </c>
      <c r="G243" s="10" t="str">
        <f>IF(ISERROR(VLOOKUP($A243,[5]等殖!$A$1:$P$65536,11,0)),"",VLOOKUP($A243,[5]等殖!$A$1:$P$65536,11,0))</f>
        <v/>
      </c>
      <c r="H243" s="10" t="str">
        <f>IF(ISERROR(VLOOKUP($A243,[5]等殖!$A$1:$P$65536,12,0)),"",VLOOKUP($A243,[5]等殖!$A$1:$P$65536,12,0))</f>
        <v/>
      </c>
      <c r="I243" s="35" t="str">
        <f>IF(ISERROR(VLOOKUP($A243,[5]等殖!$A$1:$P$65536,16,0)),"",VLOOKUP($A243,[5]等殖!$A$1:$P$65536,16,0))</f>
        <v/>
      </c>
      <c r="J243" s="10" t="str">
        <f>IF(ISERROR(VLOOKUP($A243,[5]處所!$A$1:$P$65536,9,0)),"",VLOOKUP($A243,[5]處所!$A$1:$P$65536,9,0))</f>
        <v/>
      </c>
      <c r="K243" s="10" t="str">
        <f>IF(ISERROR(VLOOKUP($A243,[5]處所!$A$1:$P$65536,10,0)),"",VLOOKUP($A243,[5]處所!$A$1:$P$65536,10,0))</f>
        <v/>
      </c>
      <c r="L243" s="10" t="str">
        <f>IF(ISERROR(VLOOKUP($A243,[5]處所!$A$1:$P$65536,11,0)),"",VLOOKUP($A243,[5]處所!$A$1:$P$65536,11,0))</f>
        <v/>
      </c>
      <c r="M243" s="36" t="str">
        <f>IF(ISERROR(VLOOKUP($A243,[5]處所!$A$1:$P$65536,15,0)),"",VLOOKUP($A243,[5]處所!$A$1:$P$65536,15,0))</f>
        <v/>
      </c>
      <c r="N243" s="35" t="str">
        <f>IF(ISERROR(VLOOKUP($A243,[5]處所!$A$1:$P$65536,14,0)),"",VLOOKUP($A243,[5]處所!$A$1:$P$65536,14,0)/100000000)</f>
        <v/>
      </c>
      <c r="O243" s="35" t="e">
        <f>VLOOKUP($A243,[5]公平價格!$A$1:$P$65536,14,0)</f>
        <v>#N/A</v>
      </c>
    </row>
    <row r="244" spans="1:15">
      <c r="M244" s="45"/>
    </row>
    <row r="245" spans="1:15">
      <c r="M245" s="45"/>
    </row>
    <row r="246" spans="1:15">
      <c r="M246" s="45"/>
    </row>
    <row r="247" spans="1:15">
      <c r="M247" s="45"/>
    </row>
    <row r="248" spans="1:15">
      <c r="M248" s="45"/>
    </row>
    <row r="249" spans="1:15">
      <c r="M249" s="45"/>
    </row>
    <row r="250" spans="1:15">
      <c r="M250" s="45"/>
    </row>
    <row r="251" spans="1:15">
      <c r="M251" s="45"/>
    </row>
    <row r="252" spans="1:15">
      <c r="M252" s="45"/>
    </row>
    <row r="253" spans="1:15">
      <c r="M253" s="45"/>
    </row>
    <row r="254" spans="1:15">
      <c r="M254" s="45"/>
    </row>
    <row r="255" spans="1:15">
      <c r="M255" s="45"/>
    </row>
    <row r="256" spans="1:15">
      <c r="M256" s="45"/>
    </row>
    <row r="257" spans="13:13">
      <c r="M257" s="45"/>
    </row>
    <row r="258" spans="13:13">
      <c r="M258" s="45"/>
    </row>
    <row r="259" spans="13:13">
      <c r="M259" s="45"/>
    </row>
    <row r="260" spans="13:13">
      <c r="M260" s="45"/>
    </row>
    <row r="261" spans="13:13">
      <c r="M261" s="45"/>
    </row>
    <row r="262" spans="13:13">
      <c r="M262" s="45"/>
    </row>
    <row r="263" spans="13:13">
      <c r="M263" s="45"/>
    </row>
    <row r="264" spans="13:13">
      <c r="M264" s="45"/>
    </row>
    <row r="265" spans="13:13">
      <c r="M265" s="45"/>
    </row>
    <row r="266" spans="13:13">
      <c r="M266" s="45"/>
    </row>
    <row r="267" spans="13:13">
      <c r="M267" s="45"/>
    </row>
    <row r="268" spans="13:13">
      <c r="M268" s="45"/>
    </row>
    <row r="269" spans="13:13">
      <c r="M269" s="45"/>
    </row>
    <row r="270" spans="13:13">
      <c r="M270" s="45"/>
    </row>
    <row r="271" spans="13:13">
      <c r="M271" s="45"/>
    </row>
    <row r="272" spans="13:13">
      <c r="M272" s="45"/>
    </row>
    <row r="273" spans="13:13">
      <c r="M273" s="45"/>
    </row>
    <row r="274" spans="13:13">
      <c r="M274" s="45"/>
    </row>
    <row r="275" spans="13:13">
      <c r="M275" s="45"/>
    </row>
    <row r="276" spans="13:13">
      <c r="M276" s="45"/>
    </row>
    <row r="277" spans="13:13">
      <c r="M277" s="45"/>
    </row>
    <row r="278" spans="13:13">
      <c r="M278" s="45"/>
    </row>
    <row r="279" spans="13:13">
      <c r="M279" s="45"/>
    </row>
    <row r="280" spans="13:13">
      <c r="M280" s="45"/>
    </row>
    <row r="281" spans="13:13">
      <c r="M281" s="45"/>
    </row>
    <row r="282" spans="13:13">
      <c r="M282" s="45"/>
    </row>
    <row r="283" spans="13:13">
      <c r="M283" s="45"/>
    </row>
    <row r="284" spans="13:13">
      <c r="M284" s="45"/>
    </row>
    <row r="285" spans="13:13">
      <c r="M285" s="45"/>
    </row>
    <row r="286" spans="13:13">
      <c r="M286" s="45"/>
    </row>
    <row r="287" spans="13:13">
      <c r="M287" s="45"/>
    </row>
    <row r="288" spans="13:13">
      <c r="M288" s="45"/>
    </row>
    <row r="289" spans="13:13">
      <c r="M289" s="45"/>
    </row>
    <row r="290" spans="13:13">
      <c r="M290" s="45"/>
    </row>
    <row r="291" spans="13:13">
      <c r="M291" s="45"/>
    </row>
    <row r="292" spans="13:13">
      <c r="M292" s="45"/>
    </row>
    <row r="293" spans="13:13">
      <c r="M293" s="45"/>
    </row>
    <row r="294" spans="13:13">
      <c r="M294" s="45"/>
    </row>
    <row r="295" spans="13:13">
      <c r="M295" s="45"/>
    </row>
    <row r="296" spans="13:13">
      <c r="M296" s="45"/>
    </row>
    <row r="297" spans="13:13">
      <c r="M297" s="45"/>
    </row>
    <row r="298" spans="13:13">
      <c r="M298" s="45"/>
    </row>
    <row r="299" spans="13:13">
      <c r="M299" s="45"/>
    </row>
    <row r="300" spans="13:13">
      <c r="M300" s="45"/>
    </row>
    <row r="301" spans="13:13">
      <c r="M301" s="45"/>
    </row>
    <row r="302" spans="13:13">
      <c r="M302" s="45"/>
    </row>
    <row r="303" spans="13:13">
      <c r="M303" s="45"/>
    </row>
    <row r="304" spans="13:13">
      <c r="M304" s="45"/>
    </row>
    <row r="305" spans="13:13">
      <c r="M305" s="45"/>
    </row>
    <row r="306" spans="13:13">
      <c r="M306" s="45"/>
    </row>
    <row r="307" spans="13:13">
      <c r="M307" s="45"/>
    </row>
    <row r="308" spans="13:13">
      <c r="M308" s="45"/>
    </row>
    <row r="309" spans="13:13">
      <c r="M309" s="45"/>
    </row>
    <row r="310" spans="13:13">
      <c r="M310" s="45"/>
    </row>
    <row r="311" spans="13:13">
      <c r="M311" s="45"/>
    </row>
    <row r="312" spans="13:13">
      <c r="M312" s="45"/>
    </row>
    <row r="313" spans="13:13">
      <c r="M313" s="45"/>
    </row>
    <row r="314" spans="13:13">
      <c r="M314" s="45"/>
    </row>
    <row r="315" spans="13:13">
      <c r="M315" s="45"/>
    </row>
    <row r="316" spans="13:13">
      <c r="M316" s="45"/>
    </row>
    <row r="317" spans="13:13">
      <c r="M317" s="45"/>
    </row>
    <row r="318" spans="13:13">
      <c r="M318" s="45"/>
    </row>
    <row r="319" spans="13:13">
      <c r="M319" s="45"/>
    </row>
    <row r="320" spans="13:13">
      <c r="M320" s="45"/>
    </row>
    <row r="321" spans="13:13">
      <c r="M321" s="45"/>
    </row>
    <row r="322" spans="13:13">
      <c r="M322" s="45"/>
    </row>
    <row r="323" spans="13:13">
      <c r="M323" s="45"/>
    </row>
    <row r="324" spans="13:13">
      <c r="M324" s="45"/>
    </row>
    <row r="325" spans="13:13">
      <c r="M325" s="45"/>
    </row>
    <row r="326" spans="13:13">
      <c r="M326" s="45"/>
    </row>
    <row r="327" spans="13:13">
      <c r="M327" s="45"/>
    </row>
    <row r="328" spans="13:13">
      <c r="M328" s="45"/>
    </row>
    <row r="329" spans="13:13">
      <c r="M329" s="45"/>
    </row>
    <row r="330" spans="13:13">
      <c r="M330" s="45"/>
    </row>
    <row r="331" spans="13:13">
      <c r="M331" s="45"/>
    </row>
    <row r="332" spans="13:13">
      <c r="M332" s="45"/>
    </row>
    <row r="333" spans="13:13">
      <c r="M333" s="45"/>
    </row>
    <row r="334" spans="13:13">
      <c r="M334" s="45"/>
    </row>
    <row r="335" spans="13:13">
      <c r="M335" s="45"/>
    </row>
    <row r="336" spans="13:13">
      <c r="M336" s="45"/>
    </row>
    <row r="337" spans="13:13">
      <c r="M337" s="45"/>
    </row>
    <row r="338" spans="13:13">
      <c r="M338" s="45"/>
    </row>
    <row r="339" spans="13:13">
      <c r="M339" s="45"/>
    </row>
    <row r="340" spans="13:13">
      <c r="M340" s="45"/>
    </row>
    <row r="341" spans="13:13">
      <c r="M341" s="45"/>
    </row>
    <row r="342" spans="13:13">
      <c r="M342" s="45"/>
    </row>
    <row r="343" spans="13:13">
      <c r="M343" s="45"/>
    </row>
    <row r="344" spans="13:13">
      <c r="M344" s="45"/>
    </row>
    <row r="345" spans="13:13">
      <c r="M345" s="45"/>
    </row>
    <row r="346" spans="13:13">
      <c r="M346" s="45"/>
    </row>
    <row r="347" spans="13:13">
      <c r="M347" s="45"/>
    </row>
    <row r="348" spans="13:13">
      <c r="M348" s="45"/>
    </row>
    <row r="349" spans="13:13">
      <c r="M349" s="45"/>
    </row>
    <row r="350" spans="13:13">
      <c r="M350" s="45"/>
    </row>
    <row r="351" spans="13:13">
      <c r="M351" s="45"/>
    </row>
    <row r="352" spans="13:13">
      <c r="M352" s="45"/>
    </row>
    <row r="353" spans="13:13">
      <c r="M353" s="45"/>
    </row>
    <row r="354" spans="13:13">
      <c r="M354" s="45"/>
    </row>
    <row r="355" spans="13:13">
      <c r="M355" s="45"/>
    </row>
    <row r="356" spans="13:13">
      <c r="M356" s="45"/>
    </row>
    <row r="357" spans="13:13">
      <c r="M357" s="45"/>
    </row>
    <row r="358" spans="13:13">
      <c r="M358" s="45"/>
    </row>
    <row r="359" spans="13:13">
      <c r="M359" s="45"/>
    </row>
    <row r="360" spans="13:13">
      <c r="M360" s="45"/>
    </row>
    <row r="361" spans="13:13">
      <c r="M361" s="45"/>
    </row>
    <row r="362" spans="13:13">
      <c r="M362" s="45"/>
    </row>
    <row r="363" spans="13:13">
      <c r="M363" s="45"/>
    </row>
    <row r="364" spans="13:13">
      <c r="M364" s="45"/>
    </row>
    <row r="365" spans="13:13">
      <c r="M365" s="45"/>
    </row>
    <row r="366" spans="13:13">
      <c r="M366" s="45"/>
    </row>
    <row r="367" spans="13:13">
      <c r="M367" s="45"/>
    </row>
    <row r="368" spans="13:13">
      <c r="M368" s="45"/>
    </row>
    <row r="369" spans="13:13">
      <c r="M369" s="45"/>
    </row>
    <row r="370" spans="13:13">
      <c r="M370" s="45"/>
    </row>
    <row r="371" spans="13:13">
      <c r="M371" s="45"/>
    </row>
    <row r="372" spans="13:13">
      <c r="M372" s="45"/>
    </row>
    <row r="373" spans="13:13">
      <c r="M373" s="45"/>
    </row>
    <row r="374" spans="13:13">
      <c r="M374" s="45"/>
    </row>
    <row r="375" spans="13:13">
      <c r="M375" s="45"/>
    </row>
    <row r="376" spans="13:13">
      <c r="M376" s="45"/>
    </row>
    <row r="377" spans="13:13">
      <c r="M377" s="45"/>
    </row>
    <row r="378" spans="13:13">
      <c r="M378" s="45"/>
    </row>
    <row r="379" spans="13:13">
      <c r="M379" s="45"/>
    </row>
    <row r="380" spans="13:13">
      <c r="M380" s="45"/>
    </row>
    <row r="381" spans="13:13">
      <c r="M381" s="45"/>
    </row>
    <row r="382" spans="13:13">
      <c r="M382" s="45"/>
    </row>
    <row r="383" spans="13:13">
      <c r="M383" s="45"/>
    </row>
    <row r="384" spans="13:13">
      <c r="M384" s="45"/>
    </row>
    <row r="385" spans="13:13">
      <c r="M385" s="45"/>
    </row>
    <row r="386" spans="13:13">
      <c r="M386" s="45"/>
    </row>
    <row r="387" spans="13:13">
      <c r="M387" s="45"/>
    </row>
    <row r="388" spans="13:13">
      <c r="M388" s="45"/>
    </row>
    <row r="389" spans="13:13">
      <c r="M389" s="45"/>
    </row>
    <row r="390" spans="13:13">
      <c r="M390" s="45"/>
    </row>
    <row r="391" spans="13:13">
      <c r="M391" s="45"/>
    </row>
    <row r="392" spans="13:13">
      <c r="M392" s="45"/>
    </row>
    <row r="393" spans="13:13">
      <c r="M393" s="45"/>
    </row>
    <row r="394" spans="13:13">
      <c r="M394" s="45"/>
    </row>
    <row r="395" spans="13:13">
      <c r="M395" s="45"/>
    </row>
    <row r="396" spans="13:13">
      <c r="M396" s="45"/>
    </row>
    <row r="397" spans="13:13">
      <c r="M397" s="45"/>
    </row>
    <row r="398" spans="13:13">
      <c r="M398" s="45"/>
    </row>
    <row r="399" spans="13:13">
      <c r="M399" s="45"/>
    </row>
    <row r="400" spans="13:13">
      <c r="M400" s="45"/>
    </row>
    <row r="401" spans="13:13">
      <c r="M401" s="45"/>
    </row>
    <row r="402" spans="13:13">
      <c r="M402" s="45"/>
    </row>
    <row r="403" spans="13:13">
      <c r="M403" s="45"/>
    </row>
    <row r="404" spans="13:13">
      <c r="M404" s="45"/>
    </row>
    <row r="405" spans="13:13">
      <c r="M405" s="45"/>
    </row>
    <row r="406" spans="13:13">
      <c r="M406" s="45"/>
    </row>
    <row r="407" spans="13:13">
      <c r="M407" s="45"/>
    </row>
    <row r="408" spans="13:13">
      <c r="M408" s="45"/>
    </row>
    <row r="409" spans="13:13">
      <c r="M409" s="45"/>
    </row>
    <row r="410" spans="13:13">
      <c r="M410" s="45"/>
    </row>
    <row r="411" spans="13:13">
      <c r="M411" s="45"/>
    </row>
    <row r="412" spans="13:13">
      <c r="M412" s="45"/>
    </row>
    <row r="413" spans="13:13">
      <c r="M413" s="45"/>
    </row>
    <row r="414" spans="13:13">
      <c r="M414" s="45"/>
    </row>
    <row r="415" spans="13:13">
      <c r="M415" s="45"/>
    </row>
    <row r="416" spans="13:13">
      <c r="M416" s="45"/>
    </row>
    <row r="417" spans="13:13">
      <c r="M417" s="45"/>
    </row>
    <row r="418" spans="13:13">
      <c r="M418" s="45"/>
    </row>
    <row r="419" spans="13:13">
      <c r="M419" s="45"/>
    </row>
    <row r="420" spans="13:13">
      <c r="M420" s="45"/>
    </row>
    <row r="421" spans="13:13">
      <c r="M421" s="45"/>
    </row>
    <row r="422" spans="13:13">
      <c r="M422" s="45"/>
    </row>
    <row r="423" spans="13:13">
      <c r="M423" s="45"/>
    </row>
    <row r="424" spans="13:13">
      <c r="M424" s="45"/>
    </row>
    <row r="425" spans="13:13">
      <c r="M425" s="45"/>
    </row>
    <row r="426" spans="13:13">
      <c r="M426" s="45"/>
    </row>
    <row r="427" spans="13:13">
      <c r="M427" s="45"/>
    </row>
    <row r="428" spans="13:13">
      <c r="M428" s="45"/>
    </row>
    <row r="429" spans="13:13">
      <c r="M429" s="45"/>
    </row>
    <row r="430" spans="13:13">
      <c r="M430" s="45"/>
    </row>
    <row r="431" spans="13:13">
      <c r="M431" s="45"/>
    </row>
    <row r="432" spans="13:13">
      <c r="M432" s="45"/>
    </row>
    <row r="433" spans="13:13">
      <c r="M433" s="45"/>
    </row>
    <row r="434" spans="13:13">
      <c r="M434" s="45"/>
    </row>
    <row r="435" spans="13:13">
      <c r="M435" s="45"/>
    </row>
    <row r="436" spans="13:13">
      <c r="M436" s="45"/>
    </row>
    <row r="437" spans="13:13">
      <c r="M437" s="45"/>
    </row>
    <row r="438" spans="13:13">
      <c r="M438" s="45"/>
    </row>
    <row r="439" spans="13:13">
      <c r="M439" s="45"/>
    </row>
    <row r="440" spans="13:13">
      <c r="M440" s="45"/>
    </row>
    <row r="441" spans="13:13">
      <c r="M441" s="45"/>
    </row>
    <row r="442" spans="13:13">
      <c r="M442" s="45"/>
    </row>
    <row r="443" spans="13:13">
      <c r="M443" s="45"/>
    </row>
    <row r="444" spans="13:13">
      <c r="M444" s="45"/>
    </row>
    <row r="445" spans="13:13">
      <c r="M445" s="45"/>
    </row>
    <row r="446" spans="13:13">
      <c r="M446" s="45"/>
    </row>
    <row r="447" spans="13:13">
      <c r="M447" s="45"/>
    </row>
    <row r="448" spans="13:13">
      <c r="M448" s="45"/>
    </row>
    <row r="449" spans="13:13">
      <c r="M449" s="45"/>
    </row>
    <row r="450" spans="13:13">
      <c r="M450" s="45"/>
    </row>
    <row r="451" spans="13:13">
      <c r="M451" s="45"/>
    </row>
    <row r="452" spans="13:13">
      <c r="M452" s="45"/>
    </row>
    <row r="453" spans="13:13">
      <c r="M453" s="45"/>
    </row>
    <row r="454" spans="13:13">
      <c r="M454" s="45"/>
    </row>
    <row r="455" spans="13:13">
      <c r="M455" s="45"/>
    </row>
    <row r="456" spans="13:13">
      <c r="M456" s="45"/>
    </row>
    <row r="457" spans="13:13">
      <c r="M457" s="45"/>
    </row>
    <row r="458" spans="13:13">
      <c r="M458" s="45"/>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Ddys01a1"/>
  <dimension ref="A1:P27"/>
  <sheetViews>
    <sheetView workbookViewId="0">
      <pane ySplit="4" topLeftCell="A5" activePane="bottomLeft" state="frozen"/>
      <selection pane="bottomLeft" activeCell="M17" sqref="M17"/>
    </sheetView>
  </sheetViews>
  <sheetFormatPr defaultRowHeight="14.25"/>
  <cols>
    <col min="1" max="1" width="6.625" style="40" customWidth="1"/>
    <col min="2" max="2" width="10.625" style="40" customWidth="1"/>
    <col min="3" max="4" width="6.625" style="40" customWidth="1"/>
    <col min="5" max="7" width="7.625" style="40" customWidth="1"/>
    <col min="8" max="8" width="9.625" style="40" customWidth="1"/>
    <col min="9" max="9" width="13.625" style="40" customWidth="1"/>
    <col min="10" max="11" width="7.625" style="40" customWidth="1"/>
    <col min="12" max="12" width="12.625" style="40" customWidth="1"/>
    <col min="13" max="13" width="9.625" style="40" customWidth="1"/>
    <col min="14" max="14" width="13.625" style="40" customWidth="1"/>
    <col min="15" max="16" width="12.625" style="40" customWidth="1"/>
    <col min="17" max="16384" width="9" style="40"/>
  </cols>
  <sheetData>
    <row r="1" spans="1:16" ht="39.950000000000003" customHeight="1">
      <c r="A1" s="110" t="s">
        <v>1063</v>
      </c>
      <c r="B1" s="111"/>
      <c r="C1" s="111"/>
      <c r="D1" s="111"/>
      <c r="E1" s="111"/>
      <c r="F1" s="111"/>
      <c r="G1" s="111"/>
      <c r="H1" s="111"/>
      <c r="I1" s="111"/>
      <c r="J1" s="111"/>
      <c r="K1" s="111"/>
      <c r="L1" s="111"/>
      <c r="M1" s="111"/>
      <c r="N1" s="111"/>
      <c r="O1" s="111"/>
      <c r="P1" s="111"/>
    </row>
    <row r="2" spans="1:16">
      <c r="A2" s="51" t="s">
        <v>1064</v>
      </c>
    </row>
    <row r="3" spans="1:16" s="77" customFormat="1" ht="39.950000000000003" customHeight="1">
      <c r="A3" s="115" t="s">
        <v>1065</v>
      </c>
      <c r="B3" s="116"/>
      <c r="C3" s="24" t="s">
        <v>1066</v>
      </c>
      <c r="D3" s="24" t="s">
        <v>1067</v>
      </c>
      <c r="E3" s="117" t="s">
        <v>1068</v>
      </c>
      <c r="F3" s="118"/>
      <c r="G3" s="118"/>
      <c r="H3" s="118"/>
      <c r="I3" s="119"/>
      <c r="J3" s="112" t="s">
        <v>342</v>
      </c>
      <c r="K3" s="113"/>
      <c r="L3" s="113"/>
      <c r="M3" s="113"/>
      <c r="N3" s="120"/>
      <c r="O3" s="76" t="s">
        <v>1069</v>
      </c>
      <c r="P3" s="25" t="s">
        <v>1070</v>
      </c>
    </row>
    <row r="4" spans="1:16" s="83" customFormat="1" ht="39.950000000000003" customHeight="1">
      <c r="A4" s="78" t="s">
        <v>1071</v>
      </c>
      <c r="B4" s="79" t="s">
        <v>1072</v>
      </c>
      <c r="C4" s="9" t="s">
        <v>1073</v>
      </c>
      <c r="D4" s="9" t="s">
        <v>299</v>
      </c>
      <c r="E4" s="80" t="s">
        <v>1074</v>
      </c>
      <c r="F4" s="80" t="s">
        <v>1075</v>
      </c>
      <c r="G4" s="80" t="s">
        <v>1076</v>
      </c>
      <c r="H4" s="80" t="s">
        <v>1077</v>
      </c>
      <c r="I4" s="81" t="s">
        <v>1078</v>
      </c>
      <c r="J4" s="29" t="s">
        <v>1079</v>
      </c>
      <c r="K4" s="29" t="s">
        <v>1080</v>
      </c>
      <c r="L4" s="29" t="s">
        <v>300</v>
      </c>
      <c r="M4" s="29" t="s">
        <v>1077</v>
      </c>
      <c r="N4" s="81" t="s">
        <v>1081</v>
      </c>
      <c r="O4" s="82" t="s">
        <v>1082</v>
      </c>
      <c r="P4" s="30" t="s">
        <v>1083</v>
      </c>
    </row>
    <row r="5" spans="1:16" s="88" customFormat="1">
      <c r="A5" s="12" t="s">
        <v>5</v>
      </c>
      <c r="B5" s="14" t="s">
        <v>423</v>
      </c>
      <c r="C5" s="44">
        <v>0.76</v>
      </c>
      <c r="D5" s="44">
        <v>0.78</v>
      </c>
      <c r="E5" s="84">
        <v>99.670699999999997</v>
      </c>
      <c r="F5" s="84">
        <v>99.678200000000004</v>
      </c>
      <c r="G5" s="84">
        <v>99.674499999999995</v>
      </c>
      <c r="H5" s="85">
        <v>2.3E-3</v>
      </c>
      <c r="I5" s="86" t="s">
        <v>330</v>
      </c>
      <c r="J5" s="84">
        <v>0.93500000000000005</v>
      </c>
      <c r="K5" s="84">
        <v>0.92500000000000004</v>
      </c>
      <c r="L5" s="84">
        <v>0.93</v>
      </c>
      <c r="M5" s="85">
        <v>-1.5E-3</v>
      </c>
      <c r="N5" s="86">
        <v>0</v>
      </c>
      <c r="O5" s="39">
        <v>598046748</v>
      </c>
      <c r="P5" s="87">
        <v>6</v>
      </c>
    </row>
    <row r="6" spans="1:16">
      <c r="A6" s="12" t="s">
        <v>246</v>
      </c>
      <c r="B6" s="14" t="s">
        <v>575</v>
      </c>
      <c r="C6" s="44">
        <v>15.47</v>
      </c>
      <c r="D6" s="44">
        <v>16.420000000000002</v>
      </c>
      <c r="E6" s="84">
        <v>86.954899999999995</v>
      </c>
      <c r="F6" s="84">
        <v>86.954899999999995</v>
      </c>
      <c r="G6" s="84">
        <v>86.954899999999995</v>
      </c>
      <c r="H6" s="85">
        <v>-0.20069999999999999</v>
      </c>
      <c r="I6" s="86" t="s">
        <v>330</v>
      </c>
      <c r="J6" s="84">
        <v>1.395</v>
      </c>
      <c r="K6" s="84">
        <v>1.395</v>
      </c>
      <c r="L6" s="84">
        <v>1.395</v>
      </c>
      <c r="M6" s="85">
        <v>1.4999999999999999E-2</v>
      </c>
      <c r="N6" s="86">
        <v>0</v>
      </c>
      <c r="O6" s="39">
        <v>434774330</v>
      </c>
      <c r="P6" s="87">
        <v>5</v>
      </c>
    </row>
    <row r="7" spans="1:16" s="89" customFormat="1">
      <c r="A7" s="12" t="s">
        <v>231</v>
      </c>
      <c r="B7" s="14" t="s">
        <v>441</v>
      </c>
      <c r="C7" s="44">
        <v>2.13</v>
      </c>
      <c r="D7" s="44">
        <v>2.17</v>
      </c>
      <c r="E7" s="84">
        <v>97.975399999999993</v>
      </c>
      <c r="F7" s="84">
        <v>97.975399999999993</v>
      </c>
      <c r="G7" s="84">
        <v>97.975399999999993</v>
      </c>
      <c r="H7" s="85">
        <v>-5.8099999999999999E-2</v>
      </c>
      <c r="I7" s="86" t="s">
        <v>330</v>
      </c>
      <c r="J7" s="84">
        <v>1.08</v>
      </c>
      <c r="K7" s="84">
        <v>1.08</v>
      </c>
      <c r="L7" s="84">
        <v>1.08</v>
      </c>
      <c r="M7" s="85">
        <v>2.9000000000000001E-2</v>
      </c>
      <c r="N7" s="86">
        <v>0</v>
      </c>
      <c r="O7" s="39">
        <v>97975352</v>
      </c>
      <c r="P7" s="87">
        <v>1</v>
      </c>
    </row>
    <row r="8" spans="1:16">
      <c r="A8" s="12" t="s">
        <v>233</v>
      </c>
      <c r="B8" s="14" t="s">
        <v>381</v>
      </c>
      <c r="C8" s="44">
        <v>2.76</v>
      </c>
      <c r="D8" s="44">
        <v>2.81</v>
      </c>
      <c r="E8" s="84">
        <v>97.618799999999993</v>
      </c>
      <c r="F8" s="84">
        <v>97.624200000000002</v>
      </c>
      <c r="G8" s="84">
        <v>97.621499999999997</v>
      </c>
      <c r="H8" s="85">
        <v>-0.22720000000000001</v>
      </c>
      <c r="I8" s="86" t="s">
        <v>330</v>
      </c>
      <c r="J8" s="84">
        <v>1.1200000000000001</v>
      </c>
      <c r="K8" s="84">
        <v>1.1180000000000001</v>
      </c>
      <c r="L8" s="84">
        <v>1.119</v>
      </c>
      <c r="M8" s="85">
        <v>8.5000000000000006E-2</v>
      </c>
      <c r="N8" s="86">
        <v>0</v>
      </c>
      <c r="O8" s="39">
        <v>390486056</v>
      </c>
      <c r="P8" s="87">
        <v>4</v>
      </c>
    </row>
    <row r="9" spans="1:16">
      <c r="A9" s="12" t="s">
        <v>205</v>
      </c>
      <c r="B9" s="14" t="s">
        <v>517</v>
      </c>
      <c r="C9" s="44">
        <v>8.02</v>
      </c>
      <c r="D9" s="44">
        <v>8.36</v>
      </c>
      <c r="E9" s="84">
        <v>94.795299999999997</v>
      </c>
      <c r="F9" s="84">
        <v>94.802999999999997</v>
      </c>
      <c r="G9" s="84">
        <v>94.799199999999999</v>
      </c>
      <c r="H9" s="85">
        <v>-0.68869999999999998</v>
      </c>
      <c r="I9" s="86" t="s">
        <v>330</v>
      </c>
      <c r="J9" s="84">
        <v>1.286</v>
      </c>
      <c r="K9" s="84">
        <v>1.2849999999999999</v>
      </c>
      <c r="L9" s="84">
        <v>1.2855000000000001</v>
      </c>
      <c r="M9" s="85">
        <v>0.09</v>
      </c>
      <c r="N9" s="86">
        <v>0</v>
      </c>
      <c r="O9" s="39">
        <v>568794954</v>
      </c>
      <c r="P9" s="87">
        <v>6</v>
      </c>
    </row>
    <row r="10" spans="1:16">
      <c r="A10" s="12" t="s">
        <v>223</v>
      </c>
      <c r="B10" s="14" t="s">
        <v>630</v>
      </c>
      <c r="C10" s="44">
        <v>21.9</v>
      </c>
      <c r="D10" s="44">
        <v>28.62</v>
      </c>
      <c r="E10" s="84">
        <v>109.72280000000001</v>
      </c>
      <c r="F10" s="84">
        <v>109.72280000000001</v>
      </c>
      <c r="G10" s="84">
        <v>109.72280000000001</v>
      </c>
      <c r="H10" s="85">
        <v>-0.7177</v>
      </c>
      <c r="I10" s="86" t="s">
        <v>330</v>
      </c>
      <c r="J10" s="84">
        <v>1.575</v>
      </c>
      <c r="K10" s="84">
        <v>1.575</v>
      </c>
      <c r="L10" s="84">
        <v>1.575</v>
      </c>
      <c r="M10" s="85">
        <v>2.9499999999999998E-2</v>
      </c>
      <c r="N10" s="86">
        <v>0</v>
      </c>
      <c r="O10" s="39">
        <v>219445688</v>
      </c>
      <c r="P10" s="87">
        <v>2</v>
      </c>
    </row>
    <row r="11" spans="1:16">
      <c r="A11" s="12" t="s">
        <v>219</v>
      </c>
      <c r="B11" s="14" t="s">
        <v>519</v>
      </c>
      <c r="C11" s="44">
        <v>8.18</v>
      </c>
      <c r="D11" s="44">
        <v>8.73</v>
      </c>
      <c r="E11" s="84">
        <v>99.662400000000005</v>
      </c>
      <c r="F11" s="84">
        <v>99.670599999999993</v>
      </c>
      <c r="G11" s="84">
        <v>99.666499999999999</v>
      </c>
      <c r="H11" s="85">
        <v>-0.1883</v>
      </c>
      <c r="I11" s="86" t="s">
        <v>330</v>
      </c>
      <c r="J11" s="84">
        <v>1.2909999999999999</v>
      </c>
      <c r="K11" s="84">
        <v>1.29</v>
      </c>
      <c r="L11" s="84">
        <v>1.2905</v>
      </c>
      <c r="M11" s="85">
        <v>2.3E-2</v>
      </c>
      <c r="N11" s="86">
        <v>0</v>
      </c>
      <c r="O11" s="39">
        <v>199333052</v>
      </c>
      <c r="P11" s="87">
        <v>2</v>
      </c>
    </row>
    <row r="12" spans="1:16">
      <c r="A12" s="12" t="s">
        <v>256</v>
      </c>
      <c r="B12" s="14" t="s">
        <v>458</v>
      </c>
      <c r="C12" s="44">
        <v>3.83</v>
      </c>
      <c r="D12" s="44">
        <v>3.96</v>
      </c>
      <c r="E12" s="84">
        <v>100.1875</v>
      </c>
      <c r="F12" s="84">
        <v>100.1913</v>
      </c>
      <c r="G12" s="84">
        <v>100.18940000000001</v>
      </c>
      <c r="H12" s="85">
        <v>-0.34660000000000002</v>
      </c>
      <c r="I12" s="86" t="s">
        <v>330</v>
      </c>
      <c r="J12" s="84">
        <v>1.2010000000000001</v>
      </c>
      <c r="K12" s="84">
        <v>1.2</v>
      </c>
      <c r="L12" s="84">
        <v>1.2004999999999999</v>
      </c>
      <c r="M12" s="85">
        <v>0.09</v>
      </c>
      <c r="N12" s="86">
        <v>0</v>
      </c>
      <c r="O12" s="39">
        <v>400757580</v>
      </c>
      <c r="P12" s="87">
        <v>4</v>
      </c>
    </row>
    <row r="13" spans="1:16">
      <c r="A13" s="12" t="s">
        <v>262</v>
      </c>
      <c r="B13" s="14" t="s">
        <v>521</v>
      </c>
      <c r="C13" s="44">
        <v>8.19</v>
      </c>
      <c r="D13" s="44">
        <v>9.0299999999999994</v>
      </c>
      <c r="E13" s="84">
        <v>103.8214</v>
      </c>
      <c r="F13" s="84">
        <v>103.89060000000001</v>
      </c>
      <c r="G13" s="84">
        <v>103.85599999999999</v>
      </c>
      <c r="H13" s="85">
        <v>-0.12740000000000001</v>
      </c>
      <c r="I13" s="86">
        <v>103.89060000000001</v>
      </c>
      <c r="J13" s="84">
        <v>1.298</v>
      </c>
      <c r="K13" s="84">
        <v>1.29</v>
      </c>
      <c r="L13" s="84">
        <v>1.294</v>
      </c>
      <c r="M13" s="85">
        <v>1.46E-2</v>
      </c>
      <c r="N13" s="86">
        <v>1.29</v>
      </c>
      <c r="O13" s="39">
        <v>519279883</v>
      </c>
      <c r="P13" s="87">
        <v>5</v>
      </c>
    </row>
    <row r="14" spans="1:16">
      <c r="A14" s="12" t="s">
        <v>267</v>
      </c>
      <c r="B14" s="14" t="s">
        <v>385</v>
      </c>
      <c r="C14" s="44">
        <v>21.31</v>
      </c>
      <c r="D14" s="44">
        <v>29.1</v>
      </c>
      <c r="E14" s="84">
        <v>118.4208</v>
      </c>
      <c r="F14" s="84">
        <v>118.4208</v>
      </c>
      <c r="G14" s="84">
        <v>118.4208</v>
      </c>
      <c r="H14" s="85">
        <v>-1.165</v>
      </c>
      <c r="I14" s="86" t="s">
        <v>330</v>
      </c>
      <c r="J14" s="84">
        <v>1.58</v>
      </c>
      <c r="K14" s="84">
        <v>1.58</v>
      </c>
      <c r="L14" s="84">
        <v>1.58</v>
      </c>
      <c r="M14" s="85">
        <v>4.4999999999999998E-2</v>
      </c>
      <c r="N14" s="86">
        <v>0</v>
      </c>
      <c r="O14" s="39">
        <v>118420796</v>
      </c>
      <c r="P14" s="87">
        <v>1</v>
      </c>
    </row>
    <row r="15" spans="1:16">
      <c r="A15" s="12" t="s">
        <v>321</v>
      </c>
      <c r="B15" s="14" t="s">
        <v>469</v>
      </c>
      <c r="C15" s="44">
        <v>4.47</v>
      </c>
      <c r="D15" s="44">
        <v>4.63</v>
      </c>
      <c r="E15" s="84">
        <v>99.011600000000001</v>
      </c>
      <c r="F15" s="84">
        <v>99.016099999999994</v>
      </c>
      <c r="G15" s="84">
        <v>99.013800000000003</v>
      </c>
      <c r="H15" s="85">
        <v>-0.13550000000000001</v>
      </c>
      <c r="I15" s="86" t="s">
        <v>330</v>
      </c>
      <c r="J15" s="84">
        <v>1.2210000000000001</v>
      </c>
      <c r="K15" s="84">
        <v>1.22</v>
      </c>
      <c r="L15" s="84">
        <v>1.2204999999999999</v>
      </c>
      <c r="M15" s="85">
        <v>3.0599999999999999E-2</v>
      </c>
      <c r="N15" s="86">
        <v>0</v>
      </c>
      <c r="O15" s="39">
        <v>891124506</v>
      </c>
      <c r="P15" s="87">
        <v>9</v>
      </c>
    </row>
    <row r="16" spans="1:16">
      <c r="A16" s="12" t="s">
        <v>308</v>
      </c>
      <c r="B16" s="14" t="s">
        <v>475</v>
      </c>
      <c r="C16" s="44">
        <v>4.76</v>
      </c>
      <c r="D16" s="44">
        <v>4.9400000000000004</v>
      </c>
      <c r="E16" s="84">
        <v>99.543300000000002</v>
      </c>
      <c r="F16" s="84">
        <v>99.638099999999994</v>
      </c>
      <c r="G16" s="84">
        <v>99.559399999999997</v>
      </c>
      <c r="H16" s="85">
        <v>-0.24959999999999999</v>
      </c>
      <c r="I16" s="86" t="s">
        <v>330</v>
      </c>
      <c r="J16" s="84">
        <v>1.2210000000000001</v>
      </c>
      <c r="K16" s="84">
        <v>1.2010000000000001</v>
      </c>
      <c r="L16" s="84">
        <v>1.2176</v>
      </c>
      <c r="M16" s="85">
        <v>5.2600000000000001E-2</v>
      </c>
      <c r="N16" s="86">
        <v>0</v>
      </c>
      <c r="O16" s="39">
        <v>1393826106</v>
      </c>
      <c r="P16" s="87">
        <v>14</v>
      </c>
    </row>
    <row r="17" spans="1:16">
      <c r="A17" s="12" t="s">
        <v>541</v>
      </c>
      <c r="B17" s="14" t="s">
        <v>538</v>
      </c>
      <c r="C17" s="44">
        <v>9.32</v>
      </c>
      <c r="D17" s="44">
        <v>9.99</v>
      </c>
      <c r="E17" s="84">
        <v>99.488299999999995</v>
      </c>
      <c r="F17" s="84">
        <v>99.534700000000001</v>
      </c>
      <c r="G17" s="84">
        <v>99.511499999999998</v>
      </c>
      <c r="H17" s="85">
        <v>-0.1159</v>
      </c>
      <c r="I17" s="86">
        <v>99.534700000000001</v>
      </c>
      <c r="J17" s="84">
        <v>1.3049999999999999</v>
      </c>
      <c r="K17" s="84">
        <v>1.3</v>
      </c>
      <c r="L17" s="84">
        <v>1.3025</v>
      </c>
      <c r="M17" s="85">
        <v>1.2500000000000001E-2</v>
      </c>
      <c r="N17" s="86">
        <v>1.3</v>
      </c>
      <c r="O17" s="39">
        <v>298534374</v>
      </c>
      <c r="P17" s="87">
        <v>3</v>
      </c>
    </row>
    <row r="18" spans="1:16">
      <c r="A18" s="12" t="s">
        <v>537</v>
      </c>
      <c r="B18" s="14" t="s">
        <v>538</v>
      </c>
      <c r="C18" s="44">
        <v>9.16</v>
      </c>
      <c r="D18" s="44">
        <v>9.99</v>
      </c>
      <c r="E18" s="84">
        <v>99.403899999999993</v>
      </c>
      <c r="F18" s="84">
        <v>99.55</v>
      </c>
      <c r="G18" s="84">
        <v>99.465100000000007</v>
      </c>
      <c r="H18" s="85">
        <v>-0.2404</v>
      </c>
      <c r="I18" s="86">
        <v>99.404799999999994</v>
      </c>
      <c r="J18" s="84">
        <v>1.3149999999999999</v>
      </c>
      <c r="K18" s="84">
        <v>1.2989999999999999</v>
      </c>
      <c r="L18" s="84">
        <v>1.3083</v>
      </c>
      <c r="M18" s="85">
        <v>2.63E-2</v>
      </c>
      <c r="N18" s="86">
        <v>1.3140000000000001</v>
      </c>
      <c r="O18" s="39">
        <v>1050000000</v>
      </c>
      <c r="P18" s="87">
        <v>10.5</v>
      </c>
    </row>
    <row r="19" spans="1:16">
      <c r="A19" s="12" t="s">
        <v>19</v>
      </c>
      <c r="B19" s="14" t="s">
        <v>491</v>
      </c>
      <c r="C19" s="44">
        <v>6.41</v>
      </c>
      <c r="D19" s="44">
        <v>6.85</v>
      </c>
      <c r="E19" s="84">
        <v>103.18089999999999</v>
      </c>
      <c r="F19" s="84">
        <v>103.1875</v>
      </c>
      <c r="G19" s="84">
        <v>103.1842</v>
      </c>
      <c r="H19" s="85">
        <v>-0.80089999999999995</v>
      </c>
      <c r="I19" s="86" t="s">
        <v>330</v>
      </c>
      <c r="J19" s="84">
        <v>1.2609999999999999</v>
      </c>
      <c r="K19" s="84">
        <v>1.26</v>
      </c>
      <c r="L19" s="84">
        <v>1.2605</v>
      </c>
      <c r="M19" s="85">
        <v>0.12</v>
      </c>
      <c r="N19" s="86">
        <v>0</v>
      </c>
      <c r="O19" s="39">
        <v>825473632</v>
      </c>
      <c r="P19" s="87">
        <v>8</v>
      </c>
    </row>
    <row r="20" spans="1:16">
      <c r="A20" s="90" t="s">
        <v>1084</v>
      </c>
      <c r="B20" s="91"/>
      <c r="C20" s="92"/>
      <c r="D20" s="92"/>
      <c r="E20" s="93"/>
      <c r="F20" s="93"/>
      <c r="G20" s="94"/>
      <c r="H20" s="93"/>
      <c r="I20" s="94"/>
      <c r="J20" s="95"/>
      <c r="K20" s="95"/>
      <c r="L20" s="95"/>
      <c r="M20" s="95"/>
      <c r="N20" s="95"/>
      <c r="O20" s="96">
        <f>SUM(O5:O19)</f>
        <v>8006273057</v>
      </c>
      <c r="P20" s="97">
        <f>SUM(P5:P19)</f>
        <v>80.5</v>
      </c>
    </row>
    <row r="21" spans="1:16">
      <c r="A21" s="121" t="s">
        <v>1085</v>
      </c>
      <c r="B21" s="121"/>
      <c r="C21" s="98" t="s">
        <v>1086</v>
      </c>
      <c r="D21" s="99"/>
      <c r="E21" s="99"/>
      <c r="F21" s="99"/>
      <c r="G21" s="99"/>
      <c r="H21" s="99"/>
      <c r="I21" s="99"/>
      <c r="J21" s="99"/>
      <c r="K21" s="99"/>
      <c r="L21" s="99"/>
      <c r="M21" s="99"/>
      <c r="N21" s="99"/>
      <c r="O21" s="99"/>
      <c r="P21" s="99"/>
    </row>
    <row r="22" spans="1:16">
      <c r="A22" s="100"/>
      <c r="B22" s="101"/>
      <c r="C22" s="102" t="s">
        <v>1087</v>
      </c>
      <c r="D22" s="101"/>
      <c r="E22" s="101"/>
      <c r="F22" s="101"/>
      <c r="G22" s="101"/>
      <c r="H22" s="101"/>
      <c r="I22" s="101"/>
      <c r="J22" s="101"/>
      <c r="K22" s="101"/>
      <c r="L22" s="101"/>
      <c r="M22" s="101"/>
      <c r="N22" s="101"/>
      <c r="O22" s="101"/>
      <c r="P22" s="101"/>
    </row>
    <row r="23" spans="1:16">
      <c r="B23" s="103"/>
      <c r="C23" s="102" t="s">
        <v>1088</v>
      </c>
    </row>
    <row r="24" spans="1:16">
      <c r="B24" s="104"/>
      <c r="C24" s="102" t="s">
        <v>1089</v>
      </c>
    </row>
    <row r="25" spans="1:16">
      <c r="C25" s="102" t="s">
        <v>1090</v>
      </c>
    </row>
    <row r="26" spans="1:16">
      <c r="C26" s="105" t="s">
        <v>1091</v>
      </c>
    </row>
    <row r="27" spans="1:16">
      <c r="C27" s="105" t="s">
        <v>1092</v>
      </c>
    </row>
  </sheetData>
  <mergeCells count="5">
    <mergeCell ref="A1:P1"/>
    <mergeCell ref="A3:B3"/>
    <mergeCell ref="E3:I3"/>
    <mergeCell ref="J3:N3"/>
    <mergeCell ref="A21:B21"/>
  </mergeCells>
  <phoneticPr fontId="1" type="noConversion"/>
  <hyperlinks>
    <hyperlink ref="G2" location="首頁!A1" display="首頁"/>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System)&amp;R&amp;"新細明體,標準"&amp;8製表時間：112/10/06  16:25
第&amp;"Times New Roman,標準"&amp;8 &amp;P / &amp;N &amp;"新細明體,標準"&amp;8頁</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4">
    <pageSetUpPr fitToPage="1"/>
  </sheetPr>
  <dimension ref="A1:T138"/>
  <sheetViews>
    <sheetView zoomScale="90" workbookViewId="0">
      <pane xSplit="1" ySplit="3" topLeftCell="B4" activePane="bottomRight" state="frozen"/>
      <selection sqref="A1:IV65536"/>
      <selection pane="topRight" sqref="A1:IV65536"/>
      <selection pane="bottomLeft" sqref="A1:IV65536"/>
      <selection pane="bottomRight" activeCell="G23" sqref="G23"/>
    </sheetView>
  </sheetViews>
  <sheetFormatPr defaultRowHeight="16.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8.625" style="40" customWidth="1"/>
    <col min="19" max="19" width="11.375" style="43" bestFit="1" customWidth="1"/>
    <col min="20" max="20" width="11.25" style="43"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c r="F1" s="107" t="s">
        <v>1093</v>
      </c>
      <c r="G1" s="108"/>
      <c r="H1" s="108"/>
      <c r="I1" s="109"/>
      <c r="J1" s="107" t="s">
        <v>1094</v>
      </c>
      <c r="K1" s="108"/>
      <c r="L1" s="108"/>
      <c r="M1" s="108"/>
      <c r="N1" s="109"/>
      <c r="O1" s="8" t="s">
        <v>1095</v>
      </c>
      <c r="Q1" s="110" t="s">
        <v>1096</v>
      </c>
      <c r="R1" s="111"/>
      <c r="S1" s="111"/>
      <c r="T1" s="111"/>
    </row>
    <row r="2" spans="1:20" ht="28.5">
      <c r="D2" s="24" t="s">
        <v>1097</v>
      </c>
      <c r="E2" s="24" t="s">
        <v>1098</v>
      </c>
      <c r="F2" s="112" t="s">
        <v>1099</v>
      </c>
      <c r="G2" s="113"/>
      <c r="H2" s="113"/>
      <c r="I2" s="25" t="s">
        <v>1100</v>
      </c>
      <c r="J2" s="112" t="s">
        <v>1099</v>
      </c>
      <c r="K2" s="113"/>
      <c r="L2" s="113"/>
      <c r="M2" s="25" t="s">
        <v>1101</v>
      </c>
      <c r="N2" s="25" t="s">
        <v>1100</v>
      </c>
      <c r="O2" s="114" t="s">
        <v>1102</v>
      </c>
      <c r="Q2" s="26" t="s">
        <v>1103</v>
      </c>
      <c r="R2" s="27"/>
      <c r="S2" s="28"/>
      <c r="T2" s="28"/>
    </row>
    <row r="3" spans="1:20" ht="45.75">
      <c r="B3" s="8" t="s">
        <v>1104</v>
      </c>
      <c r="C3" s="8" t="s">
        <v>1105</v>
      </c>
      <c r="D3" s="9" t="s">
        <v>98</v>
      </c>
      <c r="E3" s="9" t="s">
        <v>299</v>
      </c>
      <c r="F3" s="29" t="s">
        <v>1106</v>
      </c>
      <c r="G3" s="29" t="s">
        <v>1107</v>
      </c>
      <c r="H3" s="29" t="s">
        <v>1108</v>
      </c>
      <c r="I3" s="30" t="s">
        <v>1109</v>
      </c>
      <c r="J3" s="29" t="s">
        <v>839</v>
      </c>
      <c r="K3" s="29" t="s">
        <v>1107</v>
      </c>
      <c r="L3" s="29" t="s">
        <v>1108</v>
      </c>
      <c r="M3" s="31" t="s">
        <v>301</v>
      </c>
      <c r="N3" s="30" t="s">
        <v>1109</v>
      </c>
      <c r="O3" s="114"/>
      <c r="Q3" s="32" t="s">
        <v>1110</v>
      </c>
      <c r="R3" s="33" t="s">
        <v>302</v>
      </c>
      <c r="S3" s="34" t="s">
        <v>1111</v>
      </c>
      <c r="T3" s="34" t="s">
        <v>303</v>
      </c>
    </row>
    <row r="4" spans="1:20">
      <c r="A4" s="74" t="s">
        <v>36</v>
      </c>
      <c r="B4" s="47" t="s">
        <v>304</v>
      </c>
      <c r="C4" s="48">
        <v>0.75</v>
      </c>
      <c r="D4" s="47">
        <v>0.11</v>
      </c>
      <c r="E4" s="47">
        <v>0.11</v>
      </c>
      <c r="F4" s="10" t="s">
        <v>0</v>
      </c>
      <c r="G4" s="10" t="s">
        <v>0</v>
      </c>
      <c r="H4" s="10" t="s">
        <v>0</v>
      </c>
      <c r="I4" s="35" t="s">
        <v>0</v>
      </c>
      <c r="J4" s="10" t="s">
        <v>0</v>
      </c>
      <c r="K4" s="10" t="s">
        <v>0</v>
      </c>
      <c r="L4" s="10" t="s">
        <v>0</v>
      </c>
      <c r="M4" s="36" t="s">
        <v>0</v>
      </c>
      <c r="N4" s="35" t="s">
        <v>0</v>
      </c>
      <c r="O4" s="35">
        <v>0.93700000000000006</v>
      </c>
      <c r="Q4" s="37" t="s">
        <v>5</v>
      </c>
      <c r="R4" s="37" t="s">
        <v>1112</v>
      </c>
      <c r="S4" s="38">
        <v>100000000</v>
      </c>
      <c r="T4" s="38">
        <v>100000000</v>
      </c>
    </row>
    <row r="5" spans="1:20">
      <c r="A5" s="74" t="s">
        <v>27</v>
      </c>
      <c r="B5" s="47" t="s">
        <v>305</v>
      </c>
      <c r="C5" s="48">
        <v>0.625</v>
      </c>
      <c r="D5" s="47">
        <v>0.25</v>
      </c>
      <c r="E5" s="47">
        <v>0.26</v>
      </c>
      <c r="F5" s="10" t="s">
        <v>0</v>
      </c>
      <c r="G5" s="10" t="s">
        <v>0</v>
      </c>
      <c r="H5" s="10" t="s">
        <v>0</v>
      </c>
      <c r="I5" s="35" t="s">
        <v>0</v>
      </c>
      <c r="J5" s="10" t="s">
        <v>0</v>
      </c>
      <c r="K5" s="10" t="s">
        <v>0</v>
      </c>
      <c r="L5" s="10" t="s">
        <v>0</v>
      </c>
      <c r="M5" s="36" t="s">
        <v>0</v>
      </c>
      <c r="N5" s="35" t="s">
        <v>0</v>
      </c>
      <c r="O5" s="35">
        <v>0.93799999999999994</v>
      </c>
      <c r="Q5" s="37" t="s">
        <v>218</v>
      </c>
      <c r="R5" s="37" t="s">
        <v>1113</v>
      </c>
      <c r="S5" s="38">
        <v>100000000</v>
      </c>
      <c r="T5" s="38">
        <v>300000000</v>
      </c>
    </row>
    <row r="6" spans="1:20">
      <c r="A6" s="74" t="s">
        <v>9</v>
      </c>
      <c r="B6" s="47" t="s">
        <v>306</v>
      </c>
      <c r="C6" s="48">
        <v>3</v>
      </c>
      <c r="D6" s="47">
        <v>0.33</v>
      </c>
      <c r="E6" s="47">
        <v>0.33</v>
      </c>
      <c r="F6" s="10">
        <v>0.90500000000000003</v>
      </c>
      <c r="G6" s="10">
        <v>0.9</v>
      </c>
      <c r="H6" s="10">
        <v>0.90249999999999997</v>
      </c>
      <c r="I6" s="35">
        <v>4</v>
      </c>
      <c r="J6" s="10" t="s">
        <v>0</v>
      </c>
      <c r="K6" s="10" t="s">
        <v>0</v>
      </c>
      <c r="L6" s="10" t="s">
        <v>0</v>
      </c>
      <c r="M6" s="36" t="s">
        <v>0</v>
      </c>
      <c r="N6" s="35" t="s">
        <v>0</v>
      </c>
      <c r="O6" s="35">
        <v>0.94140000000000001</v>
      </c>
      <c r="Q6" s="12" t="s">
        <v>0</v>
      </c>
      <c r="R6" s="12" t="s">
        <v>1114</v>
      </c>
      <c r="S6" s="39">
        <v>200000000</v>
      </c>
      <c r="T6" s="39">
        <v>0</v>
      </c>
    </row>
    <row r="7" spans="1:20">
      <c r="A7" s="74" t="s">
        <v>51</v>
      </c>
      <c r="B7" s="47" t="s">
        <v>307</v>
      </c>
      <c r="C7" s="48">
        <v>1.5</v>
      </c>
      <c r="D7" s="47">
        <v>0.38</v>
      </c>
      <c r="E7" s="47">
        <v>0.39</v>
      </c>
      <c r="F7" s="10" t="s">
        <v>0</v>
      </c>
      <c r="G7" s="10" t="s">
        <v>0</v>
      </c>
      <c r="H7" s="10" t="s">
        <v>0</v>
      </c>
      <c r="I7" s="35" t="s">
        <v>0</v>
      </c>
      <c r="J7" s="10" t="s">
        <v>0</v>
      </c>
      <c r="K7" s="10" t="s">
        <v>0</v>
      </c>
      <c r="L7" s="10" t="s">
        <v>0</v>
      </c>
      <c r="M7" s="36" t="s">
        <v>0</v>
      </c>
      <c r="N7" s="35" t="s">
        <v>0</v>
      </c>
      <c r="O7" s="35">
        <v>0.94450000000000001</v>
      </c>
      <c r="Q7" s="37" t="s">
        <v>256</v>
      </c>
      <c r="R7" s="37" t="s">
        <v>1112</v>
      </c>
      <c r="S7" s="38">
        <v>400000000</v>
      </c>
      <c r="T7" s="38">
        <v>500000000</v>
      </c>
    </row>
    <row r="8" spans="1:20">
      <c r="A8" s="74" t="s">
        <v>229</v>
      </c>
      <c r="B8" s="47" t="s">
        <v>309</v>
      </c>
      <c r="C8" s="48">
        <v>0.75</v>
      </c>
      <c r="D8" s="47">
        <v>0.46</v>
      </c>
      <c r="E8" s="47">
        <v>0.47</v>
      </c>
      <c r="F8" s="10" t="s">
        <v>0</v>
      </c>
      <c r="G8" s="10" t="s">
        <v>0</v>
      </c>
      <c r="H8" s="10" t="s">
        <v>0</v>
      </c>
      <c r="I8" s="35" t="s">
        <v>0</v>
      </c>
      <c r="J8" s="10" t="s">
        <v>0</v>
      </c>
      <c r="K8" s="10" t="s">
        <v>0</v>
      </c>
      <c r="L8" s="10" t="s">
        <v>0</v>
      </c>
      <c r="M8" s="36" t="s">
        <v>0</v>
      </c>
      <c r="N8" s="35" t="s">
        <v>0</v>
      </c>
      <c r="O8" s="35">
        <v>0.94879999999999998</v>
      </c>
      <c r="Q8" s="12" t="s">
        <v>0</v>
      </c>
      <c r="R8" s="12" t="s">
        <v>1114</v>
      </c>
      <c r="S8" s="39">
        <v>100000000</v>
      </c>
      <c r="T8" s="39">
        <v>0</v>
      </c>
    </row>
    <row r="9" spans="1:20">
      <c r="A9" s="74" t="s">
        <v>5</v>
      </c>
      <c r="B9" s="47" t="s">
        <v>310</v>
      </c>
      <c r="C9" s="48">
        <v>0.5</v>
      </c>
      <c r="D9" s="47">
        <v>0.75</v>
      </c>
      <c r="E9" s="47">
        <v>0.76</v>
      </c>
      <c r="F9" s="10">
        <v>0.93500000000000005</v>
      </c>
      <c r="G9" s="10">
        <v>0.92500000000000004</v>
      </c>
      <c r="H9" s="10">
        <v>0.93</v>
      </c>
      <c r="I9" s="35">
        <v>2</v>
      </c>
      <c r="J9" s="10" t="s">
        <v>0</v>
      </c>
      <c r="K9" s="10" t="s">
        <v>0</v>
      </c>
      <c r="L9" s="10" t="s">
        <v>0</v>
      </c>
      <c r="M9" s="36" t="s">
        <v>0</v>
      </c>
      <c r="N9" s="35" t="s">
        <v>0</v>
      </c>
      <c r="O9" s="35">
        <v>0.96640000000000004</v>
      </c>
      <c r="Q9" s="37" t="s">
        <v>9</v>
      </c>
      <c r="R9" s="37" t="s">
        <v>1112</v>
      </c>
      <c r="S9" s="38">
        <v>200000000</v>
      </c>
      <c r="T9" s="38">
        <v>200000000</v>
      </c>
    </row>
    <row r="10" spans="1:20">
      <c r="A10" s="74" t="s">
        <v>41</v>
      </c>
      <c r="B10" s="47" t="s">
        <v>312</v>
      </c>
      <c r="C10" s="48">
        <v>1.625</v>
      </c>
      <c r="D10" s="47">
        <v>0.94</v>
      </c>
      <c r="E10" s="47">
        <v>0.96</v>
      </c>
      <c r="F10" s="10" t="s">
        <v>0</v>
      </c>
      <c r="G10" s="10" t="s">
        <v>0</v>
      </c>
      <c r="H10" s="10" t="s">
        <v>0</v>
      </c>
      <c r="I10" s="35" t="s">
        <v>0</v>
      </c>
      <c r="J10" s="10" t="s">
        <v>0</v>
      </c>
      <c r="K10" s="10" t="s">
        <v>0</v>
      </c>
      <c r="L10" s="10" t="s">
        <v>0</v>
      </c>
      <c r="M10" s="36" t="s">
        <v>0</v>
      </c>
      <c r="N10" s="35" t="s">
        <v>0</v>
      </c>
      <c r="O10" s="35">
        <v>0.97799999999999998</v>
      </c>
      <c r="Q10" s="37" t="s">
        <v>650</v>
      </c>
      <c r="R10" s="37" t="s">
        <v>1112</v>
      </c>
      <c r="S10" s="38">
        <v>0</v>
      </c>
      <c r="T10" s="38">
        <v>500000000</v>
      </c>
    </row>
    <row r="11" spans="1:20">
      <c r="A11" s="74" t="s">
        <v>10</v>
      </c>
      <c r="B11" s="47" t="s">
        <v>313</v>
      </c>
      <c r="C11" s="48">
        <v>3</v>
      </c>
      <c r="D11" s="47">
        <v>1.06</v>
      </c>
      <c r="E11" s="47">
        <v>1.1000000000000001</v>
      </c>
      <c r="F11" s="10" t="s">
        <v>0</v>
      </c>
      <c r="G11" s="10" t="s">
        <v>0</v>
      </c>
      <c r="H11" s="10" t="s">
        <v>0</v>
      </c>
      <c r="I11" s="35" t="s">
        <v>0</v>
      </c>
      <c r="J11" s="10" t="s">
        <v>0</v>
      </c>
      <c r="K11" s="10" t="s">
        <v>0</v>
      </c>
      <c r="L11" s="10" t="s">
        <v>0</v>
      </c>
      <c r="M11" s="36" t="s">
        <v>0</v>
      </c>
      <c r="N11" s="35" t="s">
        <v>0</v>
      </c>
      <c r="O11" s="35">
        <v>0.98660000000000003</v>
      </c>
      <c r="Q11" s="13" t="s">
        <v>0</v>
      </c>
      <c r="R11" s="13" t="s">
        <v>1114</v>
      </c>
      <c r="S11" s="46">
        <v>850000000</v>
      </c>
      <c r="T11" s="46">
        <v>350000000</v>
      </c>
    </row>
    <row r="12" spans="1:20">
      <c r="A12" s="74" t="s">
        <v>227</v>
      </c>
      <c r="B12" s="47" t="s">
        <v>314</v>
      </c>
      <c r="C12" s="48">
        <v>0.5</v>
      </c>
      <c r="D12" s="47">
        <v>1.23</v>
      </c>
      <c r="E12" s="47">
        <v>1.25</v>
      </c>
      <c r="F12" s="10" t="s">
        <v>0</v>
      </c>
      <c r="G12" s="10" t="s">
        <v>0</v>
      </c>
      <c r="H12" s="10" t="s">
        <v>0</v>
      </c>
      <c r="I12" s="35" t="s">
        <v>0</v>
      </c>
      <c r="J12" s="10" t="s">
        <v>0</v>
      </c>
      <c r="K12" s="10" t="s">
        <v>0</v>
      </c>
      <c r="L12" s="10" t="s">
        <v>0</v>
      </c>
      <c r="M12" s="36" t="s">
        <v>0</v>
      </c>
      <c r="N12" s="35" t="s">
        <v>0</v>
      </c>
      <c r="O12" s="35">
        <v>0.99519999999999997</v>
      </c>
      <c r="S12" s="41"/>
      <c r="T12" s="41"/>
    </row>
    <row r="13" spans="1:20">
      <c r="A13" s="74" t="s">
        <v>7</v>
      </c>
      <c r="B13" s="47" t="s">
        <v>315</v>
      </c>
      <c r="C13" s="48">
        <v>2.375</v>
      </c>
      <c r="D13" s="47">
        <v>1.33</v>
      </c>
      <c r="E13" s="47">
        <v>1.37</v>
      </c>
      <c r="F13" s="10" t="s">
        <v>0</v>
      </c>
      <c r="G13" s="10" t="s">
        <v>0</v>
      </c>
      <c r="H13" s="10" t="s">
        <v>0</v>
      </c>
      <c r="I13" s="35" t="s">
        <v>0</v>
      </c>
      <c r="J13" s="10" t="s">
        <v>0</v>
      </c>
      <c r="K13" s="10" t="s">
        <v>0</v>
      </c>
      <c r="L13" s="10" t="s">
        <v>0</v>
      </c>
      <c r="M13" s="36" t="s">
        <v>0</v>
      </c>
      <c r="N13" s="35" t="s">
        <v>0</v>
      </c>
      <c r="O13" s="35">
        <v>1.0024999999999999</v>
      </c>
      <c r="Q13" s="42"/>
      <c r="R13" s="42"/>
      <c r="S13" s="42"/>
      <c r="T13" s="42"/>
    </row>
    <row r="14" spans="1:20">
      <c r="A14" s="74" t="s">
        <v>269</v>
      </c>
      <c r="B14" s="47" t="s">
        <v>316</v>
      </c>
      <c r="C14" s="48">
        <v>1</v>
      </c>
      <c r="D14" s="47">
        <v>1.34</v>
      </c>
      <c r="E14" s="47">
        <v>1.37</v>
      </c>
      <c r="F14" s="10" t="s">
        <v>0</v>
      </c>
      <c r="G14" s="10" t="s">
        <v>0</v>
      </c>
      <c r="H14" s="10" t="s">
        <v>0</v>
      </c>
      <c r="I14" s="35" t="s">
        <v>0</v>
      </c>
      <c r="J14" s="10" t="s">
        <v>0</v>
      </c>
      <c r="K14" s="10" t="s">
        <v>0</v>
      </c>
      <c r="L14" s="10" t="s">
        <v>0</v>
      </c>
      <c r="M14" s="36" t="s">
        <v>0</v>
      </c>
      <c r="N14" s="35" t="s">
        <v>0</v>
      </c>
      <c r="O14" s="35">
        <v>1.0024</v>
      </c>
    </row>
    <row r="15" spans="1:20">
      <c r="A15" s="74" t="s">
        <v>31</v>
      </c>
      <c r="B15" s="47" t="s">
        <v>317</v>
      </c>
      <c r="C15" s="48">
        <v>1.625</v>
      </c>
      <c r="D15" s="47">
        <v>1.39</v>
      </c>
      <c r="E15" s="47">
        <v>1.42</v>
      </c>
      <c r="F15" s="10" t="s">
        <v>0</v>
      </c>
      <c r="G15" s="10" t="s">
        <v>0</v>
      </c>
      <c r="H15" s="10" t="s">
        <v>0</v>
      </c>
      <c r="I15" s="35" t="s">
        <v>0</v>
      </c>
      <c r="J15" s="10" t="s">
        <v>0</v>
      </c>
      <c r="K15" s="10" t="s">
        <v>0</v>
      </c>
      <c r="L15" s="10" t="s">
        <v>0</v>
      </c>
      <c r="M15" s="36" t="s">
        <v>0</v>
      </c>
      <c r="N15" s="35" t="s">
        <v>0</v>
      </c>
      <c r="O15" s="35">
        <v>1.0054000000000001</v>
      </c>
    </row>
    <row r="16" spans="1:20">
      <c r="A16" s="74" t="s">
        <v>230</v>
      </c>
      <c r="B16" s="47" t="s">
        <v>318</v>
      </c>
      <c r="C16" s="48">
        <v>0.25</v>
      </c>
      <c r="D16" s="47">
        <v>1.74</v>
      </c>
      <c r="E16" s="47">
        <v>1.76</v>
      </c>
      <c r="F16" s="10" t="s">
        <v>0</v>
      </c>
      <c r="G16" s="10" t="s">
        <v>0</v>
      </c>
      <c r="H16" s="10" t="s">
        <v>0</v>
      </c>
      <c r="I16" s="35" t="s">
        <v>0</v>
      </c>
      <c r="J16" s="10" t="s">
        <v>0</v>
      </c>
      <c r="K16" s="10" t="s">
        <v>0</v>
      </c>
      <c r="L16" s="10" t="s">
        <v>0</v>
      </c>
      <c r="M16" s="36" t="s">
        <v>0</v>
      </c>
      <c r="N16" s="35" t="s">
        <v>0</v>
      </c>
      <c r="O16" s="35">
        <v>1.0274000000000001</v>
      </c>
    </row>
    <row r="17" spans="1:15">
      <c r="A17" s="74" t="s">
        <v>37</v>
      </c>
      <c r="B17" s="47" t="s">
        <v>319</v>
      </c>
      <c r="C17" s="48">
        <v>1.125</v>
      </c>
      <c r="D17" s="47">
        <v>1.88</v>
      </c>
      <c r="E17" s="47">
        <v>1.91</v>
      </c>
      <c r="F17" s="10" t="s">
        <v>0</v>
      </c>
      <c r="G17" s="10" t="s">
        <v>0</v>
      </c>
      <c r="H17" s="10" t="s">
        <v>0</v>
      </c>
      <c r="I17" s="35" t="s">
        <v>0</v>
      </c>
      <c r="J17" s="10" t="s">
        <v>0</v>
      </c>
      <c r="K17" s="10" t="s">
        <v>0</v>
      </c>
      <c r="L17" s="10" t="s">
        <v>0</v>
      </c>
      <c r="M17" s="36" t="s">
        <v>0</v>
      </c>
      <c r="N17" s="35" t="s">
        <v>0</v>
      </c>
      <c r="O17" s="35">
        <v>1.0374000000000001</v>
      </c>
    </row>
    <row r="18" spans="1:15">
      <c r="A18" s="74" t="s">
        <v>231</v>
      </c>
      <c r="B18" s="47" t="s">
        <v>320</v>
      </c>
      <c r="C18" s="48">
        <v>0.125</v>
      </c>
      <c r="D18" s="47">
        <v>2.13</v>
      </c>
      <c r="E18" s="47">
        <v>2.16</v>
      </c>
      <c r="F18" s="10" t="s">
        <v>0</v>
      </c>
      <c r="G18" s="10" t="s">
        <v>0</v>
      </c>
      <c r="H18" s="10" t="s">
        <v>0</v>
      </c>
      <c r="I18" s="35" t="s">
        <v>0</v>
      </c>
      <c r="J18" s="10" t="s">
        <v>0</v>
      </c>
      <c r="K18" s="10" t="s">
        <v>0</v>
      </c>
      <c r="L18" s="10" t="s">
        <v>0</v>
      </c>
      <c r="M18" s="36" t="s">
        <v>0</v>
      </c>
      <c r="N18" s="35" t="s">
        <v>0</v>
      </c>
      <c r="O18" s="35">
        <v>1.0543</v>
      </c>
    </row>
    <row r="19" spans="1:15">
      <c r="A19" s="74" t="s">
        <v>232</v>
      </c>
      <c r="B19" s="47" t="s">
        <v>100</v>
      </c>
      <c r="C19" s="48">
        <v>0.25</v>
      </c>
      <c r="D19" s="47">
        <v>2.2200000000000002</v>
      </c>
      <c r="E19" s="47">
        <v>2.25</v>
      </c>
      <c r="F19" s="10" t="s">
        <v>0</v>
      </c>
      <c r="G19" s="10" t="s">
        <v>0</v>
      </c>
      <c r="H19" s="10" t="s">
        <v>0</v>
      </c>
      <c r="I19" s="35" t="s">
        <v>0</v>
      </c>
      <c r="J19" s="10" t="s">
        <v>0</v>
      </c>
      <c r="K19" s="10" t="s">
        <v>0</v>
      </c>
      <c r="L19" s="10" t="s">
        <v>0</v>
      </c>
      <c r="M19" s="36" t="s">
        <v>0</v>
      </c>
      <c r="N19" s="35" t="s">
        <v>0</v>
      </c>
      <c r="O19" s="35">
        <v>1.0613999999999999</v>
      </c>
    </row>
    <row r="20" spans="1:15">
      <c r="A20" s="74" t="s">
        <v>8</v>
      </c>
      <c r="B20" s="47" t="s">
        <v>99</v>
      </c>
      <c r="C20" s="48">
        <v>1.875</v>
      </c>
      <c r="D20" s="47">
        <v>2.29</v>
      </c>
      <c r="E20" s="47">
        <v>2.37</v>
      </c>
      <c r="F20" s="10" t="s">
        <v>0</v>
      </c>
      <c r="G20" s="10" t="s">
        <v>0</v>
      </c>
      <c r="H20" s="10" t="s">
        <v>0</v>
      </c>
      <c r="I20" s="35" t="s">
        <v>0</v>
      </c>
      <c r="J20" s="10" t="s">
        <v>0</v>
      </c>
      <c r="K20" s="10" t="s">
        <v>0</v>
      </c>
      <c r="L20" s="10" t="s">
        <v>0</v>
      </c>
      <c r="M20" s="36" t="s">
        <v>0</v>
      </c>
      <c r="N20" s="35" t="s">
        <v>0</v>
      </c>
      <c r="O20" s="35">
        <v>1.0688</v>
      </c>
    </row>
    <row r="21" spans="1:15">
      <c r="A21" s="74" t="s">
        <v>58</v>
      </c>
      <c r="B21" s="47" t="s">
        <v>101</v>
      </c>
      <c r="C21" s="48">
        <v>0.75</v>
      </c>
      <c r="D21" s="47">
        <v>2.34</v>
      </c>
      <c r="E21" s="47">
        <v>2.39</v>
      </c>
      <c r="F21" s="10" t="s">
        <v>0</v>
      </c>
      <c r="G21" s="10" t="s">
        <v>0</v>
      </c>
      <c r="H21" s="10" t="s">
        <v>0</v>
      </c>
      <c r="I21" s="35" t="s">
        <v>0</v>
      </c>
      <c r="J21" s="10" t="s">
        <v>0</v>
      </c>
      <c r="K21" s="10" t="s">
        <v>0</v>
      </c>
      <c r="L21" s="10" t="s">
        <v>0</v>
      </c>
      <c r="M21" s="36" t="s">
        <v>0</v>
      </c>
      <c r="N21" s="35" t="s">
        <v>0</v>
      </c>
      <c r="O21" s="35">
        <v>1.0711999999999999</v>
      </c>
    </row>
    <row r="22" spans="1:15">
      <c r="A22" s="74" t="s">
        <v>233</v>
      </c>
      <c r="B22" s="47" t="s">
        <v>192</v>
      </c>
      <c r="C22" s="48">
        <v>0.25</v>
      </c>
      <c r="D22" s="47">
        <v>2.75</v>
      </c>
      <c r="E22" s="47">
        <v>2.79</v>
      </c>
      <c r="F22" s="10" t="s">
        <v>0</v>
      </c>
      <c r="G22" s="10" t="s">
        <v>0</v>
      </c>
      <c r="H22" s="10" t="s">
        <v>0</v>
      </c>
      <c r="I22" s="35" t="s">
        <v>0</v>
      </c>
      <c r="J22" s="10" t="s">
        <v>0</v>
      </c>
      <c r="K22" s="10" t="s">
        <v>0</v>
      </c>
      <c r="L22" s="10" t="s">
        <v>0</v>
      </c>
      <c r="M22" s="36"/>
      <c r="N22" s="35" t="s">
        <v>0</v>
      </c>
      <c r="O22" s="35">
        <v>1.1020000000000001</v>
      </c>
    </row>
    <row r="23" spans="1:15">
      <c r="A23" s="74" t="s">
        <v>55</v>
      </c>
      <c r="B23" s="47" t="s">
        <v>103</v>
      </c>
      <c r="C23" s="48">
        <v>0.625</v>
      </c>
      <c r="D23" s="47">
        <v>2.85</v>
      </c>
      <c r="E23" s="47">
        <v>2.9</v>
      </c>
      <c r="F23" s="10" t="s">
        <v>0</v>
      </c>
      <c r="G23" s="10" t="s">
        <v>0</v>
      </c>
      <c r="H23" s="10" t="s">
        <v>0</v>
      </c>
      <c r="I23" s="35" t="s">
        <v>0</v>
      </c>
      <c r="J23" s="10" t="s">
        <v>0</v>
      </c>
      <c r="K23" s="10" t="s">
        <v>0</v>
      </c>
      <c r="L23" s="10" t="s">
        <v>0</v>
      </c>
      <c r="M23" s="36" t="s">
        <v>0</v>
      </c>
      <c r="N23" s="35" t="s">
        <v>0</v>
      </c>
      <c r="O23" s="35">
        <v>1.1099000000000001</v>
      </c>
    </row>
    <row r="24" spans="1:15">
      <c r="A24" s="74" t="s">
        <v>11</v>
      </c>
      <c r="B24" s="47" t="s">
        <v>102</v>
      </c>
      <c r="C24" s="48">
        <v>2.125</v>
      </c>
      <c r="D24" s="47">
        <v>2.92</v>
      </c>
      <c r="E24" s="47">
        <v>3.08</v>
      </c>
      <c r="F24" s="10" t="s">
        <v>0</v>
      </c>
      <c r="G24" s="10" t="s">
        <v>0</v>
      </c>
      <c r="H24" s="10" t="s">
        <v>0</v>
      </c>
      <c r="I24" s="35" t="s">
        <v>0</v>
      </c>
      <c r="J24" s="10" t="s">
        <v>0</v>
      </c>
      <c r="K24" s="10" t="s">
        <v>0</v>
      </c>
      <c r="L24" s="10" t="s">
        <v>0</v>
      </c>
      <c r="M24" s="36" t="s">
        <v>0</v>
      </c>
      <c r="N24" s="35" t="s">
        <v>0</v>
      </c>
      <c r="O24" s="35">
        <v>1.1213</v>
      </c>
    </row>
    <row r="25" spans="1:15">
      <c r="A25" s="74" t="s">
        <v>12</v>
      </c>
      <c r="B25" s="47" t="s">
        <v>104</v>
      </c>
      <c r="C25" s="48">
        <v>2</v>
      </c>
      <c r="D25" s="47">
        <v>3.19</v>
      </c>
      <c r="E25" s="47">
        <v>3.34</v>
      </c>
      <c r="F25" s="10" t="s">
        <v>0</v>
      </c>
      <c r="G25" s="10" t="s">
        <v>0</v>
      </c>
      <c r="H25" s="10" t="s">
        <v>0</v>
      </c>
      <c r="I25" s="35" t="s">
        <v>0</v>
      </c>
      <c r="J25" s="10" t="s">
        <v>0</v>
      </c>
      <c r="K25" s="10" t="s">
        <v>0</v>
      </c>
      <c r="L25" s="10" t="s">
        <v>0</v>
      </c>
      <c r="M25" s="36" t="s">
        <v>0</v>
      </c>
      <c r="N25" s="35" t="s">
        <v>0</v>
      </c>
      <c r="O25" s="35">
        <v>1.1392</v>
      </c>
    </row>
    <row r="26" spans="1:15">
      <c r="A26" s="74" t="s">
        <v>32</v>
      </c>
      <c r="B26" s="47" t="s">
        <v>105</v>
      </c>
      <c r="C26" s="48">
        <v>1.125</v>
      </c>
      <c r="D26" s="47">
        <v>3.28</v>
      </c>
      <c r="E26" s="47">
        <v>3.38</v>
      </c>
      <c r="F26" s="10" t="s">
        <v>0</v>
      </c>
      <c r="G26" s="10" t="s">
        <v>0</v>
      </c>
      <c r="H26" s="10" t="s">
        <v>0</v>
      </c>
      <c r="I26" s="35" t="s">
        <v>0</v>
      </c>
      <c r="J26" s="10" t="s">
        <v>0</v>
      </c>
      <c r="K26" s="10" t="s">
        <v>0</v>
      </c>
      <c r="L26" s="10" t="s">
        <v>0</v>
      </c>
      <c r="M26" s="36" t="s">
        <v>0</v>
      </c>
      <c r="N26" s="35" t="s">
        <v>0</v>
      </c>
      <c r="O26" s="35">
        <v>1.143</v>
      </c>
    </row>
    <row r="27" spans="1:15">
      <c r="A27" s="74" t="s">
        <v>234</v>
      </c>
      <c r="B27" s="47" t="s">
        <v>206</v>
      </c>
      <c r="C27" s="48">
        <v>0.5</v>
      </c>
      <c r="D27" s="47">
        <v>3.3</v>
      </c>
      <c r="E27" s="47">
        <v>3.37</v>
      </c>
      <c r="F27" s="10" t="s">
        <v>0</v>
      </c>
      <c r="G27" s="10" t="s">
        <v>0</v>
      </c>
      <c r="H27" s="10" t="s">
        <v>0</v>
      </c>
      <c r="I27" s="35" t="s">
        <v>0</v>
      </c>
      <c r="J27" s="10" t="s">
        <v>0</v>
      </c>
      <c r="K27" s="10" t="s">
        <v>0</v>
      </c>
      <c r="L27" s="10" t="s">
        <v>0</v>
      </c>
      <c r="M27" s="36" t="s">
        <v>0</v>
      </c>
      <c r="N27" s="35" t="s">
        <v>0</v>
      </c>
      <c r="O27" s="35">
        <v>1.1428</v>
      </c>
    </row>
    <row r="28" spans="1:15">
      <c r="A28" s="74" t="s">
        <v>218</v>
      </c>
      <c r="B28" s="47" t="s">
        <v>220</v>
      </c>
      <c r="C28" s="48">
        <v>1</v>
      </c>
      <c r="D28" s="47">
        <v>3.59</v>
      </c>
      <c r="E28" s="47">
        <v>3.69</v>
      </c>
      <c r="F28" s="10">
        <v>1.2010000000000001</v>
      </c>
      <c r="G28" s="10">
        <v>1.2</v>
      </c>
      <c r="H28" s="10">
        <v>1.2004999999999999</v>
      </c>
      <c r="I28" s="35">
        <v>6</v>
      </c>
      <c r="J28" s="10" t="s">
        <v>0</v>
      </c>
      <c r="K28" s="10" t="s">
        <v>0</v>
      </c>
      <c r="L28" s="10" t="s">
        <v>0</v>
      </c>
      <c r="M28" s="36" t="s">
        <v>0</v>
      </c>
      <c r="N28" s="35" t="s">
        <v>0</v>
      </c>
      <c r="O28" s="35">
        <v>1.1623000000000001</v>
      </c>
    </row>
    <row r="29" spans="1:15">
      <c r="A29" s="74" t="s">
        <v>13</v>
      </c>
      <c r="B29" s="47" t="s">
        <v>106</v>
      </c>
      <c r="C29" s="48">
        <v>3</v>
      </c>
      <c r="D29" s="47">
        <v>3.78</v>
      </c>
      <c r="E29" s="47">
        <v>4.09</v>
      </c>
      <c r="F29" s="10" t="s">
        <v>0</v>
      </c>
      <c r="G29" s="10" t="s">
        <v>0</v>
      </c>
      <c r="H29" s="10" t="s">
        <v>0</v>
      </c>
      <c r="I29" s="35" t="s">
        <v>0</v>
      </c>
      <c r="J29" s="10" t="s">
        <v>0</v>
      </c>
      <c r="K29" s="10" t="s">
        <v>0</v>
      </c>
      <c r="L29" s="10" t="s">
        <v>0</v>
      </c>
      <c r="M29" s="36" t="s">
        <v>0</v>
      </c>
      <c r="N29" s="35" t="s">
        <v>0</v>
      </c>
      <c r="O29" s="35">
        <v>1.1793</v>
      </c>
    </row>
    <row r="30" spans="1:15">
      <c r="A30" s="74" t="s">
        <v>256</v>
      </c>
      <c r="B30" s="47" t="s">
        <v>257</v>
      </c>
      <c r="C30" s="48">
        <v>1.25</v>
      </c>
      <c r="D30" s="47">
        <v>3.83</v>
      </c>
      <c r="E30" s="47">
        <v>3.95</v>
      </c>
      <c r="F30" s="10">
        <v>1.206</v>
      </c>
      <c r="G30" s="10">
        <v>1.2050000000000001</v>
      </c>
      <c r="H30" s="10">
        <v>1.2055</v>
      </c>
      <c r="I30" s="35">
        <v>10</v>
      </c>
      <c r="J30" s="10" t="s">
        <v>0</v>
      </c>
      <c r="K30" s="10" t="s">
        <v>0</v>
      </c>
      <c r="L30" s="10" t="s">
        <v>0</v>
      </c>
      <c r="M30" s="36" t="s">
        <v>0</v>
      </c>
      <c r="N30" s="35" t="s">
        <v>0</v>
      </c>
      <c r="O30" s="35">
        <v>1.1752</v>
      </c>
    </row>
    <row r="31" spans="1:15">
      <c r="A31" s="74" t="s">
        <v>1</v>
      </c>
      <c r="B31" s="47" t="s">
        <v>107</v>
      </c>
      <c r="C31" s="48">
        <v>1</v>
      </c>
      <c r="D31" s="47">
        <v>3.83</v>
      </c>
      <c r="E31" s="47">
        <v>3.94</v>
      </c>
      <c r="F31" s="10" t="s">
        <v>0</v>
      </c>
      <c r="G31" s="10" t="s">
        <v>0</v>
      </c>
      <c r="H31" s="10" t="s">
        <v>0</v>
      </c>
      <c r="I31" s="35" t="s">
        <v>0</v>
      </c>
      <c r="J31" s="10" t="s">
        <v>0</v>
      </c>
      <c r="K31" s="10" t="s">
        <v>0</v>
      </c>
      <c r="L31" s="10" t="s">
        <v>0</v>
      </c>
      <c r="M31" s="36" t="s">
        <v>0</v>
      </c>
      <c r="N31" s="35" t="s">
        <v>0</v>
      </c>
      <c r="O31" s="35">
        <v>1.1752</v>
      </c>
    </row>
    <row r="32" spans="1:15">
      <c r="A32" s="74" t="s">
        <v>59</v>
      </c>
      <c r="B32" s="47" t="s">
        <v>109</v>
      </c>
      <c r="C32" s="48">
        <v>1.375</v>
      </c>
      <c r="D32" s="47">
        <v>4.0599999999999996</v>
      </c>
      <c r="E32" s="47">
        <v>4.24</v>
      </c>
      <c r="F32" s="10" t="s">
        <v>0</v>
      </c>
      <c r="G32" s="10" t="s">
        <v>0</v>
      </c>
      <c r="H32" s="10" t="s">
        <v>0</v>
      </c>
      <c r="I32" s="35" t="s">
        <v>0</v>
      </c>
      <c r="J32" s="10" t="s">
        <v>0</v>
      </c>
      <c r="K32" s="10" t="s">
        <v>0</v>
      </c>
      <c r="L32" s="10" t="s">
        <v>0</v>
      </c>
      <c r="M32" s="36" t="s">
        <v>0</v>
      </c>
      <c r="N32" s="35" t="s">
        <v>0</v>
      </c>
      <c r="O32" s="35">
        <v>1.1879999999999999</v>
      </c>
    </row>
    <row r="33" spans="1:15">
      <c r="A33" s="74" t="s">
        <v>14</v>
      </c>
      <c r="B33" s="47" t="s">
        <v>108</v>
      </c>
      <c r="C33" s="48">
        <v>2.5</v>
      </c>
      <c r="D33" s="47">
        <v>4.0599999999999996</v>
      </c>
      <c r="E33" s="47">
        <v>4.34</v>
      </c>
      <c r="F33" s="10" t="s">
        <v>0</v>
      </c>
      <c r="G33" s="10" t="s">
        <v>0</v>
      </c>
      <c r="H33" s="10" t="s">
        <v>0</v>
      </c>
      <c r="I33" s="35" t="s">
        <v>0</v>
      </c>
      <c r="J33" s="10" t="s">
        <v>0</v>
      </c>
      <c r="K33" s="10" t="s">
        <v>0</v>
      </c>
      <c r="L33" s="10" t="s">
        <v>0</v>
      </c>
      <c r="M33" s="36" t="s">
        <v>0</v>
      </c>
      <c r="N33" s="35" t="s">
        <v>0</v>
      </c>
      <c r="O33" s="35">
        <v>1.1899</v>
      </c>
    </row>
    <row r="34" spans="1:15">
      <c r="A34" s="74" t="s">
        <v>272</v>
      </c>
      <c r="B34" s="47" t="s">
        <v>271</v>
      </c>
      <c r="C34" s="48">
        <v>1</v>
      </c>
      <c r="D34" s="47">
        <v>4.12</v>
      </c>
      <c r="E34" s="47">
        <v>4.26</v>
      </c>
      <c r="F34" s="10" t="s">
        <v>0</v>
      </c>
      <c r="G34" s="10" t="s">
        <v>0</v>
      </c>
      <c r="H34" s="10" t="s">
        <v>0</v>
      </c>
      <c r="I34" s="35" t="s">
        <v>0</v>
      </c>
      <c r="J34" s="10" t="s">
        <v>0</v>
      </c>
      <c r="K34" s="10" t="s">
        <v>0</v>
      </c>
      <c r="L34" s="10" t="s">
        <v>0</v>
      </c>
      <c r="M34" s="36" t="s">
        <v>0</v>
      </c>
      <c r="N34" s="35" t="s">
        <v>0</v>
      </c>
      <c r="O34" s="35">
        <v>1.1896</v>
      </c>
    </row>
    <row r="35" spans="1:15">
      <c r="A35" s="74" t="s">
        <v>34</v>
      </c>
      <c r="B35" s="47" t="s">
        <v>110</v>
      </c>
      <c r="C35" s="48">
        <v>1</v>
      </c>
      <c r="D35" s="47">
        <v>4.18</v>
      </c>
      <c r="E35" s="47">
        <v>4.32</v>
      </c>
      <c r="F35" s="10" t="s">
        <v>0</v>
      </c>
      <c r="G35" s="10" t="s">
        <v>0</v>
      </c>
      <c r="H35" s="10" t="s">
        <v>0</v>
      </c>
      <c r="I35" s="35" t="s">
        <v>0</v>
      </c>
      <c r="J35" s="10" t="s">
        <v>0</v>
      </c>
      <c r="K35" s="10" t="s">
        <v>0</v>
      </c>
      <c r="L35" s="10" t="s">
        <v>0</v>
      </c>
      <c r="M35" s="36" t="s">
        <v>0</v>
      </c>
      <c r="N35" s="35" t="s">
        <v>0</v>
      </c>
      <c r="O35" s="35">
        <v>1.1918</v>
      </c>
    </row>
    <row r="36" spans="1:15">
      <c r="A36" s="74" t="s">
        <v>321</v>
      </c>
      <c r="B36" s="47" t="s">
        <v>322</v>
      </c>
      <c r="C36" s="48">
        <v>1</v>
      </c>
      <c r="D36" s="47">
        <v>4.47</v>
      </c>
      <c r="E36" s="47">
        <v>4.62</v>
      </c>
      <c r="F36" s="10" t="s">
        <v>0</v>
      </c>
      <c r="G36" s="10" t="s">
        <v>0</v>
      </c>
      <c r="H36" s="10" t="s">
        <v>0</v>
      </c>
      <c r="I36" s="35" t="s">
        <v>0</v>
      </c>
      <c r="J36" s="10" t="s">
        <v>0</v>
      </c>
      <c r="K36" s="10" t="s">
        <v>0</v>
      </c>
      <c r="L36" s="10" t="s">
        <v>0</v>
      </c>
      <c r="M36" s="36" t="s">
        <v>0</v>
      </c>
      <c r="N36" s="35" t="s">
        <v>0</v>
      </c>
      <c r="O36" s="35">
        <v>1.2019</v>
      </c>
    </row>
    <row r="37" spans="1:15">
      <c r="A37" s="74" t="s">
        <v>2</v>
      </c>
      <c r="B37" s="47" t="s">
        <v>112</v>
      </c>
      <c r="C37" s="48">
        <v>0.875</v>
      </c>
      <c r="D37" s="47">
        <v>4.51</v>
      </c>
      <c r="E37" s="47">
        <v>4.6500000000000004</v>
      </c>
      <c r="F37" s="10" t="s">
        <v>0</v>
      </c>
      <c r="G37" s="10" t="s">
        <v>0</v>
      </c>
      <c r="H37" s="10" t="s">
        <v>0</v>
      </c>
      <c r="I37" s="35" t="s">
        <v>0</v>
      </c>
      <c r="J37" s="10" t="s">
        <v>0</v>
      </c>
      <c r="K37" s="10" t="s">
        <v>0</v>
      </c>
      <c r="L37" s="10" t="s">
        <v>0</v>
      </c>
      <c r="M37" s="36" t="s">
        <v>0</v>
      </c>
      <c r="N37" s="35" t="s">
        <v>0</v>
      </c>
      <c r="O37" s="35">
        <v>1.2032</v>
      </c>
    </row>
    <row r="38" spans="1:15">
      <c r="A38" s="74" t="s">
        <v>15</v>
      </c>
      <c r="B38" s="47" t="s">
        <v>111</v>
      </c>
      <c r="C38" s="48">
        <v>2.625</v>
      </c>
      <c r="D38" s="47">
        <v>4.54</v>
      </c>
      <c r="E38" s="47">
        <v>4.84</v>
      </c>
      <c r="F38" s="10" t="s">
        <v>0</v>
      </c>
      <c r="G38" s="10" t="s">
        <v>0</v>
      </c>
      <c r="H38" s="10" t="s">
        <v>0</v>
      </c>
      <c r="I38" s="35" t="s">
        <v>0</v>
      </c>
      <c r="J38" s="10" t="s">
        <v>0</v>
      </c>
      <c r="K38" s="10" t="s">
        <v>0</v>
      </c>
      <c r="L38" s="10" t="s">
        <v>0</v>
      </c>
      <c r="M38" s="36" t="s">
        <v>0</v>
      </c>
      <c r="N38" s="35" t="s">
        <v>0</v>
      </c>
      <c r="O38" s="35">
        <v>1.2051000000000001</v>
      </c>
    </row>
    <row r="39" spans="1:15">
      <c r="A39" s="74" t="s">
        <v>308</v>
      </c>
      <c r="B39" s="47" t="s">
        <v>323</v>
      </c>
      <c r="C39" s="48">
        <v>1.125</v>
      </c>
      <c r="D39" s="47">
        <v>4.76</v>
      </c>
      <c r="E39" s="47">
        <v>4.93</v>
      </c>
      <c r="F39" s="10" t="s">
        <v>0</v>
      </c>
      <c r="G39" s="10" t="s">
        <v>0</v>
      </c>
      <c r="H39" s="10" t="s">
        <v>0</v>
      </c>
      <c r="I39" s="35" t="s">
        <v>0</v>
      </c>
      <c r="J39" s="10" t="s">
        <v>0</v>
      </c>
      <c r="K39" s="10" t="s">
        <v>0</v>
      </c>
      <c r="L39" s="10" t="s">
        <v>0</v>
      </c>
      <c r="M39" s="36" t="s">
        <v>0</v>
      </c>
      <c r="N39" s="35" t="s">
        <v>0</v>
      </c>
      <c r="O39" s="35">
        <v>1.2101999999999999</v>
      </c>
    </row>
    <row r="40" spans="1:15">
      <c r="A40" s="74" t="s">
        <v>235</v>
      </c>
      <c r="B40" s="47" t="s">
        <v>193</v>
      </c>
      <c r="C40" s="48">
        <v>0.25</v>
      </c>
      <c r="D40" s="47">
        <v>4.7699999999999996</v>
      </c>
      <c r="E40" s="47">
        <v>4.8499999999999996</v>
      </c>
      <c r="F40" s="10" t="s">
        <v>0</v>
      </c>
      <c r="G40" s="10" t="s">
        <v>0</v>
      </c>
      <c r="H40" s="10" t="s">
        <v>0</v>
      </c>
      <c r="I40" s="35" t="s">
        <v>0</v>
      </c>
      <c r="J40" s="10" t="s">
        <v>0</v>
      </c>
      <c r="K40" s="10" t="s">
        <v>0</v>
      </c>
      <c r="L40" s="10" t="s">
        <v>0</v>
      </c>
      <c r="M40" s="36" t="s">
        <v>0</v>
      </c>
      <c r="N40" s="35" t="s">
        <v>0</v>
      </c>
      <c r="O40" s="35">
        <v>1.2101999999999999</v>
      </c>
    </row>
    <row r="41" spans="1:15">
      <c r="A41" s="74" t="s">
        <v>28</v>
      </c>
      <c r="B41" s="47" t="s">
        <v>114</v>
      </c>
      <c r="C41" s="48">
        <v>0.875</v>
      </c>
      <c r="D41" s="47">
        <v>4.82</v>
      </c>
      <c r="E41" s="47">
        <v>5.01</v>
      </c>
      <c r="F41" s="10" t="s">
        <v>0</v>
      </c>
      <c r="G41" s="10" t="s">
        <v>0</v>
      </c>
      <c r="H41" s="10" t="s">
        <v>0</v>
      </c>
      <c r="I41" s="35" t="s">
        <v>0</v>
      </c>
      <c r="J41" s="10" t="s">
        <v>0</v>
      </c>
      <c r="K41" s="10" t="s">
        <v>0</v>
      </c>
      <c r="L41" s="10" t="s">
        <v>0</v>
      </c>
      <c r="M41" s="36" t="s">
        <v>0</v>
      </c>
      <c r="N41" s="35" t="s">
        <v>0</v>
      </c>
      <c r="O41" s="35">
        <v>1.2129000000000001</v>
      </c>
    </row>
    <row r="42" spans="1:15">
      <c r="A42" s="74" t="s">
        <v>16</v>
      </c>
      <c r="B42" s="47" t="s">
        <v>113</v>
      </c>
      <c r="C42" s="48">
        <v>2.125</v>
      </c>
      <c r="D42" s="47">
        <v>4.99</v>
      </c>
      <c r="E42" s="47">
        <v>5.35</v>
      </c>
      <c r="F42" s="10" t="s">
        <v>0</v>
      </c>
      <c r="G42" s="10" t="s">
        <v>0</v>
      </c>
      <c r="H42" s="10" t="s">
        <v>0</v>
      </c>
      <c r="I42" s="35" t="s">
        <v>0</v>
      </c>
      <c r="J42" s="10" t="s">
        <v>0</v>
      </c>
      <c r="K42" s="10" t="s">
        <v>0</v>
      </c>
      <c r="L42" s="10" t="s">
        <v>0</v>
      </c>
      <c r="M42" s="36" t="s">
        <v>0</v>
      </c>
      <c r="N42" s="35" t="s">
        <v>0</v>
      </c>
      <c r="O42" s="35">
        <v>1.2176</v>
      </c>
    </row>
    <row r="43" spans="1:15">
      <c r="A43" s="74" t="s">
        <v>3</v>
      </c>
      <c r="B43" s="47" t="s">
        <v>115</v>
      </c>
      <c r="C43" s="48">
        <v>0.75</v>
      </c>
      <c r="D43" s="47">
        <v>5.16</v>
      </c>
      <c r="E43" s="47">
        <v>5.34</v>
      </c>
      <c r="F43" s="10" t="s">
        <v>0</v>
      </c>
      <c r="G43" s="10" t="s">
        <v>0</v>
      </c>
      <c r="H43" s="10" t="s">
        <v>0</v>
      </c>
      <c r="I43" s="35" t="s">
        <v>0</v>
      </c>
      <c r="J43" s="10" t="s">
        <v>0</v>
      </c>
      <c r="K43" s="10" t="s">
        <v>0</v>
      </c>
      <c r="L43" s="10" t="s">
        <v>0</v>
      </c>
      <c r="M43" s="36" t="s">
        <v>0</v>
      </c>
      <c r="N43" s="35" t="s">
        <v>0</v>
      </c>
      <c r="O43" s="35">
        <v>1.2202</v>
      </c>
    </row>
    <row r="44" spans="1:15">
      <c r="A44" s="74" t="s">
        <v>17</v>
      </c>
      <c r="B44" s="47" t="s">
        <v>116</v>
      </c>
      <c r="C44" s="48">
        <v>2.125</v>
      </c>
      <c r="D44" s="47">
        <v>5.47</v>
      </c>
      <c r="E44" s="47">
        <v>5.83</v>
      </c>
      <c r="F44" s="10" t="s">
        <v>0</v>
      </c>
      <c r="G44" s="10" t="s">
        <v>0</v>
      </c>
      <c r="H44" s="10" t="s">
        <v>0</v>
      </c>
      <c r="I44" s="35" t="s">
        <v>0</v>
      </c>
      <c r="J44" s="10" t="s">
        <v>0</v>
      </c>
      <c r="K44" s="10" t="s">
        <v>0</v>
      </c>
      <c r="L44" s="10" t="s">
        <v>0</v>
      </c>
      <c r="M44" s="36" t="s">
        <v>0</v>
      </c>
      <c r="N44" s="35" t="s">
        <v>0</v>
      </c>
      <c r="O44" s="35">
        <v>1.2258</v>
      </c>
    </row>
    <row r="45" spans="1:15">
      <c r="A45" s="74" t="s">
        <v>4</v>
      </c>
      <c r="B45" s="47" t="s">
        <v>117</v>
      </c>
      <c r="C45" s="48">
        <v>0.625</v>
      </c>
      <c r="D45" s="47">
        <v>5.54</v>
      </c>
      <c r="E45" s="47">
        <v>5.7</v>
      </c>
      <c r="F45" s="10" t="s">
        <v>0</v>
      </c>
      <c r="G45" s="10" t="s">
        <v>0</v>
      </c>
      <c r="H45" s="10" t="s">
        <v>0</v>
      </c>
      <c r="I45" s="35" t="s">
        <v>0</v>
      </c>
      <c r="J45" s="10" t="s">
        <v>0</v>
      </c>
      <c r="K45" s="10" t="s">
        <v>0</v>
      </c>
      <c r="L45" s="10" t="s">
        <v>0</v>
      </c>
      <c r="M45" s="36" t="s">
        <v>0</v>
      </c>
      <c r="N45" s="35" t="s">
        <v>0</v>
      </c>
      <c r="O45" s="35">
        <v>1.2267999999999999</v>
      </c>
    </row>
    <row r="46" spans="1:15">
      <c r="A46" s="74" t="s">
        <v>6</v>
      </c>
      <c r="B46" s="47" t="s">
        <v>119</v>
      </c>
      <c r="C46" s="48">
        <v>0.625</v>
      </c>
      <c r="D46" s="47">
        <v>5.8</v>
      </c>
      <c r="E46" s="47">
        <v>6</v>
      </c>
      <c r="F46" s="10" t="s">
        <v>0</v>
      </c>
      <c r="G46" s="10" t="s">
        <v>0</v>
      </c>
      <c r="H46" s="10" t="s">
        <v>0</v>
      </c>
      <c r="I46" s="35" t="s">
        <v>0</v>
      </c>
      <c r="J46" s="10" t="s">
        <v>0</v>
      </c>
      <c r="K46" s="10" t="s">
        <v>0</v>
      </c>
      <c r="L46" s="10" t="s">
        <v>0</v>
      </c>
      <c r="M46" s="36" t="s">
        <v>0</v>
      </c>
      <c r="N46" s="35" t="s">
        <v>0</v>
      </c>
      <c r="O46" s="35">
        <v>1.2311000000000001</v>
      </c>
    </row>
    <row r="47" spans="1:15">
      <c r="A47" s="74" t="s">
        <v>18</v>
      </c>
      <c r="B47" s="47" t="s">
        <v>118</v>
      </c>
      <c r="C47" s="48">
        <v>1.875</v>
      </c>
      <c r="D47" s="47">
        <v>5.92</v>
      </c>
      <c r="E47" s="47">
        <v>6.36</v>
      </c>
      <c r="F47" s="10" t="s">
        <v>0</v>
      </c>
      <c r="G47" s="10" t="s">
        <v>0</v>
      </c>
      <c r="H47" s="10" t="s">
        <v>0</v>
      </c>
      <c r="I47" s="35" t="s">
        <v>0</v>
      </c>
      <c r="J47" s="10" t="s">
        <v>0</v>
      </c>
      <c r="K47" s="10" t="s">
        <v>0</v>
      </c>
      <c r="L47" s="10" t="s">
        <v>0</v>
      </c>
      <c r="M47" s="36" t="s">
        <v>0</v>
      </c>
      <c r="N47" s="35" t="s">
        <v>0</v>
      </c>
      <c r="O47" s="35">
        <v>1.2326999999999999</v>
      </c>
    </row>
    <row r="48" spans="1:15">
      <c r="A48" s="74" t="s">
        <v>236</v>
      </c>
      <c r="B48" s="47" t="s">
        <v>120</v>
      </c>
      <c r="C48" s="48">
        <v>0.5</v>
      </c>
      <c r="D48" s="47">
        <v>6.18</v>
      </c>
      <c r="E48" s="47">
        <v>6.36</v>
      </c>
      <c r="F48" s="10" t="s">
        <v>0</v>
      </c>
      <c r="G48" s="10" t="s">
        <v>0</v>
      </c>
      <c r="H48" s="10" t="s">
        <v>0</v>
      </c>
      <c r="I48" s="35" t="s">
        <v>0</v>
      </c>
      <c r="J48" s="10" t="s">
        <v>0</v>
      </c>
      <c r="K48" s="10" t="s">
        <v>0</v>
      </c>
      <c r="L48" s="10" t="s">
        <v>0</v>
      </c>
      <c r="M48" s="36" t="s">
        <v>0</v>
      </c>
      <c r="N48" s="35" t="s">
        <v>0</v>
      </c>
      <c r="O48" s="35">
        <v>1.2355</v>
      </c>
    </row>
    <row r="49" spans="1:15">
      <c r="A49" s="74" t="s">
        <v>19</v>
      </c>
      <c r="B49" s="47" t="s">
        <v>121</v>
      </c>
      <c r="C49" s="48">
        <v>1.75</v>
      </c>
      <c r="D49" s="47">
        <v>6.41</v>
      </c>
      <c r="E49" s="47">
        <v>6.83</v>
      </c>
      <c r="F49" s="10" t="s">
        <v>0</v>
      </c>
      <c r="G49" s="10" t="s">
        <v>0</v>
      </c>
      <c r="H49" s="10" t="s">
        <v>0</v>
      </c>
      <c r="I49" s="35" t="s">
        <v>0</v>
      </c>
      <c r="J49" s="10" t="s">
        <v>0</v>
      </c>
      <c r="K49" s="10" t="s">
        <v>0</v>
      </c>
      <c r="L49" s="10" t="s">
        <v>0</v>
      </c>
      <c r="M49" s="36" t="s">
        <v>0</v>
      </c>
      <c r="N49" s="35" t="s">
        <v>0</v>
      </c>
      <c r="O49" s="35">
        <v>1.2372000000000001</v>
      </c>
    </row>
    <row r="50" spans="1:15">
      <c r="A50" s="74" t="s">
        <v>237</v>
      </c>
      <c r="B50" s="47" t="s">
        <v>124</v>
      </c>
      <c r="C50" s="48">
        <v>0.375</v>
      </c>
      <c r="D50" s="47">
        <v>6.5</v>
      </c>
      <c r="E50" s="47">
        <v>6.66</v>
      </c>
      <c r="F50" s="10" t="s">
        <v>0</v>
      </c>
      <c r="G50" s="10" t="s">
        <v>0</v>
      </c>
      <c r="H50" s="10" t="s">
        <v>0</v>
      </c>
      <c r="I50" s="35" t="s">
        <v>0</v>
      </c>
      <c r="J50" s="10" t="s">
        <v>0</v>
      </c>
      <c r="K50" s="10" t="s">
        <v>0</v>
      </c>
      <c r="L50" s="10" t="s">
        <v>0</v>
      </c>
      <c r="M50" s="36" t="s">
        <v>0</v>
      </c>
      <c r="N50" s="35" t="s">
        <v>0</v>
      </c>
      <c r="O50" s="35">
        <v>1.2386999999999999</v>
      </c>
    </row>
    <row r="51" spans="1:15">
      <c r="A51" s="74" t="s">
        <v>49</v>
      </c>
      <c r="B51" s="47" t="s">
        <v>122</v>
      </c>
      <c r="C51" s="48">
        <v>2.125</v>
      </c>
      <c r="D51" s="47">
        <v>6.63</v>
      </c>
      <c r="E51" s="47">
        <v>7.25</v>
      </c>
      <c r="F51" s="10" t="s">
        <v>0</v>
      </c>
      <c r="G51" s="10" t="s">
        <v>0</v>
      </c>
      <c r="H51" s="10" t="s">
        <v>0</v>
      </c>
      <c r="I51" s="35" t="s">
        <v>0</v>
      </c>
      <c r="J51" s="10" t="s">
        <v>0</v>
      </c>
      <c r="K51" s="10" t="s">
        <v>0</v>
      </c>
      <c r="L51" s="10" t="s">
        <v>0</v>
      </c>
      <c r="M51" s="36" t="s">
        <v>0</v>
      </c>
      <c r="N51" s="35" t="s">
        <v>0</v>
      </c>
      <c r="O51" s="35">
        <v>1.2395</v>
      </c>
    </row>
    <row r="52" spans="1:15">
      <c r="A52" s="74" t="s">
        <v>238</v>
      </c>
      <c r="B52" s="47" t="s">
        <v>126</v>
      </c>
      <c r="C52" s="48">
        <v>0.25</v>
      </c>
      <c r="D52" s="47">
        <v>6.84</v>
      </c>
      <c r="E52" s="47">
        <v>7</v>
      </c>
      <c r="F52" s="10" t="s">
        <v>0</v>
      </c>
      <c r="G52" s="10" t="s">
        <v>0</v>
      </c>
      <c r="H52" s="10" t="s">
        <v>0</v>
      </c>
      <c r="I52" s="35" t="s">
        <v>0</v>
      </c>
      <c r="J52" s="10" t="s">
        <v>0</v>
      </c>
      <c r="K52" s="10" t="s">
        <v>0</v>
      </c>
      <c r="L52" s="10" t="s">
        <v>0</v>
      </c>
      <c r="M52" s="36" t="s">
        <v>0</v>
      </c>
      <c r="N52" s="35" t="s">
        <v>0</v>
      </c>
      <c r="O52" s="35">
        <v>1.2416</v>
      </c>
    </row>
    <row r="53" spans="1:15">
      <c r="A53" s="74" t="s">
        <v>20</v>
      </c>
      <c r="B53" s="47" t="s">
        <v>123</v>
      </c>
      <c r="C53" s="48">
        <v>3.625</v>
      </c>
      <c r="D53" s="47">
        <v>6.85</v>
      </c>
      <c r="E53" s="47">
        <v>7.76</v>
      </c>
      <c r="F53" s="10" t="s">
        <v>0</v>
      </c>
      <c r="G53" s="10" t="s">
        <v>0</v>
      </c>
      <c r="H53" s="10" t="s">
        <v>0</v>
      </c>
      <c r="I53" s="35" t="s">
        <v>0</v>
      </c>
      <c r="J53" s="10" t="s">
        <v>0</v>
      </c>
      <c r="K53" s="10" t="s">
        <v>0</v>
      </c>
      <c r="L53" s="10" t="s">
        <v>0</v>
      </c>
      <c r="M53" s="36" t="s">
        <v>0</v>
      </c>
      <c r="N53" s="35" t="s">
        <v>0</v>
      </c>
      <c r="O53" s="35">
        <v>1.2403</v>
      </c>
    </row>
    <row r="54" spans="1:15">
      <c r="A54" s="74" t="s">
        <v>57</v>
      </c>
      <c r="B54" s="47" t="s">
        <v>125</v>
      </c>
      <c r="C54" s="48">
        <v>1.75</v>
      </c>
      <c r="D54" s="47">
        <v>7.07</v>
      </c>
      <c r="E54" s="47">
        <v>7.62</v>
      </c>
      <c r="F54" s="10" t="s">
        <v>0</v>
      </c>
      <c r="G54" s="10" t="s">
        <v>0</v>
      </c>
      <c r="H54" s="10" t="s">
        <v>0</v>
      </c>
      <c r="I54" s="35" t="s">
        <v>0</v>
      </c>
      <c r="J54" s="10" t="s">
        <v>0</v>
      </c>
      <c r="K54" s="10" t="s">
        <v>0</v>
      </c>
      <c r="L54" s="10" t="s">
        <v>0</v>
      </c>
      <c r="M54" s="36" t="s">
        <v>0</v>
      </c>
      <c r="N54" s="35" t="s">
        <v>0</v>
      </c>
      <c r="O54" s="35">
        <v>1.2425999999999999</v>
      </c>
    </row>
    <row r="55" spans="1:15">
      <c r="A55" s="74" t="s">
        <v>239</v>
      </c>
      <c r="B55" s="47" t="s">
        <v>127</v>
      </c>
      <c r="C55" s="48">
        <v>0.25</v>
      </c>
      <c r="D55" s="47">
        <v>7.2</v>
      </c>
      <c r="E55" s="47">
        <v>7.36</v>
      </c>
      <c r="F55" s="10" t="s">
        <v>0</v>
      </c>
      <c r="G55" s="10" t="s">
        <v>0</v>
      </c>
      <c r="H55" s="10" t="s">
        <v>0</v>
      </c>
      <c r="I55" s="35" t="s">
        <v>0</v>
      </c>
      <c r="J55" s="10" t="s">
        <v>0</v>
      </c>
      <c r="K55" s="10" t="s">
        <v>0</v>
      </c>
      <c r="L55" s="10" t="s">
        <v>0</v>
      </c>
      <c r="M55" s="36" t="s">
        <v>0</v>
      </c>
      <c r="N55" s="35" t="s">
        <v>0</v>
      </c>
      <c r="O55" s="35">
        <v>1.244</v>
      </c>
    </row>
    <row r="56" spans="1:15">
      <c r="A56" s="74" t="s">
        <v>60</v>
      </c>
      <c r="B56" s="47" t="s">
        <v>128</v>
      </c>
      <c r="C56" s="48">
        <v>1.875</v>
      </c>
      <c r="D56" s="47">
        <v>7.23</v>
      </c>
      <c r="E56" s="47">
        <v>7.8</v>
      </c>
      <c r="F56" s="10" t="s">
        <v>0</v>
      </c>
      <c r="G56" s="10" t="s">
        <v>0</v>
      </c>
      <c r="H56" s="10" t="s">
        <v>0</v>
      </c>
      <c r="I56" s="35" t="s">
        <v>0</v>
      </c>
      <c r="J56" s="10" t="s">
        <v>0</v>
      </c>
      <c r="K56" s="10" t="s">
        <v>0</v>
      </c>
      <c r="L56" s="10" t="s">
        <v>0</v>
      </c>
      <c r="M56" s="36" t="s">
        <v>0</v>
      </c>
      <c r="N56" s="35" t="s">
        <v>0</v>
      </c>
      <c r="O56" s="35">
        <v>1.2437</v>
      </c>
    </row>
    <row r="57" spans="1:15">
      <c r="A57" s="74" t="s">
        <v>240</v>
      </c>
      <c r="B57" s="47" t="s">
        <v>186</v>
      </c>
      <c r="C57" s="48">
        <v>0.375</v>
      </c>
      <c r="D57" s="47">
        <v>7.37</v>
      </c>
      <c r="E57" s="47">
        <v>7.57</v>
      </c>
      <c r="F57" s="10" t="s">
        <v>0</v>
      </c>
      <c r="G57" s="10" t="s">
        <v>0</v>
      </c>
      <c r="H57" s="10" t="s">
        <v>0</v>
      </c>
      <c r="I57" s="35" t="s">
        <v>0</v>
      </c>
      <c r="J57" s="10" t="s">
        <v>0</v>
      </c>
      <c r="K57" s="10" t="s">
        <v>0</v>
      </c>
      <c r="L57" s="10" t="s">
        <v>0</v>
      </c>
      <c r="M57" s="36" t="s">
        <v>0</v>
      </c>
      <c r="N57" s="35" t="s">
        <v>0</v>
      </c>
      <c r="O57" s="35">
        <v>1.2451000000000001</v>
      </c>
    </row>
    <row r="58" spans="1:15">
      <c r="A58" s="74" t="s">
        <v>228</v>
      </c>
      <c r="B58" s="47" t="s">
        <v>189</v>
      </c>
      <c r="C58" s="48">
        <v>0.375</v>
      </c>
      <c r="D58" s="47">
        <v>7.49</v>
      </c>
      <c r="E58" s="47">
        <v>7.69</v>
      </c>
      <c r="F58" s="10" t="s">
        <v>0</v>
      </c>
      <c r="G58" s="10" t="s">
        <v>0</v>
      </c>
      <c r="H58" s="10" t="s">
        <v>0</v>
      </c>
      <c r="I58" s="35" t="s">
        <v>0</v>
      </c>
      <c r="J58" s="10" t="s">
        <v>0</v>
      </c>
      <c r="K58" s="10" t="s">
        <v>0</v>
      </c>
      <c r="L58" s="10" t="s">
        <v>0</v>
      </c>
      <c r="M58" s="36" t="s">
        <v>0</v>
      </c>
      <c r="N58" s="35" t="s">
        <v>0</v>
      </c>
      <c r="O58" s="35">
        <v>1.246</v>
      </c>
    </row>
    <row r="59" spans="1:15">
      <c r="A59" s="74" t="s">
        <v>42</v>
      </c>
      <c r="B59" s="47" t="s">
        <v>129</v>
      </c>
      <c r="C59" s="48">
        <v>1.625</v>
      </c>
      <c r="D59" s="47">
        <v>7.63</v>
      </c>
      <c r="E59" s="47">
        <v>8.27</v>
      </c>
      <c r="F59" s="10" t="s">
        <v>0</v>
      </c>
      <c r="G59" s="10" t="s">
        <v>0</v>
      </c>
      <c r="H59" s="10" t="s">
        <v>0</v>
      </c>
      <c r="I59" s="35" t="s">
        <v>0</v>
      </c>
      <c r="J59" s="10" t="s">
        <v>0</v>
      </c>
      <c r="K59" s="10" t="s">
        <v>0</v>
      </c>
      <c r="L59" s="10" t="s">
        <v>0</v>
      </c>
      <c r="M59" s="36" t="s">
        <v>0</v>
      </c>
      <c r="N59" s="35" t="s">
        <v>0</v>
      </c>
      <c r="O59" s="35">
        <v>1.2484</v>
      </c>
    </row>
    <row r="60" spans="1:15">
      <c r="A60" s="74" t="s">
        <v>241</v>
      </c>
      <c r="B60" s="47" t="s">
        <v>198</v>
      </c>
      <c r="C60" s="48">
        <v>0.5</v>
      </c>
      <c r="D60" s="47">
        <v>7.74</v>
      </c>
      <c r="E60" s="47">
        <v>8.0299999999999994</v>
      </c>
      <c r="F60" s="10" t="s">
        <v>0</v>
      </c>
      <c r="G60" s="10" t="s">
        <v>0</v>
      </c>
      <c r="H60" s="10" t="s">
        <v>0</v>
      </c>
      <c r="I60" s="35" t="s">
        <v>0</v>
      </c>
      <c r="J60" s="10" t="s">
        <v>0</v>
      </c>
      <c r="K60" s="10" t="s">
        <v>0</v>
      </c>
      <c r="L60" s="10" t="s">
        <v>0</v>
      </c>
      <c r="M60" s="36" t="s">
        <v>0</v>
      </c>
      <c r="N60" s="35" t="s">
        <v>0</v>
      </c>
      <c r="O60" s="35">
        <v>1.2484</v>
      </c>
    </row>
    <row r="61" spans="1:15">
      <c r="A61" s="74" t="s">
        <v>25</v>
      </c>
      <c r="B61" s="47" t="s">
        <v>130</v>
      </c>
      <c r="C61" s="48">
        <v>1.625</v>
      </c>
      <c r="D61" s="47">
        <v>7.78</v>
      </c>
      <c r="E61" s="47">
        <v>8.42</v>
      </c>
      <c r="F61" s="10" t="s">
        <v>0</v>
      </c>
      <c r="G61" s="10" t="s">
        <v>0</v>
      </c>
      <c r="H61" s="10" t="s">
        <v>0</v>
      </c>
      <c r="I61" s="35" t="s">
        <v>0</v>
      </c>
      <c r="J61" s="10" t="s">
        <v>0</v>
      </c>
      <c r="K61" s="10" t="s">
        <v>0</v>
      </c>
      <c r="L61" s="10" t="s">
        <v>0</v>
      </c>
      <c r="M61" s="36" t="s">
        <v>0</v>
      </c>
      <c r="N61" s="35" t="s">
        <v>0</v>
      </c>
      <c r="O61" s="35">
        <v>1.2501</v>
      </c>
    </row>
    <row r="62" spans="1:15">
      <c r="A62" s="74" t="s">
        <v>242</v>
      </c>
      <c r="B62" s="47" t="s">
        <v>207</v>
      </c>
      <c r="C62" s="48">
        <v>0.75</v>
      </c>
      <c r="D62" s="47">
        <v>7.87</v>
      </c>
      <c r="E62" s="47">
        <v>8.24</v>
      </c>
      <c r="F62" s="10" t="s">
        <v>0</v>
      </c>
      <c r="G62" s="10" t="s">
        <v>0</v>
      </c>
      <c r="H62" s="10" t="s">
        <v>0</v>
      </c>
      <c r="I62" s="35" t="s">
        <v>0</v>
      </c>
      <c r="J62" s="10" t="s">
        <v>0</v>
      </c>
      <c r="K62" s="10" t="s">
        <v>0</v>
      </c>
      <c r="L62" s="10" t="s">
        <v>0</v>
      </c>
      <c r="M62" s="36" t="s">
        <v>0</v>
      </c>
      <c r="N62" s="35" t="s">
        <v>0</v>
      </c>
      <c r="O62" s="35">
        <v>1.25</v>
      </c>
    </row>
    <row r="63" spans="1:15">
      <c r="A63" s="74" t="s">
        <v>205</v>
      </c>
      <c r="B63" s="47" t="s">
        <v>208</v>
      </c>
      <c r="C63" s="48">
        <v>0.625</v>
      </c>
      <c r="D63" s="47">
        <v>8.02</v>
      </c>
      <c r="E63" s="47">
        <v>8.35</v>
      </c>
      <c r="F63" s="10" t="s">
        <v>0</v>
      </c>
      <c r="G63" s="10" t="s">
        <v>0</v>
      </c>
      <c r="H63" s="10" t="s">
        <v>0</v>
      </c>
      <c r="I63" s="35" t="s">
        <v>0</v>
      </c>
      <c r="J63" s="10" t="s">
        <v>0</v>
      </c>
      <c r="K63" s="10" t="s">
        <v>0</v>
      </c>
      <c r="L63" s="10" t="s">
        <v>0</v>
      </c>
      <c r="M63" s="36" t="s">
        <v>0</v>
      </c>
      <c r="N63" s="35" t="s">
        <v>0</v>
      </c>
      <c r="O63" s="35">
        <v>1.2515000000000001</v>
      </c>
    </row>
    <row r="64" spans="1:15">
      <c r="A64" s="74" t="s">
        <v>219</v>
      </c>
      <c r="B64" s="47" t="s">
        <v>221</v>
      </c>
      <c r="C64" s="48">
        <v>1.25</v>
      </c>
      <c r="D64" s="47">
        <v>8.18</v>
      </c>
      <c r="E64" s="47">
        <v>8.7200000000000006</v>
      </c>
      <c r="F64" s="10" t="s">
        <v>0</v>
      </c>
      <c r="G64" s="10" t="s">
        <v>0</v>
      </c>
      <c r="H64" s="10" t="s">
        <v>0</v>
      </c>
      <c r="I64" s="35" t="s">
        <v>0</v>
      </c>
      <c r="J64" s="10" t="s">
        <v>0</v>
      </c>
      <c r="K64" s="10" t="s">
        <v>0</v>
      </c>
      <c r="L64" s="10" t="s">
        <v>0</v>
      </c>
      <c r="M64" s="36" t="s">
        <v>0</v>
      </c>
      <c r="N64" s="35" t="s">
        <v>0</v>
      </c>
      <c r="O64" s="35">
        <v>1.2546999999999999</v>
      </c>
    </row>
    <row r="65" spans="1:15">
      <c r="A65" s="74" t="s">
        <v>262</v>
      </c>
      <c r="B65" s="47" t="s">
        <v>263</v>
      </c>
      <c r="C65" s="48">
        <v>1.75</v>
      </c>
      <c r="D65" s="47">
        <v>8.19</v>
      </c>
      <c r="E65" s="47">
        <v>9.01</v>
      </c>
      <c r="F65" s="10" t="s">
        <v>0</v>
      </c>
      <c r="G65" s="10" t="s">
        <v>0</v>
      </c>
      <c r="H65" s="10" t="s">
        <v>0</v>
      </c>
      <c r="I65" s="35" t="s">
        <v>0</v>
      </c>
      <c r="J65" s="10" t="s">
        <v>0</v>
      </c>
      <c r="K65" s="10" t="s">
        <v>0</v>
      </c>
      <c r="L65" s="10" t="s">
        <v>0</v>
      </c>
      <c r="M65" s="36" t="s">
        <v>0</v>
      </c>
      <c r="N65" s="35" t="s">
        <v>0</v>
      </c>
      <c r="O65" s="35">
        <v>1.2581</v>
      </c>
    </row>
    <row r="66" spans="1:15">
      <c r="A66" s="74" t="s">
        <v>29</v>
      </c>
      <c r="B66" s="47" t="s">
        <v>131</v>
      </c>
      <c r="C66" s="48">
        <v>1.5</v>
      </c>
      <c r="D66" s="47">
        <v>8.2100000000000009</v>
      </c>
      <c r="E66" s="47">
        <v>8.83</v>
      </c>
      <c r="F66" s="10" t="s">
        <v>0</v>
      </c>
      <c r="G66" s="10" t="s">
        <v>0</v>
      </c>
      <c r="H66" s="10" t="s">
        <v>0</v>
      </c>
      <c r="I66" s="35" t="s">
        <v>0</v>
      </c>
      <c r="J66" s="10" t="s">
        <v>0</v>
      </c>
      <c r="K66" s="10" t="s">
        <v>0</v>
      </c>
      <c r="L66" s="10" t="s">
        <v>0</v>
      </c>
      <c r="M66" s="36" t="s">
        <v>0</v>
      </c>
      <c r="N66" s="35" t="s">
        <v>0</v>
      </c>
      <c r="O66" s="35">
        <v>1.2558</v>
      </c>
    </row>
    <row r="67" spans="1:15">
      <c r="A67" s="74" t="s">
        <v>52</v>
      </c>
      <c r="B67" s="47" t="s">
        <v>134</v>
      </c>
      <c r="C67" s="48">
        <v>1.5</v>
      </c>
      <c r="D67" s="47">
        <v>8.5500000000000007</v>
      </c>
      <c r="E67" s="47">
        <v>9.3000000000000007</v>
      </c>
      <c r="F67" s="10" t="s">
        <v>0</v>
      </c>
      <c r="G67" s="10" t="s">
        <v>0</v>
      </c>
      <c r="H67" s="10" t="s">
        <v>0</v>
      </c>
      <c r="I67" s="35" t="s">
        <v>0</v>
      </c>
      <c r="J67" s="10" t="s">
        <v>0</v>
      </c>
      <c r="K67" s="10" t="s">
        <v>0</v>
      </c>
      <c r="L67" s="10" t="s">
        <v>0</v>
      </c>
      <c r="M67" s="36" t="s">
        <v>0</v>
      </c>
      <c r="N67" s="35" t="s">
        <v>0</v>
      </c>
      <c r="O67" s="35">
        <v>1.2630999999999999</v>
      </c>
    </row>
    <row r="68" spans="1:15">
      <c r="A68" s="74" t="s">
        <v>275</v>
      </c>
      <c r="B68" s="47" t="s">
        <v>276</v>
      </c>
      <c r="C68" s="48">
        <v>1.25</v>
      </c>
      <c r="D68" s="47">
        <v>8.6</v>
      </c>
      <c r="E68" s="47">
        <v>9.25</v>
      </c>
      <c r="F68" s="10" t="s">
        <v>0</v>
      </c>
      <c r="G68" s="10" t="s">
        <v>0</v>
      </c>
      <c r="H68" s="10" t="s">
        <v>0</v>
      </c>
      <c r="I68" s="35" t="s">
        <v>0</v>
      </c>
      <c r="J68" s="10" t="s">
        <v>0</v>
      </c>
      <c r="K68" s="10" t="s">
        <v>0</v>
      </c>
      <c r="L68" s="10" t="s">
        <v>0</v>
      </c>
      <c r="M68" s="36" t="s">
        <v>0</v>
      </c>
      <c r="N68" s="35" t="s">
        <v>0</v>
      </c>
      <c r="O68" s="35">
        <v>1.2628999999999999</v>
      </c>
    </row>
    <row r="69" spans="1:15">
      <c r="A69" s="74" t="s">
        <v>61</v>
      </c>
      <c r="B69" s="47" t="s">
        <v>133</v>
      </c>
      <c r="C69" s="48">
        <v>1.75</v>
      </c>
      <c r="D69" s="47">
        <v>8.61</v>
      </c>
      <c r="E69" s="47">
        <v>9.44</v>
      </c>
      <c r="F69" s="10" t="s">
        <v>0</v>
      </c>
      <c r="G69" s="10" t="s">
        <v>0</v>
      </c>
      <c r="H69" s="10" t="s">
        <v>0</v>
      </c>
      <c r="I69" s="35" t="s">
        <v>0</v>
      </c>
      <c r="J69" s="10" t="s">
        <v>0</v>
      </c>
      <c r="K69" s="10" t="s">
        <v>0</v>
      </c>
      <c r="L69" s="10" t="s">
        <v>0</v>
      </c>
      <c r="M69" s="36" t="s">
        <v>0</v>
      </c>
      <c r="N69" s="35" t="s">
        <v>0</v>
      </c>
      <c r="O69" s="35">
        <v>1.2648999999999999</v>
      </c>
    </row>
    <row r="70" spans="1:15">
      <c r="A70" s="74" t="s">
        <v>273</v>
      </c>
      <c r="B70" s="47" t="s">
        <v>274</v>
      </c>
      <c r="C70" s="48">
        <v>1.125</v>
      </c>
      <c r="D70" s="47">
        <v>8.75</v>
      </c>
      <c r="E70" s="47">
        <v>9.35</v>
      </c>
      <c r="F70" s="10" t="s">
        <v>0</v>
      </c>
      <c r="G70" s="10" t="s">
        <v>0</v>
      </c>
      <c r="H70" s="10" t="s">
        <v>0</v>
      </c>
      <c r="I70" s="35" t="s">
        <v>0</v>
      </c>
      <c r="J70" s="10" t="s">
        <v>0</v>
      </c>
      <c r="K70" s="10" t="s">
        <v>0</v>
      </c>
      <c r="L70" s="10" t="s">
        <v>0</v>
      </c>
      <c r="M70" s="36" t="s">
        <v>0</v>
      </c>
      <c r="N70" s="35" t="s">
        <v>0</v>
      </c>
      <c r="O70" s="35">
        <v>1.2648999999999999</v>
      </c>
    </row>
    <row r="71" spans="1:15">
      <c r="A71" s="74" t="s">
        <v>30</v>
      </c>
      <c r="B71" s="47" t="s">
        <v>135</v>
      </c>
      <c r="C71" s="48">
        <v>2</v>
      </c>
      <c r="D71" s="47">
        <v>8.8699999999999992</v>
      </c>
      <c r="E71" s="47">
        <v>9.7899999999999991</v>
      </c>
      <c r="F71" s="10" t="s">
        <v>0</v>
      </c>
      <c r="G71" s="10" t="s">
        <v>0</v>
      </c>
      <c r="H71" s="10" t="s">
        <v>0</v>
      </c>
      <c r="I71" s="35" t="s">
        <v>0</v>
      </c>
      <c r="J71" s="10" t="s">
        <v>0</v>
      </c>
      <c r="K71" s="10" t="s">
        <v>0</v>
      </c>
      <c r="L71" s="10" t="s">
        <v>0</v>
      </c>
      <c r="M71" s="36" t="s">
        <v>0</v>
      </c>
      <c r="N71" s="35" t="s">
        <v>0</v>
      </c>
      <c r="O71" s="35">
        <v>1.2702</v>
      </c>
    </row>
    <row r="72" spans="1:15">
      <c r="A72" s="74" t="s">
        <v>21</v>
      </c>
      <c r="B72" s="47" t="s">
        <v>132</v>
      </c>
      <c r="C72" s="48">
        <v>3.875</v>
      </c>
      <c r="D72" s="47">
        <v>8.9</v>
      </c>
      <c r="E72" s="47">
        <v>10.62</v>
      </c>
      <c r="F72" s="10" t="s">
        <v>0</v>
      </c>
      <c r="G72" s="10" t="s">
        <v>0</v>
      </c>
      <c r="H72" s="10" t="s">
        <v>0</v>
      </c>
      <c r="I72" s="35" t="s">
        <v>0</v>
      </c>
      <c r="J72" s="10" t="s">
        <v>0</v>
      </c>
      <c r="K72" s="10" t="s">
        <v>0</v>
      </c>
      <c r="L72" s="10" t="s">
        <v>0</v>
      </c>
      <c r="M72" s="36" t="s">
        <v>0</v>
      </c>
      <c r="N72" s="35" t="s">
        <v>0</v>
      </c>
      <c r="O72" s="35">
        <v>1.2801</v>
      </c>
    </row>
    <row r="73" spans="1:15">
      <c r="A73" s="74" t="s">
        <v>324</v>
      </c>
      <c r="B73" s="47" t="s">
        <v>325</v>
      </c>
      <c r="C73" s="48">
        <v>1.125</v>
      </c>
      <c r="D73" s="47">
        <v>9.0500000000000007</v>
      </c>
      <c r="E73" s="47">
        <v>9.66</v>
      </c>
      <c r="F73" s="10" t="s">
        <v>0</v>
      </c>
      <c r="G73" s="10" t="s">
        <v>0</v>
      </c>
      <c r="H73" s="10" t="s">
        <v>0</v>
      </c>
      <c r="I73" s="35" t="s">
        <v>0</v>
      </c>
      <c r="J73" s="10" t="s">
        <v>0</v>
      </c>
      <c r="K73" s="10" t="s">
        <v>0</v>
      </c>
      <c r="L73" s="10" t="s">
        <v>0</v>
      </c>
      <c r="M73" s="36" t="s">
        <v>0</v>
      </c>
      <c r="N73" s="35" t="s">
        <v>0</v>
      </c>
      <c r="O73" s="35">
        <v>1.2703</v>
      </c>
    </row>
    <row r="74" spans="1:15">
      <c r="A74" s="74" t="s">
        <v>537</v>
      </c>
      <c r="B74" s="47" t="s">
        <v>855</v>
      </c>
      <c r="C74" s="48">
        <v>1.25</v>
      </c>
      <c r="D74" s="47">
        <v>9.16</v>
      </c>
      <c r="E74" s="47">
        <v>9.98</v>
      </c>
      <c r="F74" s="10" t="s">
        <v>0</v>
      </c>
      <c r="G74" s="10" t="s">
        <v>0</v>
      </c>
      <c r="H74" s="10" t="s">
        <v>0</v>
      </c>
      <c r="I74" s="35" t="s">
        <v>0</v>
      </c>
      <c r="J74" s="10" t="s">
        <v>0</v>
      </c>
      <c r="K74" s="10" t="s">
        <v>0</v>
      </c>
      <c r="L74" s="10" t="s">
        <v>0</v>
      </c>
      <c r="M74" s="36" t="s">
        <v>0</v>
      </c>
      <c r="N74" s="35" t="s">
        <v>0</v>
      </c>
      <c r="O74" s="35">
        <v>1.2726</v>
      </c>
    </row>
    <row r="75" spans="1:15">
      <c r="A75" s="74" t="s">
        <v>62</v>
      </c>
      <c r="B75" s="47" t="s">
        <v>136</v>
      </c>
      <c r="C75" s="48">
        <v>2</v>
      </c>
      <c r="D75" s="47">
        <v>9.1999999999999993</v>
      </c>
      <c r="E75" s="47">
        <v>10.3</v>
      </c>
      <c r="F75" s="10" t="s">
        <v>0</v>
      </c>
      <c r="G75" s="10" t="s">
        <v>0</v>
      </c>
      <c r="H75" s="10" t="s">
        <v>0</v>
      </c>
      <c r="I75" s="35" t="s">
        <v>0</v>
      </c>
      <c r="J75" s="10" t="s">
        <v>0</v>
      </c>
      <c r="K75" s="10" t="s">
        <v>0</v>
      </c>
      <c r="L75" s="10" t="s">
        <v>0</v>
      </c>
      <c r="M75" s="36" t="s">
        <v>0</v>
      </c>
      <c r="N75" s="35" t="s">
        <v>0</v>
      </c>
      <c r="O75" s="35">
        <v>1.2791999999999999</v>
      </c>
    </row>
    <row r="76" spans="1:15">
      <c r="A76" s="74" t="s">
        <v>541</v>
      </c>
      <c r="B76" s="47" t="s">
        <v>855</v>
      </c>
      <c r="C76" s="48">
        <v>1.25</v>
      </c>
      <c r="D76" s="47">
        <v>9.32</v>
      </c>
      <c r="E76" s="47">
        <v>9.98</v>
      </c>
      <c r="F76" s="10" t="s">
        <v>0</v>
      </c>
      <c r="G76" s="10" t="s">
        <v>0</v>
      </c>
      <c r="H76" s="10" t="s">
        <v>0</v>
      </c>
      <c r="I76" s="35" t="s">
        <v>0</v>
      </c>
      <c r="J76" s="10" t="s">
        <v>0</v>
      </c>
      <c r="K76" s="10" t="s">
        <v>0</v>
      </c>
      <c r="L76" s="10" t="s">
        <v>0</v>
      </c>
      <c r="M76" s="36" t="s">
        <v>0</v>
      </c>
      <c r="N76" s="35" t="s">
        <v>0</v>
      </c>
      <c r="O76" s="35">
        <v>1.2756000000000001</v>
      </c>
    </row>
    <row r="77" spans="1:15">
      <c r="A77" s="74" t="s">
        <v>43</v>
      </c>
      <c r="B77" s="47" t="s">
        <v>137</v>
      </c>
      <c r="C77" s="48">
        <v>1.875</v>
      </c>
      <c r="D77" s="47">
        <v>9.49</v>
      </c>
      <c r="E77" s="47">
        <v>10.53</v>
      </c>
      <c r="F77" s="10" t="s">
        <v>0</v>
      </c>
      <c r="G77" s="10" t="s">
        <v>0</v>
      </c>
      <c r="H77" s="10" t="s">
        <v>0</v>
      </c>
      <c r="I77" s="35" t="s">
        <v>0</v>
      </c>
      <c r="J77" s="10" t="s">
        <v>0</v>
      </c>
      <c r="K77" s="10" t="s">
        <v>0</v>
      </c>
      <c r="L77" s="10" t="s">
        <v>0</v>
      </c>
      <c r="M77" s="36" t="s">
        <v>0</v>
      </c>
      <c r="N77" s="35" t="s">
        <v>0</v>
      </c>
      <c r="O77" s="35">
        <v>1.2838000000000001</v>
      </c>
    </row>
    <row r="78" spans="1:15">
      <c r="A78" s="74" t="s">
        <v>64</v>
      </c>
      <c r="B78" s="47" t="s">
        <v>138</v>
      </c>
      <c r="C78" s="48">
        <v>2.125</v>
      </c>
      <c r="D78" s="47">
        <v>9.65</v>
      </c>
      <c r="E78" s="47">
        <v>10.8</v>
      </c>
      <c r="F78" s="10" t="s">
        <v>0</v>
      </c>
      <c r="G78" s="10" t="s">
        <v>0</v>
      </c>
      <c r="H78" s="10" t="s">
        <v>0</v>
      </c>
      <c r="I78" s="35" t="s">
        <v>0</v>
      </c>
      <c r="J78" s="10" t="s">
        <v>0</v>
      </c>
      <c r="K78" s="10" t="s">
        <v>0</v>
      </c>
      <c r="L78" s="10" t="s">
        <v>0</v>
      </c>
      <c r="M78" s="36" t="s">
        <v>0</v>
      </c>
      <c r="N78" s="35" t="s">
        <v>0</v>
      </c>
      <c r="O78" s="35">
        <v>1.288</v>
      </c>
    </row>
    <row r="79" spans="1:15">
      <c r="A79" s="74" t="s">
        <v>63</v>
      </c>
      <c r="B79" s="47" t="s">
        <v>139</v>
      </c>
      <c r="C79" s="48">
        <v>2.25</v>
      </c>
      <c r="D79" s="47">
        <v>9.77</v>
      </c>
      <c r="E79" s="47">
        <v>10.97</v>
      </c>
      <c r="F79" s="10" t="s">
        <v>0</v>
      </c>
      <c r="G79" s="10" t="s">
        <v>0</v>
      </c>
      <c r="H79" s="10" t="s">
        <v>0</v>
      </c>
      <c r="I79" s="35" t="s">
        <v>0</v>
      </c>
      <c r="J79" s="10" t="s">
        <v>0</v>
      </c>
      <c r="K79" s="10" t="s">
        <v>0</v>
      </c>
      <c r="L79" s="10" t="s">
        <v>0</v>
      </c>
      <c r="M79" s="36" t="s">
        <v>0</v>
      </c>
      <c r="N79" s="35" t="s">
        <v>0</v>
      </c>
      <c r="O79" s="35">
        <v>1.2907999999999999</v>
      </c>
    </row>
    <row r="80" spans="1:15">
      <c r="A80" s="74" t="s">
        <v>26</v>
      </c>
      <c r="B80" s="47" t="s">
        <v>140</v>
      </c>
      <c r="C80" s="48">
        <v>2</v>
      </c>
      <c r="D80" s="47">
        <v>9.99</v>
      </c>
      <c r="E80" s="47">
        <v>11.28</v>
      </c>
      <c r="F80" s="10" t="s">
        <v>0</v>
      </c>
      <c r="G80" s="10" t="s">
        <v>0</v>
      </c>
      <c r="H80" s="10" t="s">
        <v>0</v>
      </c>
      <c r="I80" s="35" t="s">
        <v>0</v>
      </c>
      <c r="J80" s="10" t="s">
        <v>0</v>
      </c>
      <c r="K80" s="10" t="s">
        <v>0</v>
      </c>
      <c r="L80" s="10" t="s">
        <v>0</v>
      </c>
      <c r="M80" s="36" t="s">
        <v>0</v>
      </c>
      <c r="N80" s="35" t="s">
        <v>0</v>
      </c>
      <c r="O80" s="35">
        <v>1.2972999999999999</v>
      </c>
    </row>
    <row r="81" spans="1:15">
      <c r="A81" s="74" t="s">
        <v>48</v>
      </c>
      <c r="B81" s="47" t="s">
        <v>141</v>
      </c>
      <c r="C81" s="48">
        <v>2.125</v>
      </c>
      <c r="D81" s="47">
        <v>10.16</v>
      </c>
      <c r="E81" s="47">
        <v>11.5</v>
      </c>
      <c r="F81" s="10" t="s">
        <v>0</v>
      </c>
      <c r="G81" s="10" t="s">
        <v>0</v>
      </c>
      <c r="H81" s="10" t="s">
        <v>0</v>
      </c>
      <c r="I81" s="35" t="s">
        <v>0</v>
      </c>
      <c r="J81" s="10" t="s">
        <v>0</v>
      </c>
      <c r="K81" s="10" t="s">
        <v>0</v>
      </c>
      <c r="L81" s="10" t="s">
        <v>0</v>
      </c>
      <c r="M81" s="36" t="s">
        <v>0</v>
      </c>
      <c r="N81" s="35" t="s">
        <v>0</v>
      </c>
      <c r="O81" s="35">
        <v>1.3010999999999999</v>
      </c>
    </row>
    <row r="82" spans="1:15">
      <c r="A82" s="74" t="s">
        <v>53</v>
      </c>
      <c r="B82" s="47" t="s">
        <v>142</v>
      </c>
      <c r="C82" s="48">
        <v>1.75</v>
      </c>
      <c r="D82" s="47">
        <v>10.67</v>
      </c>
      <c r="E82" s="47">
        <v>12.04</v>
      </c>
      <c r="F82" s="10" t="s">
        <v>0</v>
      </c>
      <c r="G82" s="10" t="s">
        <v>0</v>
      </c>
      <c r="H82" s="10" t="s">
        <v>0</v>
      </c>
      <c r="I82" s="35" t="s">
        <v>0</v>
      </c>
      <c r="J82" s="10" t="s">
        <v>0</v>
      </c>
      <c r="K82" s="10" t="s">
        <v>0</v>
      </c>
      <c r="L82" s="10" t="s">
        <v>0</v>
      </c>
      <c r="M82" s="36" t="s">
        <v>0</v>
      </c>
      <c r="N82" s="35" t="s">
        <v>0</v>
      </c>
      <c r="O82" s="35">
        <v>1.3128</v>
      </c>
    </row>
    <row r="83" spans="1:15">
      <c r="A83" s="74" t="s">
        <v>38</v>
      </c>
      <c r="B83" s="47" t="s">
        <v>143</v>
      </c>
      <c r="C83" s="48">
        <v>1.375</v>
      </c>
      <c r="D83" s="47">
        <v>11.13</v>
      </c>
      <c r="E83" s="47">
        <v>12.28</v>
      </c>
      <c r="F83" s="10" t="s">
        <v>0</v>
      </c>
      <c r="G83" s="10" t="s">
        <v>0</v>
      </c>
      <c r="H83" s="10" t="s">
        <v>0</v>
      </c>
      <c r="I83" s="35" t="s">
        <v>0</v>
      </c>
      <c r="J83" s="10" t="s">
        <v>0</v>
      </c>
      <c r="K83" s="10" t="s">
        <v>0</v>
      </c>
      <c r="L83" s="10" t="s">
        <v>0</v>
      </c>
      <c r="M83" s="36" t="s">
        <v>0</v>
      </c>
      <c r="N83" s="35" t="s">
        <v>0</v>
      </c>
      <c r="O83" s="35">
        <v>1.3190999999999999</v>
      </c>
    </row>
    <row r="84" spans="1:15">
      <c r="A84" s="74" t="s">
        <v>33</v>
      </c>
      <c r="B84" s="47" t="s">
        <v>144</v>
      </c>
      <c r="C84" s="48">
        <v>1.25</v>
      </c>
      <c r="D84" s="47">
        <v>11.41</v>
      </c>
      <c r="E84" s="47">
        <v>12.49</v>
      </c>
      <c r="F84" s="10" t="s">
        <v>0</v>
      </c>
      <c r="G84" s="10" t="s">
        <v>0</v>
      </c>
      <c r="H84" s="10" t="s">
        <v>0</v>
      </c>
      <c r="I84" s="35" t="s">
        <v>0</v>
      </c>
      <c r="J84" s="10" t="s">
        <v>0</v>
      </c>
      <c r="K84" s="10" t="s">
        <v>0</v>
      </c>
      <c r="L84" s="10" t="s">
        <v>0</v>
      </c>
      <c r="M84" s="36" t="s">
        <v>0</v>
      </c>
      <c r="N84" s="35" t="s">
        <v>0</v>
      </c>
      <c r="O84" s="35">
        <v>1.3238000000000001</v>
      </c>
    </row>
    <row r="85" spans="1:15">
      <c r="A85" s="74" t="s">
        <v>44</v>
      </c>
      <c r="B85" s="47" t="s">
        <v>146</v>
      </c>
      <c r="C85" s="48">
        <v>1.125</v>
      </c>
      <c r="D85" s="47">
        <v>11.76</v>
      </c>
      <c r="E85" s="47">
        <v>12.77</v>
      </c>
      <c r="F85" s="10" t="s">
        <v>0</v>
      </c>
      <c r="G85" s="10" t="s">
        <v>0</v>
      </c>
      <c r="H85" s="10" t="s">
        <v>0</v>
      </c>
      <c r="I85" s="35" t="s">
        <v>0</v>
      </c>
      <c r="J85" s="10" t="s">
        <v>0</v>
      </c>
      <c r="K85" s="10" t="s">
        <v>0</v>
      </c>
      <c r="L85" s="10" t="s">
        <v>0</v>
      </c>
      <c r="M85" s="36" t="s">
        <v>0</v>
      </c>
      <c r="N85" s="35" t="s">
        <v>0</v>
      </c>
      <c r="O85" s="35">
        <v>1.3301000000000001</v>
      </c>
    </row>
    <row r="86" spans="1:15">
      <c r="A86" s="74" t="s">
        <v>35</v>
      </c>
      <c r="B86" s="47" t="s">
        <v>145</v>
      </c>
      <c r="C86" s="48">
        <v>1.75</v>
      </c>
      <c r="D86" s="47">
        <v>11.78</v>
      </c>
      <c r="E86" s="47">
        <v>13.36</v>
      </c>
      <c r="F86" s="10" t="s">
        <v>0</v>
      </c>
      <c r="G86" s="10" t="s">
        <v>0</v>
      </c>
      <c r="H86" s="10" t="s">
        <v>0</v>
      </c>
      <c r="I86" s="35" t="s">
        <v>0</v>
      </c>
      <c r="J86" s="10" t="s">
        <v>0</v>
      </c>
      <c r="K86" s="10" t="s">
        <v>0</v>
      </c>
      <c r="L86" s="10" t="s">
        <v>0</v>
      </c>
      <c r="M86" s="36" t="s">
        <v>0</v>
      </c>
      <c r="N86" s="35" t="s">
        <v>0</v>
      </c>
      <c r="O86" s="35">
        <v>1.339</v>
      </c>
    </row>
    <row r="87" spans="1:15">
      <c r="A87" s="74" t="s">
        <v>65</v>
      </c>
      <c r="B87" s="47" t="s">
        <v>147</v>
      </c>
      <c r="C87" s="48">
        <v>1.5</v>
      </c>
      <c r="D87" s="47">
        <v>12.43</v>
      </c>
      <c r="E87" s="47">
        <v>13.85</v>
      </c>
      <c r="F87" s="10" t="s">
        <v>0</v>
      </c>
      <c r="G87" s="10" t="s">
        <v>0</v>
      </c>
      <c r="H87" s="10" t="s">
        <v>0</v>
      </c>
      <c r="I87" s="35" t="s">
        <v>0</v>
      </c>
      <c r="J87" s="10" t="s">
        <v>0</v>
      </c>
      <c r="K87" s="10" t="s">
        <v>0</v>
      </c>
      <c r="L87" s="10" t="s">
        <v>0</v>
      </c>
      <c r="M87" s="36" t="s">
        <v>0</v>
      </c>
      <c r="N87" s="35" t="s">
        <v>0</v>
      </c>
      <c r="O87" s="35">
        <v>1.3504</v>
      </c>
    </row>
    <row r="88" spans="1:15">
      <c r="A88" s="74" t="s">
        <v>66</v>
      </c>
      <c r="B88" s="47" t="s">
        <v>148</v>
      </c>
      <c r="C88" s="48">
        <v>1.375</v>
      </c>
      <c r="D88" s="47">
        <v>12.9</v>
      </c>
      <c r="E88" s="47">
        <v>14.42</v>
      </c>
      <c r="F88" s="10" t="s">
        <v>0</v>
      </c>
      <c r="G88" s="10" t="s">
        <v>0</v>
      </c>
      <c r="H88" s="10" t="s">
        <v>0</v>
      </c>
      <c r="I88" s="35" t="s">
        <v>0</v>
      </c>
      <c r="J88" s="10" t="s">
        <v>0</v>
      </c>
      <c r="K88" s="10" t="s">
        <v>0</v>
      </c>
      <c r="L88" s="10" t="s">
        <v>0</v>
      </c>
      <c r="M88" s="36" t="s">
        <v>0</v>
      </c>
      <c r="N88" s="35" t="s">
        <v>0</v>
      </c>
      <c r="O88" s="35">
        <v>1.3629</v>
      </c>
    </row>
    <row r="89" spans="1:15">
      <c r="A89" s="74" t="s">
        <v>22</v>
      </c>
      <c r="B89" s="47" t="s">
        <v>149</v>
      </c>
      <c r="C89" s="48">
        <v>2.25</v>
      </c>
      <c r="D89" s="47">
        <v>13.6</v>
      </c>
      <c r="E89" s="47">
        <v>16.29</v>
      </c>
      <c r="F89" s="10" t="s">
        <v>0</v>
      </c>
      <c r="G89" s="10" t="s">
        <v>0</v>
      </c>
      <c r="H89" s="10" t="s">
        <v>0</v>
      </c>
      <c r="I89" s="35" t="s">
        <v>0</v>
      </c>
      <c r="J89" s="10" t="s">
        <v>0</v>
      </c>
      <c r="K89" s="10" t="s">
        <v>0</v>
      </c>
      <c r="L89" s="10" t="s">
        <v>0</v>
      </c>
      <c r="M89" s="36" t="s">
        <v>0</v>
      </c>
      <c r="N89" s="35" t="s">
        <v>0</v>
      </c>
      <c r="O89" s="35">
        <v>1.3955</v>
      </c>
    </row>
    <row r="90" spans="1:15">
      <c r="A90" s="74" t="s">
        <v>67</v>
      </c>
      <c r="B90" s="47" t="s">
        <v>150</v>
      </c>
      <c r="C90" s="48">
        <v>1.125</v>
      </c>
      <c r="D90" s="47">
        <v>13.61</v>
      </c>
      <c r="E90" s="47">
        <v>14.94</v>
      </c>
      <c r="F90" s="10" t="s">
        <v>0</v>
      </c>
      <c r="G90" s="10" t="s">
        <v>0</v>
      </c>
      <c r="H90" s="10" t="s">
        <v>0</v>
      </c>
      <c r="I90" s="35" t="s">
        <v>0</v>
      </c>
      <c r="J90" s="10" t="s">
        <v>0</v>
      </c>
      <c r="K90" s="10" t="s">
        <v>0</v>
      </c>
      <c r="L90" s="10" t="s">
        <v>0</v>
      </c>
      <c r="M90" s="36" t="s">
        <v>0</v>
      </c>
      <c r="N90" s="35" t="s">
        <v>0</v>
      </c>
      <c r="O90" s="35">
        <v>1.3755999999999999</v>
      </c>
    </row>
    <row r="91" spans="1:15">
      <c r="A91" s="74" t="s">
        <v>243</v>
      </c>
      <c r="B91" s="47" t="s">
        <v>151</v>
      </c>
      <c r="C91" s="48">
        <v>1.125</v>
      </c>
      <c r="D91" s="47">
        <v>13.8</v>
      </c>
      <c r="E91" s="47">
        <v>15.29</v>
      </c>
      <c r="F91" s="10" t="s">
        <v>0</v>
      </c>
      <c r="G91" s="10" t="s">
        <v>0</v>
      </c>
      <c r="H91" s="10" t="s">
        <v>0</v>
      </c>
      <c r="I91" s="35" t="s">
        <v>0</v>
      </c>
      <c r="J91" s="10" t="s">
        <v>0</v>
      </c>
      <c r="K91" s="10" t="s">
        <v>0</v>
      </c>
      <c r="L91" s="10" t="s">
        <v>0</v>
      </c>
      <c r="M91" s="36" t="s">
        <v>0</v>
      </c>
      <c r="N91" s="35" t="s">
        <v>0</v>
      </c>
      <c r="O91" s="35">
        <v>1.383</v>
      </c>
    </row>
    <row r="92" spans="1:15">
      <c r="A92" s="74" t="s">
        <v>244</v>
      </c>
      <c r="B92" s="47" t="s">
        <v>152</v>
      </c>
      <c r="C92" s="48">
        <v>1.125</v>
      </c>
      <c r="D92" s="47">
        <v>13.9</v>
      </c>
      <c r="E92" s="47">
        <v>15.39</v>
      </c>
      <c r="F92" s="10" t="s">
        <v>0</v>
      </c>
      <c r="G92" s="10" t="s">
        <v>0</v>
      </c>
      <c r="H92" s="10" t="s">
        <v>0</v>
      </c>
      <c r="I92" s="35" t="s">
        <v>0</v>
      </c>
      <c r="J92" s="10" t="s">
        <v>0</v>
      </c>
      <c r="K92" s="10" t="s">
        <v>0</v>
      </c>
      <c r="L92" s="10" t="s">
        <v>0</v>
      </c>
      <c r="M92" s="36" t="s">
        <v>0</v>
      </c>
      <c r="N92" s="35" t="s">
        <v>0</v>
      </c>
      <c r="O92" s="35">
        <v>1.385</v>
      </c>
    </row>
    <row r="93" spans="1:15">
      <c r="A93" s="74" t="s">
        <v>45</v>
      </c>
      <c r="B93" s="47" t="s">
        <v>153</v>
      </c>
      <c r="C93" s="48">
        <v>2.125</v>
      </c>
      <c r="D93" s="47">
        <v>14.33</v>
      </c>
      <c r="E93" s="47">
        <v>17.21</v>
      </c>
      <c r="F93" s="10" t="s">
        <v>0</v>
      </c>
      <c r="G93" s="10" t="s">
        <v>0</v>
      </c>
      <c r="H93" s="10" t="s">
        <v>0</v>
      </c>
      <c r="I93" s="35" t="s">
        <v>0</v>
      </c>
      <c r="J93" s="10" t="s">
        <v>0</v>
      </c>
      <c r="K93" s="10" t="s">
        <v>0</v>
      </c>
      <c r="L93" s="10" t="s">
        <v>0</v>
      </c>
      <c r="M93" s="36" t="s">
        <v>0</v>
      </c>
      <c r="N93" s="35" t="s">
        <v>0</v>
      </c>
      <c r="O93" s="35">
        <v>1.4149</v>
      </c>
    </row>
    <row r="94" spans="1:15">
      <c r="A94" s="74" t="s">
        <v>23</v>
      </c>
      <c r="B94" s="47" t="s">
        <v>154</v>
      </c>
      <c r="C94" s="48">
        <v>2</v>
      </c>
      <c r="D94" s="47">
        <v>14.59</v>
      </c>
      <c r="E94" s="47">
        <v>17.36</v>
      </c>
      <c r="F94" s="10" t="s">
        <v>0</v>
      </c>
      <c r="G94" s="10" t="s">
        <v>0</v>
      </c>
      <c r="H94" s="10" t="s">
        <v>0</v>
      </c>
      <c r="I94" s="35" t="s">
        <v>0</v>
      </c>
      <c r="J94" s="10" t="s">
        <v>0</v>
      </c>
      <c r="K94" s="10" t="s">
        <v>0</v>
      </c>
      <c r="L94" s="10" t="s">
        <v>0</v>
      </c>
      <c r="M94" s="36" t="s">
        <v>0</v>
      </c>
      <c r="N94" s="35" t="s">
        <v>0</v>
      </c>
      <c r="O94" s="35">
        <v>1.419</v>
      </c>
    </row>
    <row r="95" spans="1:15">
      <c r="A95" s="74" t="s">
        <v>39</v>
      </c>
      <c r="B95" s="47" t="s">
        <v>155</v>
      </c>
      <c r="C95" s="48">
        <v>0.75</v>
      </c>
      <c r="D95" s="47">
        <v>14.77</v>
      </c>
      <c r="E95" s="47">
        <v>15.9</v>
      </c>
      <c r="F95" s="10" t="s">
        <v>0</v>
      </c>
      <c r="G95" s="10" t="s">
        <v>0</v>
      </c>
      <c r="H95" s="10" t="s">
        <v>0</v>
      </c>
      <c r="I95" s="35" t="s">
        <v>0</v>
      </c>
      <c r="J95" s="10" t="s">
        <v>0</v>
      </c>
      <c r="K95" s="10" t="s">
        <v>0</v>
      </c>
      <c r="L95" s="10" t="s">
        <v>0</v>
      </c>
      <c r="M95" s="36" t="s">
        <v>0</v>
      </c>
      <c r="N95" s="35" t="s">
        <v>0</v>
      </c>
      <c r="O95" s="35">
        <v>1.399</v>
      </c>
    </row>
    <row r="96" spans="1:15">
      <c r="A96" s="74" t="s">
        <v>245</v>
      </c>
      <c r="B96" s="47" t="s">
        <v>157</v>
      </c>
      <c r="C96" s="48">
        <v>0.75</v>
      </c>
      <c r="D96" s="47">
        <v>15.01</v>
      </c>
      <c r="E96" s="47">
        <v>16.260000000000002</v>
      </c>
      <c r="F96" s="10" t="s">
        <v>0</v>
      </c>
      <c r="G96" s="10" t="s">
        <v>0</v>
      </c>
      <c r="H96" s="10" t="s">
        <v>0</v>
      </c>
      <c r="I96" s="35" t="s">
        <v>0</v>
      </c>
      <c r="J96" s="10" t="s">
        <v>0</v>
      </c>
      <c r="K96" s="10" t="s">
        <v>0</v>
      </c>
      <c r="L96" s="10" t="s">
        <v>0</v>
      </c>
      <c r="M96" s="36" t="s">
        <v>0</v>
      </c>
      <c r="N96" s="35" t="s">
        <v>0</v>
      </c>
      <c r="O96" s="35">
        <v>1.4068000000000001</v>
      </c>
    </row>
    <row r="97" spans="1:15">
      <c r="A97" s="74" t="s">
        <v>46</v>
      </c>
      <c r="B97" s="47" t="s">
        <v>156</v>
      </c>
      <c r="C97" s="48">
        <v>1.875</v>
      </c>
      <c r="D97" s="47">
        <v>15.19</v>
      </c>
      <c r="E97" s="47">
        <v>17.86</v>
      </c>
      <c r="F97" s="10" t="s">
        <v>0</v>
      </c>
      <c r="G97" s="10" t="s">
        <v>0</v>
      </c>
      <c r="H97" s="10" t="s">
        <v>0</v>
      </c>
      <c r="I97" s="35" t="s">
        <v>0</v>
      </c>
      <c r="J97" s="10" t="s">
        <v>0</v>
      </c>
      <c r="K97" s="10" t="s">
        <v>0</v>
      </c>
      <c r="L97" s="10" t="s">
        <v>0</v>
      </c>
      <c r="M97" s="36" t="s">
        <v>0</v>
      </c>
      <c r="N97" s="35" t="s">
        <v>0</v>
      </c>
      <c r="O97" s="35">
        <v>1.4300999999999999</v>
      </c>
    </row>
    <row r="98" spans="1:15">
      <c r="A98" s="74" t="s">
        <v>246</v>
      </c>
      <c r="B98" s="47" t="s">
        <v>159</v>
      </c>
      <c r="C98" s="48">
        <v>0.5</v>
      </c>
      <c r="D98" s="47">
        <v>15.46</v>
      </c>
      <c r="E98" s="47">
        <v>16.41</v>
      </c>
      <c r="F98" s="10" t="s">
        <v>0</v>
      </c>
      <c r="G98" s="10" t="s">
        <v>0</v>
      </c>
      <c r="H98" s="10" t="s">
        <v>0</v>
      </c>
      <c r="I98" s="35" t="s">
        <v>0</v>
      </c>
      <c r="J98" s="10" t="s">
        <v>0</v>
      </c>
      <c r="K98" s="10" t="s">
        <v>0</v>
      </c>
      <c r="L98" s="10" t="s">
        <v>0</v>
      </c>
      <c r="M98" s="36" t="s">
        <v>0</v>
      </c>
      <c r="N98" s="35" t="s">
        <v>0</v>
      </c>
      <c r="O98" s="35">
        <v>1.4121999999999999</v>
      </c>
    </row>
    <row r="99" spans="1:15">
      <c r="A99" s="74" t="s">
        <v>24</v>
      </c>
      <c r="B99" s="47" t="s">
        <v>158</v>
      </c>
      <c r="C99" s="48">
        <v>1.75</v>
      </c>
      <c r="D99" s="47">
        <v>15.52</v>
      </c>
      <c r="E99" s="47">
        <v>18.34</v>
      </c>
      <c r="F99" s="10" t="s">
        <v>0</v>
      </c>
      <c r="G99" s="10" t="s">
        <v>0</v>
      </c>
      <c r="H99" s="10" t="s">
        <v>0</v>
      </c>
      <c r="I99" s="35" t="s">
        <v>0</v>
      </c>
      <c r="J99" s="10" t="s">
        <v>0</v>
      </c>
      <c r="K99" s="10" t="s">
        <v>0</v>
      </c>
      <c r="L99" s="10" t="s">
        <v>0</v>
      </c>
      <c r="M99" s="36" t="s">
        <v>0</v>
      </c>
      <c r="N99" s="35" t="s">
        <v>0</v>
      </c>
      <c r="O99" s="35">
        <v>1.4410000000000001</v>
      </c>
    </row>
    <row r="100" spans="1:15">
      <c r="A100" s="74" t="s">
        <v>68</v>
      </c>
      <c r="B100" s="47" t="s">
        <v>160</v>
      </c>
      <c r="C100" s="48">
        <v>2.5</v>
      </c>
      <c r="D100" s="47">
        <v>15.92</v>
      </c>
      <c r="E100" s="47">
        <v>19.8</v>
      </c>
      <c r="F100" s="10" t="s">
        <v>0</v>
      </c>
      <c r="G100" s="10" t="s">
        <v>0</v>
      </c>
      <c r="H100" s="10" t="s">
        <v>0</v>
      </c>
      <c r="I100" s="35" t="s">
        <v>0</v>
      </c>
      <c r="J100" s="10" t="s">
        <v>0</v>
      </c>
      <c r="K100" s="10" t="s">
        <v>0</v>
      </c>
      <c r="L100" s="10" t="s">
        <v>0</v>
      </c>
      <c r="M100" s="36" t="s">
        <v>0</v>
      </c>
      <c r="N100" s="35" t="s">
        <v>0</v>
      </c>
      <c r="O100" s="35">
        <v>1.4625999999999999</v>
      </c>
    </row>
    <row r="101" spans="1:15">
      <c r="A101" s="74" t="s">
        <v>247</v>
      </c>
      <c r="B101" s="47" t="s">
        <v>162</v>
      </c>
      <c r="C101" s="48">
        <v>0.5</v>
      </c>
      <c r="D101" s="47">
        <v>15.98</v>
      </c>
      <c r="E101" s="47">
        <v>16.93</v>
      </c>
      <c r="F101" s="10" t="s">
        <v>0</v>
      </c>
      <c r="G101" s="10" t="s">
        <v>0</v>
      </c>
      <c r="H101" s="10" t="s">
        <v>0</v>
      </c>
      <c r="I101" s="35" t="s">
        <v>0</v>
      </c>
      <c r="J101" s="10" t="s">
        <v>0</v>
      </c>
      <c r="K101" s="10" t="s">
        <v>0</v>
      </c>
      <c r="L101" s="10" t="s">
        <v>0</v>
      </c>
      <c r="M101" s="36" t="s">
        <v>0</v>
      </c>
      <c r="N101" s="35" t="s">
        <v>0</v>
      </c>
      <c r="O101" s="35">
        <v>1.4239999999999999</v>
      </c>
    </row>
    <row r="102" spans="1:15">
      <c r="A102" s="74" t="s">
        <v>261</v>
      </c>
      <c r="B102" s="47" t="s">
        <v>258</v>
      </c>
      <c r="C102" s="48">
        <v>1.875</v>
      </c>
      <c r="D102" s="47">
        <v>16</v>
      </c>
      <c r="E102" s="47">
        <v>18.97</v>
      </c>
      <c r="F102" s="10" t="s">
        <v>0</v>
      </c>
      <c r="G102" s="10" t="s">
        <v>0</v>
      </c>
      <c r="H102" s="10" t="s">
        <v>0</v>
      </c>
      <c r="I102" s="35" t="s">
        <v>0</v>
      </c>
      <c r="J102" s="10" t="s">
        <v>0</v>
      </c>
      <c r="K102" s="10" t="s">
        <v>0</v>
      </c>
      <c r="L102" s="10" t="s">
        <v>0</v>
      </c>
      <c r="M102" s="36" t="s">
        <v>0</v>
      </c>
      <c r="N102" s="35" t="s">
        <v>0</v>
      </c>
      <c r="O102" s="35">
        <v>1.4524999999999999</v>
      </c>
    </row>
    <row r="103" spans="1:15">
      <c r="A103" s="74" t="s">
        <v>69</v>
      </c>
      <c r="B103" s="47" t="s">
        <v>161</v>
      </c>
      <c r="C103" s="48">
        <v>1.625</v>
      </c>
      <c r="D103" s="47">
        <v>16.170000000000002</v>
      </c>
      <c r="E103" s="47">
        <v>18.86</v>
      </c>
      <c r="F103" s="10" t="s">
        <v>0</v>
      </c>
      <c r="G103" s="10" t="s">
        <v>0</v>
      </c>
      <c r="H103" s="10" t="s">
        <v>0</v>
      </c>
      <c r="I103" s="35" t="s">
        <v>0</v>
      </c>
      <c r="J103" s="10" t="s">
        <v>0</v>
      </c>
      <c r="K103" s="10" t="s">
        <v>0</v>
      </c>
      <c r="L103" s="10" t="s">
        <v>0</v>
      </c>
      <c r="M103" s="36" t="s">
        <v>0</v>
      </c>
      <c r="N103" s="35" t="s">
        <v>0</v>
      </c>
      <c r="O103" s="35">
        <v>1.4530000000000001</v>
      </c>
    </row>
    <row r="104" spans="1:15">
      <c r="A104" s="74" t="s">
        <v>249</v>
      </c>
      <c r="B104" s="47" t="s">
        <v>168</v>
      </c>
      <c r="C104" s="48">
        <v>0.5</v>
      </c>
      <c r="D104" s="47">
        <v>16.239999999999998</v>
      </c>
      <c r="E104" s="47">
        <v>17.3</v>
      </c>
      <c r="F104" s="10" t="s">
        <v>0</v>
      </c>
      <c r="G104" s="10" t="s">
        <v>0</v>
      </c>
      <c r="H104" s="10" t="s">
        <v>0</v>
      </c>
      <c r="I104" s="35" t="s">
        <v>0</v>
      </c>
      <c r="J104" s="10" t="s">
        <v>0</v>
      </c>
      <c r="K104" s="10" t="s">
        <v>0</v>
      </c>
      <c r="L104" s="10" t="s">
        <v>0</v>
      </c>
      <c r="M104" s="36" t="s">
        <v>0</v>
      </c>
      <c r="N104" s="35" t="s">
        <v>0</v>
      </c>
      <c r="O104" s="35">
        <v>1.4319999999999999</v>
      </c>
    </row>
    <row r="105" spans="1:15">
      <c r="A105" s="74" t="s">
        <v>40</v>
      </c>
      <c r="B105" s="47" t="s">
        <v>163</v>
      </c>
      <c r="C105" s="48">
        <v>1.75</v>
      </c>
      <c r="D105" s="47">
        <v>16.27</v>
      </c>
      <c r="E105" s="47">
        <v>19.37</v>
      </c>
      <c r="F105" s="10" t="s">
        <v>0</v>
      </c>
      <c r="G105" s="10" t="s">
        <v>0</v>
      </c>
      <c r="H105" s="10" t="s">
        <v>0</v>
      </c>
      <c r="I105" s="35" t="s">
        <v>0</v>
      </c>
      <c r="J105" s="10" t="s">
        <v>0</v>
      </c>
      <c r="K105" s="10" t="s">
        <v>0</v>
      </c>
      <c r="L105" s="10" t="s">
        <v>0</v>
      </c>
      <c r="M105" s="36" t="s">
        <v>0</v>
      </c>
      <c r="N105" s="35" t="s">
        <v>0</v>
      </c>
      <c r="O105" s="35">
        <v>1.462</v>
      </c>
    </row>
    <row r="106" spans="1:15">
      <c r="A106" s="74" t="s">
        <v>216</v>
      </c>
      <c r="B106" s="47" t="s">
        <v>167</v>
      </c>
      <c r="C106" s="48">
        <v>0.375</v>
      </c>
      <c r="D106" s="47">
        <v>16.350000000000001</v>
      </c>
      <c r="E106" s="47">
        <v>17.21</v>
      </c>
      <c r="F106" s="10" t="s">
        <v>0</v>
      </c>
      <c r="G106" s="10" t="s">
        <v>0</v>
      </c>
      <c r="H106" s="10" t="s">
        <v>0</v>
      </c>
      <c r="I106" s="35" t="s">
        <v>0</v>
      </c>
      <c r="J106" s="10" t="s">
        <v>0</v>
      </c>
      <c r="K106" s="10" t="s">
        <v>0</v>
      </c>
      <c r="L106" s="10" t="s">
        <v>0</v>
      </c>
      <c r="M106" s="36" t="s">
        <v>0</v>
      </c>
      <c r="N106" s="35" t="s">
        <v>0</v>
      </c>
      <c r="O106" s="35">
        <v>1.4314</v>
      </c>
    </row>
    <row r="107" spans="1:15">
      <c r="A107" s="74" t="s">
        <v>213</v>
      </c>
      <c r="B107" s="47" t="s">
        <v>209</v>
      </c>
      <c r="C107" s="48">
        <v>1</v>
      </c>
      <c r="D107" s="47">
        <v>16.350000000000001</v>
      </c>
      <c r="E107" s="47">
        <v>18.27</v>
      </c>
      <c r="F107" s="10" t="s">
        <v>0</v>
      </c>
      <c r="G107" s="10" t="s">
        <v>0</v>
      </c>
      <c r="H107" s="10" t="s">
        <v>0</v>
      </c>
      <c r="I107" s="35" t="s">
        <v>0</v>
      </c>
      <c r="J107" s="10" t="s">
        <v>0</v>
      </c>
      <c r="K107" s="10" t="s">
        <v>0</v>
      </c>
      <c r="L107" s="10" t="s">
        <v>0</v>
      </c>
      <c r="M107" s="36" t="s">
        <v>0</v>
      </c>
      <c r="N107" s="35" t="s">
        <v>0</v>
      </c>
      <c r="O107" s="35">
        <v>1.4474</v>
      </c>
    </row>
    <row r="108" spans="1:15">
      <c r="A108" s="74" t="s">
        <v>248</v>
      </c>
      <c r="B108" s="47" t="s">
        <v>187</v>
      </c>
      <c r="C108" s="48">
        <v>0.625</v>
      </c>
      <c r="D108" s="47">
        <v>16.37</v>
      </c>
      <c r="E108" s="47">
        <v>17.600000000000001</v>
      </c>
      <c r="F108" s="10" t="s">
        <v>0</v>
      </c>
      <c r="G108" s="10" t="s">
        <v>0</v>
      </c>
      <c r="H108" s="10" t="s">
        <v>0</v>
      </c>
      <c r="I108" s="35" t="s">
        <v>0</v>
      </c>
      <c r="J108" s="10" t="s">
        <v>0</v>
      </c>
      <c r="K108" s="10" t="s">
        <v>0</v>
      </c>
      <c r="L108" s="10" t="s">
        <v>0</v>
      </c>
      <c r="M108" s="36" t="s">
        <v>0</v>
      </c>
      <c r="N108" s="35" t="s">
        <v>0</v>
      </c>
      <c r="O108" s="35">
        <v>1.4373</v>
      </c>
    </row>
    <row r="109" spans="1:15">
      <c r="A109" s="74" t="s">
        <v>47</v>
      </c>
      <c r="B109" s="47" t="s">
        <v>164</v>
      </c>
      <c r="C109" s="48">
        <v>2.125</v>
      </c>
      <c r="D109" s="47">
        <v>16.53</v>
      </c>
      <c r="E109" s="47">
        <v>20.37</v>
      </c>
      <c r="F109" s="10" t="s">
        <v>0</v>
      </c>
      <c r="G109" s="10" t="s">
        <v>0</v>
      </c>
      <c r="H109" s="10" t="s">
        <v>0</v>
      </c>
      <c r="I109" s="35" t="s">
        <v>0</v>
      </c>
      <c r="J109" s="10" t="s">
        <v>0</v>
      </c>
      <c r="K109" s="10" t="s">
        <v>0</v>
      </c>
      <c r="L109" s="10" t="s">
        <v>0</v>
      </c>
      <c r="M109" s="36" t="s">
        <v>0</v>
      </c>
      <c r="N109" s="35" t="s">
        <v>0</v>
      </c>
      <c r="O109" s="35">
        <v>1.4775</v>
      </c>
    </row>
    <row r="110" spans="1:15">
      <c r="A110" s="74" t="s">
        <v>215</v>
      </c>
      <c r="B110" s="47" t="s">
        <v>210</v>
      </c>
      <c r="C110" s="48">
        <v>0.875</v>
      </c>
      <c r="D110" s="47">
        <v>16.64</v>
      </c>
      <c r="E110" s="47">
        <v>18.39</v>
      </c>
      <c r="F110" s="10" t="s">
        <v>0</v>
      </c>
      <c r="G110" s="10" t="s">
        <v>0</v>
      </c>
      <c r="H110" s="10" t="s">
        <v>0</v>
      </c>
      <c r="I110" s="35" t="s">
        <v>0</v>
      </c>
      <c r="J110" s="10" t="s">
        <v>0</v>
      </c>
      <c r="K110" s="10" t="s">
        <v>0</v>
      </c>
      <c r="L110" s="10" t="s">
        <v>0</v>
      </c>
      <c r="M110" s="36" t="s">
        <v>0</v>
      </c>
      <c r="N110" s="35" t="s">
        <v>0</v>
      </c>
      <c r="O110" s="35">
        <v>1.4515</v>
      </c>
    </row>
    <row r="111" spans="1:15">
      <c r="A111" s="74" t="s">
        <v>250</v>
      </c>
      <c r="B111" s="47" t="s">
        <v>199</v>
      </c>
      <c r="C111" s="48">
        <v>0.625</v>
      </c>
      <c r="D111" s="47">
        <v>16.71</v>
      </c>
      <c r="E111" s="47">
        <v>18.079999999999998</v>
      </c>
      <c r="F111" s="10" t="s">
        <v>0</v>
      </c>
      <c r="G111" s="10" t="s">
        <v>0</v>
      </c>
      <c r="H111" s="10" t="s">
        <v>0</v>
      </c>
      <c r="I111" s="35" t="s">
        <v>0</v>
      </c>
      <c r="J111" s="10" t="s">
        <v>0</v>
      </c>
      <c r="K111" s="10" t="s">
        <v>0</v>
      </c>
      <c r="L111" s="10" t="s">
        <v>0</v>
      </c>
      <c r="M111" s="36" t="s">
        <v>0</v>
      </c>
      <c r="N111" s="35" t="s">
        <v>0</v>
      </c>
      <c r="O111" s="35">
        <v>1.4478</v>
      </c>
    </row>
    <row r="112" spans="1:15">
      <c r="A112" s="74" t="s">
        <v>277</v>
      </c>
      <c r="B112" s="47" t="s">
        <v>278</v>
      </c>
      <c r="C112" s="48">
        <v>1.375</v>
      </c>
      <c r="D112" s="47">
        <v>16.739999999999998</v>
      </c>
      <c r="E112" s="47">
        <v>19.39</v>
      </c>
      <c r="F112" s="10" t="s">
        <v>0</v>
      </c>
      <c r="G112" s="10" t="s">
        <v>0</v>
      </c>
      <c r="H112" s="10" t="s">
        <v>0</v>
      </c>
      <c r="I112" s="35" t="s">
        <v>0</v>
      </c>
      <c r="J112" s="10" t="s">
        <v>0</v>
      </c>
      <c r="K112" s="10" t="s">
        <v>0</v>
      </c>
      <c r="L112" s="10" t="s">
        <v>0</v>
      </c>
      <c r="M112" s="36" t="s">
        <v>0</v>
      </c>
      <c r="N112" s="35" t="s">
        <v>0</v>
      </c>
      <c r="O112" s="35">
        <v>1.4664999999999999</v>
      </c>
    </row>
    <row r="113" spans="1:15">
      <c r="A113" s="74" t="s">
        <v>70</v>
      </c>
      <c r="B113" s="47" t="s">
        <v>170</v>
      </c>
      <c r="C113" s="48">
        <v>2.25</v>
      </c>
      <c r="D113" s="47">
        <v>16.79</v>
      </c>
      <c r="E113" s="47">
        <v>21.12</v>
      </c>
      <c r="F113" s="10" t="s">
        <v>0</v>
      </c>
      <c r="G113" s="10" t="s">
        <v>0</v>
      </c>
      <c r="H113" s="10" t="s">
        <v>0</v>
      </c>
      <c r="I113" s="35" t="s">
        <v>0</v>
      </c>
      <c r="J113" s="10" t="s">
        <v>0</v>
      </c>
      <c r="K113" s="10" t="s">
        <v>0</v>
      </c>
      <c r="L113" s="10" t="s">
        <v>0</v>
      </c>
      <c r="M113" s="36" t="s">
        <v>0</v>
      </c>
      <c r="N113" s="35" t="s">
        <v>0</v>
      </c>
      <c r="O113" s="35">
        <v>1.4904999999999999</v>
      </c>
    </row>
    <row r="114" spans="1:15">
      <c r="A114" s="74" t="s">
        <v>71</v>
      </c>
      <c r="B114" s="47" t="s">
        <v>165</v>
      </c>
      <c r="C114" s="48">
        <v>2.25</v>
      </c>
      <c r="D114" s="47">
        <v>16.82</v>
      </c>
      <c r="E114" s="47">
        <v>20.81</v>
      </c>
      <c r="F114" s="10" t="s">
        <v>0</v>
      </c>
      <c r="G114" s="10" t="s">
        <v>0</v>
      </c>
      <c r="H114" s="10" t="s">
        <v>0</v>
      </c>
      <c r="I114" s="35" t="s">
        <v>0</v>
      </c>
      <c r="J114" s="10" t="s">
        <v>0</v>
      </c>
      <c r="K114" s="10" t="s">
        <v>0</v>
      </c>
      <c r="L114" s="10" t="s">
        <v>0</v>
      </c>
      <c r="M114" s="36" t="s">
        <v>0</v>
      </c>
      <c r="N114" s="35" t="s">
        <v>0</v>
      </c>
      <c r="O114" s="35">
        <v>1.4844999999999999</v>
      </c>
    </row>
    <row r="115" spans="1:15">
      <c r="A115" s="74" t="s">
        <v>54</v>
      </c>
      <c r="B115" s="47" t="s">
        <v>166</v>
      </c>
      <c r="C115" s="48">
        <v>2.375</v>
      </c>
      <c r="D115" s="47">
        <v>16.87</v>
      </c>
      <c r="E115" s="47">
        <v>21.34</v>
      </c>
      <c r="F115" s="10" t="s">
        <v>0</v>
      </c>
      <c r="G115" s="10" t="s">
        <v>0</v>
      </c>
      <c r="H115" s="10" t="s">
        <v>0</v>
      </c>
      <c r="I115" s="35" t="s">
        <v>0</v>
      </c>
      <c r="J115" s="10" t="s">
        <v>0</v>
      </c>
      <c r="K115" s="10" t="s">
        <v>0</v>
      </c>
      <c r="L115" s="10" t="s">
        <v>0</v>
      </c>
      <c r="M115" s="36" t="s">
        <v>0</v>
      </c>
      <c r="N115" s="35" t="s">
        <v>0</v>
      </c>
      <c r="O115" s="35">
        <v>1.4931000000000001</v>
      </c>
    </row>
    <row r="116" spans="1:15">
      <c r="A116" s="74" t="s">
        <v>251</v>
      </c>
      <c r="B116" s="47" t="s">
        <v>194</v>
      </c>
      <c r="C116" s="48">
        <v>0.5</v>
      </c>
      <c r="D116" s="47">
        <v>16.899999999999999</v>
      </c>
      <c r="E116" s="47">
        <v>17.96</v>
      </c>
      <c r="F116" s="10" t="s">
        <v>0</v>
      </c>
      <c r="G116" s="10" t="s">
        <v>0</v>
      </c>
      <c r="H116" s="10" t="s">
        <v>0</v>
      </c>
      <c r="I116" s="35" t="s">
        <v>0</v>
      </c>
      <c r="J116" s="10" t="s">
        <v>0</v>
      </c>
      <c r="K116" s="10" t="s">
        <v>0</v>
      </c>
      <c r="L116" s="10" t="s">
        <v>0</v>
      </c>
      <c r="M116" s="36" t="s">
        <v>0</v>
      </c>
      <c r="N116" s="35" t="s">
        <v>0</v>
      </c>
      <c r="O116" s="35">
        <v>1.4467000000000001</v>
      </c>
    </row>
    <row r="117" spans="1:15">
      <c r="A117" s="74" t="s">
        <v>72</v>
      </c>
      <c r="B117" s="47" t="s">
        <v>169</v>
      </c>
      <c r="C117" s="48">
        <v>2</v>
      </c>
      <c r="D117" s="47">
        <v>16.91</v>
      </c>
      <c r="E117" s="47">
        <v>20.62</v>
      </c>
      <c r="F117" s="10" t="s">
        <v>0</v>
      </c>
      <c r="G117" s="10" t="s">
        <v>0</v>
      </c>
      <c r="H117" s="10" t="s">
        <v>0</v>
      </c>
      <c r="I117" s="35" t="s">
        <v>0</v>
      </c>
      <c r="J117" s="10" t="s">
        <v>0</v>
      </c>
      <c r="K117" s="10" t="s">
        <v>0</v>
      </c>
      <c r="L117" s="10" t="s">
        <v>0</v>
      </c>
      <c r="M117" s="36" t="s">
        <v>0</v>
      </c>
      <c r="N117" s="35" t="s">
        <v>0</v>
      </c>
      <c r="O117" s="35">
        <v>1.4838</v>
      </c>
    </row>
    <row r="118" spans="1:15">
      <c r="A118" s="74" t="s">
        <v>73</v>
      </c>
      <c r="B118" s="47" t="s">
        <v>171</v>
      </c>
      <c r="C118" s="48">
        <v>2.375</v>
      </c>
      <c r="D118" s="47">
        <v>17.11</v>
      </c>
      <c r="E118" s="47">
        <v>21.59</v>
      </c>
      <c r="F118" s="10" t="s">
        <v>0</v>
      </c>
      <c r="G118" s="10" t="s">
        <v>0</v>
      </c>
      <c r="H118" s="10" t="s">
        <v>0</v>
      </c>
      <c r="I118" s="35" t="s">
        <v>0</v>
      </c>
      <c r="J118" s="10" t="s">
        <v>0</v>
      </c>
      <c r="K118" s="10" t="s">
        <v>0</v>
      </c>
      <c r="L118" s="10" t="s">
        <v>0</v>
      </c>
      <c r="M118" s="36" t="s">
        <v>0</v>
      </c>
      <c r="N118" s="35" t="s">
        <v>0</v>
      </c>
      <c r="O118" s="35">
        <v>1.4977</v>
      </c>
    </row>
    <row r="119" spans="1:15">
      <c r="A119" s="74" t="s">
        <v>326</v>
      </c>
      <c r="B119" s="47" t="s">
        <v>327</v>
      </c>
      <c r="C119" s="48">
        <v>1.375</v>
      </c>
      <c r="D119" s="47">
        <v>17.28</v>
      </c>
      <c r="E119" s="47">
        <v>19.940000000000001</v>
      </c>
      <c r="F119" s="10" t="s">
        <v>0</v>
      </c>
      <c r="G119" s="10" t="s">
        <v>0</v>
      </c>
      <c r="H119" s="10" t="s">
        <v>0</v>
      </c>
      <c r="I119" s="35" t="s">
        <v>0</v>
      </c>
      <c r="J119" s="10" t="s">
        <v>0</v>
      </c>
      <c r="K119" s="10" t="s">
        <v>0</v>
      </c>
      <c r="L119" s="10" t="s">
        <v>0</v>
      </c>
      <c r="M119" s="36" t="s">
        <v>0</v>
      </c>
      <c r="N119" s="35" t="s">
        <v>0</v>
      </c>
      <c r="O119" s="35">
        <v>1.4779</v>
      </c>
    </row>
    <row r="120" spans="1:15">
      <c r="A120" s="74" t="s">
        <v>74</v>
      </c>
      <c r="B120" s="47" t="s">
        <v>172</v>
      </c>
      <c r="C120" s="48">
        <v>2.25</v>
      </c>
      <c r="D120" s="47">
        <v>17.48</v>
      </c>
      <c r="E120" s="47">
        <v>21.83</v>
      </c>
      <c r="F120" s="10" t="s">
        <v>0</v>
      </c>
      <c r="G120" s="10" t="s">
        <v>0</v>
      </c>
      <c r="H120" s="10" t="s">
        <v>0</v>
      </c>
      <c r="I120" s="35" t="s">
        <v>0</v>
      </c>
      <c r="J120" s="10" t="s">
        <v>0</v>
      </c>
      <c r="K120" s="10" t="s">
        <v>0</v>
      </c>
      <c r="L120" s="10" t="s">
        <v>0</v>
      </c>
      <c r="M120" s="36" t="s">
        <v>0</v>
      </c>
      <c r="N120" s="35" t="s">
        <v>0</v>
      </c>
      <c r="O120" s="35">
        <v>1.5038</v>
      </c>
    </row>
    <row r="121" spans="1:15">
      <c r="A121" s="74" t="s">
        <v>75</v>
      </c>
      <c r="B121" s="47" t="s">
        <v>173</v>
      </c>
      <c r="C121" s="48">
        <v>2</v>
      </c>
      <c r="D121" s="47">
        <v>18.37</v>
      </c>
      <c r="E121" s="47">
        <v>23.12</v>
      </c>
      <c r="F121" s="10" t="s">
        <v>0</v>
      </c>
      <c r="G121" s="10" t="s">
        <v>0</v>
      </c>
      <c r="H121" s="10" t="s">
        <v>0</v>
      </c>
      <c r="I121" s="35" t="s">
        <v>0</v>
      </c>
      <c r="J121" s="10" t="s">
        <v>0</v>
      </c>
      <c r="K121" s="10" t="s">
        <v>0</v>
      </c>
      <c r="L121" s="10" t="s">
        <v>0</v>
      </c>
      <c r="M121" s="36" t="s">
        <v>0</v>
      </c>
      <c r="N121" s="35" t="s">
        <v>0</v>
      </c>
      <c r="O121" s="35">
        <v>1.5311999999999999</v>
      </c>
    </row>
    <row r="122" spans="1:15">
      <c r="A122" s="74" t="s">
        <v>76</v>
      </c>
      <c r="B122" s="47" t="s">
        <v>174</v>
      </c>
      <c r="C122" s="48">
        <v>1.625</v>
      </c>
      <c r="D122" s="47">
        <v>18.73</v>
      </c>
      <c r="E122" s="47">
        <v>22.6</v>
      </c>
      <c r="F122" s="10" t="s">
        <v>0</v>
      </c>
      <c r="G122" s="10" t="s">
        <v>0</v>
      </c>
      <c r="H122" s="10" t="s">
        <v>0</v>
      </c>
      <c r="I122" s="35" t="s">
        <v>0</v>
      </c>
      <c r="J122" s="10" t="s">
        <v>0</v>
      </c>
      <c r="K122" s="10" t="s">
        <v>0</v>
      </c>
      <c r="L122" s="10" t="s">
        <v>0</v>
      </c>
      <c r="M122" s="36" t="s">
        <v>0</v>
      </c>
      <c r="N122" s="35" t="s">
        <v>0</v>
      </c>
      <c r="O122" s="35">
        <v>1.5269999999999999</v>
      </c>
    </row>
    <row r="123" spans="1:15">
      <c r="A123" s="74" t="s">
        <v>77</v>
      </c>
      <c r="B123" s="47" t="s">
        <v>175</v>
      </c>
      <c r="C123" s="48">
        <v>1.875</v>
      </c>
      <c r="D123" s="47">
        <v>19.04</v>
      </c>
      <c r="E123" s="47">
        <v>23.62</v>
      </c>
      <c r="F123" s="10" t="s">
        <v>0</v>
      </c>
      <c r="G123" s="10" t="s">
        <v>0</v>
      </c>
      <c r="H123" s="10" t="s">
        <v>0</v>
      </c>
      <c r="I123" s="35" t="s">
        <v>0</v>
      </c>
      <c r="J123" s="10" t="s">
        <v>0</v>
      </c>
      <c r="K123" s="10" t="s">
        <v>0</v>
      </c>
      <c r="L123" s="10" t="s">
        <v>0</v>
      </c>
      <c r="M123" s="36" t="s">
        <v>0</v>
      </c>
      <c r="N123" s="35" t="s">
        <v>0</v>
      </c>
      <c r="O123" s="35">
        <v>1.5422</v>
      </c>
    </row>
    <row r="124" spans="1:15">
      <c r="A124" s="74" t="s">
        <v>78</v>
      </c>
      <c r="B124" s="47" t="s">
        <v>176</v>
      </c>
      <c r="C124" s="48">
        <v>1.375</v>
      </c>
      <c r="D124" s="47">
        <v>19.329999999999998</v>
      </c>
      <c r="E124" s="47">
        <v>22.81</v>
      </c>
      <c r="F124" s="10" t="s">
        <v>0</v>
      </c>
      <c r="G124" s="10" t="s">
        <v>0</v>
      </c>
      <c r="H124" s="10" t="s">
        <v>0</v>
      </c>
      <c r="I124" s="35" t="s">
        <v>0</v>
      </c>
      <c r="J124" s="10" t="s">
        <v>0</v>
      </c>
      <c r="K124" s="10" t="s">
        <v>0</v>
      </c>
      <c r="L124" s="10" t="s">
        <v>0</v>
      </c>
      <c r="M124" s="36" t="s">
        <v>0</v>
      </c>
      <c r="N124" s="35" t="s">
        <v>0</v>
      </c>
      <c r="O124" s="35">
        <v>1.5349999999999999</v>
      </c>
    </row>
    <row r="125" spans="1:15">
      <c r="A125" s="74" t="s">
        <v>79</v>
      </c>
      <c r="B125" s="47" t="s">
        <v>177</v>
      </c>
      <c r="C125" s="48">
        <v>1.625</v>
      </c>
      <c r="D125" s="47">
        <v>19.59</v>
      </c>
      <c r="E125" s="47">
        <v>24.12</v>
      </c>
      <c r="F125" s="10" t="s">
        <v>0</v>
      </c>
      <c r="G125" s="10" t="s">
        <v>0</v>
      </c>
      <c r="H125" s="10" t="s">
        <v>0</v>
      </c>
      <c r="I125" s="35" t="s">
        <v>0</v>
      </c>
      <c r="J125" s="10" t="s">
        <v>0</v>
      </c>
      <c r="K125" s="10" t="s">
        <v>0</v>
      </c>
      <c r="L125" s="10" t="s">
        <v>0</v>
      </c>
      <c r="M125" s="36" t="s">
        <v>0</v>
      </c>
      <c r="N125" s="35" t="s">
        <v>0</v>
      </c>
      <c r="O125" s="35">
        <v>1.5556000000000001</v>
      </c>
    </row>
    <row r="126" spans="1:15">
      <c r="A126" s="74" t="s">
        <v>80</v>
      </c>
      <c r="B126" s="47" t="s">
        <v>178</v>
      </c>
      <c r="C126" s="48">
        <v>1.5</v>
      </c>
      <c r="D126" s="47">
        <v>20.27</v>
      </c>
      <c r="E126" s="47">
        <v>24.6</v>
      </c>
      <c r="F126" s="10" t="s">
        <v>0</v>
      </c>
      <c r="G126" s="10" t="s">
        <v>0</v>
      </c>
      <c r="H126" s="10" t="s">
        <v>0</v>
      </c>
      <c r="I126" s="35" t="s">
        <v>0</v>
      </c>
      <c r="J126" s="10" t="s">
        <v>0</v>
      </c>
      <c r="K126" s="10" t="s">
        <v>0</v>
      </c>
      <c r="L126" s="10" t="s">
        <v>0</v>
      </c>
      <c r="M126" s="36" t="s">
        <v>0</v>
      </c>
      <c r="N126" s="35" t="s">
        <v>0</v>
      </c>
      <c r="O126" s="35">
        <v>1.5666</v>
      </c>
    </row>
    <row r="127" spans="1:15">
      <c r="A127" s="74" t="s">
        <v>56</v>
      </c>
      <c r="B127" s="47" t="s">
        <v>179</v>
      </c>
      <c r="C127" s="48">
        <v>1.375</v>
      </c>
      <c r="D127" s="47">
        <v>20.67</v>
      </c>
      <c r="E127" s="47">
        <v>25.08</v>
      </c>
      <c r="F127" s="10" t="s">
        <v>0</v>
      </c>
      <c r="G127" s="10" t="s">
        <v>0</v>
      </c>
      <c r="H127" s="10" t="s">
        <v>0</v>
      </c>
      <c r="I127" s="35" t="s">
        <v>0</v>
      </c>
      <c r="J127" s="10" t="s">
        <v>0</v>
      </c>
      <c r="K127" s="10" t="s">
        <v>0</v>
      </c>
      <c r="L127" s="10" t="s">
        <v>0</v>
      </c>
      <c r="M127" s="36" t="s">
        <v>0</v>
      </c>
      <c r="N127" s="35" t="s">
        <v>0</v>
      </c>
      <c r="O127" s="35">
        <v>1.5777000000000001</v>
      </c>
    </row>
    <row r="128" spans="1:15">
      <c r="A128" s="74" t="s">
        <v>267</v>
      </c>
      <c r="B128" s="47" t="s">
        <v>264</v>
      </c>
      <c r="C128" s="48">
        <v>2.375</v>
      </c>
      <c r="D128" s="47">
        <v>21.26</v>
      </c>
      <c r="E128" s="47">
        <v>29.08</v>
      </c>
      <c r="F128" s="10" t="s">
        <v>0</v>
      </c>
      <c r="G128" s="10" t="s">
        <v>0</v>
      </c>
      <c r="H128" s="10" t="s">
        <v>0</v>
      </c>
      <c r="I128" s="35" t="s">
        <v>0</v>
      </c>
      <c r="J128" s="10" t="s">
        <v>0</v>
      </c>
      <c r="K128" s="10" t="s">
        <v>0</v>
      </c>
      <c r="L128" s="10" t="s">
        <v>0</v>
      </c>
      <c r="M128" s="36" t="s">
        <v>0</v>
      </c>
      <c r="N128" s="35" t="s">
        <v>0</v>
      </c>
      <c r="O128" s="35">
        <v>1.6246</v>
      </c>
    </row>
    <row r="129" spans="1:15">
      <c r="A129" s="74" t="s">
        <v>81</v>
      </c>
      <c r="B129" s="47" t="s">
        <v>180</v>
      </c>
      <c r="C129" s="48">
        <v>1.125</v>
      </c>
      <c r="D129" s="47">
        <v>21.71</v>
      </c>
      <c r="E129" s="47">
        <v>25.59</v>
      </c>
      <c r="F129" s="10" t="s">
        <v>0</v>
      </c>
      <c r="G129" s="10" t="s">
        <v>0</v>
      </c>
      <c r="H129" s="10" t="s">
        <v>0</v>
      </c>
      <c r="I129" s="35" t="s">
        <v>0</v>
      </c>
      <c r="J129" s="10" t="s">
        <v>0</v>
      </c>
      <c r="K129" s="10" t="s">
        <v>0</v>
      </c>
      <c r="L129" s="10" t="s">
        <v>0</v>
      </c>
      <c r="M129" s="36" t="s">
        <v>0</v>
      </c>
      <c r="N129" s="35" t="s">
        <v>0</v>
      </c>
      <c r="O129" s="35">
        <v>1.5922000000000001</v>
      </c>
    </row>
    <row r="130" spans="1:15">
      <c r="A130" s="74" t="s">
        <v>223</v>
      </c>
      <c r="B130" s="47" t="s">
        <v>222</v>
      </c>
      <c r="C130" s="48">
        <v>2</v>
      </c>
      <c r="D130" s="47">
        <v>21.85</v>
      </c>
      <c r="E130" s="47">
        <v>28.6</v>
      </c>
      <c r="F130" s="10" t="s">
        <v>0</v>
      </c>
      <c r="G130" s="10" t="s">
        <v>0</v>
      </c>
      <c r="H130" s="10" t="s">
        <v>0</v>
      </c>
      <c r="I130" s="35" t="s">
        <v>0</v>
      </c>
      <c r="J130" s="10" t="s">
        <v>0</v>
      </c>
      <c r="K130" s="10" t="s">
        <v>0</v>
      </c>
      <c r="L130" s="10" t="s">
        <v>0</v>
      </c>
      <c r="M130" s="36" t="s">
        <v>0</v>
      </c>
      <c r="N130" s="35" t="s">
        <v>0</v>
      </c>
      <c r="O130" s="35">
        <v>1.6247</v>
      </c>
    </row>
    <row r="131" spans="1:15">
      <c r="A131" s="74" t="s">
        <v>50</v>
      </c>
      <c r="B131" s="47" t="s">
        <v>181</v>
      </c>
      <c r="C131" s="48">
        <v>1</v>
      </c>
      <c r="D131" s="47">
        <v>22.21</v>
      </c>
      <c r="E131" s="47">
        <v>26.07</v>
      </c>
      <c r="F131" s="10" t="s">
        <v>0</v>
      </c>
      <c r="G131" s="10" t="s">
        <v>0</v>
      </c>
      <c r="H131" s="10" t="s">
        <v>0</v>
      </c>
      <c r="I131" s="35" t="s">
        <v>0</v>
      </c>
      <c r="J131" s="10" t="s">
        <v>0</v>
      </c>
      <c r="K131" s="10" t="s">
        <v>0</v>
      </c>
      <c r="L131" s="10" t="s">
        <v>0</v>
      </c>
      <c r="M131" s="36" t="s">
        <v>0</v>
      </c>
      <c r="N131" s="35" t="s">
        <v>0</v>
      </c>
      <c r="O131" s="35">
        <v>1.6037999999999999</v>
      </c>
    </row>
    <row r="132" spans="1:15">
      <c r="A132" s="74" t="s">
        <v>252</v>
      </c>
      <c r="B132" s="47" t="s">
        <v>182</v>
      </c>
      <c r="C132" s="48">
        <v>0.75</v>
      </c>
      <c r="D132" s="47">
        <v>23.39</v>
      </c>
      <c r="E132" s="47">
        <v>26.58</v>
      </c>
      <c r="F132" s="10" t="s">
        <v>0</v>
      </c>
      <c r="G132" s="10" t="s">
        <v>0</v>
      </c>
      <c r="H132" s="10" t="s">
        <v>0</v>
      </c>
      <c r="I132" s="35" t="s">
        <v>0</v>
      </c>
      <c r="J132" s="10" t="s">
        <v>0</v>
      </c>
      <c r="K132" s="10" t="s">
        <v>0</v>
      </c>
      <c r="L132" s="10" t="s">
        <v>0</v>
      </c>
      <c r="M132" s="36" t="s">
        <v>0</v>
      </c>
      <c r="N132" s="35" t="s">
        <v>0</v>
      </c>
      <c r="O132" s="35">
        <v>1.6192</v>
      </c>
    </row>
    <row r="133" spans="1:15">
      <c r="A133" s="74" t="s">
        <v>253</v>
      </c>
      <c r="B133" s="47" t="s">
        <v>202</v>
      </c>
      <c r="C133" s="48">
        <v>1.125</v>
      </c>
      <c r="D133" s="47">
        <v>23.39</v>
      </c>
      <c r="E133" s="47">
        <v>28.19</v>
      </c>
      <c r="F133" s="10" t="s">
        <v>0</v>
      </c>
      <c r="G133" s="10" t="s">
        <v>0</v>
      </c>
      <c r="H133" s="10" t="s">
        <v>0</v>
      </c>
      <c r="I133" s="35" t="s">
        <v>0</v>
      </c>
      <c r="J133" s="10" t="s">
        <v>0</v>
      </c>
      <c r="K133" s="10" t="s">
        <v>0</v>
      </c>
      <c r="L133" s="10" t="s">
        <v>0</v>
      </c>
      <c r="M133" s="36" t="s">
        <v>0</v>
      </c>
      <c r="N133" s="35" t="s">
        <v>0</v>
      </c>
      <c r="O133" s="35">
        <v>1.6379999999999999</v>
      </c>
    </row>
    <row r="134" spans="1:15">
      <c r="A134" s="74" t="s">
        <v>328</v>
      </c>
      <c r="B134" s="47" t="s">
        <v>329</v>
      </c>
      <c r="C134" s="48">
        <v>1.5</v>
      </c>
      <c r="D134" s="47">
        <v>23.44</v>
      </c>
      <c r="E134" s="47">
        <v>29.58</v>
      </c>
      <c r="F134" s="10" t="s">
        <v>0</v>
      </c>
      <c r="G134" s="10" t="s">
        <v>0</v>
      </c>
      <c r="H134" s="10" t="s">
        <v>0</v>
      </c>
      <c r="I134" s="35" t="s">
        <v>0</v>
      </c>
      <c r="J134" s="10" t="s">
        <v>0</v>
      </c>
      <c r="K134" s="10" t="s">
        <v>0</v>
      </c>
      <c r="L134" s="10" t="s">
        <v>0</v>
      </c>
      <c r="M134" s="36" t="s">
        <v>0</v>
      </c>
      <c r="N134" s="35" t="s">
        <v>0</v>
      </c>
      <c r="O134" s="35">
        <v>1.6509</v>
      </c>
    </row>
    <row r="135" spans="1:15">
      <c r="A135" s="74" t="s">
        <v>638</v>
      </c>
      <c r="B135" s="47" t="s">
        <v>856</v>
      </c>
      <c r="C135" s="48">
        <v>1.5</v>
      </c>
      <c r="D135" s="47">
        <v>23.85</v>
      </c>
      <c r="E135" s="47">
        <v>30</v>
      </c>
      <c r="F135" s="10" t="s">
        <v>0</v>
      </c>
      <c r="G135" s="10" t="s">
        <v>0</v>
      </c>
      <c r="H135" s="10" t="s">
        <v>0</v>
      </c>
      <c r="I135" s="35" t="s">
        <v>0</v>
      </c>
      <c r="J135" s="10" t="s">
        <v>0</v>
      </c>
      <c r="K135" s="10" t="s">
        <v>0</v>
      </c>
      <c r="L135" s="10" t="s">
        <v>0</v>
      </c>
      <c r="M135" s="36" t="s">
        <v>0</v>
      </c>
      <c r="N135" s="35" t="s">
        <v>0</v>
      </c>
      <c r="O135" s="35">
        <v>1.6573</v>
      </c>
    </row>
    <row r="136" spans="1:15">
      <c r="A136" s="74" t="s">
        <v>254</v>
      </c>
      <c r="B136" s="47" t="s">
        <v>184</v>
      </c>
      <c r="C136" s="48">
        <v>0.625</v>
      </c>
      <c r="D136" s="47">
        <v>24.35</v>
      </c>
      <c r="E136" s="47">
        <v>27.37</v>
      </c>
      <c r="F136" s="10" t="s">
        <v>0</v>
      </c>
      <c r="G136" s="10" t="s">
        <v>0</v>
      </c>
      <c r="H136" s="10" t="s">
        <v>0</v>
      </c>
      <c r="I136" s="35" t="s">
        <v>0</v>
      </c>
      <c r="J136" s="10" t="s">
        <v>0</v>
      </c>
      <c r="K136" s="10" t="s">
        <v>0</v>
      </c>
      <c r="L136" s="10" t="s">
        <v>0</v>
      </c>
      <c r="M136" s="36" t="s">
        <v>0</v>
      </c>
      <c r="N136" s="35" t="s">
        <v>0</v>
      </c>
      <c r="O136" s="35">
        <v>1.637</v>
      </c>
    </row>
    <row r="137" spans="1:15">
      <c r="A137" s="75" t="s">
        <v>255</v>
      </c>
      <c r="B137" s="47" t="s">
        <v>183</v>
      </c>
      <c r="C137" s="48">
        <v>0.375</v>
      </c>
      <c r="D137" s="47">
        <v>25.02</v>
      </c>
      <c r="E137" s="47">
        <v>27.12</v>
      </c>
      <c r="F137" s="10" t="s">
        <v>0</v>
      </c>
      <c r="G137" s="10" t="s">
        <v>0</v>
      </c>
      <c r="H137" s="10" t="s">
        <v>0</v>
      </c>
      <c r="I137" s="35" t="s">
        <v>0</v>
      </c>
      <c r="J137" s="10" t="s">
        <v>0</v>
      </c>
      <c r="K137" s="10" t="s">
        <v>0</v>
      </c>
      <c r="L137" s="10" t="s">
        <v>0</v>
      </c>
      <c r="M137" s="36" t="s">
        <v>0</v>
      </c>
      <c r="N137" s="35" t="s">
        <v>0</v>
      </c>
      <c r="O137" s="35">
        <v>1.6396999999999999</v>
      </c>
    </row>
    <row r="138" spans="1:15">
      <c r="A138" s="12" t="s">
        <v>650</v>
      </c>
      <c r="B138" s="14" t="s">
        <v>651</v>
      </c>
      <c r="C138" s="44">
        <v>4.3</v>
      </c>
      <c r="D138" s="44">
        <v>4.5199999999999996</v>
      </c>
      <c r="E138" s="10"/>
      <c r="F138" s="10">
        <v>1.5680000000000001</v>
      </c>
      <c r="G138" s="10">
        <v>1.5669999999999999</v>
      </c>
      <c r="H138" s="10">
        <v>1.5674999999999999</v>
      </c>
      <c r="I138" s="35">
        <v>17</v>
      </c>
      <c r="J138" s="10" t="s">
        <v>0</v>
      </c>
      <c r="K138" s="10" t="s">
        <v>0</v>
      </c>
      <c r="L138" s="10" t="s">
        <v>0</v>
      </c>
      <c r="M138" s="36" t="s">
        <v>0</v>
      </c>
      <c r="N138" s="35" t="s">
        <v>0</v>
      </c>
      <c r="O138" s="35"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5">
    <pageSetUpPr fitToPage="1"/>
  </sheetPr>
  <dimension ref="A1:T144"/>
  <sheetViews>
    <sheetView zoomScale="90" workbookViewId="0">
      <pane xSplit="1" ySplit="3" topLeftCell="B7" activePane="bottomRight" state="frozen"/>
      <selection sqref="A1:IV65536"/>
      <selection pane="topRight" sqref="A1:IV65536"/>
      <selection pane="bottomLeft" sqref="A1:IV65536"/>
      <selection pane="bottomRight" activeCell="I39" sqref="I39"/>
    </sheetView>
  </sheetViews>
  <sheetFormatPr defaultRowHeight="16.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8.625" style="40" customWidth="1"/>
    <col min="19" max="19" width="11.375" style="43" bestFit="1" customWidth="1"/>
    <col min="20" max="20" width="11.25" style="43"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c r="F1" s="107" t="s">
        <v>1115</v>
      </c>
      <c r="G1" s="108"/>
      <c r="H1" s="108"/>
      <c r="I1" s="109"/>
      <c r="J1" s="107" t="s">
        <v>1116</v>
      </c>
      <c r="K1" s="108"/>
      <c r="L1" s="108"/>
      <c r="M1" s="108"/>
      <c r="N1" s="109"/>
      <c r="O1" s="8" t="s">
        <v>1117</v>
      </c>
      <c r="Q1" s="110" t="s">
        <v>1118</v>
      </c>
      <c r="R1" s="111"/>
      <c r="S1" s="111"/>
      <c r="T1" s="111"/>
    </row>
    <row r="2" spans="1:20" ht="28.5">
      <c r="D2" s="24" t="s">
        <v>1119</v>
      </c>
      <c r="E2" s="24" t="s">
        <v>1120</v>
      </c>
      <c r="F2" s="112" t="s">
        <v>1121</v>
      </c>
      <c r="G2" s="113"/>
      <c r="H2" s="113"/>
      <c r="I2" s="25" t="s">
        <v>1122</v>
      </c>
      <c r="J2" s="112" t="s">
        <v>1121</v>
      </c>
      <c r="K2" s="113"/>
      <c r="L2" s="113"/>
      <c r="M2" s="25" t="s">
        <v>1123</v>
      </c>
      <c r="N2" s="25" t="s">
        <v>1122</v>
      </c>
      <c r="O2" s="114" t="s">
        <v>1124</v>
      </c>
      <c r="Q2" s="26" t="s">
        <v>1125</v>
      </c>
      <c r="R2" s="27"/>
      <c r="S2" s="28"/>
      <c r="T2" s="28"/>
    </row>
    <row r="3" spans="1:20" ht="45.75">
      <c r="B3" s="8" t="s">
        <v>1126</v>
      </c>
      <c r="C3" s="8" t="s">
        <v>1127</v>
      </c>
      <c r="D3" s="9" t="s">
        <v>98</v>
      </c>
      <c r="E3" s="9" t="s">
        <v>299</v>
      </c>
      <c r="F3" s="29" t="s">
        <v>1128</v>
      </c>
      <c r="G3" s="29" t="s">
        <v>1129</v>
      </c>
      <c r="H3" s="29" t="s">
        <v>1130</v>
      </c>
      <c r="I3" s="30" t="s">
        <v>1131</v>
      </c>
      <c r="J3" s="29" t="s">
        <v>1128</v>
      </c>
      <c r="K3" s="29" t="s">
        <v>1129</v>
      </c>
      <c r="L3" s="29" t="s">
        <v>1130</v>
      </c>
      <c r="M3" s="31" t="s">
        <v>301</v>
      </c>
      <c r="N3" s="30" t="s">
        <v>1131</v>
      </c>
      <c r="O3" s="114"/>
      <c r="Q3" s="32" t="s">
        <v>1132</v>
      </c>
      <c r="R3" s="33" t="s">
        <v>302</v>
      </c>
      <c r="S3" s="34" t="s">
        <v>1133</v>
      </c>
      <c r="T3" s="34" t="s">
        <v>303</v>
      </c>
    </row>
    <row r="4" spans="1:20">
      <c r="A4" s="74" t="s">
        <v>36</v>
      </c>
      <c r="B4" s="47" t="s">
        <v>304</v>
      </c>
      <c r="C4" s="48">
        <v>0.75</v>
      </c>
      <c r="D4" s="47">
        <v>0.1</v>
      </c>
      <c r="E4" s="47">
        <v>0.11</v>
      </c>
      <c r="F4" s="10" t="s">
        <v>0</v>
      </c>
      <c r="G4" s="10" t="s">
        <v>0</v>
      </c>
      <c r="H4" s="10" t="s">
        <v>0</v>
      </c>
      <c r="I4" s="35" t="s">
        <v>0</v>
      </c>
      <c r="J4" s="10" t="s">
        <v>0</v>
      </c>
      <c r="K4" s="10" t="s">
        <v>0</v>
      </c>
      <c r="L4" s="10" t="s">
        <v>0</v>
      </c>
      <c r="M4" s="36" t="s">
        <v>0</v>
      </c>
      <c r="N4" s="35" t="s">
        <v>0</v>
      </c>
      <c r="O4" s="35">
        <v>0.95150000000000001</v>
      </c>
      <c r="Q4" s="37" t="s">
        <v>74</v>
      </c>
      <c r="R4" s="37" t="s">
        <v>1134</v>
      </c>
      <c r="S4" s="38">
        <v>0</v>
      </c>
      <c r="T4" s="38">
        <v>1000000000</v>
      </c>
    </row>
    <row r="5" spans="1:20">
      <c r="A5" s="74" t="s">
        <v>27</v>
      </c>
      <c r="B5" s="47" t="s">
        <v>305</v>
      </c>
      <c r="C5" s="48">
        <v>0.625</v>
      </c>
      <c r="D5" s="47">
        <v>0.24</v>
      </c>
      <c r="E5" s="47">
        <v>0.25</v>
      </c>
      <c r="F5" s="10" t="s">
        <v>0</v>
      </c>
      <c r="G5" s="10" t="s">
        <v>0</v>
      </c>
      <c r="H5" s="10" t="s">
        <v>0</v>
      </c>
      <c r="I5" s="35" t="s">
        <v>0</v>
      </c>
      <c r="J5" s="10" t="s">
        <v>0</v>
      </c>
      <c r="K5" s="10" t="s">
        <v>0</v>
      </c>
      <c r="L5" s="10" t="s">
        <v>0</v>
      </c>
      <c r="M5" s="36" t="s">
        <v>0</v>
      </c>
      <c r="N5" s="35" t="s">
        <v>0</v>
      </c>
      <c r="O5" s="35">
        <v>0.94940000000000002</v>
      </c>
      <c r="Q5" s="12" t="s">
        <v>0</v>
      </c>
      <c r="R5" s="12" t="s">
        <v>1135</v>
      </c>
      <c r="S5" s="39">
        <v>1000000000</v>
      </c>
      <c r="T5" s="39">
        <v>0</v>
      </c>
    </row>
    <row r="6" spans="1:20">
      <c r="A6" s="74" t="s">
        <v>9</v>
      </c>
      <c r="B6" s="47" t="s">
        <v>306</v>
      </c>
      <c r="C6" s="48">
        <v>3</v>
      </c>
      <c r="D6" s="47">
        <v>0.32</v>
      </c>
      <c r="E6" s="47">
        <v>0.33</v>
      </c>
      <c r="F6" s="10">
        <v>0.90500000000000003</v>
      </c>
      <c r="G6" s="10">
        <v>0.9</v>
      </c>
      <c r="H6" s="10">
        <v>0.90259999999999996</v>
      </c>
      <c r="I6" s="35">
        <v>3</v>
      </c>
      <c r="J6" s="10" t="s">
        <v>0</v>
      </c>
      <c r="K6" s="10" t="s">
        <v>0</v>
      </c>
      <c r="L6" s="10" t="s">
        <v>0</v>
      </c>
      <c r="M6" s="36" t="s">
        <v>0</v>
      </c>
      <c r="N6" s="35" t="s">
        <v>0</v>
      </c>
      <c r="O6" s="35">
        <v>0.95199999999999996</v>
      </c>
      <c r="Q6" s="37" t="s">
        <v>5</v>
      </c>
      <c r="R6" s="37" t="s">
        <v>1134</v>
      </c>
      <c r="S6" s="38">
        <v>0</v>
      </c>
      <c r="T6" s="38">
        <v>300000000</v>
      </c>
    </row>
    <row r="7" spans="1:20">
      <c r="A7" s="74" t="s">
        <v>51</v>
      </c>
      <c r="B7" s="47" t="s">
        <v>307</v>
      </c>
      <c r="C7" s="48">
        <v>1.5</v>
      </c>
      <c r="D7" s="47">
        <v>0.38</v>
      </c>
      <c r="E7" s="47">
        <v>0.39</v>
      </c>
      <c r="F7" s="10" t="s">
        <v>0</v>
      </c>
      <c r="G7" s="10" t="s">
        <v>0</v>
      </c>
      <c r="H7" s="10" t="s">
        <v>0</v>
      </c>
      <c r="I7" s="35" t="s">
        <v>0</v>
      </c>
      <c r="J7" s="10" t="s">
        <v>0</v>
      </c>
      <c r="K7" s="10" t="s">
        <v>0</v>
      </c>
      <c r="L7" s="10" t="s">
        <v>0</v>
      </c>
      <c r="M7" s="36" t="s">
        <v>0</v>
      </c>
      <c r="N7" s="35" t="s">
        <v>0</v>
      </c>
      <c r="O7" s="35">
        <v>0.95440000000000003</v>
      </c>
      <c r="Q7" s="12" t="s">
        <v>0</v>
      </c>
      <c r="R7" s="12" t="s">
        <v>1135</v>
      </c>
      <c r="S7" s="39">
        <v>300000000</v>
      </c>
      <c r="T7" s="39">
        <v>0</v>
      </c>
    </row>
    <row r="8" spans="1:20">
      <c r="A8" s="74" t="s">
        <v>229</v>
      </c>
      <c r="B8" s="47" t="s">
        <v>309</v>
      </c>
      <c r="C8" s="48">
        <v>0.75</v>
      </c>
      <c r="D8" s="47">
        <v>0.45</v>
      </c>
      <c r="E8" s="47">
        <v>0.46</v>
      </c>
      <c r="F8" s="10" t="s">
        <v>0</v>
      </c>
      <c r="G8" s="10" t="s">
        <v>0</v>
      </c>
      <c r="H8" s="10" t="s">
        <v>0</v>
      </c>
      <c r="I8" s="35" t="s">
        <v>0</v>
      </c>
      <c r="J8" s="10" t="s">
        <v>0</v>
      </c>
      <c r="K8" s="10" t="s">
        <v>0</v>
      </c>
      <c r="L8" s="10" t="s">
        <v>0</v>
      </c>
      <c r="M8" s="36" t="s">
        <v>0</v>
      </c>
      <c r="N8" s="35" t="s">
        <v>0</v>
      </c>
      <c r="O8" s="35">
        <v>0.95789999999999997</v>
      </c>
      <c r="Q8" s="37" t="s">
        <v>245</v>
      </c>
      <c r="R8" s="37" t="s">
        <v>1136</v>
      </c>
      <c r="S8" s="38">
        <v>1000000000</v>
      </c>
      <c r="T8" s="38">
        <v>0</v>
      </c>
    </row>
    <row r="9" spans="1:20">
      <c r="A9" s="74" t="s">
        <v>5</v>
      </c>
      <c r="B9" s="47" t="s">
        <v>310</v>
      </c>
      <c r="C9" s="48">
        <v>0.5</v>
      </c>
      <c r="D9" s="47">
        <v>0.74</v>
      </c>
      <c r="E9" s="47">
        <v>0.76</v>
      </c>
      <c r="F9" s="10">
        <v>0.93</v>
      </c>
      <c r="G9" s="10">
        <v>0.93</v>
      </c>
      <c r="H9" s="10">
        <v>0.93</v>
      </c>
      <c r="I9" s="35">
        <v>3</v>
      </c>
      <c r="J9" s="10">
        <v>0.92</v>
      </c>
      <c r="K9" s="10">
        <v>0.92</v>
      </c>
      <c r="L9" s="10">
        <v>0.92</v>
      </c>
      <c r="M9" s="36">
        <v>1</v>
      </c>
      <c r="N9" s="35">
        <v>3</v>
      </c>
      <c r="O9" s="35">
        <v>0.97260000000000002</v>
      </c>
      <c r="Q9" s="12" t="s">
        <v>0</v>
      </c>
      <c r="R9" s="12" t="s">
        <v>1135</v>
      </c>
      <c r="S9" s="39">
        <v>0</v>
      </c>
      <c r="T9" s="39">
        <v>1000000000</v>
      </c>
    </row>
    <row r="10" spans="1:20">
      <c r="A10" s="74" t="s">
        <v>41</v>
      </c>
      <c r="B10" s="47" t="s">
        <v>312</v>
      </c>
      <c r="C10" s="48">
        <v>1.625</v>
      </c>
      <c r="D10" s="47">
        <v>0.94</v>
      </c>
      <c r="E10" s="47">
        <v>0.95</v>
      </c>
      <c r="F10" s="10" t="s">
        <v>0</v>
      </c>
      <c r="G10" s="10" t="s">
        <v>0</v>
      </c>
      <c r="H10" s="10" t="s">
        <v>0</v>
      </c>
      <c r="I10" s="35" t="s">
        <v>0</v>
      </c>
      <c r="J10" s="10" t="s">
        <v>0</v>
      </c>
      <c r="K10" s="10" t="s">
        <v>0</v>
      </c>
      <c r="L10" s="10" t="s">
        <v>0</v>
      </c>
      <c r="M10" s="36" t="s">
        <v>0</v>
      </c>
      <c r="N10" s="35" t="s">
        <v>0</v>
      </c>
      <c r="O10" s="35">
        <v>0.98229999999999995</v>
      </c>
      <c r="Q10" s="37" t="s">
        <v>230</v>
      </c>
      <c r="R10" s="37" t="s">
        <v>1134</v>
      </c>
      <c r="S10" s="38">
        <v>650000000</v>
      </c>
      <c r="T10" s="38">
        <v>0</v>
      </c>
    </row>
    <row r="11" spans="1:20">
      <c r="A11" s="74" t="s">
        <v>10</v>
      </c>
      <c r="B11" s="47" t="s">
        <v>313</v>
      </c>
      <c r="C11" s="48">
        <v>3</v>
      </c>
      <c r="D11" s="47">
        <v>1.05</v>
      </c>
      <c r="E11" s="47">
        <v>1.1000000000000001</v>
      </c>
      <c r="F11" s="10" t="s">
        <v>0</v>
      </c>
      <c r="G11" s="10" t="s">
        <v>0</v>
      </c>
      <c r="H11" s="10" t="s">
        <v>0</v>
      </c>
      <c r="I11" s="35" t="s">
        <v>0</v>
      </c>
      <c r="J11" s="10" t="s">
        <v>0</v>
      </c>
      <c r="K11" s="10" t="s">
        <v>0</v>
      </c>
      <c r="L11" s="10" t="s">
        <v>0</v>
      </c>
      <c r="M11" s="36" t="s">
        <v>0</v>
      </c>
      <c r="N11" s="35" t="s">
        <v>0</v>
      </c>
      <c r="O11" s="35">
        <v>0.98939999999999995</v>
      </c>
      <c r="Q11" s="12" t="s">
        <v>0</v>
      </c>
      <c r="R11" s="12" t="s">
        <v>1137</v>
      </c>
      <c r="S11" s="39">
        <v>0</v>
      </c>
      <c r="T11" s="39">
        <v>650000000</v>
      </c>
    </row>
    <row r="12" spans="1:20">
      <c r="A12" s="74" t="s">
        <v>227</v>
      </c>
      <c r="B12" s="47" t="s">
        <v>314</v>
      </c>
      <c r="C12" s="48">
        <v>0.5</v>
      </c>
      <c r="D12" s="47">
        <v>1.22</v>
      </c>
      <c r="E12" s="47">
        <v>1.24</v>
      </c>
      <c r="F12" s="10" t="s">
        <v>0</v>
      </c>
      <c r="G12" s="10" t="s">
        <v>0</v>
      </c>
      <c r="H12" s="10" t="s">
        <v>0</v>
      </c>
      <c r="I12" s="35" t="s">
        <v>0</v>
      </c>
      <c r="J12" s="10" t="s">
        <v>0</v>
      </c>
      <c r="K12" s="10" t="s">
        <v>0</v>
      </c>
      <c r="L12" s="10" t="s">
        <v>0</v>
      </c>
      <c r="M12" s="36" t="s">
        <v>0</v>
      </c>
      <c r="N12" s="35" t="s">
        <v>0</v>
      </c>
      <c r="O12" s="35">
        <v>0.99670000000000003</v>
      </c>
      <c r="Q12" s="37" t="s">
        <v>231</v>
      </c>
      <c r="R12" s="37" t="s">
        <v>1134</v>
      </c>
      <c r="S12" s="38">
        <v>200000000</v>
      </c>
      <c r="T12" s="38">
        <v>200000000</v>
      </c>
    </row>
    <row r="13" spans="1:20">
      <c r="A13" s="74" t="s">
        <v>7</v>
      </c>
      <c r="B13" s="47" t="s">
        <v>315</v>
      </c>
      <c r="C13" s="48">
        <v>2.375</v>
      </c>
      <c r="D13" s="47">
        <v>1.33</v>
      </c>
      <c r="E13" s="47">
        <v>1.37</v>
      </c>
      <c r="F13" s="10" t="s">
        <v>0</v>
      </c>
      <c r="G13" s="10" t="s">
        <v>0</v>
      </c>
      <c r="H13" s="10" t="s">
        <v>0</v>
      </c>
      <c r="I13" s="35" t="s">
        <v>0</v>
      </c>
      <c r="J13" s="10" t="s">
        <v>0</v>
      </c>
      <c r="K13" s="10" t="s">
        <v>0</v>
      </c>
      <c r="L13" s="10" t="s">
        <v>0</v>
      </c>
      <c r="M13" s="36" t="s">
        <v>0</v>
      </c>
      <c r="N13" s="35" t="s">
        <v>0</v>
      </c>
      <c r="O13" s="35">
        <v>1.0027999999999999</v>
      </c>
      <c r="Q13" s="37" t="s">
        <v>233</v>
      </c>
      <c r="R13" s="37" t="s">
        <v>1134</v>
      </c>
      <c r="S13" s="38">
        <v>200000000</v>
      </c>
      <c r="T13" s="38">
        <v>200000000</v>
      </c>
    </row>
    <row r="14" spans="1:20">
      <c r="A14" s="74" t="s">
        <v>269</v>
      </c>
      <c r="B14" s="47" t="s">
        <v>316</v>
      </c>
      <c r="C14" s="48">
        <v>1</v>
      </c>
      <c r="D14" s="47">
        <v>1.33</v>
      </c>
      <c r="E14" s="47">
        <v>1.36</v>
      </c>
      <c r="F14" s="10" t="s">
        <v>0</v>
      </c>
      <c r="G14" s="10" t="s">
        <v>0</v>
      </c>
      <c r="H14" s="10" t="s">
        <v>0</v>
      </c>
      <c r="I14" s="35" t="s">
        <v>0</v>
      </c>
      <c r="J14" s="10" t="s">
        <v>0</v>
      </c>
      <c r="K14" s="10" t="s">
        <v>0</v>
      </c>
      <c r="L14" s="10" t="s">
        <v>0</v>
      </c>
      <c r="M14" s="36" t="s">
        <v>0</v>
      </c>
      <c r="N14" s="35" t="s">
        <v>0</v>
      </c>
      <c r="O14" s="35">
        <v>1.0026999999999999</v>
      </c>
      <c r="Q14" s="37" t="s">
        <v>218</v>
      </c>
      <c r="R14" s="37" t="s">
        <v>1138</v>
      </c>
      <c r="S14" s="38">
        <v>0</v>
      </c>
      <c r="T14" s="38">
        <v>250000000</v>
      </c>
    </row>
    <row r="15" spans="1:20">
      <c r="A15" s="74" t="s">
        <v>31</v>
      </c>
      <c r="B15" s="47" t="s">
        <v>317</v>
      </c>
      <c r="C15" s="48">
        <v>1.625</v>
      </c>
      <c r="D15" s="47">
        <v>1.38</v>
      </c>
      <c r="E15" s="47">
        <v>1.41</v>
      </c>
      <c r="F15" s="10" t="s">
        <v>0</v>
      </c>
      <c r="G15" s="10" t="s">
        <v>0</v>
      </c>
      <c r="H15" s="10" t="s">
        <v>0</v>
      </c>
      <c r="I15" s="35" t="s">
        <v>0</v>
      </c>
      <c r="J15" s="10" t="s">
        <v>0</v>
      </c>
      <c r="K15" s="10" t="s">
        <v>0</v>
      </c>
      <c r="L15" s="10" t="s">
        <v>0</v>
      </c>
      <c r="M15" s="36" t="s">
        <v>0</v>
      </c>
      <c r="N15" s="35" t="s">
        <v>0</v>
      </c>
      <c r="O15" s="35">
        <v>1.0053000000000001</v>
      </c>
      <c r="Q15" s="12" t="s">
        <v>0</v>
      </c>
      <c r="R15" s="12" t="s">
        <v>1135</v>
      </c>
      <c r="S15" s="39">
        <v>250000000</v>
      </c>
      <c r="T15" s="39">
        <v>0</v>
      </c>
    </row>
    <row r="16" spans="1:20">
      <c r="A16" s="74" t="s">
        <v>230</v>
      </c>
      <c r="B16" s="47" t="s">
        <v>318</v>
      </c>
      <c r="C16" s="48">
        <v>0.25</v>
      </c>
      <c r="D16" s="47">
        <v>1.73</v>
      </c>
      <c r="E16" s="47">
        <v>1.76</v>
      </c>
      <c r="F16" s="10">
        <v>1.038</v>
      </c>
      <c r="G16" s="10">
        <v>1.038</v>
      </c>
      <c r="H16" s="10">
        <v>1.038</v>
      </c>
      <c r="I16" s="35">
        <v>6.5</v>
      </c>
      <c r="J16" s="10">
        <v>1.042</v>
      </c>
      <c r="K16" s="10">
        <v>1.042</v>
      </c>
      <c r="L16" s="10">
        <v>1.042</v>
      </c>
      <c r="M16" s="36">
        <v>1</v>
      </c>
      <c r="N16" s="35">
        <v>6.5</v>
      </c>
      <c r="O16" s="35">
        <v>1.0246</v>
      </c>
      <c r="Q16" s="37" t="s">
        <v>262</v>
      </c>
      <c r="R16" s="37" t="s">
        <v>1136</v>
      </c>
      <c r="S16" s="38">
        <v>350000000</v>
      </c>
      <c r="T16" s="38">
        <v>350000000</v>
      </c>
    </row>
    <row r="17" spans="1:20">
      <c r="A17" s="74" t="s">
        <v>37</v>
      </c>
      <c r="B17" s="47" t="s">
        <v>319</v>
      </c>
      <c r="C17" s="48">
        <v>1.125</v>
      </c>
      <c r="D17" s="47">
        <v>1.87</v>
      </c>
      <c r="E17" s="47">
        <v>1.91</v>
      </c>
      <c r="F17" s="10" t="s">
        <v>0</v>
      </c>
      <c r="G17" s="10" t="s">
        <v>0</v>
      </c>
      <c r="H17" s="10" t="s">
        <v>0</v>
      </c>
      <c r="I17" s="35" t="s">
        <v>0</v>
      </c>
      <c r="J17" s="10" t="s">
        <v>0</v>
      </c>
      <c r="K17" s="10" t="s">
        <v>0</v>
      </c>
      <c r="L17" s="10" t="s">
        <v>0</v>
      </c>
      <c r="M17" s="36" t="s">
        <v>0</v>
      </c>
      <c r="N17" s="35" t="s">
        <v>0</v>
      </c>
      <c r="O17" s="35">
        <v>1.0338000000000001</v>
      </c>
      <c r="Q17" s="37" t="s">
        <v>273</v>
      </c>
      <c r="R17" s="37" t="s">
        <v>1136</v>
      </c>
      <c r="S17" s="38">
        <v>100000000</v>
      </c>
      <c r="T17" s="38">
        <v>100000000</v>
      </c>
    </row>
    <row r="18" spans="1:20">
      <c r="A18" s="74" t="s">
        <v>231</v>
      </c>
      <c r="B18" s="47" t="s">
        <v>320</v>
      </c>
      <c r="C18" s="48">
        <v>0.125</v>
      </c>
      <c r="D18" s="47">
        <v>2.12</v>
      </c>
      <c r="E18" s="47">
        <v>2.15</v>
      </c>
      <c r="F18" s="10">
        <v>1.0620000000000001</v>
      </c>
      <c r="G18" s="10">
        <v>1.06</v>
      </c>
      <c r="H18" s="10">
        <v>1.0609999999999999</v>
      </c>
      <c r="I18" s="35">
        <v>4</v>
      </c>
      <c r="J18" s="10" t="s">
        <v>0</v>
      </c>
      <c r="K18" s="10" t="s">
        <v>0</v>
      </c>
      <c r="L18" s="10" t="s">
        <v>0</v>
      </c>
      <c r="M18" s="36" t="s">
        <v>0</v>
      </c>
      <c r="N18" s="35" t="s">
        <v>0</v>
      </c>
      <c r="O18" s="35">
        <v>1.05</v>
      </c>
      <c r="Q18" s="37" t="s">
        <v>321</v>
      </c>
      <c r="R18" s="37" t="s">
        <v>1134</v>
      </c>
      <c r="S18" s="38">
        <v>100000000</v>
      </c>
      <c r="T18" s="38">
        <v>100000000</v>
      </c>
    </row>
    <row r="19" spans="1:20">
      <c r="A19" s="74" t="s">
        <v>232</v>
      </c>
      <c r="B19" s="47" t="s">
        <v>100</v>
      </c>
      <c r="C19" s="48">
        <v>0.25</v>
      </c>
      <c r="D19" s="47">
        <v>2.21</v>
      </c>
      <c r="E19" s="47">
        <v>2.25</v>
      </c>
      <c r="F19" s="10" t="s">
        <v>0</v>
      </c>
      <c r="G19" s="10" t="s">
        <v>0</v>
      </c>
      <c r="H19" s="10" t="s">
        <v>0</v>
      </c>
      <c r="I19" s="35" t="s">
        <v>0</v>
      </c>
      <c r="J19" s="10" t="s">
        <v>0</v>
      </c>
      <c r="K19" s="10" t="s">
        <v>0</v>
      </c>
      <c r="L19" s="10" t="s">
        <v>0</v>
      </c>
      <c r="M19" s="36" t="s">
        <v>0</v>
      </c>
      <c r="N19" s="35" t="s">
        <v>0</v>
      </c>
      <c r="O19" s="35">
        <v>1.0569</v>
      </c>
      <c r="Q19" s="37" t="s">
        <v>324</v>
      </c>
      <c r="R19" s="37" t="s">
        <v>1136</v>
      </c>
      <c r="S19" s="38">
        <v>50000000</v>
      </c>
      <c r="T19" s="38">
        <v>50000000</v>
      </c>
    </row>
    <row r="20" spans="1:20">
      <c r="A20" s="74" t="s">
        <v>8</v>
      </c>
      <c r="B20" s="47" t="s">
        <v>99</v>
      </c>
      <c r="C20" s="48">
        <v>1.875</v>
      </c>
      <c r="D20" s="47">
        <v>2.2799999999999998</v>
      </c>
      <c r="E20" s="47">
        <v>2.37</v>
      </c>
      <c r="F20" s="10" t="s">
        <v>0</v>
      </c>
      <c r="G20" s="10" t="s">
        <v>0</v>
      </c>
      <c r="H20" s="10" t="s">
        <v>0</v>
      </c>
      <c r="I20" s="35" t="s">
        <v>0</v>
      </c>
      <c r="J20" s="10" t="s">
        <v>0</v>
      </c>
      <c r="K20" s="10" t="s">
        <v>0</v>
      </c>
      <c r="L20" s="10" t="s">
        <v>0</v>
      </c>
      <c r="M20" s="36" t="s">
        <v>0</v>
      </c>
      <c r="N20" s="35" t="s">
        <v>0</v>
      </c>
      <c r="O20" s="35">
        <v>1.0644</v>
      </c>
      <c r="Q20" s="37" t="s">
        <v>308</v>
      </c>
      <c r="R20" s="37" t="s">
        <v>1134</v>
      </c>
      <c r="S20" s="38">
        <v>150000000</v>
      </c>
      <c r="T20" s="38">
        <v>150000000</v>
      </c>
    </row>
    <row r="21" spans="1:20">
      <c r="A21" s="74" t="s">
        <v>58</v>
      </c>
      <c r="B21" s="47" t="s">
        <v>101</v>
      </c>
      <c r="C21" s="48">
        <v>0.75</v>
      </c>
      <c r="D21" s="47">
        <v>2.34</v>
      </c>
      <c r="E21" s="47">
        <v>2.39</v>
      </c>
      <c r="F21" s="10" t="s">
        <v>0</v>
      </c>
      <c r="G21" s="10" t="s">
        <v>0</v>
      </c>
      <c r="H21" s="10" t="s">
        <v>0</v>
      </c>
      <c r="I21" s="35" t="s">
        <v>0</v>
      </c>
      <c r="J21" s="10" t="s">
        <v>0</v>
      </c>
      <c r="K21" s="10" t="s">
        <v>0</v>
      </c>
      <c r="L21" s="10" t="s">
        <v>0</v>
      </c>
      <c r="M21" s="36" t="s">
        <v>0</v>
      </c>
      <c r="N21" s="35" t="s">
        <v>0</v>
      </c>
      <c r="O21" s="35">
        <v>1.0668</v>
      </c>
      <c r="Q21" s="37" t="s">
        <v>541</v>
      </c>
      <c r="R21" s="37" t="s">
        <v>1134</v>
      </c>
      <c r="S21" s="38">
        <v>150000000</v>
      </c>
      <c r="T21" s="38">
        <v>50000000</v>
      </c>
    </row>
    <row r="22" spans="1:20">
      <c r="A22" s="74" t="s">
        <v>233</v>
      </c>
      <c r="B22" s="47" t="s">
        <v>192</v>
      </c>
      <c r="C22" s="48">
        <v>0.25</v>
      </c>
      <c r="D22" s="47">
        <v>2.75</v>
      </c>
      <c r="E22" s="47">
        <v>2.79</v>
      </c>
      <c r="F22" s="10">
        <v>1.125</v>
      </c>
      <c r="G22" s="10">
        <v>1.1200000000000001</v>
      </c>
      <c r="H22" s="10">
        <v>1.1225000000000001</v>
      </c>
      <c r="I22" s="35">
        <v>4</v>
      </c>
      <c r="J22" s="10" t="s">
        <v>0</v>
      </c>
      <c r="K22" s="10" t="s">
        <v>0</v>
      </c>
      <c r="L22" s="10" t="s">
        <v>0</v>
      </c>
      <c r="M22" s="36" t="s">
        <v>0</v>
      </c>
      <c r="N22" s="35" t="s">
        <v>0</v>
      </c>
      <c r="O22" s="35">
        <v>1.0984</v>
      </c>
      <c r="Q22" s="12" t="s">
        <v>0</v>
      </c>
      <c r="R22" s="12" t="s">
        <v>1135</v>
      </c>
      <c r="S22" s="39">
        <v>0</v>
      </c>
      <c r="T22" s="39">
        <v>100000000</v>
      </c>
    </row>
    <row r="23" spans="1:20">
      <c r="A23" s="74" t="s">
        <v>55</v>
      </c>
      <c r="B23" s="47" t="s">
        <v>103</v>
      </c>
      <c r="C23" s="48">
        <v>0.625</v>
      </c>
      <c r="D23" s="47">
        <v>2.84</v>
      </c>
      <c r="E23" s="47">
        <v>2.9</v>
      </c>
      <c r="F23" s="10" t="s">
        <v>0</v>
      </c>
      <c r="G23" s="10" t="s">
        <v>0</v>
      </c>
      <c r="H23" s="10" t="s">
        <v>0</v>
      </c>
      <c r="I23" s="35" t="s">
        <v>0</v>
      </c>
      <c r="J23" s="10" t="s">
        <v>0</v>
      </c>
      <c r="K23" s="10" t="s">
        <v>0</v>
      </c>
      <c r="L23" s="10" t="s">
        <v>0</v>
      </c>
      <c r="M23" s="36" t="s">
        <v>0</v>
      </c>
      <c r="N23" s="35" t="s">
        <v>0</v>
      </c>
      <c r="O23" s="35">
        <v>1.1065</v>
      </c>
      <c r="Q23" s="37" t="s">
        <v>537</v>
      </c>
      <c r="R23" s="37" t="s">
        <v>1134</v>
      </c>
      <c r="S23" s="38">
        <v>0</v>
      </c>
      <c r="T23" s="38">
        <v>150000000</v>
      </c>
    </row>
    <row r="24" spans="1:20">
      <c r="A24" s="74" t="s">
        <v>11</v>
      </c>
      <c r="B24" s="47" t="s">
        <v>102</v>
      </c>
      <c r="C24" s="48">
        <v>2.125</v>
      </c>
      <c r="D24" s="47">
        <v>2.92</v>
      </c>
      <c r="E24" s="47">
        <v>3.08</v>
      </c>
      <c r="F24" s="10" t="s">
        <v>0</v>
      </c>
      <c r="G24" s="10" t="s">
        <v>0</v>
      </c>
      <c r="H24" s="10" t="s">
        <v>0</v>
      </c>
      <c r="I24" s="35" t="s">
        <v>0</v>
      </c>
      <c r="J24" s="10" t="s">
        <v>0</v>
      </c>
      <c r="K24" s="10" t="s">
        <v>0</v>
      </c>
      <c r="L24" s="10" t="s">
        <v>0</v>
      </c>
      <c r="M24" s="36" t="s">
        <v>0</v>
      </c>
      <c r="N24" s="35" t="s">
        <v>0</v>
      </c>
      <c r="O24" s="35">
        <v>1.1182000000000001</v>
      </c>
      <c r="Q24" s="12" t="s">
        <v>0</v>
      </c>
      <c r="R24" s="12" t="s">
        <v>1135</v>
      </c>
      <c r="S24" s="39">
        <v>150000000</v>
      </c>
      <c r="T24" s="39">
        <v>0</v>
      </c>
    </row>
    <row r="25" spans="1:20">
      <c r="A25" s="74" t="s">
        <v>12</v>
      </c>
      <c r="B25" s="47" t="s">
        <v>104</v>
      </c>
      <c r="C25" s="48">
        <v>2</v>
      </c>
      <c r="D25" s="47">
        <v>3.18</v>
      </c>
      <c r="E25" s="47">
        <v>3.34</v>
      </c>
      <c r="F25" s="10" t="s">
        <v>0</v>
      </c>
      <c r="G25" s="10" t="s">
        <v>0</v>
      </c>
      <c r="H25" s="10" t="s">
        <v>0</v>
      </c>
      <c r="I25" s="35" t="s">
        <v>0</v>
      </c>
      <c r="J25" s="10" t="s">
        <v>0</v>
      </c>
      <c r="K25" s="10" t="s">
        <v>0</v>
      </c>
      <c r="L25" s="10" t="s">
        <v>0</v>
      </c>
      <c r="M25" s="36" t="s">
        <v>0</v>
      </c>
      <c r="N25" s="35" t="s">
        <v>0</v>
      </c>
      <c r="O25" s="35">
        <v>1.1365000000000001</v>
      </c>
      <c r="Q25" s="72" t="s">
        <v>9</v>
      </c>
      <c r="R25" s="72" t="s">
        <v>1134</v>
      </c>
      <c r="S25" s="73">
        <v>100000000</v>
      </c>
      <c r="T25" s="73">
        <v>100000000</v>
      </c>
    </row>
    <row r="26" spans="1:20">
      <c r="A26" s="74" t="s">
        <v>32</v>
      </c>
      <c r="B26" s="47" t="s">
        <v>105</v>
      </c>
      <c r="C26" s="48">
        <v>1.125</v>
      </c>
      <c r="D26" s="47">
        <v>3.27</v>
      </c>
      <c r="E26" s="47">
        <v>3.38</v>
      </c>
      <c r="F26" s="10" t="s">
        <v>0</v>
      </c>
      <c r="G26" s="10" t="s">
        <v>0</v>
      </c>
      <c r="H26" s="10" t="s">
        <v>0</v>
      </c>
      <c r="I26" s="35" t="s">
        <v>0</v>
      </c>
      <c r="J26" s="10" t="s">
        <v>0</v>
      </c>
      <c r="K26" s="10" t="s">
        <v>0</v>
      </c>
      <c r="L26" s="10" t="s">
        <v>0</v>
      </c>
      <c r="M26" s="36" t="s">
        <v>0</v>
      </c>
      <c r="N26" s="35" t="s">
        <v>0</v>
      </c>
      <c r="O26" s="35">
        <v>1.1403000000000001</v>
      </c>
      <c r="S26" s="41"/>
      <c r="T26" s="41"/>
    </row>
    <row r="27" spans="1:20">
      <c r="A27" s="74" t="s">
        <v>234</v>
      </c>
      <c r="B27" s="47" t="s">
        <v>206</v>
      </c>
      <c r="C27" s="48">
        <v>0.5</v>
      </c>
      <c r="D27" s="47">
        <v>3.29</v>
      </c>
      <c r="E27" s="47">
        <v>3.37</v>
      </c>
      <c r="F27" s="10" t="s">
        <v>0</v>
      </c>
      <c r="G27" s="10" t="s">
        <v>0</v>
      </c>
      <c r="H27" s="10" t="s">
        <v>0</v>
      </c>
      <c r="I27" s="35" t="s">
        <v>0</v>
      </c>
      <c r="J27" s="10" t="s">
        <v>0</v>
      </c>
      <c r="K27" s="10" t="s">
        <v>0</v>
      </c>
      <c r="L27" s="10" t="s">
        <v>0</v>
      </c>
      <c r="M27" s="36" t="s">
        <v>0</v>
      </c>
      <c r="N27" s="35" t="s">
        <v>0</v>
      </c>
      <c r="O27" s="35">
        <v>1.1400999999999999</v>
      </c>
      <c r="Q27" s="42"/>
      <c r="R27" s="42"/>
      <c r="S27" s="42"/>
      <c r="T27" s="42"/>
    </row>
    <row r="28" spans="1:20">
      <c r="A28" s="74" t="s">
        <v>218</v>
      </c>
      <c r="B28" s="47" t="s">
        <v>220</v>
      </c>
      <c r="C28" s="48">
        <v>1</v>
      </c>
      <c r="D28" s="47">
        <v>3.59</v>
      </c>
      <c r="E28" s="47">
        <v>3.69</v>
      </c>
      <c r="F28" s="10">
        <v>1.1910000000000001</v>
      </c>
      <c r="G28" s="10">
        <v>1.19</v>
      </c>
      <c r="H28" s="10">
        <v>1.1904999999999999</v>
      </c>
      <c r="I28" s="35">
        <v>5</v>
      </c>
      <c r="J28" s="10" t="s">
        <v>0</v>
      </c>
      <c r="K28" s="10" t="s">
        <v>0</v>
      </c>
      <c r="L28" s="10" t="s">
        <v>0</v>
      </c>
      <c r="M28" s="36" t="s">
        <v>0</v>
      </c>
      <c r="N28" s="35" t="s">
        <v>0</v>
      </c>
      <c r="O28" s="35">
        <v>1.159</v>
      </c>
    </row>
    <row r="29" spans="1:20">
      <c r="A29" s="74" t="s">
        <v>13</v>
      </c>
      <c r="B29" s="47" t="s">
        <v>106</v>
      </c>
      <c r="C29" s="48">
        <v>3</v>
      </c>
      <c r="D29" s="47">
        <v>3.77</v>
      </c>
      <c r="E29" s="47">
        <v>4.09</v>
      </c>
      <c r="F29" s="10" t="s">
        <v>0</v>
      </c>
      <c r="G29" s="10" t="s">
        <v>0</v>
      </c>
      <c r="H29" s="10" t="s">
        <v>0</v>
      </c>
      <c r="I29" s="35" t="s">
        <v>0</v>
      </c>
      <c r="J29" s="10" t="s">
        <v>0</v>
      </c>
      <c r="K29" s="10" t="s">
        <v>0</v>
      </c>
      <c r="L29" s="10" t="s">
        <v>0</v>
      </c>
      <c r="M29" s="36" t="s">
        <v>0</v>
      </c>
      <c r="N29" s="35" t="s">
        <v>0</v>
      </c>
      <c r="O29" s="35">
        <v>1.1738</v>
      </c>
    </row>
    <row r="30" spans="1:20">
      <c r="A30" s="74" t="s">
        <v>256</v>
      </c>
      <c r="B30" s="47" t="s">
        <v>257</v>
      </c>
      <c r="C30" s="48">
        <v>1.25</v>
      </c>
      <c r="D30" s="47">
        <v>3.82</v>
      </c>
      <c r="E30" s="47">
        <v>3.94</v>
      </c>
      <c r="F30" s="10" t="s">
        <v>0</v>
      </c>
      <c r="G30" s="10" t="s">
        <v>0</v>
      </c>
      <c r="H30" s="10" t="s">
        <v>0</v>
      </c>
      <c r="I30" s="35" t="s">
        <v>0</v>
      </c>
      <c r="J30" s="10" t="s">
        <v>0</v>
      </c>
      <c r="K30" s="10" t="s">
        <v>0</v>
      </c>
      <c r="L30" s="10" t="s">
        <v>0</v>
      </c>
      <c r="M30" s="36" t="s">
        <v>0</v>
      </c>
      <c r="N30" s="35" t="s">
        <v>0</v>
      </c>
      <c r="O30" s="35">
        <v>1.1706000000000001</v>
      </c>
    </row>
    <row r="31" spans="1:20">
      <c r="A31" s="74" t="s">
        <v>1</v>
      </c>
      <c r="B31" s="47" t="s">
        <v>107</v>
      </c>
      <c r="C31" s="48">
        <v>1</v>
      </c>
      <c r="D31" s="47">
        <v>3.82</v>
      </c>
      <c r="E31" s="47">
        <v>3.93</v>
      </c>
      <c r="F31" s="10" t="s">
        <v>0</v>
      </c>
      <c r="G31" s="10" t="s">
        <v>0</v>
      </c>
      <c r="H31" s="10" t="s">
        <v>0</v>
      </c>
      <c r="I31" s="35" t="s">
        <v>0</v>
      </c>
      <c r="J31" s="10" t="s">
        <v>0</v>
      </c>
      <c r="K31" s="10" t="s">
        <v>0</v>
      </c>
      <c r="L31" s="10" t="s">
        <v>0</v>
      </c>
      <c r="M31" s="36" t="s">
        <v>0</v>
      </c>
      <c r="N31" s="35" t="s">
        <v>0</v>
      </c>
      <c r="O31" s="35">
        <v>1.1707000000000001</v>
      </c>
    </row>
    <row r="32" spans="1:20">
      <c r="A32" s="74" t="s">
        <v>59</v>
      </c>
      <c r="B32" s="47" t="s">
        <v>109</v>
      </c>
      <c r="C32" s="48">
        <v>1.375</v>
      </c>
      <c r="D32" s="47">
        <v>4.05</v>
      </c>
      <c r="E32" s="47">
        <v>4.24</v>
      </c>
      <c r="F32" s="10" t="s">
        <v>0</v>
      </c>
      <c r="G32" s="10" t="s">
        <v>0</v>
      </c>
      <c r="H32" s="10" t="s">
        <v>0</v>
      </c>
      <c r="I32" s="35" t="s">
        <v>0</v>
      </c>
      <c r="J32" s="10" t="s">
        <v>0</v>
      </c>
      <c r="K32" s="10" t="s">
        <v>0</v>
      </c>
      <c r="L32" s="10" t="s">
        <v>0</v>
      </c>
      <c r="M32" s="36" t="s">
        <v>0</v>
      </c>
      <c r="N32" s="35" t="s">
        <v>0</v>
      </c>
      <c r="O32" s="35">
        <v>1.181</v>
      </c>
    </row>
    <row r="33" spans="1:15">
      <c r="A33" s="74" t="s">
        <v>14</v>
      </c>
      <c r="B33" s="47" t="s">
        <v>108</v>
      </c>
      <c r="C33" s="48">
        <v>2.5</v>
      </c>
      <c r="D33" s="47">
        <v>4.05</v>
      </c>
      <c r="E33" s="47">
        <v>4.34</v>
      </c>
      <c r="F33" s="10" t="s">
        <v>0</v>
      </c>
      <c r="G33" s="10" t="s">
        <v>0</v>
      </c>
      <c r="H33" s="10" t="s">
        <v>0</v>
      </c>
      <c r="I33" s="35" t="s">
        <v>0</v>
      </c>
      <c r="J33" s="10" t="s">
        <v>0</v>
      </c>
      <c r="K33" s="10" t="s">
        <v>0</v>
      </c>
      <c r="L33" s="10" t="s">
        <v>0</v>
      </c>
      <c r="M33" s="36" t="s">
        <v>0</v>
      </c>
      <c r="N33" s="35" t="s">
        <v>0</v>
      </c>
      <c r="O33" s="35">
        <v>1.1819999999999999</v>
      </c>
    </row>
    <row r="34" spans="1:15">
      <c r="A34" s="74" t="s">
        <v>272</v>
      </c>
      <c r="B34" s="47" t="s">
        <v>271</v>
      </c>
      <c r="C34" s="48">
        <v>1</v>
      </c>
      <c r="D34" s="47">
        <v>4.1100000000000003</v>
      </c>
      <c r="E34" s="47">
        <v>4.26</v>
      </c>
      <c r="F34" s="10" t="s">
        <v>0</v>
      </c>
      <c r="G34" s="10" t="s">
        <v>0</v>
      </c>
      <c r="H34" s="10" t="s">
        <v>0</v>
      </c>
      <c r="I34" s="35" t="s">
        <v>0</v>
      </c>
      <c r="J34" s="10" t="s">
        <v>0</v>
      </c>
      <c r="K34" s="10" t="s">
        <v>0</v>
      </c>
      <c r="L34" s="10" t="s">
        <v>0</v>
      </c>
      <c r="M34" s="36" t="s">
        <v>0</v>
      </c>
      <c r="N34" s="35" t="s">
        <v>0</v>
      </c>
      <c r="O34" s="35">
        <v>1.1823999999999999</v>
      </c>
    </row>
    <row r="35" spans="1:15">
      <c r="A35" s="74" t="s">
        <v>34</v>
      </c>
      <c r="B35" s="47" t="s">
        <v>110</v>
      </c>
      <c r="C35" s="48">
        <v>1</v>
      </c>
      <c r="D35" s="47">
        <v>4.17</v>
      </c>
      <c r="E35" s="47">
        <v>4.32</v>
      </c>
      <c r="F35" s="10" t="s">
        <v>0</v>
      </c>
      <c r="G35" s="10" t="s">
        <v>0</v>
      </c>
      <c r="H35" s="10" t="s">
        <v>0</v>
      </c>
      <c r="I35" s="35" t="s">
        <v>0</v>
      </c>
      <c r="J35" s="10" t="s">
        <v>0</v>
      </c>
      <c r="K35" s="10" t="s">
        <v>0</v>
      </c>
      <c r="L35" s="10" t="s">
        <v>0</v>
      </c>
      <c r="M35" s="36" t="s">
        <v>0</v>
      </c>
      <c r="N35" s="35" t="s">
        <v>0</v>
      </c>
      <c r="O35" s="35">
        <v>1.1839999999999999</v>
      </c>
    </row>
    <row r="36" spans="1:15">
      <c r="A36" s="74" t="s">
        <v>321</v>
      </c>
      <c r="B36" s="47" t="s">
        <v>322</v>
      </c>
      <c r="C36" s="48">
        <v>1</v>
      </c>
      <c r="D36" s="47">
        <v>4.46</v>
      </c>
      <c r="E36" s="47">
        <v>4.62</v>
      </c>
      <c r="F36" s="10">
        <v>1.2010000000000001</v>
      </c>
      <c r="G36" s="10">
        <v>1.2</v>
      </c>
      <c r="H36" s="10">
        <v>1.2004999999999999</v>
      </c>
      <c r="I36" s="35">
        <v>2</v>
      </c>
      <c r="J36" s="10" t="s">
        <v>0</v>
      </c>
      <c r="K36" s="10" t="s">
        <v>0</v>
      </c>
      <c r="L36" s="10" t="s">
        <v>0</v>
      </c>
      <c r="M36" s="36" t="s">
        <v>0</v>
      </c>
      <c r="N36" s="35" t="s">
        <v>0</v>
      </c>
      <c r="O36" s="35">
        <v>1.1914</v>
      </c>
    </row>
    <row r="37" spans="1:15">
      <c r="A37" s="74" t="s">
        <v>2</v>
      </c>
      <c r="B37" s="47" t="s">
        <v>112</v>
      </c>
      <c r="C37" s="48">
        <v>0.875</v>
      </c>
      <c r="D37" s="47">
        <v>4.5</v>
      </c>
      <c r="E37" s="47">
        <v>4.6500000000000004</v>
      </c>
      <c r="F37" s="10" t="s">
        <v>0</v>
      </c>
      <c r="G37" s="10" t="s">
        <v>0</v>
      </c>
      <c r="H37" s="10" t="s">
        <v>0</v>
      </c>
      <c r="I37" s="35" t="s">
        <v>0</v>
      </c>
      <c r="J37" s="10" t="s">
        <v>0</v>
      </c>
      <c r="K37" s="10" t="s">
        <v>0</v>
      </c>
      <c r="L37" s="10" t="s">
        <v>0</v>
      </c>
      <c r="M37" s="36" t="s">
        <v>0</v>
      </c>
      <c r="N37" s="35" t="s">
        <v>0</v>
      </c>
      <c r="O37" s="35">
        <v>1.1922999999999999</v>
      </c>
    </row>
    <row r="38" spans="1:15">
      <c r="A38" s="74" t="s">
        <v>15</v>
      </c>
      <c r="B38" s="47" t="s">
        <v>111</v>
      </c>
      <c r="C38" s="48">
        <v>2.625</v>
      </c>
      <c r="D38" s="47">
        <v>4.53</v>
      </c>
      <c r="E38" s="47">
        <v>4.84</v>
      </c>
      <c r="F38" s="10" t="s">
        <v>0</v>
      </c>
      <c r="G38" s="10" t="s">
        <v>0</v>
      </c>
      <c r="H38" s="10" t="s">
        <v>0</v>
      </c>
      <c r="I38" s="35" t="s">
        <v>0</v>
      </c>
      <c r="J38" s="10" t="s">
        <v>0</v>
      </c>
      <c r="K38" s="10" t="s">
        <v>0</v>
      </c>
      <c r="L38" s="10" t="s">
        <v>0</v>
      </c>
      <c r="M38" s="36" t="s">
        <v>0</v>
      </c>
      <c r="N38" s="35" t="s">
        <v>0</v>
      </c>
      <c r="O38" s="35">
        <v>1.1932</v>
      </c>
    </row>
    <row r="39" spans="1:15">
      <c r="A39" s="74" t="s">
        <v>308</v>
      </c>
      <c r="B39" s="47" t="s">
        <v>323</v>
      </c>
      <c r="C39" s="48">
        <v>1.125</v>
      </c>
      <c r="D39" s="47">
        <v>4.75</v>
      </c>
      <c r="E39" s="47">
        <v>4.92</v>
      </c>
      <c r="F39" s="10">
        <v>1.206</v>
      </c>
      <c r="G39" s="10">
        <v>1.2050000000000001</v>
      </c>
      <c r="H39" s="10">
        <v>1.2055</v>
      </c>
      <c r="I39" s="35">
        <v>3</v>
      </c>
      <c r="J39" s="10" t="s">
        <v>0</v>
      </c>
      <c r="K39" s="10" t="s">
        <v>0</v>
      </c>
      <c r="L39" s="10" t="s">
        <v>0</v>
      </c>
      <c r="M39" s="36" t="s">
        <v>0</v>
      </c>
      <c r="N39" s="35" t="s">
        <v>0</v>
      </c>
      <c r="O39" s="35">
        <v>1.1975</v>
      </c>
    </row>
    <row r="40" spans="1:15">
      <c r="A40" s="74" t="s">
        <v>235</v>
      </c>
      <c r="B40" s="47" t="s">
        <v>193</v>
      </c>
      <c r="C40" s="48">
        <v>0.25</v>
      </c>
      <c r="D40" s="47">
        <v>4.76</v>
      </c>
      <c r="E40" s="47">
        <v>4.8499999999999996</v>
      </c>
      <c r="F40" s="10" t="s">
        <v>0</v>
      </c>
      <c r="G40" s="10" t="s">
        <v>0</v>
      </c>
      <c r="H40" s="10" t="s">
        <v>0</v>
      </c>
      <c r="I40" s="35" t="s">
        <v>0</v>
      </c>
      <c r="J40" s="10" t="s">
        <v>0</v>
      </c>
      <c r="K40" s="10" t="s">
        <v>0</v>
      </c>
      <c r="L40" s="10" t="s">
        <v>0</v>
      </c>
      <c r="M40" s="36" t="s">
        <v>0</v>
      </c>
      <c r="N40" s="35" t="s">
        <v>0</v>
      </c>
      <c r="O40" s="35">
        <v>1.1976</v>
      </c>
    </row>
    <row r="41" spans="1:15">
      <c r="A41" s="74" t="s">
        <v>28</v>
      </c>
      <c r="B41" s="47" t="s">
        <v>114</v>
      </c>
      <c r="C41" s="48">
        <v>0.875</v>
      </c>
      <c r="D41" s="47">
        <v>4.8099999999999996</v>
      </c>
      <c r="E41" s="47">
        <v>5.01</v>
      </c>
      <c r="F41" s="10" t="s">
        <v>0</v>
      </c>
      <c r="G41" s="10" t="s">
        <v>0</v>
      </c>
      <c r="H41" s="10" t="s">
        <v>0</v>
      </c>
      <c r="I41" s="35" t="s">
        <v>0</v>
      </c>
      <c r="J41" s="10" t="s">
        <v>0</v>
      </c>
      <c r="K41" s="10" t="s">
        <v>0</v>
      </c>
      <c r="L41" s="10" t="s">
        <v>0</v>
      </c>
      <c r="M41" s="36" t="s">
        <v>0</v>
      </c>
      <c r="N41" s="35" t="s">
        <v>0</v>
      </c>
      <c r="O41" s="35">
        <v>1.1997</v>
      </c>
    </row>
    <row r="42" spans="1:15">
      <c r="A42" s="74" t="s">
        <v>16</v>
      </c>
      <c r="B42" s="47" t="s">
        <v>113</v>
      </c>
      <c r="C42" s="48">
        <v>2.125</v>
      </c>
      <c r="D42" s="47">
        <v>4.9800000000000004</v>
      </c>
      <c r="E42" s="47">
        <v>5.34</v>
      </c>
      <c r="F42" s="10" t="s">
        <v>0</v>
      </c>
      <c r="G42" s="10" t="s">
        <v>0</v>
      </c>
      <c r="H42" s="10" t="s">
        <v>0</v>
      </c>
      <c r="I42" s="35" t="s">
        <v>0</v>
      </c>
      <c r="J42" s="10" t="s">
        <v>0</v>
      </c>
      <c r="K42" s="10" t="s">
        <v>0</v>
      </c>
      <c r="L42" s="10" t="s">
        <v>0</v>
      </c>
      <c r="M42" s="36" t="s">
        <v>0</v>
      </c>
      <c r="N42" s="35" t="s">
        <v>0</v>
      </c>
      <c r="O42" s="35">
        <v>1.204</v>
      </c>
    </row>
    <row r="43" spans="1:15">
      <c r="A43" s="74" t="s">
        <v>3</v>
      </c>
      <c r="B43" s="47" t="s">
        <v>115</v>
      </c>
      <c r="C43" s="48">
        <v>0.75</v>
      </c>
      <c r="D43" s="47">
        <v>5.15</v>
      </c>
      <c r="E43" s="47">
        <v>5.34</v>
      </c>
      <c r="F43" s="10" t="s">
        <v>0</v>
      </c>
      <c r="G43" s="10" t="s">
        <v>0</v>
      </c>
      <c r="H43" s="10" t="s">
        <v>0</v>
      </c>
      <c r="I43" s="35" t="s">
        <v>0</v>
      </c>
      <c r="J43" s="10" t="s">
        <v>0</v>
      </c>
      <c r="K43" s="10" t="s">
        <v>0</v>
      </c>
      <c r="L43" s="10" t="s">
        <v>0</v>
      </c>
      <c r="M43" s="36" t="s">
        <v>0</v>
      </c>
      <c r="N43" s="35" t="s">
        <v>0</v>
      </c>
      <c r="O43" s="35">
        <v>1.2062999999999999</v>
      </c>
    </row>
    <row r="44" spans="1:15">
      <c r="A44" s="74" t="s">
        <v>17</v>
      </c>
      <c r="B44" s="47" t="s">
        <v>116</v>
      </c>
      <c r="C44" s="48">
        <v>2.125</v>
      </c>
      <c r="D44" s="47">
        <v>5.46</v>
      </c>
      <c r="E44" s="47">
        <v>5.83</v>
      </c>
      <c r="F44" s="10" t="s">
        <v>0</v>
      </c>
      <c r="G44" s="10" t="s">
        <v>0</v>
      </c>
      <c r="H44" s="10" t="s">
        <v>0</v>
      </c>
      <c r="I44" s="35" t="s">
        <v>0</v>
      </c>
      <c r="J44" s="10" t="s">
        <v>0</v>
      </c>
      <c r="K44" s="10" t="s">
        <v>0</v>
      </c>
      <c r="L44" s="10" t="s">
        <v>0</v>
      </c>
      <c r="M44" s="36" t="s">
        <v>0</v>
      </c>
      <c r="N44" s="35" t="s">
        <v>0</v>
      </c>
      <c r="O44" s="35">
        <v>1.2133</v>
      </c>
    </row>
    <row r="45" spans="1:15">
      <c r="A45" s="74" t="s">
        <v>4</v>
      </c>
      <c r="B45" s="47" t="s">
        <v>117</v>
      </c>
      <c r="C45" s="48">
        <v>0.625</v>
      </c>
      <c r="D45" s="47">
        <v>5.53</v>
      </c>
      <c r="E45" s="47">
        <v>5.7</v>
      </c>
      <c r="F45" s="10" t="s">
        <v>0</v>
      </c>
      <c r="G45" s="10" t="s">
        <v>0</v>
      </c>
      <c r="H45" s="10" t="s">
        <v>0</v>
      </c>
      <c r="I45" s="35" t="s">
        <v>0</v>
      </c>
      <c r="J45" s="10" t="s">
        <v>0</v>
      </c>
      <c r="K45" s="10" t="s">
        <v>0</v>
      </c>
      <c r="L45" s="10" t="s">
        <v>0</v>
      </c>
      <c r="M45" s="36" t="s">
        <v>0</v>
      </c>
      <c r="N45" s="35" t="s">
        <v>0</v>
      </c>
      <c r="O45" s="35">
        <v>1.2136</v>
      </c>
    </row>
    <row r="46" spans="1:15">
      <c r="A46" s="74" t="s">
        <v>6</v>
      </c>
      <c r="B46" s="47" t="s">
        <v>119</v>
      </c>
      <c r="C46" s="48">
        <v>0.625</v>
      </c>
      <c r="D46" s="47">
        <v>5.83</v>
      </c>
      <c r="E46" s="47">
        <v>6</v>
      </c>
      <c r="F46" s="10" t="s">
        <v>0</v>
      </c>
      <c r="G46" s="10" t="s">
        <v>0</v>
      </c>
      <c r="H46" s="10" t="s">
        <v>0</v>
      </c>
      <c r="I46" s="35" t="s">
        <v>0</v>
      </c>
      <c r="J46" s="10" t="s">
        <v>0</v>
      </c>
      <c r="K46" s="10" t="s">
        <v>0</v>
      </c>
      <c r="L46" s="10" t="s">
        <v>0</v>
      </c>
      <c r="M46" s="36" t="s">
        <v>0</v>
      </c>
      <c r="N46" s="35" t="s">
        <v>0</v>
      </c>
      <c r="O46" s="35">
        <v>1.2192000000000001</v>
      </c>
    </row>
    <row r="47" spans="1:15">
      <c r="A47" s="74" t="s">
        <v>18</v>
      </c>
      <c r="B47" s="47" t="s">
        <v>118</v>
      </c>
      <c r="C47" s="48">
        <v>1.875</v>
      </c>
      <c r="D47" s="47">
        <v>5.92</v>
      </c>
      <c r="E47" s="47">
        <v>6.36</v>
      </c>
      <c r="F47" s="10" t="s">
        <v>0</v>
      </c>
      <c r="G47" s="10" t="s">
        <v>0</v>
      </c>
      <c r="H47" s="10" t="s">
        <v>0</v>
      </c>
      <c r="I47" s="35" t="s">
        <v>0</v>
      </c>
      <c r="J47" s="10" t="s">
        <v>0</v>
      </c>
      <c r="K47" s="10" t="s">
        <v>0</v>
      </c>
      <c r="L47" s="10" t="s">
        <v>0</v>
      </c>
      <c r="M47" s="36" t="s">
        <v>0</v>
      </c>
      <c r="N47" s="35" t="s">
        <v>0</v>
      </c>
      <c r="O47" s="35">
        <v>1.2225999999999999</v>
      </c>
    </row>
    <row r="48" spans="1:15">
      <c r="A48" s="74" t="s">
        <v>236</v>
      </c>
      <c r="B48" s="47" t="s">
        <v>120</v>
      </c>
      <c r="C48" s="48">
        <v>0.5</v>
      </c>
      <c r="D48" s="47">
        <v>6.17</v>
      </c>
      <c r="E48" s="47">
        <v>6.36</v>
      </c>
      <c r="F48" s="10" t="s">
        <v>0</v>
      </c>
      <c r="G48" s="10" t="s">
        <v>0</v>
      </c>
      <c r="H48" s="10" t="s">
        <v>0</v>
      </c>
      <c r="I48" s="35" t="s">
        <v>0</v>
      </c>
      <c r="J48" s="10" t="s">
        <v>0</v>
      </c>
      <c r="K48" s="10" t="s">
        <v>0</v>
      </c>
      <c r="L48" s="10" t="s">
        <v>0</v>
      </c>
      <c r="M48" s="36" t="s">
        <v>0</v>
      </c>
      <c r="N48" s="35" t="s">
        <v>0</v>
      </c>
      <c r="O48" s="35">
        <v>1.2253000000000001</v>
      </c>
    </row>
    <row r="49" spans="1:15">
      <c r="A49" s="74" t="s">
        <v>19</v>
      </c>
      <c r="B49" s="47" t="s">
        <v>121</v>
      </c>
      <c r="C49" s="48">
        <v>1.75</v>
      </c>
      <c r="D49" s="47">
        <v>6.4</v>
      </c>
      <c r="E49" s="47">
        <v>6.83</v>
      </c>
      <c r="F49" s="10" t="s">
        <v>0</v>
      </c>
      <c r="G49" s="10" t="s">
        <v>0</v>
      </c>
      <c r="H49" s="10" t="s">
        <v>0</v>
      </c>
      <c r="I49" s="35" t="s">
        <v>0</v>
      </c>
      <c r="J49" s="10" t="s">
        <v>0</v>
      </c>
      <c r="K49" s="10" t="s">
        <v>0</v>
      </c>
      <c r="L49" s="10" t="s">
        <v>0</v>
      </c>
      <c r="M49" s="36" t="s">
        <v>0</v>
      </c>
      <c r="N49" s="35" t="s">
        <v>0</v>
      </c>
      <c r="O49" s="35">
        <v>1.2294</v>
      </c>
    </row>
    <row r="50" spans="1:15">
      <c r="A50" s="74" t="s">
        <v>237</v>
      </c>
      <c r="B50" s="47" t="s">
        <v>124</v>
      </c>
      <c r="C50" s="48">
        <v>0.375</v>
      </c>
      <c r="D50" s="47">
        <v>6.49</v>
      </c>
      <c r="E50" s="47">
        <v>6.66</v>
      </c>
      <c r="F50" s="10" t="s">
        <v>0</v>
      </c>
      <c r="G50" s="10" t="s">
        <v>0</v>
      </c>
      <c r="H50" s="10" t="s">
        <v>0</v>
      </c>
      <c r="I50" s="35" t="s">
        <v>0</v>
      </c>
      <c r="J50" s="10" t="s">
        <v>0</v>
      </c>
      <c r="K50" s="10" t="s">
        <v>0</v>
      </c>
      <c r="L50" s="10" t="s">
        <v>0</v>
      </c>
      <c r="M50" s="36" t="s">
        <v>0</v>
      </c>
      <c r="N50" s="35" t="s">
        <v>0</v>
      </c>
      <c r="O50" s="35">
        <v>1.2301</v>
      </c>
    </row>
    <row r="51" spans="1:15">
      <c r="A51" s="74" t="s">
        <v>49</v>
      </c>
      <c r="B51" s="47" t="s">
        <v>122</v>
      </c>
      <c r="C51" s="48">
        <v>2.125</v>
      </c>
      <c r="D51" s="47">
        <v>6.62</v>
      </c>
      <c r="E51" s="47">
        <v>7.25</v>
      </c>
      <c r="F51" s="10" t="s">
        <v>0</v>
      </c>
      <c r="G51" s="10" t="s">
        <v>0</v>
      </c>
      <c r="H51" s="10" t="s">
        <v>0</v>
      </c>
      <c r="I51" s="35" t="s">
        <v>0</v>
      </c>
      <c r="J51" s="10" t="s">
        <v>0</v>
      </c>
      <c r="K51" s="10" t="s">
        <v>0</v>
      </c>
      <c r="L51" s="10" t="s">
        <v>0</v>
      </c>
      <c r="M51" s="36" t="s">
        <v>0</v>
      </c>
      <c r="N51" s="35" t="s">
        <v>0</v>
      </c>
      <c r="O51" s="35">
        <v>1.2333000000000001</v>
      </c>
    </row>
    <row r="52" spans="1:15">
      <c r="A52" s="74" t="s">
        <v>238</v>
      </c>
      <c r="B52" s="47" t="s">
        <v>126</v>
      </c>
      <c r="C52" s="48">
        <v>0.25</v>
      </c>
      <c r="D52" s="47">
        <v>6.86</v>
      </c>
      <c r="E52" s="47">
        <v>7</v>
      </c>
      <c r="F52" s="10" t="s">
        <v>0</v>
      </c>
      <c r="G52" s="10" t="s">
        <v>0</v>
      </c>
      <c r="H52" s="10" t="s">
        <v>0</v>
      </c>
      <c r="I52" s="35" t="s">
        <v>0</v>
      </c>
      <c r="J52" s="10" t="s">
        <v>0</v>
      </c>
      <c r="K52" s="10" t="s">
        <v>0</v>
      </c>
      <c r="L52" s="10" t="s">
        <v>0</v>
      </c>
      <c r="M52" s="36" t="s">
        <v>0</v>
      </c>
      <c r="N52" s="35" t="s">
        <v>0</v>
      </c>
      <c r="O52" s="35">
        <v>1.2345999999999999</v>
      </c>
    </row>
    <row r="53" spans="1:15">
      <c r="A53" s="74" t="s">
        <v>20</v>
      </c>
      <c r="B53" s="47" t="s">
        <v>123</v>
      </c>
      <c r="C53" s="48">
        <v>3.625</v>
      </c>
      <c r="D53" s="47">
        <v>6.84</v>
      </c>
      <c r="E53" s="47">
        <v>7.76</v>
      </c>
      <c r="F53" s="10" t="s">
        <v>0</v>
      </c>
      <c r="G53" s="10" t="s">
        <v>0</v>
      </c>
      <c r="H53" s="10" t="s">
        <v>0</v>
      </c>
      <c r="I53" s="35" t="s">
        <v>0</v>
      </c>
      <c r="J53" s="10" t="s">
        <v>0</v>
      </c>
      <c r="K53" s="10" t="s">
        <v>0</v>
      </c>
      <c r="L53" s="10" t="s">
        <v>0</v>
      </c>
      <c r="M53" s="36" t="s">
        <v>0</v>
      </c>
      <c r="N53" s="35" t="s">
        <v>0</v>
      </c>
      <c r="O53" s="35">
        <v>1.2353000000000001</v>
      </c>
    </row>
    <row r="54" spans="1:15">
      <c r="A54" s="74" t="s">
        <v>57</v>
      </c>
      <c r="B54" s="47" t="s">
        <v>125</v>
      </c>
      <c r="C54" s="48">
        <v>1.75</v>
      </c>
      <c r="D54" s="47">
        <v>7.07</v>
      </c>
      <c r="E54" s="47">
        <v>7.61</v>
      </c>
      <c r="F54" s="10" t="s">
        <v>0</v>
      </c>
      <c r="G54" s="10" t="s">
        <v>0</v>
      </c>
      <c r="H54" s="10" t="s">
        <v>0</v>
      </c>
      <c r="I54" s="35" t="s">
        <v>0</v>
      </c>
      <c r="J54" s="10" t="s">
        <v>0</v>
      </c>
      <c r="K54" s="10" t="s">
        <v>0</v>
      </c>
      <c r="L54" s="10" t="s">
        <v>0</v>
      </c>
      <c r="M54" s="36" t="s">
        <v>0</v>
      </c>
      <c r="N54" s="35" t="s">
        <v>0</v>
      </c>
      <c r="O54" s="35">
        <v>1.2375</v>
      </c>
    </row>
    <row r="55" spans="1:15">
      <c r="A55" s="74" t="s">
        <v>239</v>
      </c>
      <c r="B55" s="47" t="s">
        <v>127</v>
      </c>
      <c r="C55" s="48">
        <v>0.25</v>
      </c>
      <c r="D55" s="47">
        <v>7.19</v>
      </c>
      <c r="E55" s="47">
        <v>7.36</v>
      </c>
      <c r="F55" s="10" t="s">
        <v>0</v>
      </c>
      <c r="G55" s="10" t="s">
        <v>0</v>
      </c>
      <c r="H55" s="10" t="s">
        <v>0</v>
      </c>
      <c r="I55" s="35" t="s">
        <v>0</v>
      </c>
      <c r="J55" s="10" t="s">
        <v>0</v>
      </c>
      <c r="K55" s="10" t="s">
        <v>0</v>
      </c>
      <c r="L55" s="10" t="s">
        <v>0</v>
      </c>
      <c r="M55" s="36" t="s">
        <v>0</v>
      </c>
      <c r="N55" s="35" t="s">
        <v>0</v>
      </c>
      <c r="O55" s="35">
        <v>1.2383</v>
      </c>
    </row>
    <row r="56" spans="1:15">
      <c r="A56" s="74" t="s">
        <v>60</v>
      </c>
      <c r="B56" s="47" t="s">
        <v>128</v>
      </c>
      <c r="C56" s="48">
        <v>1.875</v>
      </c>
      <c r="D56" s="47">
        <v>7.22</v>
      </c>
      <c r="E56" s="47">
        <v>7.8</v>
      </c>
      <c r="F56" s="10" t="s">
        <v>0</v>
      </c>
      <c r="G56" s="10" t="s">
        <v>0</v>
      </c>
      <c r="H56" s="10" t="s">
        <v>0</v>
      </c>
      <c r="I56" s="35" t="s">
        <v>0</v>
      </c>
      <c r="J56" s="10" t="s">
        <v>0</v>
      </c>
      <c r="K56" s="10" t="s">
        <v>0</v>
      </c>
      <c r="L56" s="10" t="s">
        <v>0</v>
      </c>
      <c r="M56" s="36" t="s">
        <v>0</v>
      </c>
      <c r="N56" s="35" t="s">
        <v>0</v>
      </c>
      <c r="O56" s="35">
        <v>1.2390000000000001</v>
      </c>
    </row>
    <row r="57" spans="1:15">
      <c r="A57" s="74" t="s">
        <v>240</v>
      </c>
      <c r="B57" s="47" t="s">
        <v>186</v>
      </c>
      <c r="C57" s="48">
        <v>0.375</v>
      </c>
      <c r="D57" s="47">
        <v>7.36</v>
      </c>
      <c r="E57" s="47">
        <v>7.56</v>
      </c>
      <c r="F57" s="10" t="s">
        <v>0</v>
      </c>
      <c r="G57" s="10" t="s">
        <v>0</v>
      </c>
      <c r="H57" s="10" t="s">
        <v>0</v>
      </c>
      <c r="I57" s="35" t="s">
        <v>0</v>
      </c>
      <c r="J57" s="10" t="s">
        <v>0</v>
      </c>
      <c r="K57" s="10" t="s">
        <v>0</v>
      </c>
      <c r="L57" s="10" t="s">
        <v>0</v>
      </c>
      <c r="M57" s="36" t="s">
        <v>0</v>
      </c>
      <c r="N57" s="35" t="s">
        <v>0</v>
      </c>
      <c r="O57" s="35">
        <v>1.2399</v>
      </c>
    </row>
    <row r="58" spans="1:15">
      <c r="A58" s="74" t="s">
        <v>228</v>
      </c>
      <c r="B58" s="47" t="s">
        <v>189</v>
      </c>
      <c r="C58" s="48">
        <v>0.375</v>
      </c>
      <c r="D58" s="47">
        <v>7.48</v>
      </c>
      <c r="E58" s="47">
        <v>7.69</v>
      </c>
      <c r="F58" s="10" t="s">
        <v>0</v>
      </c>
      <c r="G58" s="10" t="s">
        <v>0</v>
      </c>
      <c r="H58" s="10" t="s">
        <v>0</v>
      </c>
      <c r="I58" s="35" t="s">
        <v>0</v>
      </c>
      <c r="J58" s="10" t="s">
        <v>0</v>
      </c>
      <c r="K58" s="10" t="s">
        <v>0</v>
      </c>
      <c r="L58" s="10" t="s">
        <v>0</v>
      </c>
      <c r="M58" s="36" t="s">
        <v>0</v>
      </c>
      <c r="N58" s="35" t="s">
        <v>0</v>
      </c>
      <c r="O58" s="35">
        <v>1.2411000000000001</v>
      </c>
    </row>
    <row r="59" spans="1:15">
      <c r="A59" s="74" t="s">
        <v>42</v>
      </c>
      <c r="B59" s="47" t="s">
        <v>129</v>
      </c>
      <c r="C59" s="48">
        <v>1.625</v>
      </c>
      <c r="D59" s="47">
        <v>7.62</v>
      </c>
      <c r="E59" s="47">
        <v>8.27</v>
      </c>
      <c r="F59" s="10" t="s">
        <v>0</v>
      </c>
      <c r="G59" s="10" t="s">
        <v>0</v>
      </c>
      <c r="H59" s="10" t="s">
        <v>0</v>
      </c>
      <c r="I59" s="35" t="s">
        <v>0</v>
      </c>
      <c r="J59" s="10" t="s">
        <v>0</v>
      </c>
      <c r="K59" s="10" t="s">
        <v>0</v>
      </c>
      <c r="L59" s="10" t="s">
        <v>0</v>
      </c>
      <c r="M59" s="36" t="s">
        <v>0</v>
      </c>
      <c r="N59" s="35" t="s">
        <v>0</v>
      </c>
      <c r="O59" s="35">
        <v>1.2448999999999999</v>
      </c>
    </row>
    <row r="60" spans="1:15">
      <c r="A60" s="74" t="s">
        <v>241</v>
      </c>
      <c r="B60" s="47" t="s">
        <v>198</v>
      </c>
      <c r="C60" s="48">
        <v>0.5</v>
      </c>
      <c r="D60" s="47">
        <v>7.74</v>
      </c>
      <c r="E60" s="47">
        <v>8.02</v>
      </c>
      <c r="F60" s="10" t="s">
        <v>0</v>
      </c>
      <c r="G60" s="10" t="s">
        <v>0</v>
      </c>
      <c r="H60" s="10" t="s">
        <v>0</v>
      </c>
      <c r="I60" s="35" t="s">
        <v>0</v>
      </c>
      <c r="J60" s="10" t="s">
        <v>0</v>
      </c>
      <c r="K60" s="10" t="s">
        <v>0</v>
      </c>
      <c r="L60" s="10" t="s">
        <v>0</v>
      </c>
      <c r="M60" s="36" t="s">
        <v>0</v>
      </c>
      <c r="N60" s="35" t="s">
        <v>0</v>
      </c>
      <c r="O60" s="35">
        <v>1.2443</v>
      </c>
    </row>
    <row r="61" spans="1:15">
      <c r="A61" s="74" t="s">
        <v>25</v>
      </c>
      <c r="B61" s="47" t="s">
        <v>130</v>
      </c>
      <c r="C61" s="48">
        <v>1.625</v>
      </c>
      <c r="D61" s="47">
        <v>7.77</v>
      </c>
      <c r="E61" s="47">
        <v>8.42</v>
      </c>
      <c r="F61" s="10" t="s">
        <v>0</v>
      </c>
      <c r="G61" s="10" t="s">
        <v>0</v>
      </c>
      <c r="H61" s="10" t="s">
        <v>0</v>
      </c>
      <c r="I61" s="35" t="s">
        <v>0</v>
      </c>
      <c r="J61" s="10" t="s">
        <v>0</v>
      </c>
      <c r="K61" s="10" t="s">
        <v>0</v>
      </c>
      <c r="L61" s="10" t="s">
        <v>0</v>
      </c>
      <c r="M61" s="36" t="s">
        <v>0</v>
      </c>
      <c r="N61" s="35" t="s">
        <v>0</v>
      </c>
      <c r="O61" s="35">
        <v>1.2470000000000001</v>
      </c>
    </row>
    <row r="62" spans="1:15">
      <c r="A62" s="74" t="s">
        <v>242</v>
      </c>
      <c r="B62" s="47" t="s">
        <v>207</v>
      </c>
      <c r="C62" s="48">
        <v>0.75</v>
      </c>
      <c r="D62" s="47">
        <v>7.87</v>
      </c>
      <c r="E62" s="47">
        <v>8.24</v>
      </c>
      <c r="F62" s="10" t="s">
        <v>0</v>
      </c>
      <c r="G62" s="10" t="s">
        <v>0</v>
      </c>
      <c r="H62" s="10" t="s">
        <v>0</v>
      </c>
      <c r="I62" s="35" t="s">
        <v>0</v>
      </c>
      <c r="J62" s="10" t="s">
        <v>0</v>
      </c>
      <c r="K62" s="10" t="s">
        <v>0</v>
      </c>
      <c r="L62" s="10" t="s">
        <v>0</v>
      </c>
      <c r="M62" s="36" t="s">
        <v>0</v>
      </c>
      <c r="N62" s="35" t="s">
        <v>0</v>
      </c>
      <c r="O62" s="35">
        <v>1.2464</v>
      </c>
    </row>
    <row r="63" spans="1:15">
      <c r="A63" s="74" t="s">
        <v>205</v>
      </c>
      <c r="B63" s="47" t="s">
        <v>208</v>
      </c>
      <c r="C63" s="48">
        <v>0.625</v>
      </c>
      <c r="D63" s="47">
        <v>8.01</v>
      </c>
      <c r="E63" s="47">
        <v>8.35</v>
      </c>
      <c r="F63" s="10" t="s">
        <v>0</v>
      </c>
      <c r="G63" s="10" t="s">
        <v>0</v>
      </c>
      <c r="H63" s="10" t="s">
        <v>0</v>
      </c>
      <c r="I63" s="35" t="s">
        <v>0</v>
      </c>
      <c r="J63" s="10" t="s">
        <v>0</v>
      </c>
      <c r="K63" s="10" t="s">
        <v>0</v>
      </c>
      <c r="L63" s="10" t="s">
        <v>0</v>
      </c>
      <c r="M63" s="36" t="s">
        <v>0</v>
      </c>
      <c r="N63" s="35" t="s">
        <v>0</v>
      </c>
      <c r="O63" s="35">
        <v>1.2482</v>
      </c>
    </row>
    <row r="64" spans="1:15">
      <c r="A64" s="74" t="s">
        <v>219</v>
      </c>
      <c r="B64" s="47" t="s">
        <v>221</v>
      </c>
      <c r="C64" s="48">
        <v>1.25</v>
      </c>
      <c r="D64" s="47">
        <v>8.17</v>
      </c>
      <c r="E64" s="47">
        <v>8.7100000000000009</v>
      </c>
      <c r="F64" s="10" t="s">
        <v>0</v>
      </c>
      <c r="G64" s="10" t="s">
        <v>0</v>
      </c>
      <c r="H64" s="10" t="s">
        <v>0</v>
      </c>
      <c r="I64" s="35" t="s">
        <v>0</v>
      </c>
      <c r="J64" s="10" t="s">
        <v>0</v>
      </c>
      <c r="K64" s="10" t="s">
        <v>0</v>
      </c>
      <c r="L64" s="10" t="s">
        <v>0</v>
      </c>
      <c r="M64" s="36" t="s">
        <v>0</v>
      </c>
      <c r="N64" s="35" t="s">
        <v>0</v>
      </c>
      <c r="O64" s="35">
        <v>1.2524</v>
      </c>
    </row>
    <row r="65" spans="1:15">
      <c r="A65" s="74" t="s">
        <v>262</v>
      </c>
      <c r="B65" s="47" t="s">
        <v>263</v>
      </c>
      <c r="C65" s="48">
        <v>1.75</v>
      </c>
      <c r="D65" s="47">
        <v>8.18</v>
      </c>
      <c r="E65" s="47">
        <v>9.01</v>
      </c>
      <c r="F65" s="10">
        <v>1.2709999999999999</v>
      </c>
      <c r="G65" s="10">
        <v>1.27</v>
      </c>
      <c r="H65" s="10">
        <v>1.2705</v>
      </c>
      <c r="I65" s="35">
        <v>7</v>
      </c>
      <c r="J65" s="10" t="s">
        <v>0</v>
      </c>
      <c r="K65" s="10" t="s">
        <v>0</v>
      </c>
      <c r="L65" s="10" t="s">
        <v>0</v>
      </c>
      <c r="M65" s="36" t="s">
        <v>0</v>
      </c>
      <c r="N65" s="35" t="s">
        <v>0</v>
      </c>
      <c r="O65" s="35">
        <v>1.2563</v>
      </c>
    </row>
    <row r="66" spans="1:15">
      <c r="A66" s="74" t="s">
        <v>29</v>
      </c>
      <c r="B66" s="47" t="s">
        <v>131</v>
      </c>
      <c r="C66" s="48">
        <v>1.5</v>
      </c>
      <c r="D66" s="47">
        <v>8.2100000000000009</v>
      </c>
      <c r="E66" s="47">
        <v>8.82</v>
      </c>
      <c r="F66" s="10" t="s">
        <v>0</v>
      </c>
      <c r="G66" s="10" t="s">
        <v>0</v>
      </c>
      <c r="H66" s="10" t="s">
        <v>0</v>
      </c>
      <c r="I66" s="35" t="s">
        <v>0</v>
      </c>
      <c r="J66" s="10" t="s">
        <v>0</v>
      </c>
      <c r="K66" s="10" t="s">
        <v>0</v>
      </c>
      <c r="L66" s="10" t="s">
        <v>0</v>
      </c>
      <c r="M66" s="36" t="s">
        <v>0</v>
      </c>
      <c r="N66" s="35" t="s">
        <v>0</v>
      </c>
      <c r="O66" s="35">
        <v>1.2536</v>
      </c>
    </row>
    <row r="67" spans="1:15">
      <c r="A67" s="74" t="s">
        <v>52</v>
      </c>
      <c r="B67" s="47" t="s">
        <v>134</v>
      </c>
      <c r="C67" s="48">
        <v>1.5</v>
      </c>
      <c r="D67" s="47">
        <v>8.5500000000000007</v>
      </c>
      <c r="E67" s="47">
        <v>9.2899999999999991</v>
      </c>
      <c r="F67" s="10" t="s">
        <v>0</v>
      </c>
      <c r="G67" s="10" t="s">
        <v>0</v>
      </c>
      <c r="H67" s="10" t="s">
        <v>0</v>
      </c>
      <c r="I67" s="35" t="s">
        <v>0</v>
      </c>
      <c r="J67" s="10" t="s">
        <v>0</v>
      </c>
      <c r="K67" s="10" t="s">
        <v>0</v>
      </c>
      <c r="L67" s="10" t="s">
        <v>0</v>
      </c>
      <c r="M67" s="36" t="s">
        <v>0</v>
      </c>
      <c r="N67" s="35" t="s">
        <v>0</v>
      </c>
      <c r="O67" s="35">
        <v>1.2621</v>
      </c>
    </row>
    <row r="68" spans="1:15">
      <c r="A68" s="74" t="s">
        <v>275</v>
      </c>
      <c r="B68" s="47" t="s">
        <v>276</v>
      </c>
      <c r="C68" s="48">
        <v>1.25</v>
      </c>
      <c r="D68" s="47">
        <v>8.59</v>
      </c>
      <c r="E68" s="47">
        <v>9.24</v>
      </c>
      <c r="F68" s="10" t="s">
        <v>0</v>
      </c>
      <c r="G68" s="10" t="s">
        <v>0</v>
      </c>
      <c r="H68" s="10" t="s">
        <v>0</v>
      </c>
      <c r="I68" s="35" t="s">
        <v>0</v>
      </c>
      <c r="J68" s="10" t="s">
        <v>0</v>
      </c>
      <c r="K68" s="10" t="s">
        <v>0</v>
      </c>
      <c r="L68" s="10" t="s">
        <v>0</v>
      </c>
      <c r="M68" s="36" t="s">
        <v>0</v>
      </c>
      <c r="N68" s="35" t="s">
        <v>0</v>
      </c>
      <c r="O68" s="35">
        <v>1.2618</v>
      </c>
    </row>
    <row r="69" spans="1:15">
      <c r="A69" s="74" t="s">
        <v>61</v>
      </c>
      <c r="B69" s="47" t="s">
        <v>133</v>
      </c>
      <c r="C69" s="48">
        <v>1.75</v>
      </c>
      <c r="D69" s="47">
        <v>8.6</v>
      </c>
      <c r="E69" s="47">
        <v>9.44</v>
      </c>
      <c r="F69" s="10" t="s">
        <v>0</v>
      </c>
      <c r="G69" s="10" t="s">
        <v>0</v>
      </c>
      <c r="H69" s="10" t="s">
        <v>0</v>
      </c>
      <c r="I69" s="35" t="s">
        <v>0</v>
      </c>
      <c r="J69" s="10" t="s">
        <v>0</v>
      </c>
      <c r="K69" s="10" t="s">
        <v>0</v>
      </c>
      <c r="L69" s="10" t="s">
        <v>0</v>
      </c>
      <c r="M69" s="36" t="s">
        <v>0</v>
      </c>
      <c r="N69" s="35" t="s">
        <v>0</v>
      </c>
      <c r="O69" s="35">
        <v>1.2642</v>
      </c>
    </row>
    <row r="70" spans="1:15">
      <c r="A70" s="74" t="s">
        <v>273</v>
      </c>
      <c r="B70" s="47" t="s">
        <v>274</v>
      </c>
      <c r="C70" s="48">
        <v>1.125</v>
      </c>
      <c r="D70" s="47">
        <v>8.74</v>
      </c>
      <c r="E70" s="47">
        <v>9.35</v>
      </c>
      <c r="F70" s="10">
        <v>1.2729999999999999</v>
      </c>
      <c r="G70" s="10">
        <v>1.27</v>
      </c>
      <c r="H70" s="10">
        <v>1.2715000000000001</v>
      </c>
      <c r="I70" s="35">
        <v>1</v>
      </c>
      <c r="J70" s="10" t="s">
        <v>0</v>
      </c>
      <c r="K70" s="10" t="s">
        <v>0</v>
      </c>
      <c r="L70" s="10" t="s">
        <v>0</v>
      </c>
      <c r="M70" s="36" t="s">
        <v>0</v>
      </c>
      <c r="N70" s="35" t="s">
        <v>0</v>
      </c>
      <c r="O70" s="35">
        <v>1.2642</v>
      </c>
    </row>
    <row r="71" spans="1:15">
      <c r="A71" s="74" t="s">
        <v>30</v>
      </c>
      <c r="B71" s="47" t="s">
        <v>135</v>
      </c>
      <c r="C71" s="48">
        <v>2</v>
      </c>
      <c r="D71" s="47">
        <v>8.86</v>
      </c>
      <c r="E71" s="47">
        <v>9.7799999999999994</v>
      </c>
      <c r="F71" s="10" t="s">
        <v>0</v>
      </c>
      <c r="G71" s="10" t="s">
        <v>0</v>
      </c>
      <c r="H71" s="10" t="s">
        <v>0</v>
      </c>
      <c r="I71" s="35" t="s">
        <v>0</v>
      </c>
      <c r="J71" s="10" t="s">
        <v>0</v>
      </c>
      <c r="K71" s="10" t="s">
        <v>0</v>
      </c>
      <c r="L71" s="10" t="s">
        <v>0</v>
      </c>
      <c r="M71" s="36" t="s">
        <v>0</v>
      </c>
      <c r="N71" s="35" t="s">
        <v>0</v>
      </c>
      <c r="O71" s="35">
        <v>1.2702</v>
      </c>
    </row>
    <row r="72" spans="1:15">
      <c r="A72" s="74" t="s">
        <v>21</v>
      </c>
      <c r="B72" s="47" t="s">
        <v>132</v>
      </c>
      <c r="C72" s="48">
        <v>3.875</v>
      </c>
      <c r="D72" s="47">
        <v>8.9</v>
      </c>
      <c r="E72" s="47">
        <v>10.62</v>
      </c>
      <c r="F72" s="10" t="s">
        <v>0</v>
      </c>
      <c r="G72" s="10" t="s">
        <v>0</v>
      </c>
      <c r="H72" s="10" t="s">
        <v>0</v>
      </c>
      <c r="I72" s="35" t="s">
        <v>0</v>
      </c>
      <c r="J72" s="10" t="s">
        <v>0</v>
      </c>
      <c r="K72" s="10" t="s">
        <v>0</v>
      </c>
      <c r="L72" s="10" t="s">
        <v>0</v>
      </c>
      <c r="M72" s="36" t="s">
        <v>0</v>
      </c>
      <c r="N72" s="35" t="s">
        <v>0</v>
      </c>
      <c r="O72" s="35">
        <v>1.2806999999999999</v>
      </c>
    </row>
    <row r="73" spans="1:15">
      <c r="A73" s="74" t="s">
        <v>324</v>
      </c>
      <c r="B73" s="47" t="s">
        <v>325</v>
      </c>
      <c r="C73" s="48">
        <v>1.125</v>
      </c>
      <c r="D73" s="47">
        <v>9.0399999999999991</v>
      </c>
      <c r="E73" s="47">
        <v>9.65</v>
      </c>
      <c r="F73" s="10">
        <v>1.2709999999999999</v>
      </c>
      <c r="G73" s="10">
        <v>1.2709999999999999</v>
      </c>
      <c r="H73" s="10">
        <v>1.2709999999999999</v>
      </c>
      <c r="I73" s="35">
        <v>0.5</v>
      </c>
      <c r="J73" s="10" t="s">
        <v>0</v>
      </c>
      <c r="K73" s="10" t="s">
        <v>0</v>
      </c>
      <c r="L73" s="10" t="s">
        <v>0</v>
      </c>
      <c r="M73" s="36" t="s">
        <v>0</v>
      </c>
      <c r="N73" s="35" t="s">
        <v>0</v>
      </c>
      <c r="O73" s="35">
        <v>1.2701</v>
      </c>
    </row>
    <row r="74" spans="1:15">
      <c r="A74" s="74" t="s">
        <v>537</v>
      </c>
      <c r="B74" s="47" t="s">
        <v>855</v>
      </c>
      <c r="C74" s="48">
        <v>1.25</v>
      </c>
      <c r="D74" s="47">
        <v>9.16</v>
      </c>
      <c r="E74" s="47">
        <v>9.98</v>
      </c>
      <c r="F74" s="10">
        <v>1.2749999999999999</v>
      </c>
      <c r="G74" s="10">
        <v>1.27</v>
      </c>
      <c r="H74" s="10">
        <v>1.2733000000000001</v>
      </c>
      <c r="I74" s="35">
        <v>1.5</v>
      </c>
      <c r="J74" s="10">
        <v>1.2723</v>
      </c>
      <c r="K74" s="10">
        <v>1.2723</v>
      </c>
      <c r="L74" s="10">
        <v>1.2723</v>
      </c>
      <c r="M74" s="36">
        <v>1</v>
      </c>
      <c r="N74" s="35">
        <v>1</v>
      </c>
      <c r="O74" s="35">
        <v>1.2729999999999999</v>
      </c>
    </row>
    <row r="75" spans="1:15">
      <c r="A75" s="74" t="s">
        <v>62</v>
      </c>
      <c r="B75" s="47" t="s">
        <v>136</v>
      </c>
      <c r="C75" s="48">
        <v>2</v>
      </c>
      <c r="D75" s="47">
        <v>9.1999999999999993</v>
      </c>
      <c r="E75" s="47">
        <v>10.29</v>
      </c>
      <c r="F75" s="10" t="s">
        <v>0</v>
      </c>
      <c r="G75" s="10" t="s">
        <v>0</v>
      </c>
      <c r="H75" s="10" t="s">
        <v>0</v>
      </c>
      <c r="I75" s="35" t="s">
        <v>0</v>
      </c>
      <c r="J75" s="10" t="s">
        <v>0</v>
      </c>
      <c r="K75" s="10" t="s">
        <v>0</v>
      </c>
      <c r="L75" s="10" t="s">
        <v>0</v>
      </c>
      <c r="M75" s="36" t="s">
        <v>0</v>
      </c>
      <c r="N75" s="35" t="s">
        <v>0</v>
      </c>
      <c r="O75" s="35">
        <v>1.2799</v>
      </c>
    </row>
    <row r="76" spans="1:15">
      <c r="A76" s="74" t="s">
        <v>541</v>
      </c>
      <c r="B76" s="47" t="s">
        <v>855</v>
      </c>
      <c r="C76" s="48">
        <v>1.25</v>
      </c>
      <c r="D76" s="47">
        <v>9.31</v>
      </c>
      <c r="E76" s="47">
        <v>9.98</v>
      </c>
      <c r="F76" s="10">
        <v>1.28</v>
      </c>
      <c r="G76" s="10">
        <v>1.27</v>
      </c>
      <c r="H76" s="10">
        <v>1.2733000000000001</v>
      </c>
      <c r="I76" s="35">
        <v>1.5</v>
      </c>
      <c r="J76" s="10" t="s">
        <v>0</v>
      </c>
      <c r="K76" s="10" t="s">
        <v>0</v>
      </c>
      <c r="L76" s="10" t="s">
        <v>0</v>
      </c>
      <c r="M76" s="36" t="s">
        <v>0</v>
      </c>
      <c r="N76" s="35" t="s">
        <v>0</v>
      </c>
      <c r="O76" s="35">
        <v>1.2761</v>
      </c>
    </row>
    <row r="77" spans="1:15">
      <c r="A77" s="74" t="s">
        <v>43</v>
      </c>
      <c r="B77" s="47" t="s">
        <v>137</v>
      </c>
      <c r="C77" s="48">
        <v>1.875</v>
      </c>
      <c r="D77" s="47">
        <v>9.48</v>
      </c>
      <c r="E77" s="47">
        <v>10.53</v>
      </c>
      <c r="F77" s="10" t="s">
        <v>0</v>
      </c>
      <c r="G77" s="10" t="s">
        <v>0</v>
      </c>
      <c r="H77" s="10" t="s">
        <v>0</v>
      </c>
      <c r="I77" s="35" t="s">
        <v>0</v>
      </c>
      <c r="J77" s="10" t="s">
        <v>0</v>
      </c>
      <c r="K77" s="10" t="s">
        <v>0</v>
      </c>
      <c r="L77" s="10" t="s">
        <v>0</v>
      </c>
      <c r="M77" s="36" t="s">
        <v>0</v>
      </c>
      <c r="N77" s="35" t="s">
        <v>0</v>
      </c>
      <c r="O77" s="35">
        <v>1.2848999999999999</v>
      </c>
    </row>
    <row r="78" spans="1:15">
      <c r="A78" s="74" t="s">
        <v>64</v>
      </c>
      <c r="B78" s="47" t="s">
        <v>138</v>
      </c>
      <c r="C78" s="48">
        <v>2.125</v>
      </c>
      <c r="D78" s="47">
        <v>9.64</v>
      </c>
      <c r="E78" s="47">
        <v>10.8</v>
      </c>
      <c r="F78" s="10" t="s">
        <v>0</v>
      </c>
      <c r="G78" s="10" t="s">
        <v>0</v>
      </c>
      <c r="H78" s="10" t="s">
        <v>0</v>
      </c>
      <c r="I78" s="35" t="s">
        <v>0</v>
      </c>
      <c r="J78" s="10" t="s">
        <v>0</v>
      </c>
      <c r="K78" s="10" t="s">
        <v>0</v>
      </c>
      <c r="L78" s="10" t="s">
        <v>0</v>
      </c>
      <c r="M78" s="36" t="s">
        <v>0</v>
      </c>
      <c r="N78" s="35" t="s">
        <v>0</v>
      </c>
      <c r="O78" s="35">
        <v>1.2890999999999999</v>
      </c>
    </row>
    <row r="79" spans="1:15">
      <c r="A79" s="74" t="s">
        <v>63</v>
      </c>
      <c r="B79" s="47" t="s">
        <v>139</v>
      </c>
      <c r="C79" s="48">
        <v>2.25</v>
      </c>
      <c r="D79" s="47">
        <v>9.76</v>
      </c>
      <c r="E79" s="47">
        <v>10.97</v>
      </c>
      <c r="F79" s="10" t="s">
        <v>0</v>
      </c>
      <c r="G79" s="10" t="s">
        <v>0</v>
      </c>
      <c r="H79" s="10" t="s">
        <v>0</v>
      </c>
      <c r="I79" s="35" t="s">
        <v>0</v>
      </c>
      <c r="J79" s="10" t="s">
        <v>0</v>
      </c>
      <c r="K79" s="10" t="s">
        <v>0</v>
      </c>
      <c r="L79" s="10" t="s">
        <v>0</v>
      </c>
      <c r="M79" s="36" t="s">
        <v>0</v>
      </c>
      <c r="N79" s="35" t="s">
        <v>0</v>
      </c>
      <c r="O79" s="35">
        <v>1.2921</v>
      </c>
    </row>
    <row r="80" spans="1:15">
      <c r="A80" s="74" t="s">
        <v>26</v>
      </c>
      <c r="B80" s="47" t="s">
        <v>140</v>
      </c>
      <c r="C80" s="48">
        <v>2</v>
      </c>
      <c r="D80" s="47">
        <v>9.98</v>
      </c>
      <c r="E80" s="47">
        <v>11.28</v>
      </c>
      <c r="F80" s="10" t="s">
        <v>0</v>
      </c>
      <c r="G80" s="10" t="s">
        <v>0</v>
      </c>
      <c r="H80" s="10" t="s">
        <v>0</v>
      </c>
      <c r="I80" s="35" t="s">
        <v>0</v>
      </c>
      <c r="J80" s="10" t="s">
        <v>0</v>
      </c>
      <c r="K80" s="10" t="s">
        <v>0</v>
      </c>
      <c r="L80" s="10" t="s">
        <v>0</v>
      </c>
      <c r="M80" s="36" t="s">
        <v>0</v>
      </c>
      <c r="N80" s="35" t="s">
        <v>0</v>
      </c>
      <c r="O80" s="35">
        <v>1.2988999999999999</v>
      </c>
    </row>
    <row r="81" spans="1:15">
      <c r="A81" s="74" t="s">
        <v>48</v>
      </c>
      <c r="B81" s="47" t="s">
        <v>141</v>
      </c>
      <c r="C81" s="48">
        <v>2.125</v>
      </c>
      <c r="D81" s="47">
        <v>10.15</v>
      </c>
      <c r="E81" s="47">
        <v>11.5</v>
      </c>
      <c r="F81" s="10" t="s">
        <v>0</v>
      </c>
      <c r="G81" s="10" t="s">
        <v>0</v>
      </c>
      <c r="H81" s="10" t="s">
        <v>0</v>
      </c>
      <c r="I81" s="35" t="s">
        <v>0</v>
      </c>
      <c r="J81" s="10" t="s">
        <v>0</v>
      </c>
      <c r="K81" s="10" t="s">
        <v>0</v>
      </c>
      <c r="L81" s="10" t="s">
        <v>0</v>
      </c>
      <c r="M81" s="36" t="s">
        <v>0</v>
      </c>
      <c r="N81" s="35" t="s">
        <v>0</v>
      </c>
      <c r="O81" s="35">
        <v>1.3028</v>
      </c>
    </row>
    <row r="82" spans="1:15">
      <c r="A82" s="74" t="s">
        <v>53</v>
      </c>
      <c r="B82" s="47" t="s">
        <v>142</v>
      </c>
      <c r="C82" s="48">
        <v>1.75</v>
      </c>
      <c r="D82" s="47">
        <v>10.67</v>
      </c>
      <c r="E82" s="47">
        <v>12.03</v>
      </c>
      <c r="F82" s="10" t="s">
        <v>0</v>
      </c>
      <c r="G82" s="10" t="s">
        <v>0</v>
      </c>
      <c r="H82" s="10" t="s">
        <v>0</v>
      </c>
      <c r="I82" s="35" t="s">
        <v>0</v>
      </c>
      <c r="J82" s="10" t="s">
        <v>0</v>
      </c>
      <c r="K82" s="10" t="s">
        <v>0</v>
      </c>
      <c r="L82" s="10" t="s">
        <v>0</v>
      </c>
      <c r="M82" s="36" t="s">
        <v>0</v>
      </c>
      <c r="N82" s="35" t="s">
        <v>0</v>
      </c>
      <c r="O82" s="35">
        <v>1.3146</v>
      </c>
    </row>
    <row r="83" spans="1:15">
      <c r="A83" s="74" t="s">
        <v>38</v>
      </c>
      <c r="B83" s="47" t="s">
        <v>143</v>
      </c>
      <c r="C83" s="48">
        <v>1.375</v>
      </c>
      <c r="D83" s="47">
        <v>11.12</v>
      </c>
      <c r="E83" s="47">
        <v>12.27</v>
      </c>
      <c r="F83" s="10" t="s">
        <v>0</v>
      </c>
      <c r="G83" s="10" t="s">
        <v>0</v>
      </c>
      <c r="H83" s="10" t="s">
        <v>0</v>
      </c>
      <c r="I83" s="35" t="s">
        <v>0</v>
      </c>
      <c r="J83" s="10" t="s">
        <v>0</v>
      </c>
      <c r="K83" s="10" t="s">
        <v>0</v>
      </c>
      <c r="L83" s="10" t="s">
        <v>0</v>
      </c>
      <c r="M83" s="36" t="s">
        <v>0</v>
      </c>
      <c r="N83" s="35" t="s">
        <v>0</v>
      </c>
      <c r="O83" s="35">
        <v>1.321</v>
      </c>
    </row>
    <row r="84" spans="1:15">
      <c r="A84" s="74" t="s">
        <v>33</v>
      </c>
      <c r="B84" s="47" t="s">
        <v>144</v>
      </c>
      <c r="C84" s="48">
        <v>1.25</v>
      </c>
      <c r="D84" s="47">
        <v>11.4</v>
      </c>
      <c r="E84" s="47">
        <v>12.49</v>
      </c>
      <c r="F84" s="10" t="s">
        <v>0</v>
      </c>
      <c r="G84" s="10" t="s">
        <v>0</v>
      </c>
      <c r="H84" s="10" t="s">
        <v>0</v>
      </c>
      <c r="I84" s="35" t="s">
        <v>0</v>
      </c>
      <c r="J84" s="10" t="s">
        <v>0</v>
      </c>
      <c r="K84" s="10" t="s">
        <v>0</v>
      </c>
      <c r="L84" s="10" t="s">
        <v>0</v>
      </c>
      <c r="M84" s="36" t="s">
        <v>0</v>
      </c>
      <c r="N84" s="35" t="s">
        <v>0</v>
      </c>
      <c r="O84" s="35">
        <v>1.3258000000000001</v>
      </c>
    </row>
    <row r="85" spans="1:15">
      <c r="A85" s="74" t="s">
        <v>44</v>
      </c>
      <c r="B85" s="47" t="s">
        <v>146</v>
      </c>
      <c r="C85" s="48">
        <v>1.125</v>
      </c>
      <c r="D85" s="47">
        <v>11.75</v>
      </c>
      <c r="E85" s="47">
        <v>12.76</v>
      </c>
      <c r="F85" s="10" t="s">
        <v>0</v>
      </c>
      <c r="G85" s="10" t="s">
        <v>0</v>
      </c>
      <c r="H85" s="10" t="s">
        <v>0</v>
      </c>
      <c r="I85" s="35" t="s">
        <v>0</v>
      </c>
      <c r="J85" s="10" t="s">
        <v>0</v>
      </c>
      <c r="K85" s="10" t="s">
        <v>0</v>
      </c>
      <c r="L85" s="10" t="s">
        <v>0</v>
      </c>
      <c r="M85" s="36" t="s">
        <v>0</v>
      </c>
      <c r="N85" s="35" t="s">
        <v>0</v>
      </c>
      <c r="O85" s="35">
        <v>1.3320000000000001</v>
      </c>
    </row>
    <row r="86" spans="1:15">
      <c r="A86" s="74" t="s">
        <v>35</v>
      </c>
      <c r="B86" s="47" t="s">
        <v>145</v>
      </c>
      <c r="C86" s="48">
        <v>1.75</v>
      </c>
      <c r="D86" s="47">
        <v>11.77</v>
      </c>
      <c r="E86" s="47">
        <v>13.36</v>
      </c>
      <c r="F86" s="10" t="s">
        <v>0</v>
      </c>
      <c r="G86" s="10" t="s">
        <v>0</v>
      </c>
      <c r="H86" s="10" t="s">
        <v>0</v>
      </c>
      <c r="I86" s="35" t="s">
        <v>0</v>
      </c>
      <c r="J86" s="10" t="s">
        <v>0</v>
      </c>
      <c r="K86" s="10" t="s">
        <v>0</v>
      </c>
      <c r="L86" s="10" t="s">
        <v>0</v>
      </c>
      <c r="M86" s="36" t="s">
        <v>0</v>
      </c>
      <c r="N86" s="35" t="s">
        <v>0</v>
      </c>
      <c r="O86" s="35">
        <v>1.3407</v>
      </c>
    </row>
    <row r="87" spans="1:15">
      <c r="A87" s="74" t="s">
        <v>65</v>
      </c>
      <c r="B87" s="47" t="s">
        <v>147</v>
      </c>
      <c r="C87" s="48">
        <v>1.5</v>
      </c>
      <c r="D87" s="47">
        <v>12.42</v>
      </c>
      <c r="E87" s="47">
        <v>13.85</v>
      </c>
      <c r="F87" s="10" t="s">
        <v>0</v>
      </c>
      <c r="G87" s="10" t="s">
        <v>0</v>
      </c>
      <c r="H87" s="10" t="s">
        <v>0</v>
      </c>
      <c r="I87" s="35" t="s">
        <v>0</v>
      </c>
      <c r="J87" s="10" t="s">
        <v>0</v>
      </c>
      <c r="K87" s="10" t="s">
        <v>0</v>
      </c>
      <c r="L87" s="10" t="s">
        <v>0</v>
      </c>
      <c r="M87" s="36" t="s">
        <v>0</v>
      </c>
      <c r="N87" s="35" t="s">
        <v>0</v>
      </c>
      <c r="O87" s="35">
        <v>1.3517999999999999</v>
      </c>
    </row>
    <row r="88" spans="1:15">
      <c r="A88" s="74" t="s">
        <v>66</v>
      </c>
      <c r="B88" s="47" t="s">
        <v>148</v>
      </c>
      <c r="C88" s="48">
        <v>1.375</v>
      </c>
      <c r="D88" s="47">
        <v>12.89</v>
      </c>
      <c r="E88" s="47">
        <v>14.41</v>
      </c>
      <c r="F88" s="10" t="s">
        <v>0</v>
      </c>
      <c r="G88" s="10" t="s">
        <v>0</v>
      </c>
      <c r="H88" s="10" t="s">
        <v>0</v>
      </c>
      <c r="I88" s="35" t="s">
        <v>0</v>
      </c>
      <c r="J88" s="10" t="s">
        <v>0</v>
      </c>
      <c r="K88" s="10" t="s">
        <v>0</v>
      </c>
      <c r="L88" s="10" t="s">
        <v>0</v>
      </c>
      <c r="M88" s="36" t="s">
        <v>0</v>
      </c>
      <c r="N88" s="35" t="s">
        <v>0</v>
      </c>
      <c r="O88" s="35">
        <v>1.3638999999999999</v>
      </c>
    </row>
    <row r="89" spans="1:15">
      <c r="A89" s="74" t="s">
        <v>22</v>
      </c>
      <c r="B89" s="47" t="s">
        <v>149</v>
      </c>
      <c r="C89" s="48">
        <v>2.25</v>
      </c>
      <c r="D89" s="47">
        <v>13.6</v>
      </c>
      <c r="E89" s="47">
        <v>16.29</v>
      </c>
      <c r="F89" s="10" t="s">
        <v>0</v>
      </c>
      <c r="G89" s="10" t="s">
        <v>0</v>
      </c>
      <c r="H89" s="10" t="s">
        <v>0</v>
      </c>
      <c r="I89" s="35" t="s">
        <v>0</v>
      </c>
      <c r="J89" s="10" t="s">
        <v>0</v>
      </c>
      <c r="K89" s="10" t="s">
        <v>0</v>
      </c>
      <c r="L89" s="10" t="s">
        <v>0</v>
      </c>
      <c r="M89" s="36" t="s">
        <v>0</v>
      </c>
      <c r="N89" s="35" t="s">
        <v>0</v>
      </c>
      <c r="O89" s="35">
        <v>1.3949</v>
      </c>
    </row>
    <row r="90" spans="1:15">
      <c r="A90" s="74" t="s">
        <v>67</v>
      </c>
      <c r="B90" s="47" t="s">
        <v>150</v>
      </c>
      <c r="C90" s="48">
        <v>1.125</v>
      </c>
      <c r="D90" s="47">
        <v>13.61</v>
      </c>
      <c r="E90" s="47">
        <v>14.94</v>
      </c>
      <c r="F90" s="10" t="s">
        <v>0</v>
      </c>
      <c r="G90" s="10" t="s">
        <v>0</v>
      </c>
      <c r="H90" s="10" t="s">
        <v>0</v>
      </c>
      <c r="I90" s="35" t="s">
        <v>0</v>
      </c>
      <c r="J90" s="10" t="s">
        <v>0</v>
      </c>
      <c r="K90" s="10" t="s">
        <v>0</v>
      </c>
      <c r="L90" s="10" t="s">
        <v>0</v>
      </c>
      <c r="M90" s="36" t="s">
        <v>0</v>
      </c>
      <c r="N90" s="35" t="s">
        <v>0</v>
      </c>
      <c r="O90" s="35">
        <v>1.3762000000000001</v>
      </c>
    </row>
    <row r="91" spans="1:15">
      <c r="A91" s="74" t="s">
        <v>243</v>
      </c>
      <c r="B91" s="47" t="s">
        <v>151</v>
      </c>
      <c r="C91" s="48">
        <v>1.125</v>
      </c>
      <c r="D91" s="47">
        <v>13.8</v>
      </c>
      <c r="E91" s="47">
        <v>15.29</v>
      </c>
      <c r="F91" s="10" t="s">
        <v>0</v>
      </c>
      <c r="G91" s="10" t="s">
        <v>0</v>
      </c>
      <c r="H91" s="10" t="s">
        <v>0</v>
      </c>
      <c r="I91" s="35" t="s">
        <v>0</v>
      </c>
      <c r="J91" s="10" t="s">
        <v>0</v>
      </c>
      <c r="K91" s="10" t="s">
        <v>0</v>
      </c>
      <c r="L91" s="10" t="s">
        <v>0</v>
      </c>
      <c r="M91" s="36" t="s">
        <v>0</v>
      </c>
      <c r="N91" s="35" t="s">
        <v>0</v>
      </c>
      <c r="O91" s="35">
        <v>1.3834</v>
      </c>
    </row>
    <row r="92" spans="1:15">
      <c r="A92" s="74" t="s">
        <v>244</v>
      </c>
      <c r="B92" s="47" t="s">
        <v>152</v>
      </c>
      <c r="C92" s="48">
        <v>1.125</v>
      </c>
      <c r="D92" s="47">
        <v>13.89</v>
      </c>
      <c r="E92" s="47">
        <v>15.39</v>
      </c>
      <c r="F92" s="10" t="s">
        <v>0</v>
      </c>
      <c r="G92" s="10" t="s">
        <v>0</v>
      </c>
      <c r="H92" s="10" t="s">
        <v>0</v>
      </c>
      <c r="I92" s="35" t="s">
        <v>0</v>
      </c>
      <c r="J92" s="10" t="s">
        <v>0</v>
      </c>
      <c r="K92" s="10" t="s">
        <v>0</v>
      </c>
      <c r="L92" s="10" t="s">
        <v>0</v>
      </c>
      <c r="M92" s="36" t="s">
        <v>0</v>
      </c>
      <c r="N92" s="35" t="s">
        <v>0</v>
      </c>
      <c r="O92" s="35">
        <v>1.3854</v>
      </c>
    </row>
    <row r="93" spans="1:15">
      <c r="A93" s="74" t="s">
        <v>45</v>
      </c>
      <c r="B93" s="47" t="s">
        <v>153</v>
      </c>
      <c r="C93" s="48">
        <v>2.125</v>
      </c>
      <c r="D93" s="47">
        <v>14.32</v>
      </c>
      <c r="E93" s="47">
        <v>17.21</v>
      </c>
      <c r="F93" s="10" t="s">
        <v>0</v>
      </c>
      <c r="G93" s="10" t="s">
        <v>0</v>
      </c>
      <c r="H93" s="10" t="s">
        <v>0</v>
      </c>
      <c r="I93" s="35" t="s">
        <v>0</v>
      </c>
      <c r="J93" s="10" t="s">
        <v>0</v>
      </c>
      <c r="K93" s="10" t="s">
        <v>0</v>
      </c>
      <c r="L93" s="10" t="s">
        <v>0</v>
      </c>
      <c r="M93" s="36" t="s">
        <v>0</v>
      </c>
      <c r="N93" s="35" t="s">
        <v>0</v>
      </c>
      <c r="O93" s="35">
        <v>1.4134</v>
      </c>
    </row>
    <row r="94" spans="1:15">
      <c r="A94" s="74" t="s">
        <v>23</v>
      </c>
      <c r="B94" s="47" t="s">
        <v>154</v>
      </c>
      <c r="C94" s="48">
        <v>2</v>
      </c>
      <c r="D94" s="47">
        <v>14.58</v>
      </c>
      <c r="E94" s="47">
        <v>17.36</v>
      </c>
      <c r="F94" s="10" t="s">
        <v>0</v>
      </c>
      <c r="G94" s="10" t="s">
        <v>0</v>
      </c>
      <c r="H94" s="10" t="s">
        <v>0</v>
      </c>
      <c r="I94" s="35" t="s">
        <v>0</v>
      </c>
      <c r="J94" s="10" t="s">
        <v>0</v>
      </c>
      <c r="K94" s="10" t="s">
        <v>0</v>
      </c>
      <c r="L94" s="10" t="s">
        <v>0</v>
      </c>
      <c r="M94" s="36" t="s">
        <v>0</v>
      </c>
      <c r="N94" s="35" t="s">
        <v>0</v>
      </c>
      <c r="O94" s="35">
        <v>1.4174</v>
      </c>
    </row>
    <row r="95" spans="1:15">
      <c r="A95" s="74" t="s">
        <v>39</v>
      </c>
      <c r="B95" s="47" t="s">
        <v>155</v>
      </c>
      <c r="C95" s="48">
        <v>0.75</v>
      </c>
      <c r="D95" s="47">
        <v>14.77</v>
      </c>
      <c r="E95" s="47">
        <v>15.9</v>
      </c>
      <c r="F95" s="10" t="s">
        <v>0</v>
      </c>
      <c r="G95" s="10" t="s">
        <v>0</v>
      </c>
      <c r="H95" s="10" t="s">
        <v>0</v>
      </c>
      <c r="I95" s="35" t="s">
        <v>0</v>
      </c>
      <c r="J95" s="10" t="s">
        <v>0</v>
      </c>
      <c r="K95" s="10" t="s">
        <v>0</v>
      </c>
      <c r="L95" s="10" t="s">
        <v>0</v>
      </c>
      <c r="M95" s="36" t="s">
        <v>0</v>
      </c>
      <c r="N95" s="35" t="s">
        <v>0</v>
      </c>
      <c r="O95" s="35">
        <v>1.3989</v>
      </c>
    </row>
    <row r="96" spans="1:15">
      <c r="A96" s="74" t="s">
        <v>245</v>
      </c>
      <c r="B96" s="47" t="s">
        <v>157</v>
      </c>
      <c r="C96" s="48">
        <v>0.75</v>
      </c>
      <c r="D96" s="47">
        <v>15</v>
      </c>
      <c r="E96" s="47">
        <v>16.260000000000002</v>
      </c>
      <c r="F96" s="10">
        <v>1.33</v>
      </c>
      <c r="G96" s="10">
        <v>1.33</v>
      </c>
      <c r="H96" s="10">
        <v>1.33</v>
      </c>
      <c r="I96" s="35">
        <v>10</v>
      </c>
      <c r="J96" s="10">
        <v>1.331</v>
      </c>
      <c r="K96" s="10">
        <v>1.331</v>
      </c>
      <c r="L96" s="10">
        <v>1.331</v>
      </c>
      <c r="M96" s="36">
        <v>1</v>
      </c>
      <c r="N96" s="35">
        <v>10</v>
      </c>
      <c r="O96" s="35">
        <v>1.4064000000000001</v>
      </c>
    </row>
    <row r="97" spans="1:15">
      <c r="A97" s="74" t="s">
        <v>46</v>
      </c>
      <c r="B97" s="47" t="s">
        <v>156</v>
      </c>
      <c r="C97" s="48">
        <v>1.875</v>
      </c>
      <c r="D97" s="47">
        <v>15.18</v>
      </c>
      <c r="E97" s="47">
        <v>17.86</v>
      </c>
      <c r="F97" s="10" t="s">
        <v>0</v>
      </c>
      <c r="G97" s="10" t="s">
        <v>0</v>
      </c>
      <c r="H97" s="10" t="s">
        <v>0</v>
      </c>
      <c r="I97" s="35" t="s">
        <v>0</v>
      </c>
      <c r="J97" s="10" t="s">
        <v>0</v>
      </c>
      <c r="K97" s="10" t="s">
        <v>0</v>
      </c>
      <c r="L97" s="10" t="s">
        <v>0</v>
      </c>
      <c r="M97" s="36" t="s">
        <v>0</v>
      </c>
      <c r="N97" s="35" t="s">
        <v>0</v>
      </c>
      <c r="O97" s="35">
        <v>1.4280999999999999</v>
      </c>
    </row>
    <row r="98" spans="1:15">
      <c r="A98" s="74" t="s">
        <v>246</v>
      </c>
      <c r="B98" s="47" t="s">
        <v>159</v>
      </c>
      <c r="C98" s="48">
        <v>0.5</v>
      </c>
      <c r="D98" s="47">
        <v>15.45</v>
      </c>
      <c r="E98" s="47">
        <v>16.399999999999999</v>
      </c>
      <c r="F98" s="10" t="s">
        <v>0</v>
      </c>
      <c r="G98" s="10" t="s">
        <v>0</v>
      </c>
      <c r="H98" s="10" t="s">
        <v>0</v>
      </c>
      <c r="I98" s="35" t="s">
        <v>0</v>
      </c>
      <c r="J98" s="10" t="s">
        <v>0</v>
      </c>
      <c r="K98" s="10" t="s">
        <v>0</v>
      </c>
      <c r="L98" s="10" t="s">
        <v>0</v>
      </c>
      <c r="M98" s="36" t="s">
        <v>0</v>
      </c>
      <c r="N98" s="35" t="s">
        <v>0</v>
      </c>
      <c r="O98" s="35">
        <v>1.4116</v>
      </c>
    </row>
    <row r="99" spans="1:15">
      <c r="A99" s="74" t="s">
        <v>24</v>
      </c>
      <c r="B99" s="47" t="s">
        <v>158</v>
      </c>
      <c r="C99" s="48">
        <v>1.75</v>
      </c>
      <c r="D99" s="47">
        <v>15.51</v>
      </c>
      <c r="E99" s="47">
        <v>18.34</v>
      </c>
      <c r="F99" s="10" t="s">
        <v>0</v>
      </c>
      <c r="G99" s="10" t="s">
        <v>0</v>
      </c>
      <c r="H99" s="10" t="s">
        <v>0</v>
      </c>
      <c r="I99" s="35" t="s">
        <v>0</v>
      </c>
      <c r="J99" s="10" t="s">
        <v>0</v>
      </c>
      <c r="K99" s="10" t="s">
        <v>0</v>
      </c>
      <c r="L99" s="10" t="s">
        <v>0</v>
      </c>
      <c r="M99" s="36" t="s">
        <v>0</v>
      </c>
      <c r="N99" s="35" t="s">
        <v>0</v>
      </c>
      <c r="O99" s="35">
        <v>1.4384999999999999</v>
      </c>
    </row>
    <row r="100" spans="1:15">
      <c r="A100" s="74" t="s">
        <v>68</v>
      </c>
      <c r="B100" s="47" t="s">
        <v>160</v>
      </c>
      <c r="C100" s="48">
        <v>2.5</v>
      </c>
      <c r="D100" s="47">
        <v>15.92</v>
      </c>
      <c r="E100" s="47">
        <v>19.8</v>
      </c>
      <c r="F100" s="10" t="s">
        <v>0</v>
      </c>
      <c r="G100" s="10" t="s">
        <v>0</v>
      </c>
      <c r="H100" s="10" t="s">
        <v>0</v>
      </c>
      <c r="I100" s="35" t="s">
        <v>0</v>
      </c>
      <c r="J100" s="10" t="s">
        <v>0</v>
      </c>
      <c r="K100" s="10" t="s">
        <v>0</v>
      </c>
      <c r="L100" s="10" t="s">
        <v>0</v>
      </c>
      <c r="M100" s="36" t="s">
        <v>0</v>
      </c>
      <c r="N100" s="35" t="s">
        <v>0</v>
      </c>
      <c r="O100" s="35">
        <v>1.4589000000000001</v>
      </c>
    </row>
    <row r="101" spans="1:15">
      <c r="A101" s="74" t="s">
        <v>247</v>
      </c>
      <c r="B101" s="47" t="s">
        <v>162</v>
      </c>
      <c r="C101" s="48">
        <v>0.5</v>
      </c>
      <c r="D101" s="47">
        <v>15.97</v>
      </c>
      <c r="E101" s="47">
        <v>16.93</v>
      </c>
      <c r="F101" s="10" t="s">
        <v>0</v>
      </c>
      <c r="G101" s="10" t="s">
        <v>0</v>
      </c>
      <c r="H101" s="10" t="s">
        <v>0</v>
      </c>
      <c r="I101" s="35" t="s">
        <v>0</v>
      </c>
      <c r="J101" s="10" t="s">
        <v>0</v>
      </c>
      <c r="K101" s="10" t="s">
        <v>0</v>
      </c>
      <c r="L101" s="10" t="s">
        <v>0</v>
      </c>
      <c r="M101" s="36" t="s">
        <v>0</v>
      </c>
      <c r="N101" s="35" t="s">
        <v>0</v>
      </c>
      <c r="O101" s="35">
        <v>1.4227000000000001</v>
      </c>
    </row>
    <row r="102" spans="1:15">
      <c r="A102" s="74" t="s">
        <v>261</v>
      </c>
      <c r="B102" s="47" t="s">
        <v>258</v>
      </c>
      <c r="C102" s="48">
        <v>1.875</v>
      </c>
      <c r="D102" s="47">
        <v>16</v>
      </c>
      <c r="E102" s="47">
        <v>18.96</v>
      </c>
      <c r="F102" s="10" t="s">
        <v>0</v>
      </c>
      <c r="G102" s="10" t="s">
        <v>0</v>
      </c>
      <c r="H102" s="10" t="s">
        <v>0</v>
      </c>
      <c r="I102" s="35" t="s">
        <v>0</v>
      </c>
      <c r="J102" s="10" t="s">
        <v>0</v>
      </c>
      <c r="K102" s="10" t="s">
        <v>0</v>
      </c>
      <c r="L102" s="10" t="s">
        <v>0</v>
      </c>
      <c r="M102" s="36" t="s">
        <v>0</v>
      </c>
      <c r="N102" s="35" t="s">
        <v>0</v>
      </c>
      <c r="O102" s="35">
        <v>1.4494</v>
      </c>
    </row>
    <row r="103" spans="1:15">
      <c r="A103" s="74" t="s">
        <v>69</v>
      </c>
      <c r="B103" s="47" t="s">
        <v>161</v>
      </c>
      <c r="C103" s="48">
        <v>1.625</v>
      </c>
      <c r="D103" s="47">
        <v>16.16</v>
      </c>
      <c r="E103" s="47">
        <v>18.86</v>
      </c>
      <c r="F103" s="10" t="s">
        <v>0</v>
      </c>
      <c r="G103" s="10" t="s">
        <v>0</v>
      </c>
      <c r="H103" s="10" t="s">
        <v>0</v>
      </c>
      <c r="I103" s="35" t="s">
        <v>0</v>
      </c>
      <c r="J103" s="10" t="s">
        <v>0</v>
      </c>
      <c r="K103" s="10" t="s">
        <v>0</v>
      </c>
      <c r="L103" s="10" t="s">
        <v>0</v>
      </c>
      <c r="M103" s="36" t="s">
        <v>0</v>
      </c>
      <c r="N103" s="35" t="s">
        <v>0</v>
      </c>
      <c r="O103" s="35">
        <v>1.45</v>
      </c>
    </row>
    <row r="104" spans="1:15">
      <c r="A104" s="74" t="s">
        <v>249</v>
      </c>
      <c r="B104" s="47" t="s">
        <v>168</v>
      </c>
      <c r="C104" s="48">
        <v>0.5</v>
      </c>
      <c r="D104" s="47">
        <v>16.23</v>
      </c>
      <c r="E104" s="47">
        <v>17.3</v>
      </c>
      <c r="F104" s="10" t="s">
        <v>0</v>
      </c>
      <c r="G104" s="10" t="s">
        <v>0</v>
      </c>
      <c r="H104" s="10" t="s">
        <v>0</v>
      </c>
      <c r="I104" s="35" t="s">
        <v>0</v>
      </c>
      <c r="J104" s="10" t="s">
        <v>0</v>
      </c>
      <c r="K104" s="10" t="s">
        <v>0</v>
      </c>
      <c r="L104" s="10" t="s">
        <v>0</v>
      </c>
      <c r="M104" s="36" t="s">
        <v>0</v>
      </c>
      <c r="N104" s="35" t="s">
        <v>0</v>
      </c>
      <c r="O104" s="35">
        <v>1.4303999999999999</v>
      </c>
    </row>
    <row r="105" spans="1:15">
      <c r="A105" s="74" t="s">
        <v>40</v>
      </c>
      <c r="B105" s="47" t="s">
        <v>163</v>
      </c>
      <c r="C105" s="48">
        <v>1.75</v>
      </c>
      <c r="D105" s="47">
        <v>16.260000000000002</v>
      </c>
      <c r="E105" s="47">
        <v>19.37</v>
      </c>
      <c r="F105" s="10" t="s">
        <v>0</v>
      </c>
      <c r="G105" s="10" t="s">
        <v>0</v>
      </c>
      <c r="H105" s="10" t="s">
        <v>0</v>
      </c>
      <c r="I105" s="35" t="s">
        <v>0</v>
      </c>
      <c r="J105" s="10" t="s">
        <v>0</v>
      </c>
      <c r="K105" s="10" t="s">
        <v>0</v>
      </c>
      <c r="L105" s="10" t="s">
        <v>0</v>
      </c>
      <c r="M105" s="36" t="s">
        <v>0</v>
      </c>
      <c r="N105" s="35" t="s">
        <v>0</v>
      </c>
      <c r="O105" s="35">
        <v>1.4584999999999999</v>
      </c>
    </row>
    <row r="106" spans="1:15">
      <c r="A106" s="74" t="s">
        <v>216</v>
      </c>
      <c r="B106" s="47" t="s">
        <v>167</v>
      </c>
      <c r="C106" s="48">
        <v>0.375</v>
      </c>
      <c r="D106" s="47">
        <v>16.34</v>
      </c>
      <c r="E106" s="47">
        <v>17.21</v>
      </c>
      <c r="F106" s="10" t="s">
        <v>0</v>
      </c>
      <c r="G106" s="10" t="s">
        <v>0</v>
      </c>
      <c r="H106" s="10" t="s">
        <v>0</v>
      </c>
      <c r="I106" s="35" t="s">
        <v>0</v>
      </c>
      <c r="J106" s="10" t="s">
        <v>0</v>
      </c>
      <c r="K106" s="10" t="s">
        <v>0</v>
      </c>
      <c r="L106" s="10" t="s">
        <v>0</v>
      </c>
      <c r="M106" s="36" t="s">
        <v>0</v>
      </c>
      <c r="N106" s="35" t="s">
        <v>0</v>
      </c>
      <c r="O106" s="35">
        <v>1.4298999999999999</v>
      </c>
    </row>
    <row r="107" spans="1:15">
      <c r="A107" s="74" t="s">
        <v>213</v>
      </c>
      <c r="B107" s="47" t="s">
        <v>209</v>
      </c>
      <c r="C107" s="48">
        <v>1</v>
      </c>
      <c r="D107" s="47">
        <v>16.34</v>
      </c>
      <c r="E107" s="47">
        <v>18.260000000000002</v>
      </c>
      <c r="F107" s="10" t="s">
        <v>0</v>
      </c>
      <c r="G107" s="10" t="s">
        <v>0</v>
      </c>
      <c r="H107" s="10" t="s">
        <v>0</v>
      </c>
      <c r="I107" s="35" t="s">
        <v>0</v>
      </c>
      <c r="J107" s="10" t="s">
        <v>0</v>
      </c>
      <c r="K107" s="10" t="s">
        <v>0</v>
      </c>
      <c r="L107" s="10" t="s">
        <v>0</v>
      </c>
      <c r="M107" s="36" t="s">
        <v>0</v>
      </c>
      <c r="N107" s="35" t="s">
        <v>0</v>
      </c>
      <c r="O107" s="35">
        <v>1.4449000000000001</v>
      </c>
    </row>
    <row r="108" spans="1:15">
      <c r="A108" s="74" t="s">
        <v>248</v>
      </c>
      <c r="B108" s="47" t="s">
        <v>187</v>
      </c>
      <c r="C108" s="48">
        <v>0.625</v>
      </c>
      <c r="D108" s="47">
        <v>16.36</v>
      </c>
      <c r="E108" s="47">
        <v>17.600000000000001</v>
      </c>
      <c r="F108" s="10" t="s">
        <v>0</v>
      </c>
      <c r="G108" s="10" t="s">
        <v>0</v>
      </c>
      <c r="H108" s="10" t="s">
        <v>0</v>
      </c>
      <c r="I108" s="35" t="s">
        <v>0</v>
      </c>
      <c r="J108" s="10" t="s">
        <v>0</v>
      </c>
      <c r="K108" s="10" t="s">
        <v>0</v>
      </c>
      <c r="L108" s="10" t="s">
        <v>0</v>
      </c>
      <c r="M108" s="36" t="s">
        <v>0</v>
      </c>
      <c r="N108" s="35" t="s">
        <v>0</v>
      </c>
      <c r="O108" s="35">
        <v>1.4355</v>
      </c>
    </row>
    <row r="109" spans="1:15">
      <c r="A109" s="74" t="s">
        <v>47</v>
      </c>
      <c r="B109" s="47" t="s">
        <v>164</v>
      </c>
      <c r="C109" s="48">
        <v>2.125</v>
      </c>
      <c r="D109" s="47">
        <v>16.52</v>
      </c>
      <c r="E109" s="47">
        <v>20.37</v>
      </c>
      <c r="F109" s="10" t="s">
        <v>0</v>
      </c>
      <c r="G109" s="10" t="s">
        <v>0</v>
      </c>
      <c r="H109" s="10" t="s">
        <v>0</v>
      </c>
      <c r="I109" s="35" t="s">
        <v>0</v>
      </c>
      <c r="J109" s="10" t="s">
        <v>0</v>
      </c>
      <c r="K109" s="10" t="s">
        <v>0</v>
      </c>
      <c r="L109" s="10" t="s">
        <v>0</v>
      </c>
      <c r="M109" s="36" t="s">
        <v>0</v>
      </c>
      <c r="N109" s="35" t="s">
        <v>0</v>
      </c>
      <c r="O109" s="35">
        <v>1.4733000000000001</v>
      </c>
    </row>
    <row r="110" spans="1:15">
      <c r="A110" s="74" t="s">
        <v>215</v>
      </c>
      <c r="B110" s="47" t="s">
        <v>210</v>
      </c>
      <c r="C110" s="48">
        <v>0.875</v>
      </c>
      <c r="D110" s="47">
        <v>16.64</v>
      </c>
      <c r="E110" s="47">
        <v>18.39</v>
      </c>
      <c r="F110" s="10" t="s">
        <v>0</v>
      </c>
      <c r="G110" s="10" t="s">
        <v>0</v>
      </c>
      <c r="H110" s="10" t="s">
        <v>0</v>
      </c>
      <c r="I110" s="35" t="s">
        <v>0</v>
      </c>
      <c r="J110" s="10" t="s">
        <v>0</v>
      </c>
      <c r="K110" s="10" t="s">
        <v>0</v>
      </c>
      <c r="L110" s="10" t="s">
        <v>0</v>
      </c>
      <c r="M110" s="36" t="s">
        <v>0</v>
      </c>
      <c r="N110" s="35" t="s">
        <v>0</v>
      </c>
      <c r="O110" s="35">
        <v>1.4488000000000001</v>
      </c>
    </row>
    <row r="111" spans="1:15">
      <c r="A111" s="74" t="s">
        <v>250</v>
      </c>
      <c r="B111" s="47" t="s">
        <v>199</v>
      </c>
      <c r="C111" s="48">
        <v>0.625</v>
      </c>
      <c r="D111" s="47">
        <v>16.71</v>
      </c>
      <c r="E111" s="47">
        <v>18.079999999999998</v>
      </c>
      <c r="F111" s="10" t="s">
        <v>0</v>
      </c>
      <c r="G111" s="10" t="s">
        <v>0</v>
      </c>
      <c r="H111" s="10" t="s">
        <v>0</v>
      </c>
      <c r="I111" s="35" t="s">
        <v>0</v>
      </c>
      <c r="J111" s="10" t="s">
        <v>0</v>
      </c>
      <c r="K111" s="10" t="s">
        <v>0</v>
      </c>
      <c r="L111" s="10" t="s">
        <v>0</v>
      </c>
      <c r="M111" s="36" t="s">
        <v>0</v>
      </c>
      <c r="N111" s="35" t="s">
        <v>0</v>
      </c>
      <c r="O111" s="35">
        <v>1.4454</v>
      </c>
    </row>
    <row r="112" spans="1:15">
      <c r="A112" s="74" t="s">
        <v>277</v>
      </c>
      <c r="B112" s="47" t="s">
        <v>278</v>
      </c>
      <c r="C112" s="48">
        <v>1.375</v>
      </c>
      <c r="D112" s="47">
        <v>16.73</v>
      </c>
      <c r="E112" s="47">
        <v>19.38</v>
      </c>
      <c r="F112" s="10" t="s">
        <v>0</v>
      </c>
      <c r="G112" s="10" t="s">
        <v>0</v>
      </c>
      <c r="H112" s="10" t="s">
        <v>0</v>
      </c>
      <c r="I112" s="35" t="s">
        <v>0</v>
      </c>
      <c r="J112" s="10" t="s">
        <v>0</v>
      </c>
      <c r="K112" s="10" t="s">
        <v>0</v>
      </c>
      <c r="L112" s="10" t="s">
        <v>0</v>
      </c>
      <c r="M112" s="36" t="s">
        <v>0</v>
      </c>
      <c r="N112" s="35" t="s">
        <v>0</v>
      </c>
      <c r="O112" s="35">
        <v>1.4630000000000001</v>
      </c>
    </row>
    <row r="113" spans="1:15">
      <c r="A113" s="74" t="s">
        <v>70</v>
      </c>
      <c r="B113" s="47" t="s">
        <v>170</v>
      </c>
      <c r="C113" s="48">
        <v>2.25</v>
      </c>
      <c r="D113" s="47">
        <v>16.79</v>
      </c>
      <c r="E113" s="47">
        <v>21.12</v>
      </c>
      <c r="F113" s="10" t="s">
        <v>0</v>
      </c>
      <c r="G113" s="10" t="s">
        <v>0</v>
      </c>
      <c r="H113" s="10" t="s">
        <v>0</v>
      </c>
      <c r="I113" s="35" t="s">
        <v>0</v>
      </c>
      <c r="J113" s="10" t="s">
        <v>0</v>
      </c>
      <c r="K113" s="10" t="s">
        <v>0</v>
      </c>
      <c r="L113" s="10" t="s">
        <v>0</v>
      </c>
      <c r="M113" s="36" t="s">
        <v>0</v>
      </c>
      <c r="N113" s="35" t="s">
        <v>0</v>
      </c>
      <c r="O113" s="35">
        <v>1.4859</v>
      </c>
    </row>
    <row r="114" spans="1:15">
      <c r="A114" s="74" t="s">
        <v>71</v>
      </c>
      <c r="B114" s="47" t="s">
        <v>165</v>
      </c>
      <c r="C114" s="48">
        <v>2.25</v>
      </c>
      <c r="D114" s="47">
        <v>16.809999999999999</v>
      </c>
      <c r="E114" s="47">
        <v>20.81</v>
      </c>
      <c r="F114" s="10" t="s">
        <v>0</v>
      </c>
      <c r="G114" s="10" t="s">
        <v>0</v>
      </c>
      <c r="H114" s="10" t="s">
        <v>0</v>
      </c>
      <c r="I114" s="35" t="s">
        <v>0</v>
      </c>
      <c r="J114" s="10" t="s">
        <v>0</v>
      </c>
      <c r="K114" s="10" t="s">
        <v>0</v>
      </c>
      <c r="L114" s="10" t="s">
        <v>0</v>
      </c>
      <c r="M114" s="36" t="s">
        <v>0</v>
      </c>
      <c r="N114" s="35" t="s">
        <v>0</v>
      </c>
      <c r="O114" s="35">
        <v>1.4801</v>
      </c>
    </row>
    <row r="115" spans="1:15">
      <c r="A115" s="74" t="s">
        <v>54</v>
      </c>
      <c r="B115" s="47" t="s">
        <v>166</v>
      </c>
      <c r="C115" s="48">
        <v>2.375</v>
      </c>
      <c r="D115" s="47">
        <v>16.86</v>
      </c>
      <c r="E115" s="47">
        <v>21.34</v>
      </c>
      <c r="F115" s="10" t="s">
        <v>0</v>
      </c>
      <c r="G115" s="10" t="s">
        <v>0</v>
      </c>
      <c r="H115" s="10" t="s">
        <v>0</v>
      </c>
      <c r="I115" s="35" t="s">
        <v>0</v>
      </c>
      <c r="J115" s="10" t="s">
        <v>0</v>
      </c>
      <c r="K115" s="10" t="s">
        <v>0</v>
      </c>
      <c r="L115" s="10" t="s">
        <v>0</v>
      </c>
      <c r="M115" s="36" t="s">
        <v>0</v>
      </c>
      <c r="N115" s="35" t="s">
        <v>0</v>
      </c>
      <c r="O115" s="35">
        <v>1.4883</v>
      </c>
    </row>
    <row r="116" spans="1:15">
      <c r="A116" s="74" t="s">
        <v>251</v>
      </c>
      <c r="B116" s="47" t="s">
        <v>194</v>
      </c>
      <c r="C116" s="48">
        <v>0.5</v>
      </c>
      <c r="D116" s="47">
        <v>16.89</v>
      </c>
      <c r="E116" s="47">
        <v>17.96</v>
      </c>
      <c r="F116" s="10" t="s">
        <v>0</v>
      </c>
      <c r="G116" s="10" t="s">
        <v>0</v>
      </c>
      <c r="H116" s="10" t="s">
        <v>0</v>
      </c>
      <c r="I116" s="35" t="s">
        <v>0</v>
      </c>
      <c r="J116" s="10" t="s">
        <v>0</v>
      </c>
      <c r="K116" s="10" t="s">
        <v>0</v>
      </c>
      <c r="L116" s="10" t="s">
        <v>0</v>
      </c>
      <c r="M116" s="36" t="s">
        <v>0</v>
      </c>
      <c r="N116" s="35" t="s">
        <v>0</v>
      </c>
      <c r="O116" s="35">
        <v>1.4442999999999999</v>
      </c>
    </row>
    <row r="117" spans="1:15">
      <c r="A117" s="74" t="s">
        <v>72</v>
      </c>
      <c r="B117" s="47" t="s">
        <v>169</v>
      </c>
      <c r="C117" s="48">
        <v>2</v>
      </c>
      <c r="D117" s="47">
        <v>16.91</v>
      </c>
      <c r="E117" s="47">
        <v>20.62</v>
      </c>
      <c r="F117" s="10" t="s">
        <v>0</v>
      </c>
      <c r="G117" s="10" t="s">
        <v>0</v>
      </c>
      <c r="H117" s="10" t="s">
        <v>0</v>
      </c>
      <c r="I117" s="35" t="s">
        <v>0</v>
      </c>
      <c r="J117" s="10" t="s">
        <v>0</v>
      </c>
      <c r="K117" s="10" t="s">
        <v>0</v>
      </c>
      <c r="L117" s="10" t="s">
        <v>0</v>
      </c>
      <c r="M117" s="36" t="s">
        <v>0</v>
      </c>
      <c r="N117" s="35" t="s">
        <v>0</v>
      </c>
      <c r="O117" s="35">
        <v>1.4795</v>
      </c>
    </row>
    <row r="118" spans="1:15">
      <c r="A118" s="74" t="s">
        <v>73</v>
      </c>
      <c r="B118" s="47" t="s">
        <v>171</v>
      </c>
      <c r="C118" s="48">
        <v>2.375</v>
      </c>
      <c r="D118" s="47">
        <v>17.11</v>
      </c>
      <c r="E118" s="47">
        <v>21.59</v>
      </c>
      <c r="F118" s="10" t="s">
        <v>0</v>
      </c>
      <c r="G118" s="10" t="s">
        <v>0</v>
      </c>
      <c r="H118" s="10" t="s">
        <v>0</v>
      </c>
      <c r="I118" s="35" t="s">
        <v>0</v>
      </c>
      <c r="J118" s="10" t="s">
        <v>0</v>
      </c>
      <c r="K118" s="10" t="s">
        <v>0</v>
      </c>
      <c r="L118" s="10" t="s">
        <v>0</v>
      </c>
      <c r="M118" s="36" t="s">
        <v>0</v>
      </c>
      <c r="N118" s="35" t="s">
        <v>0</v>
      </c>
      <c r="O118" s="35">
        <v>1.4928999999999999</v>
      </c>
    </row>
    <row r="119" spans="1:15">
      <c r="A119" s="74" t="s">
        <v>326</v>
      </c>
      <c r="B119" s="47" t="s">
        <v>327</v>
      </c>
      <c r="C119" s="48">
        <v>1.375</v>
      </c>
      <c r="D119" s="47">
        <v>17.28</v>
      </c>
      <c r="E119" s="47">
        <v>19.940000000000001</v>
      </c>
      <c r="F119" s="10" t="s">
        <v>0</v>
      </c>
      <c r="G119" s="10" t="s">
        <v>0</v>
      </c>
      <c r="H119" s="10" t="s">
        <v>0</v>
      </c>
      <c r="I119" s="35" t="s">
        <v>0</v>
      </c>
      <c r="J119" s="10" t="s">
        <v>0</v>
      </c>
      <c r="K119" s="10" t="s">
        <v>0</v>
      </c>
      <c r="L119" s="10" t="s">
        <v>0</v>
      </c>
      <c r="M119" s="36" t="s">
        <v>0</v>
      </c>
      <c r="N119" s="35" t="s">
        <v>0</v>
      </c>
      <c r="O119" s="35">
        <v>1.4739</v>
      </c>
    </row>
    <row r="120" spans="1:15">
      <c r="A120" s="74" t="s">
        <v>74</v>
      </c>
      <c r="B120" s="47" t="s">
        <v>172</v>
      </c>
      <c r="C120" s="48">
        <v>2.25</v>
      </c>
      <c r="D120" s="47">
        <v>17.48</v>
      </c>
      <c r="E120" s="47">
        <v>21.82</v>
      </c>
      <c r="F120" s="10">
        <v>1.423</v>
      </c>
      <c r="G120" s="10">
        <v>1.423</v>
      </c>
      <c r="H120" s="10">
        <v>1.423</v>
      </c>
      <c r="I120" s="35">
        <v>10</v>
      </c>
      <c r="J120" s="10">
        <v>1.4219999999999999</v>
      </c>
      <c r="K120" s="10">
        <v>1.4219999999999999</v>
      </c>
      <c r="L120" s="10">
        <v>1.4219999999999999</v>
      </c>
      <c r="M120" s="36">
        <v>1</v>
      </c>
      <c r="N120" s="35">
        <v>10</v>
      </c>
      <c r="O120" s="35">
        <v>1.4986999999999999</v>
      </c>
    </row>
    <row r="121" spans="1:15">
      <c r="A121" s="74" t="s">
        <v>75</v>
      </c>
      <c r="B121" s="47" t="s">
        <v>173</v>
      </c>
      <c r="C121" s="48">
        <v>2</v>
      </c>
      <c r="D121" s="47">
        <v>18.37</v>
      </c>
      <c r="E121" s="47">
        <v>23.12</v>
      </c>
      <c r="F121" s="10" t="s">
        <v>0</v>
      </c>
      <c r="G121" s="10" t="s">
        <v>0</v>
      </c>
      <c r="H121" s="10" t="s">
        <v>0</v>
      </c>
      <c r="I121" s="35" t="s">
        <v>0</v>
      </c>
      <c r="J121" s="10" t="s">
        <v>0</v>
      </c>
      <c r="K121" s="10" t="s">
        <v>0</v>
      </c>
      <c r="L121" s="10" t="s">
        <v>0</v>
      </c>
      <c r="M121" s="36" t="s">
        <v>0</v>
      </c>
      <c r="N121" s="35" t="s">
        <v>0</v>
      </c>
      <c r="O121" s="35">
        <v>1.5256000000000001</v>
      </c>
    </row>
    <row r="122" spans="1:15">
      <c r="A122" s="74" t="s">
        <v>76</v>
      </c>
      <c r="B122" s="47" t="s">
        <v>174</v>
      </c>
      <c r="C122" s="48">
        <v>1.625</v>
      </c>
      <c r="D122" s="47">
        <v>18.72</v>
      </c>
      <c r="E122" s="47">
        <v>22.6</v>
      </c>
      <c r="F122" s="10" t="s">
        <v>0</v>
      </c>
      <c r="G122" s="10" t="s">
        <v>0</v>
      </c>
      <c r="H122" s="10" t="s">
        <v>0</v>
      </c>
      <c r="I122" s="35" t="s">
        <v>0</v>
      </c>
      <c r="J122" s="10" t="s">
        <v>0</v>
      </c>
      <c r="K122" s="10" t="s">
        <v>0</v>
      </c>
      <c r="L122" s="10" t="s">
        <v>0</v>
      </c>
      <c r="M122" s="36" t="s">
        <v>0</v>
      </c>
      <c r="N122" s="35" t="s">
        <v>0</v>
      </c>
      <c r="O122" s="35">
        <v>1.5214000000000001</v>
      </c>
    </row>
    <row r="123" spans="1:15">
      <c r="A123" s="74" t="s">
        <v>77</v>
      </c>
      <c r="B123" s="47" t="s">
        <v>175</v>
      </c>
      <c r="C123" s="48">
        <v>1.875</v>
      </c>
      <c r="D123" s="47">
        <v>19.03</v>
      </c>
      <c r="E123" s="47">
        <v>23.61</v>
      </c>
      <c r="F123" s="10" t="s">
        <v>0</v>
      </c>
      <c r="G123" s="10" t="s">
        <v>0</v>
      </c>
      <c r="H123" s="10" t="s">
        <v>0</v>
      </c>
      <c r="I123" s="35" t="s">
        <v>0</v>
      </c>
      <c r="J123" s="10" t="s">
        <v>0</v>
      </c>
      <c r="K123" s="10" t="s">
        <v>0</v>
      </c>
      <c r="L123" s="10" t="s">
        <v>0</v>
      </c>
      <c r="M123" s="36" t="s">
        <v>0</v>
      </c>
      <c r="N123" s="35" t="s">
        <v>0</v>
      </c>
      <c r="O123" s="35">
        <v>1.5365</v>
      </c>
    </row>
    <row r="124" spans="1:15">
      <c r="A124" s="74" t="s">
        <v>78</v>
      </c>
      <c r="B124" s="47" t="s">
        <v>176</v>
      </c>
      <c r="C124" s="48">
        <v>1.375</v>
      </c>
      <c r="D124" s="47">
        <v>19.32</v>
      </c>
      <c r="E124" s="47">
        <v>22.81</v>
      </c>
      <c r="F124" s="10" t="s">
        <v>0</v>
      </c>
      <c r="G124" s="10" t="s">
        <v>0</v>
      </c>
      <c r="H124" s="10" t="s">
        <v>0</v>
      </c>
      <c r="I124" s="35" t="s">
        <v>0</v>
      </c>
      <c r="J124" s="10" t="s">
        <v>0</v>
      </c>
      <c r="K124" s="10" t="s">
        <v>0</v>
      </c>
      <c r="L124" s="10" t="s">
        <v>0</v>
      </c>
      <c r="M124" s="36" t="s">
        <v>0</v>
      </c>
      <c r="N124" s="35" t="s">
        <v>0</v>
      </c>
      <c r="O124" s="35">
        <v>1.5293000000000001</v>
      </c>
    </row>
    <row r="125" spans="1:15">
      <c r="A125" s="74" t="s">
        <v>79</v>
      </c>
      <c r="B125" s="47" t="s">
        <v>177</v>
      </c>
      <c r="C125" s="48">
        <v>1.625</v>
      </c>
      <c r="D125" s="47">
        <v>19.59</v>
      </c>
      <c r="E125" s="47">
        <v>24.11</v>
      </c>
      <c r="F125" s="10" t="s">
        <v>0</v>
      </c>
      <c r="G125" s="10" t="s">
        <v>0</v>
      </c>
      <c r="H125" s="10" t="s">
        <v>0</v>
      </c>
      <c r="I125" s="35" t="s">
        <v>0</v>
      </c>
      <c r="J125" s="10" t="s">
        <v>0</v>
      </c>
      <c r="K125" s="10" t="s">
        <v>0</v>
      </c>
      <c r="L125" s="10" t="s">
        <v>0</v>
      </c>
      <c r="M125" s="36" t="s">
        <v>0</v>
      </c>
      <c r="N125" s="35" t="s">
        <v>0</v>
      </c>
      <c r="O125" s="35">
        <v>1.5495000000000001</v>
      </c>
    </row>
    <row r="126" spans="1:15">
      <c r="A126" s="74" t="s">
        <v>80</v>
      </c>
      <c r="B126" s="47" t="s">
        <v>178</v>
      </c>
      <c r="C126" s="48">
        <v>1.5</v>
      </c>
      <c r="D126" s="47">
        <v>20.27</v>
      </c>
      <c r="E126" s="47">
        <v>24.59</v>
      </c>
      <c r="F126" s="10" t="s">
        <v>0</v>
      </c>
      <c r="G126" s="10" t="s">
        <v>0</v>
      </c>
      <c r="H126" s="10" t="s">
        <v>0</v>
      </c>
      <c r="I126" s="35" t="s">
        <v>0</v>
      </c>
      <c r="J126" s="10" t="s">
        <v>0</v>
      </c>
      <c r="K126" s="10" t="s">
        <v>0</v>
      </c>
      <c r="L126" s="10" t="s">
        <v>0</v>
      </c>
      <c r="M126" s="36" t="s">
        <v>0</v>
      </c>
      <c r="N126" s="35" t="s">
        <v>0</v>
      </c>
      <c r="O126" s="35">
        <v>1.5605</v>
      </c>
    </row>
    <row r="127" spans="1:15">
      <c r="A127" s="74" t="s">
        <v>56</v>
      </c>
      <c r="B127" s="47" t="s">
        <v>179</v>
      </c>
      <c r="C127" s="48">
        <v>1.375</v>
      </c>
      <c r="D127" s="47">
        <v>20.67</v>
      </c>
      <c r="E127" s="47">
        <v>25.07</v>
      </c>
      <c r="F127" s="10" t="s">
        <v>0</v>
      </c>
      <c r="G127" s="10" t="s">
        <v>0</v>
      </c>
      <c r="H127" s="10" t="s">
        <v>0</v>
      </c>
      <c r="I127" s="35" t="s">
        <v>0</v>
      </c>
      <c r="J127" s="10" t="s">
        <v>0</v>
      </c>
      <c r="K127" s="10" t="s">
        <v>0</v>
      </c>
      <c r="L127" s="10" t="s">
        <v>0</v>
      </c>
      <c r="M127" s="36" t="s">
        <v>0</v>
      </c>
      <c r="N127" s="35" t="s">
        <v>0</v>
      </c>
      <c r="O127" s="35">
        <v>1.5717000000000001</v>
      </c>
    </row>
    <row r="128" spans="1:15">
      <c r="A128" s="74" t="s">
        <v>267</v>
      </c>
      <c r="B128" s="47" t="s">
        <v>264</v>
      </c>
      <c r="C128" s="48">
        <v>2.375</v>
      </c>
      <c r="D128" s="47">
        <v>21.25</v>
      </c>
      <c r="E128" s="47">
        <v>29.08</v>
      </c>
      <c r="F128" s="10" t="s">
        <v>0</v>
      </c>
      <c r="G128" s="10" t="s">
        <v>0</v>
      </c>
      <c r="H128" s="10" t="s">
        <v>0</v>
      </c>
      <c r="I128" s="35" t="s">
        <v>0</v>
      </c>
      <c r="J128" s="10" t="s">
        <v>0</v>
      </c>
      <c r="K128" s="10" t="s">
        <v>0</v>
      </c>
      <c r="L128" s="10" t="s">
        <v>0</v>
      </c>
      <c r="M128" s="36" t="s">
        <v>0</v>
      </c>
      <c r="N128" s="35" t="s">
        <v>0</v>
      </c>
      <c r="O128" s="35">
        <v>1.6214999999999999</v>
      </c>
    </row>
    <row r="129" spans="1:15">
      <c r="A129" s="74" t="s">
        <v>81</v>
      </c>
      <c r="B129" s="47" t="s">
        <v>180</v>
      </c>
      <c r="C129" s="48">
        <v>1.125</v>
      </c>
      <c r="D129" s="47">
        <v>21.71</v>
      </c>
      <c r="E129" s="47">
        <v>25.59</v>
      </c>
      <c r="F129" s="10" t="s">
        <v>0</v>
      </c>
      <c r="G129" s="10" t="s">
        <v>0</v>
      </c>
      <c r="H129" s="10" t="s">
        <v>0</v>
      </c>
      <c r="I129" s="35" t="s">
        <v>0</v>
      </c>
      <c r="J129" s="10" t="s">
        <v>0</v>
      </c>
      <c r="K129" s="10" t="s">
        <v>0</v>
      </c>
      <c r="L129" s="10" t="s">
        <v>0</v>
      </c>
      <c r="M129" s="36" t="s">
        <v>0</v>
      </c>
      <c r="N129" s="35" t="s">
        <v>0</v>
      </c>
      <c r="O129" s="35">
        <v>1.5863</v>
      </c>
    </row>
    <row r="130" spans="1:15">
      <c r="A130" s="74" t="s">
        <v>223</v>
      </c>
      <c r="B130" s="47" t="s">
        <v>222</v>
      </c>
      <c r="C130" s="48">
        <v>2</v>
      </c>
      <c r="D130" s="47">
        <v>21.84</v>
      </c>
      <c r="E130" s="47">
        <v>28.6</v>
      </c>
      <c r="F130" s="10" t="s">
        <v>0</v>
      </c>
      <c r="G130" s="10" t="s">
        <v>0</v>
      </c>
      <c r="H130" s="10" t="s">
        <v>0</v>
      </c>
      <c r="I130" s="35" t="s">
        <v>0</v>
      </c>
      <c r="J130" s="10" t="s">
        <v>0</v>
      </c>
      <c r="K130" s="10" t="s">
        <v>0</v>
      </c>
      <c r="L130" s="10" t="s">
        <v>0</v>
      </c>
      <c r="M130" s="36" t="s">
        <v>0</v>
      </c>
      <c r="N130" s="35" t="s">
        <v>0</v>
      </c>
      <c r="O130" s="35">
        <v>1.621</v>
      </c>
    </row>
    <row r="131" spans="1:15">
      <c r="A131" s="74" t="s">
        <v>50</v>
      </c>
      <c r="B131" s="47" t="s">
        <v>181</v>
      </c>
      <c r="C131" s="48">
        <v>1</v>
      </c>
      <c r="D131" s="47">
        <v>22.21</v>
      </c>
      <c r="E131" s="47">
        <v>26.07</v>
      </c>
      <c r="F131" s="10" t="s">
        <v>0</v>
      </c>
      <c r="G131" s="10" t="s">
        <v>0</v>
      </c>
      <c r="H131" s="10" t="s">
        <v>0</v>
      </c>
      <c r="I131" s="35" t="s">
        <v>0</v>
      </c>
      <c r="J131" s="10" t="s">
        <v>0</v>
      </c>
      <c r="K131" s="10" t="s">
        <v>0</v>
      </c>
      <c r="L131" s="10" t="s">
        <v>0</v>
      </c>
      <c r="M131" s="36" t="s">
        <v>0</v>
      </c>
      <c r="N131" s="35" t="s">
        <v>0</v>
      </c>
      <c r="O131" s="35">
        <v>1.5980000000000001</v>
      </c>
    </row>
    <row r="132" spans="1:15">
      <c r="A132" s="74" t="s">
        <v>252</v>
      </c>
      <c r="B132" s="47" t="s">
        <v>182</v>
      </c>
      <c r="C132" s="48">
        <v>0.75</v>
      </c>
      <c r="D132" s="47">
        <v>23.39</v>
      </c>
      <c r="E132" s="47">
        <v>26.58</v>
      </c>
      <c r="F132" s="10" t="s">
        <v>0</v>
      </c>
      <c r="G132" s="10" t="s">
        <v>0</v>
      </c>
      <c r="H132" s="10" t="s">
        <v>0</v>
      </c>
      <c r="I132" s="35" t="s">
        <v>0</v>
      </c>
      <c r="J132" s="10" t="s">
        <v>0</v>
      </c>
      <c r="K132" s="10" t="s">
        <v>0</v>
      </c>
      <c r="L132" s="10" t="s">
        <v>0</v>
      </c>
      <c r="M132" s="36" t="s">
        <v>0</v>
      </c>
      <c r="N132" s="35" t="s">
        <v>0</v>
      </c>
      <c r="O132" s="35">
        <v>1.6134999999999999</v>
      </c>
    </row>
    <row r="133" spans="1:15">
      <c r="A133" s="74" t="s">
        <v>253</v>
      </c>
      <c r="B133" s="47" t="s">
        <v>202</v>
      </c>
      <c r="C133" s="48">
        <v>1.125</v>
      </c>
      <c r="D133" s="47">
        <v>23.38</v>
      </c>
      <c r="E133" s="47">
        <v>28.19</v>
      </c>
      <c r="F133" s="10" t="s">
        <v>0</v>
      </c>
      <c r="G133" s="10" t="s">
        <v>0</v>
      </c>
      <c r="H133" s="10" t="s">
        <v>0</v>
      </c>
      <c r="I133" s="35" t="s">
        <v>0</v>
      </c>
      <c r="J133" s="10" t="s">
        <v>0</v>
      </c>
      <c r="K133" s="10" t="s">
        <v>0</v>
      </c>
      <c r="L133" s="10" t="s">
        <v>0</v>
      </c>
      <c r="M133" s="36" t="s">
        <v>0</v>
      </c>
      <c r="N133" s="35" t="s">
        <v>0</v>
      </c>
      <c r="O133" s="35">
        <v>1.6338999999999999</v>
      </c>
    </row>
    <row r="134" spans="1:15">
      <c r="A134" s="74" t="s">
        <v>328</v>
      </c>
      <c r="B134" s="47" t="s">
        <v>329</v>
      </c>
      <c r="C134" s="48">
        <v>1.5</v>
      </c>
      <c r="D134" s="47">
        <v>23.44</v>
      </c>
      <c r="E134" s="47">
        <v>29.58</v>
      </c>
      <c r="F134" s="10" t="s">
        <v>0</v>
      </c>
      <c r="G134" s="10" t="s">
        <v>0</v>
      </c>
      <c r="H134" s="10" t="s">
        <v>0</v>
      </c>
      <c r="I134" s="35" t="s">
        <v>0</v>
      </c>
      <c r="J134" s="10" t="s">
        <v>0</v>
      </c>
      <c r="K134" s="10" t="s">
        <v>0</v>
      </c>
      <c r="L134" s="10" t="s">
        <v>0</v>
      </c>
      <c r="M134" s="36" t="s">
        <v>0</v>
      </c>
      <c r="N134" s="35" t="s">
        <v>0</v>
      </c>
      <c r="O134" s="35">
        <v>1.6485000000000001</v>
      </c>
    </row>
    <row r="135" spans="1:15">
      <c r="A135" s="74" t="s">
        <v>638</v>
      </c>
      <c r="B135" s="47" t="s">
        <v>856</v>
      </c>
      <c r="C135" s="48">
        <v>1.5</v>
      </c>
      <c r="D135" s="47">
        <v>23.85</v>
      </c>
      <c r="E135" s="47">
        <v>30</v>
      </c>
      <c r="F135" s="10" t="s">
        <v>0</v>
      </c>
      <c r="G135" s="10" t="s">
        <v>0</v>
      </c>
      <c r="H135" s="10" t="s">
        <v>0</v>
      </c>
      <c r="I135" s="35" t="s">
        <v>0</v>
      </c>
      <c r="J135" s="10" t="s">
        <v>0</v>
      </c>
      <c r="K135" s="10" t="s">
        <v>0</v>
      </c>
      <c r="L135" s="10" t="s">
        <v>0</v>
      </c>
      <c r="M135" s="36" t="s">
        <v>0</v>
      </c>
      <c r="N135" s="35" t="s">
        <v>0</v>
      </c>
      <c r="O135" s="35">
        <v>1.6557999999999999</v>
      </c>
    </row>
    <row r="136" spans="1:15">
      <c r="A136" s="74" t="s">
        <v>254</v>
      </c>
      <c r="B136" s="47" t="s">
        <v>184</v>
      </c>
      <c r="C136" s="48">
        <v>0.625</v>
      </c>
      <c r="D136" s="47">
        <v>24.34</v>
      </c>
      <c r="E136" s="47">
        <v>27.37</v>
      </c>
      <c r="F136" s="10" t="s">
        <v>0</v>
      </c>
      <c r="G136" s="10" t="s">
        <v>0</v>
      </c>
      <c r="H136" s="10" t="s">
        <v>0</v>
      </c>
      <c r="I136" s="35" t="s">
        <v>0</v>
      </c>
      <c r="J136" s="10" t="s">
        <v>0</v>
      </c>
      <c r="K136" s="10" t="s">
        <v>0</v>
      </c>
      <c r="L136" s="10" t="s">
        <v>0</v>
      </c>
      <c r="M136" s="36" t="s">
        <v>0</v>
      </c>
      <c r="N136" s="35" t="s">
        <v>0</v>
      </c>
      <c r="O136" s="35">
        <v>1.6318999999999999</v>
      </c>
    </row>
    <row r="137" spans="1:15">
      <c r="A137" s="75" t="s">
        <v>255</v>
      </c>
      <c r="B137" s="47" t="s">
        <v>183</v>
      </c>
      <c r="C137" s="48">
        <v>0.375</v>
      </c>
      <c r="D137" s="47">
        <v>25.01</v>
      </c>
      <c r="E137" s="47">
        <v>27.12</v>
      </c>
      <c r="F137" s="10" t="s">
        <v>0</v>
      </c>
      <c r="G137" s="10" t="s">
        <v>0</v>
      </c>
      <c r="H137" s="10" t="s">
        <v>0</v>
      </c>
      <c r="I137" s="35" t="s">
        <v>0</v>
      </c>
      <c r="J137" s="10" t="s">
        <v>0</v>
      </c>
      <c r="K137" s="10" t="s">
        <v>0</v>
      </c>
      <c r="L137" s="10" t="s">
        <v>0</v>
      </c>
      <c r="M137" s="36" t="s">
        <v>0</v>
      </c>
      <c r="N137" s="35" t="s">
        <v>0</v>
      </c>
      <c r="O137" s="35">
        <v>1.6342000000000001</v>
      </c>
    </row>
    <row r="138" spans="1:15">
      <c r="A138" s="12" t="s">
        <v>1139</v>
      </c>
      <c r="B138" s="14" t="s">
        <v>1140</v>
      </c>
      <c r="C138" s="12" t="s">
        <v>268</v>
      </c>
      <c r="D138" s="15">
        <v>1.42</v>
      </c>
      <c r="E138" s="15">
        <v>1.44</v>
      </c>
      <c r="F138" s="10" t="s">
        <v>0</v>
      </c>
      <c r="G138" s="10" t="s">
        <v>0</v>
      </c>
      <c r="H138" s="10" t="s">
        <v>0</v>
      </c>
      <c r="I138" s="35" t="s">
        <v>0</v>
      </c>
      <c r="J138" s="10">
        <v>1.5349999999999999</v>
      </c>
      <c r="K138" s="10">
        <v>1.5249999999999999</v>
      </c>
      <c r="L138" s="10">
        <v>1.5316000000000001</v>
      </c>
      <c r="M138" s="36">
        <v>3</v>
      </c>
      <c r="N138" s="35">
        <v>6</v>
      </c>
      <c r="O138" s="35" t="e">
        <v>#N/A</v>
      </c>
    </row>
    <row r="139" spans="1:15">
      <c r="A139" s="12" t="s">
        <v>1141</v>
      </c>
      <c r="B139" s="14" t="s">
        <v>1142</v>
      </c>
      <c r="C139" s="12" t="s">
        <v>268</v>
      </c>
      <c r="D139" s="15">
        <v>0.5</v>
      </c>
      <c r="E139" s="15">
        <v>0.51</v>
      </c>
      <c r="F139" s="10" t="s">
        <v>0</v>
      </c>
      <c r="G139" s="10" t="s">
        <v>0</v>
      </c>
      <c r="H139" s="10" t="s">
        <v>0</v>
      </c>
      <c r="I139" s="35" t="s">
        <v>0</v>
      </c>
      <c r="J139" s="10">
        <v>1.56</v>
      </c>
      <c r="K139" s="10">
        <v>1.55</v>
      </c>
      <c r="L139" s="10">
        <v>1.5566</v>
      </c>
      <c r="M139" s="36">
        <v>3</v>
      </c>
      <c r="N139" s="35">
        <v>3</v>
      </c>
      <c r="O139" s="35" t="e">
        <v>#N/A</v>
      </c>
    </row>
    <row r="140" spans="1:15">
      <c r="A140" s="12" t="s">
        <v>1143</v>
      </c>
      <c r="B140" s="14" t="s">
        <v>1144</v>
      </c>
      <c r="C140" s="12" t="s">
        <v>268</v>
      </c>
      <c r="D140" s="15">
        <v>4.75</v>
      </c>
      <c r="E140" s="15">
        <v>5</v>
      </c>
      <c r="F140" s="10" t="s">
        <v>0</v>
      </c>
      <c r="G140" s="10" t="s">
        <v>0</v>
      </c>
      <c r="H140" s="10" t="s">
        <v>0</v>
      </c>
      <c r="I140" s="35" t="s">
        <v>0</v>
      </c>
      <c r="J140" s="10">
        <v>1.75</v>
      </c>
      <c r="K140" s="10">
        <v>1.75</v>
      </c>
      <c r="L140" s="10">
        <v>1.75</v>
      </c>
      <c r="M140" s="36">
        <v>4</v>
      </c>
      <c r="N140" s="35">
        <v>6</v>
      </c>
      <c r="O140" s="35" t="e">
        <v>#N/A</v>
      </c>
    </row>
    <row r="141" spans="1:15">
      <c r="A141" s="12" t="s">
        <v>1145</v>
      </c>
      <c r="B141" s="14" t="s">
        <v>1146</v>
      </c>
      <c r="C141" s="12" t="s">
        <v>268</v>
      </c>
      <c r="D141" s="15">
        <v>8.23</v>
      </c>
      <c r="E141" s="15">
        <v>10</v>
      </c>
      <c r="F141" s="10" t="s">
        <v>0</v>
      </c>
      <c r="G141" s="10" t="s">
        <v>0</v>
      </c>
      <c r="H141" s="10" t="s">
        <v>0</v>
      </c>
      <c r="I141" s="35" t="s">
        <v>0</v>
      </c>
      <c r="J141" s="10">
        <v>3.7</v>
      </c>
      <c r="K141" s="10">
        <v>3.7</v>
      </c>
      <c r="L141" s="10">
        <v>3.7</v>
      </c>
      <c r="M141" s="36">
        <v>23</v>
      </c>
      <c r="N141" s="35">
        <v>26</v>
      </c>
      <c r="O141" s="35" t="e">
        <v>#N/A</v>
      </c>
    </row>
    <row r="142" spans="1:15">
      <c r="A142" s="12" t="s">
        <v>1147</v>
      </c>
      <c r="B142" s="14" t="s">
        <v>1148</v>
      </c>
      <c r="C142" s="12" t="s">
        <v>268</v>
      </c>
      <c r="D142" s="15">
        <v>11.24</v>
      </c>
      <c r="E142" s="15">
        <v>15</v>
      </c>
      <c r="F142" s="10" t="s">
        <v>0</v>
      </c>
      <c r="G142" s="10" t="s">
        <v>0</v>
      </c>
      <c r="H142" s="10" t="s">
        <v>0</v>
      </c>
      <c r="I142" s="35" t="s">
        <v>0</v>
      </c>
      <c r="J142" s="10">
        <v>3.85</v>
      </c>
      <c r="K142" s="10">
        <v>3.85</v>
      </c>
      <c r="L142" s="10">
        <v>3.85</v>
      </c>
      <c r="M142" s="36">
        <v>12</v>
      </c>
      <c r="N142" s="35">
        <v>29.59</v>
      </c>
      <c r="O142" s="35" t="e">
        <v>#N/A</v>
      </c>
    </row>
    <row r="143" spans="1:15">
      <c r="A143" s="12" t="s">
        <v>1149</v>
      </c>
      <c r="B143" s="14" t="s">
        <v>1150</v>
      </c>
      <c r="C143" s="12" t="s">
        <v>1151</v>
      </c>
      <c r="D143" s="15">
        <v>0</v>
      </c>
      <c r="E143" s="15">
        <v>0.69</v>
      </c>
      <c r="F143" s="10" t="s">
        <v>0</v>
      </c>
      <c r="G143" s="10" t="s">
        <v>0</v>
      </c>
      <c r="H143" s="10" t="s">
        <v>0</v>
      </c>
      <c r="I143" s="35" t="s">
        <v>0</v>
      </c>
      <c r="J143" s="10" t="s">
        <v>330</v>
      </c>
      <c r="K143" s="10" t="s">
        <v>330</v>
      </c>
      <c r="L143" s="10" t="s">
        <v>330</v>
      </c>
      <c r="M143" s="36">
        <v>2</v>
      </c>
      <c r="N143" s="35">
        <v>2.0000000000000001E-4</v>
      </c>
      <c r="O143" s="35" t="e">
        <v>#N/A</v>
      </c>
    </row>
    <row r="144" spans="1:15">
      <c r="A144" s="12" t="s">
        <v>1152</v>
      </c>
      <c r="B144" s="14" t="s">
        <v>1153</v>
      </c>
      <c r="C144" s="12" t="s">
        <v>1034</v>
      </c>
      <c r="D144" s="15">
        <v>0</v>
      </c>
      <c r="E144" s="15">
        <v>5</v>
      </c>
      <c r="F144" s="10" t="s">
        <v>0</v>
      </c>
      <c r="G144" s="10" t="s">
        <v>0</v>
      </c>
      <c r="H144" s="10" t="s">
        <v>0</v>
      </c>
      <c r="I144" s="35" t="s">
        <v>0</v>
      </c>
      <c r="J144" s="10" t="s">
        <v>330</v>
      </c>
      <c r="K144" s="10" t="s">
        <v>330</v>
      </c>
      <c r="L144" s="10" t="s">
        <v>330</v>
      </c>
      <c r="M144" s="36">
        <v>2</v>
      </c>
      <c r="N144" s="35">
        <v>0.6</v>
      </c>
      <c r="O144" s="35"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6">
    <pageSetUpPr fitToPage="1"/>
  </sheetPr>
  <dimension ref="A1:T147"/>
  <sheetViews>
    <sheetView zoomScale="90" workbookViewId="0">
      <pane xSplit="1" ySplit="3" topLeftCell="B4" activePane="bottomRight" state="frozen"/>
      <selection sqref="A1:IV65536"/>
      <selection pane="topRight" sqref="A1:IV65536"/>
      <selection pane="bottomLeft" sqref="A1:IV65536"/>
      <selection pane="bottomRight" activeCell="A142" sqref="A142:IV142"/>
    </sheetView>
  </sheetViews>
  <sheetFormatPr defaultRowHeight="16.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40" customWidth="1"/>
    <col min="18" max="18" width="8.625" style="40" customWidth="1"/>
    <col min="19" max="19" width="11.375" style="43" bestFit="1" customWidth="1"/>
    <col min="20" max="20" width="11.25" style="43"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c r="F1" s="107" t="s">
        <v>1154</v>
      </c>
      <c r="G1" s="108"/>
      <c r="H1" s="108"/>
      <c r="I1" s="109"/>
      <c r="J1" s="107" t="s">
        <v>1155</v>
      </c>
      <c r="K1" s="108"/>
      <c r="L1" s="108"/>
      <c r="M1" s="108"/>
      <c r="N1" s="109"/>
      <c r="O1" s="8" t="s">
        <v>1156</v>
      </c>
      <c r="Q1" s="110" t="s">
        <v>1157</v>
      </c>
      <c r="R1" s="111"/>
      <c r="S1" s="111"/>
      <c r="T1" s="111"/>
    </row>
    <row r="2" spans="1:20" ht="28.5">
      <c r="D2" s="24" t="s">
        <v>1158</v>
      </c>
      <c r="E2" s="24" t="s">
        <v>1159</v>
      </c>
      <c r="F2" s="112" t="s">
        <v>1160</v>
      </c>
      <c r="G2" s="113"/>
      <c r="H2" s="113"/>
      <c r="I2" s="25" t="s">
        <v>1161</v>
      </c>
      <c r="J2" s="112" t="s">
        <v>1162</v>
      </c>
      <c r="K2" s="113"/>
      <c r="L2" s="113"/>
      <c r="M2" s="25" t="s">
        <v>1163</v>
      </c>
      <c r="N2" s="25" t="s">
        <v>1164</v>
      </c>
      <c r="O2" s="114" t="s">
        <v>1165</v>
      </c>
      <c r="Q2" s="26" t="s">
        <v>1166</v>
      </c>
      <c r="R2" s="27"/>
      <c r="S2" s="28"/>
      <c r="T2" s="28"/>
    </row>
    <row r="3" spans="1:20" ht="45.75">
      <c r="B3" s="8" t="s">
        <v>1167</v>
      </c>
      <c r="C3" s="8" t="s">
        <v>1168</v>
      </c>
      <c r="D3" s="9" t="s">
        <v>98</v>
      </c>
      <c r="E3" s="9" t="s">
        <v>299</v>
      </c>
      <c r="F3" s="29" t="s">
        <v>1169</v>
      </c>
      <c r="G3" s="29" t="s">
        <v>1170</v>
      </c>
      <c r="H3" s="29" t="s">
        <v>1171</v>
      </c>
      <c r="I3" s="30" t="s">
        <v>1172</v>
      </c>
      <c r="J3" s="29" t="s">
        <v>1173</v>
      </c>
      <c r="K3" s="29" t="s">
        <v>1170</v>
      </c>
      <c r="L3" s="29" t="s">
        <v>1174</v>
      </c>
      <c r="M3" s="31" t="s">
        <v>301</v>
      </c>
      <c r="N3" s="30" t="s">
        <v>1175</v>
      </c>
      <c r="O3" s="114"/>
      <c r="Q3" s="32" t="s">
        <v>1176</v>
      </c>
      <c r="R3" s="33" t="s">
        <v>302</v>
      </c>
      <c r="S3" s="34" t="s">
        <v>1177</v>
      </c>
      <c r="T3" s="34" t="s">
        <v>303</v>
      </c>
    </row>
    <row r="4" spans="1:20">
      <c r="A4" s="74" t="s">
        <v>36</v>
      </c>
      <c r="B4" s="47" t="s">
        <v>304</v>
      </c>
      <c r="C4" s="48">
        <v>0.75</v>
      </c>
      <c r="D4" s="47">
        <v>0.1</v>
      </c>
      <c r="E4" s="47">
        <v>0.11</v>
      </c>
      <c r="F4" s="10" t="s">
        <v>0</v>
      </c>
      <c r="G4" s="10" t="s">
        <v>0</v>
      </c>
      <c r="H4" s="10" t="s">
        <v>0</v>
      </c>
      <c r="I4" s="35" t="s">
        <v>0</v>
      </c>
      <c r="J4" s="10" t="s">
        <v>0</v>
      </c>
      <c r="K4" s="10" t="s">
        <v>0</v>
      </c>
      <c r="L4" s="10" t="s">
        <v>0</v>
      </c>
      <c r="M4" s="36" t="s">
        <v>0</v>
      </c>
      <c r="N4" s="35" t="s">
        <v>0</v>
      </c>
      <c r="O4" s="35">
        <v>0.90100000000000002</v>
      </c>
      <c r="Q4" s="37" t="s">
        <v>66</v>
      </c>
      <c r="R4" s="37" t="s">
        <v>1178</v>
      </c>
      <c r="S4" s="38">
        <v>1050000000</v>
      </c>
      <c r="T4" s="38">
        <v>500000000</v>
      </c>
    </row>
    <row r="5" spans="1:20">
      <c r="A5" s="74" t="s">
        <v>27</v>
      </c>
      <c r="B5" s="47" t="s">
        <v>305</v>
      </c>
      <c r="C5" s="48">
        <v>0.625</v>
      </c>
      <c r="D5" s="47">
        <v>0.24</v>
      </c>
      <c r="E5" s="47">
        <v>0.25</v>
      </c>
      <c r="F5" s="10">
        <v>0.89500000000000002</v>
      </c>
      <c r="G5" s="10">
        <v>0.89500000000000002</v>
      </c>
      <c r="H5" s="10">
        <v>0.89500000000000002</v>
      </c>
      <c r="I5" s="35">
        <v>4</v>
      </c>
      <c r="J5" s="10">
        <v>0.90500000000000003</v>
      </c>
      <c r="K5" s="10">
        <v>0.90500000000000003</v>
      </c>
      <c r="L5" s="10">
        <v>0.90500000000000003</v>
      </c>
      <c r="M5" s="36">
        <v>2</v>
      </c>
      <c r="N5" s="35">
        <v>4</v>
      </c>
      <c r="O5" s="35">
        <v>0.90100000000000002</v>
      </c>
      <c r="Q5" s="12" t="s">
        <v>0</v>
      </c>
      <c r="R5" s="12" t="s">
        <v>1179</v>
      </c>
      <c r="S5" s="39">
        <v>0</v>
      </c>
      <c r="T5" s="39">
        <v>550000000</v>
      </c>
    </row>
    <row r="6" spans="1:20">
      <c r="A6" s="74" t="s">
        <v>9</v>
      </c>
      <c r="B6" s="47" t="s">
        <v>306</v>
      </c>
      <c r="C6" s="48">
        <v>3</v>
      </c>
      <c r="D6" s="47">
        <v>0.32</v>
      </c>
      <c r="E6" s="47">
        <v>0.32</v>
      </c>
      <c r="F6" s="10" t="s">
        <v>0</v>
      </c>
      <c r="G6" s="10" t="s">
        <v>0</v>
      </c>
      <c r="H6" s="10" t="s">
        <v>0</v>
      </c>
      <c r="I6" s="35" t="s">
        <v>0</v>
      </c>
      <c r="J6" s="10" t="s">
        <v>0</v>
      </c>
      <c r="K6" s="10" t="s">
        <v>0</v>
      </c>
      <c r="L6" s="10" t="s">
        <v>0</v>
      </c>
      <c r="M6" s="36" t="s">
        <v>0</v>
      </c>
      <c r="N6" s="35" t="s">
        <v>0</v>
      </c>
      <c r="O6" s="35">
        <v>0.90580000000000005</v>
      </c>
      <c r="Q6" s="37" t="s">
        <v>27</v>
      </c>
      <c r="R6" s="37" t="s">
        <v>1180</v>
      </c>
      <c r="S6" s="38">
        <v>400000000</v>
      </c>
      <c r="T6" s="38">
        <v>0</v>
      </c>
    </row>
    <row r="7" spans="1:20">
      <c r="A7" s="74" t="s">
        <v>51</v>
      </c>
      <c r="B7" s="47" t="s">
        <v>307</v>
      </c>
      <c r="C7" s="48">
        <v>1.5</v>
      </c>
      <c r="D7" s="47">
        <v>0.37</v>
      </c>
      <c r="E7" s="47">
        <v>0.38</v>
      </c>
      <c r="F7" s="10" t="s">
        <v>0</v>
      </c>
      <c r="G7" s="10" t="s">
        <v>0</v>
      </c>
      <c r="H7" s="10" t="s">
        <v>0</v>
      </c>
      <c r="I7" s="35" t="s">
        <v>0</v>
      </c>
      <c r="J7" s="10" t="s">
        <v>0</v>
      </c>
      <c r="K7" s="10" t="s">
        <v>0</v>
      </c>
      <c r="L7" s="10" t="s">
        <v>0</v>
      </c>
      <c r="M7" s="36" t="s">
        <v>0</v>
      </c>
      <c r="N7" s="35" t="s">
        <v>0</v>
      </c>
      <c r="O7" s="35">
        <v>0.91020000000000001</v>
      </c>
      <c r="Q7" s="12" t="s">
        <v>0</v>
      </c>
      <c r="R7" s="12" t="s">
        <v>1181</v>
      </c>
      <c r="S7" s="39">
        <v>0</v>
      </c>
      <c r="T7" s="39">
        <v>400000000</v>
      </c>
    </row>
    <row r="8" spans="1:20">
      <c r="A8" s="74" t="s">
        <v>229</v>
      </c>
      <c r="B8" s="47" t="s">
        <v>309</v>
      </c>
      <c r="C8" s="48">
        <v>0.75</v>
      </c>
      <c r="D8" s="47">
        <v>0.45</v>
      </c>
      <c r="E8" s="47">
        <v>0.46</v>
      </c>
      <c r="F8" s="10" t="s">
        <v>0</v>
      </c>
      <c r="G8" s="10" t="s">
        <v>0</v>
      </c>
      <c r="H8" s="10" t="s">
        <v>0</v>
      </c>
      <c r="I8" s="35" t="s">
        <v>0</v>
      </c>
      <c r="J8" s="10" t="s">
        <v>0</v>
      </c>
      <c r="K8" s="10" t="s">
        <v>0</v>
      </c>
      <c r="L8" s="10" t="s">
        <v>0</v>
      </c>
      <c r="M8" s="36" t="s">
        <v>0</v>
      </c>
      <c r="N8" s="35" t="s">
        <v>0</v>
      </c>
      <c r="O8" s="35">
        <v>0.91639999999999999</v>
      </c>
      <c r="Q8" s="37" t="s">
        <v>219</v>
      </c>
      <c r="R8" s="37" t="s">
        <v>1180</v>
      </c>
      <c r="S8" s="38">
        <v>200000000</v>
      </c>
      <c r="T8" s="38">
        <v>200000000</v>
      </c>
    </row>
    <row r="9" spans="1:20">
      <c r="A9" s="74" t="s">
        <v>5</v>
      </c>
      <c r="B9" s="47" t="s">
        <v>310</v>
      </c>
      <c r="C9" s="48">
        <v>0.5</v>
      </c>
      <c r="D9" s="47">
        <v>0.74</v>
      </c>
      <c r="E9" s="47">
        <v>0.76</v>
      </c>
      <c r="F9" s="10" t="s">
        <v>0</v>
      </c>
      <c r="G9" s="10" t="s">
        <v>0</v>
      </c>
      <c r="H9" s="10" t="s">
        <v>0</v>
      </c>
      <c r="I9" s="35" t="s">
        <v>0</v>
      </c>
      <c r="J9" s="10" t="s">
        <v>0</v>
      </c>
      <c r="K9" s="10" t="s">
        <v>0</v>
      </c>
      <c r="L9" s="10" t="s">
        <v>0</v>
      </c>
      <c r="M9" s="36" t="s">
        <v>0</v>
      </c>
      <c r="N9" s="35" t="s">
        <v>0</v>
      </c>
      <c r="O9" s="35">
        <v>0.94230000000000003</v>
      </c>
      <c r="Q9" s="37" t="s">
        <v>261</v>
      </c>
      <c r="R9" s="37" t="s">
        <v>1178</v>
      </c>
      <c r="S9" s="38">
        <v>100000000</v>
      </c>
      <c r="T9" s="38">
        <v>100000000</v>
      </c>
    </row>
    <row r="10" spans="1:20">
      <c r="A10" s="74" t="s">
        <v>41</v>
      </c>
      <c r="B10" s="47" t="s">
        <v>312</v>
      </c>
      <c r="C10" s="48">
        <v>1.625</v>
      </c>
      <c r="D10" s="47">
        <v>0.93</v>
      </c>
      <c r="E10" s="47">
        <v>0.95</v>
      </c>
      <c r="F10" s="10" t="s">
        <v>0</v>
      </c>
      <c r="G10" s="10" t="s">
        <v>0</v>
      </c>
      <c r="H10" s="10" t="s">
        <v>0</v>
      </c>
      <c r="I10" s="35" t="s">
        <v>0</v>
      </c>
      <c r="J10" s="10" t="s">
        <v>0</v>
      </c>
      <c r="K10" s="10" t="s">
        <v>0</v>
      </c>
      <c r="L10" s="10" t="s">
        <v>0</v>
      </c>
      <c r="M10" s="36" t="s">
        <v>0</v>
      </c>
      <c r="N10" s="35" t="s">
        <v>0</v>
      </c>
      <c r="O10" s="35">
        <v>0.96</v>
      </c>
      <c r="Q10" s="37" t="s">
        <v>273</v>
      </c>
      <c r="R10" s="37" t="s">
        <v>1178</v>
      </c>
      <c r="S10" s="38">
        <v>200000000</v>
      </c>
      <c r="T10" s="38">
        <v>200000000</v>
      </c>
    </row>
    <row r="11" spans="1:20">
      <c r="A11" s="74" t="s">
        <v>10</v>
      </c>
      <c r="B11" s="47" t="s">
        <v>313</v>
      </c>
      <c r="C11" s="48">
        <v>3</v>
      </c>
      <c r="D11" s="47">
        <v>1.05</v>
      </c>
      <c r="E11" s="47">
        <v>1.1000000000000001</v>
      </c>
      <c r="F11" s="10" t="s">
        <v>0</v>
      </c>
      <c r="G11" s="10" t="s">
        <v>0</v>
      </c>
      <c r="H11" s="10" t="s">
        <v>0</v>
      </c>
      <c r="I11" s="35" t="s">
        <v>0</v>
      </c>
      <c r="J11" s="10" t="s">
        <v>0</v>
      </c>
      <c r="K11" s="10" t="s">
        <v>0</v>
      </c>
      <c r="L11" s="10" t="s">
        <v>0</v>
      </c>
      <c r="M11" s="36" t="s">
        <v>0</v>
      </c>
      <c r="N11" s="35" t="s">
        <v>0</v>
      </c>
      <c r="O11" s="35">
        <v>0.97330000000000005</v>
      </c>
      <c r="Q11" s="37" t="s">
        <v>537</v>
      </c>
      <c r="R11" s="37" t="s">
        <v>1180</v>
      </c>
      <c r="S11" s="38">
        <v>0</v>
      </c>
      <c r="T11" s="38">
        <v>50000000</v>
      </c>
    </row>
    <row r="12" spans="1:20">
      <c r="A12" s="74" t="s">
        <v>227</v>
      </c>
      <c r="B12" s="47" t="s">
        <v>314</v>
      </c>
      <c r="C12" s="48">
        <v>0.5</v>
      </c>
      <c r="D12" s="47">
        <v>1.22</v>
      </c>
      <c r="E12" s="47">
        <v>1.24</v>
      </c>
      <c r="F12" s="10" t="s">
        <v>0</v>
      </c>
      <c r="G12" s="10" t="s">
        <v>0</v>
      </c>
      <c r="H12" s="10" t="s">
        <v>0</v>
      </c>
      <c r="I12" s="35" t="s">
        <v>0</v>
      </c>
      <c r="J12" s="10" t="s">
        <v>0</v>
      </c>
      <c r="K12" s="10" t="s">
        <v>0</v>
      </c>
      <c r="L12" s="10" t="s">
        <v>0</v>
      </c>
      <c r="M12" s="36" t="s">
        <v>0</v>
      </c>
      <c r="N12" s="35" t="s">
        <v>0</v>
      </c>
      <c r="O12" s="35">
        <v>0.98680000000000001</v>
      </c>
      <c r="Q12" s="12" t="s">
        <v>0</v>
      </c>
      <c r="R12" s="12" t="s">
        <v>1179</v>
      </c>
      <c r="S12" s="39">
        <v>150000000</v>
      </c>
      <c r="T12" s="39">
        <v>100000000</v>
      </c>
    </row>
    <row r="13" spans="1:20">
      <c r="A13" s="74" t="s">
        <v>7</v>
      </c>
      <c r="B13" s="47" t="s">
        <v>315</v>
      </c>
      <c r="C13" s="48">
        <v>2.375</v>
      </c>
      <c r="D13" s="47">
        <v>1.32</v>
      </c>
      <c r="E13" s="47">
        <v>1.37</v>
      </c>
      <c r="F13" s="10" t="s">
        <v>0</v>
      </c>
      <c r="G13" s="10" t="s">
        <v>0</v>
      </c>
      <c r="H13" s="10" t="s">
        <v>0</v>
      </c>
      <c r="I13" s="35" t="s">
        <v>0</v>
      </c>
      <c r="J13" s="10" t="s">
        <v>0</v>
      </c>
      <c r="K13" s="10" t="s">
        <v>0</v>
      </c>
      <c r="L13" s="10" t="s">
        <v>0</v>
      </c>
      <c r="M13" s="36" t="s">
        <v>0</v>
      </c>
      <c r="N13" s="35" t="s">
        <v>0</v>
      </c>
      <c r="O13" s="35">
        <v>0.99780000000000002</v>
      </c>
      <c r="Q13" s="37" t="s">
        <v>19</v>
      </c>
      <c r="R13" s="37" t="s">
        <v>1180</v>
      </c>
      <c r="S13" s="38">
        <v>800000000</v>
      </c>
      <c r="T13" s="38">
        <v>0</v>
      </c>
    </row>
    <row r="14" spans="1:20">
      <c r="A14" s="74" t="s">
        <v>269</v>
      </c>
      <c r="B14" s="47" t="s">
        <v>316</v>
      </c>
      <c r="C14" s="48">
        <v>1</v>
      </c>
      <c r="D14" s="47">
        <v>1.33</v>
      </c>
      <c r="E14" s="47">
        <v>1.36</v>
      </c>
      <c r="F14" s="10" t="s">
        <v>0</v>
      </c>
      <c r="G14" s="10" t="s">
        <v>0</v>
      </c>
      <c r="H14" s="10" t="s">
        <v>0</v>
      </c>
      <c r="I14" s="35" t="s">
        <v>0</v>
      </c>
      <c r="J14" s="10" t="s">
        <v>0</v>
      </c>
      <c r="K14" s="10" t="s">
        <v>0</v>
      </c>
      <c r="L14" s="10" t="s">
        <v>0</v>
      </c>
      <c r="M14" s="36" t="s">
        <v>0</v>
      </c>
      <c r="N14" s="35" t="s">
        <v>0</v>
      </c>
      <c r="O14" s="35">
        <v>0.99760000000000004</v>
      </c>
      <c r="Q14" s="12" t="s">
        <v>0</v>
      </c>
      <c r="R14" s="12" t="s">
        <v>1179</v>
      </c>
      <c r="S14" s="39">
        <v>300000000</v>
      </c>
      <c r="T14" s="39">
        <v>1100000000</v>
      </c>
    </row>
    <row r="15" spans="1:20">
      <c r="A15" s="74" t="s">
        <v>31</v>
      </c>
      <c r="B15" s="47" t="s">
        <v>317</v>
      </c>
      <c r="C15" s="48">
        <v>1.625</v>
      </c>
      <c r="D15" s="47">
        <v>1.37</v>
      </c>
      <c r="E15" s="47">
        <v>1.41</v>
      </c>
      <c r="F15" s="10" t="s">
        <v>0</v>
      </c>
      <c r="G15" s="10" t="s">
        <v>0</v>
      </c>
      <c r="H15" s="10" t="s">
        <v>0</v>
      </c>
      <c r="I15" s="35" t="s">
        <v>0</v>
      </c>
      <c r="J15" s="10" t="s">
        <v>0</v>
      </c>
      <c r="K15" s="10" t="s">
        <v>0</v>
      </c>
      <c r="L15" s="10" t="s">
        <v>0</v>
      </c>
      <c r="M15" s="36" t="s">
        <v>0</v>
      </c>
      <c r="N15" s="35" t="s">
        <v>0</v>
      </c>
      <c r="O15" s="35">
        <v>1.002</v>
      </c>
      <c r="Q15" s="37" t="s">
        <v>1182</v>
      </c>
      <c r="R15" s="37" t="s">
        <v>1180</v>
      </c>
      <c r="S15" s="38">
        <v>350000000</v>
      </c>
      <c r="T15" s="38">
        <v>0</v>
      </c>
    </row>
    <row r="16" spans="1:20">
      <c r="A16" s="74" t="s">
        <v>230</v>
      </c>
      <c r="B16" s="47" t="s">
        <v>318</v>
      </c>
      <c r="C16" s="48">
        <v>0.25</v>
      </c>
      <c r="D16" s="47">
        <v>1.73</v>
      </c>
      <c r="E16" s="47">
        <v>1.76</v>
      </c>
      <c r="F16" s="10" t="s">
        <v>0</v>
      </c>
      <c r="G16" s="10" t="s">
        <v>0</v>
      </c>
      <c r="H16" s="10" t="s">
        <v>0</v>
      </c>
      <c r="I16" s="35" t="s">
        <v>0</v>
      </c>
      <c r="J16" s="10" t="s">
        <v>0</v>
      </c>
      <c r="K16" s="10" t="s">
        <v>0</v>
      </c>
      <c r="L16" s="10" t="s">
        <v>0</v>
      </c>
      <c r="M16" s="36" t="s">
        <v>0</v>
      </c>
      <c r="N16" s="35" t="s">
        <v>0</v>
      </c>
      <c r="O16" s="35">
        <v>1.0324</v>
      </c>
      <c r="Q16" s="12" t="s">
        <v>0</v>
      </c>
      <c r="R16" s="12" t="s">
        <v>1181</v>
      </c>
      <c r="S16" s="39">
        <v>0</v>
      </c>
      <c r="T16" s="39">
        <v>350000000</v>
      </c>
    </row>
    <row r="17" spans="1:20">
      <c r="A17" s="74" t="s">
        <v>37</v>
      </c>
      <c r="B17" s="47" t="s">
        <v>319</v>
      </c>
      <c r="C17" s="48">
        <v>1.125</v>
      </c>
      <c r="D17" s="47">
        <v>1.87</v>
      </c>
      <c r="E17" s="47">
        <v>1.91</v>
      </c>
      <c r="F17" s="10" t="s">
        <v>0</v>
      </c>
      <c r="G17" s="10" t="s">
        <v>0</v>
      </c>
      <c r="H17" s="10" t="s">
        <v>0</v>
      </c>
      <c r="I17" s="35" t="s">
        <v>0</v>
      </c>
      <c r="J17" s="10" t="s">
        <v>0</v>
      </c>
      <c r="K17" s="10" t="s">
        <v>0</v>
      </c>
      <c r="L17" s="10" t="s">
        <v>0</v>
      </c>
      <c r="M17" s="36" t="s">
        <v>0</v>
      </c>
      <c r="N17" s="35" t="s">
        <v>0</v>
      </c>
      <c r="O17" s="35">
        <v>1.0446</v>
      </c>
      <c r="Q17" s="37" t="s">
        <v>1183</v>
      </c>
      <c r="R17" s="37" t="s">
        <v>1180</v>
      </c>
      <c r="S17" s="38">
        <v>100000000</v>
      </c>
      <c r="T17" s="38">
        <v>0</v>
      </c>
    </row>
    <row r="18" spans="1:20">
      <c r="A18" s="74" t="s">
        <v>231</v>
      </c>
      <c r="B18" s="47" t="s">
        <v>320</v>
      </c>
      <c r="C18" s="48">
        <v>0.125</v>
      </c>
      <c r="D18" s="47">
        <v>2.12</v>
      </c>
      <c r="E18" s="47">
        <v>2.15</v>
      </c>
      <c r="F18" s="10" t="s">
        <v>0</v>
      </c>
      <c r="G18" s="10" t="s">
        <v>0</v>
      </c>
      <c r="H18" s="10" t="s">
        <v>0</v>
      </c>
      <c r="I18" s="35" t="s">
        <v>0</v>
      </c>
      <c r="J18" s="10" t="s">
        <v>0</v>
      </c>
      <c r="K18" s="10" t="s">
        <v>0</v>
      </c>
      <c r="L18" s="10" t="s">
        <v>0</v>
      </c>
      <c r="M18" s="36" t="s">
        <v>0</v>
      </c>
      <c r="N18" s="35" t="s">
        <v>0</v>
      </c>
      <c r="O18" s="35">
        <v>1.0638000000000001</v>
      </c>
      <c r="Q18" s="12" t="s">
        <v>0</v>
      </c>
      <c r="R18" s="12" t="s">
        <v>1181</v>
      </c>
      <c r="S18" s="39">
        <v>0</v>
      </c>
      <c r="T18" s="39">
        <v>100000000</v>
      </c>
    </row>
    <row r="19" spans="1:20">
      <c r="A19" s="74" t="s">
        <v>232</v>
      </c>
      <c r="B19" s="47" t="s">
        <v>100</v>
      </c>
      <c r="C19" s="48">
        <v>0.25</v>
      </c>
      <c r="D19" s="47">
        <v>2.21</v>
      </c>
      <c r="E19" s="47">
        <v>2.25</v>
      </c>
      <c r="F19" s="10" t="s">
        <v>0</v>
      </c>
      <c r="G19" s="10" t="s">
        <v>0</v>
      </c>
      <c r="H19" s="10" t="s">
        <v>0</v>
      </c>
      <c r="I19" s="35" t="s">
        <v>0</v>
      </c>
      <c r="J19" s="10" t="s">
        <v>0</v>
      </c>
      <c r="K19" s="10" t="s">
        <v>0</v>
      </c>
      <c r="L19" s="10" t="s">
        <v>0</v>
      </c>
      <c r="M19" s="36" t="s">
        <v>0</v>
      </c>
      <c r="N19" s="35" t="s">
        <v>0</v>
      </c>
      <c r="O19" s="35">
        <v>1.0710999999999999</v>
      </c>
      <c r="Q19" s="37" t="s">
        <v>1184</v>
      </c>
      <c r="R19" s="37" t="s">
        <v>1185</v>
      </c>
      <c r="S19" s="38">
        <v>500000000</v>
      </c>
      <c r="T19" s="38">
        <v>100000000</v>
      </c>
    </row>
    <row r="20" spans="1:20">
      <c r="A20" s="74" t="s">
        <v>8</v>
      </c>
      <c r="B20" s="47" t="s">
        <v>99</v>
      </c>
      <c r="C20" s="48">
        <v>1.875</v>
      </c>
      <c r="D20" s="47">
        <v>2.2799999999999998</v>
      </c>
      <c r="E20" s="47">
        <v>2.36</v>
      </c>
      <c r="F20" s="10" t="s">
        <v>0</v>
      </c>
      <c r="G20" s="10" t="s">
        <v>0</v>
      </c>
      <c r="H20" s="10" t="s">
        <v>0</v>
      </c>
      <c r="I20" s="35" t="s">
        <v>0</v>
      </c>
      <c r="J20" s="10" t="s">
        <v>0</v>
      </c>
      <c r="K20" s="10" t="s">
        <v>0</v>
      </c>
      <c r="L20" s="10" t="s">
        <v>0</v>
      </c>
      <c r="M20" s="36" t="s">
        <v>0</v>
      </c>
      <c r="N20" s="35" t="s">
        <v>0</v>
      </c>
      <c r="O20" s="35">
        <v>1.0783</v>
      </c>
      <c r="Q20" s="12" t="s">
        <v>0</v>
      </c>
      <c r="R20" s="12" t="s">
        <v>1181</v>
      </c>
      <c r="S20" s="39">
        <v>0</v>
      </c>
      <c r="T20" s="39">
        <v>400000000</v>
      </c>
    </row>
    <row r="21" spans="1:20">
      <c r="A21" s="74" t="s">
        <v>58</v>
      </c>
      <c r="B21" s="47" t="s">
        <v>101</v>
      </c>
      <c r="C21" s="48">
        <v>0.75</v>
      </c>
      <c r="D21" s="47">
        <v>2.33</v>
      </c>
      <c r="E21" s="47">
        <v>2.39</v>
      </c>
      <c r="F21" s="10" t="s">
        <v>0</v>
      </c>
      <c r="G21" s="10" t="s">
        <v>0</v>
      </c>
      <c r="H21" s="10" t="s">
        <v>0</v>
      </c>
      <c r="I21" s="35" t="s">
        <v>0</v>
      </c>
      <c r="J21" s="10" t="s">
        <v>0</v>
      </c>
      <c r="K21" s="10" t="s">
        <v>0</v>
      </c>
      <c r="L21" s="10" t="s">
        <v>0</v>
      </c>
      <c r="M21" s="36" t="s">
        <v>0</v>
      </c>
      <c r="N21" s="35" t="s">
        <v>0</v>
      </c>
      <c r="O21" s="35">
        <v>1.0806</v>
      </c>
      <c r="Q21" s="37" t="s">
        <v>852</v>
      </c>
      <c r="R21" s="37" t="s">
        <v>1181</v>
      </c>
      <c r="S21" s="38">
        <v>500000000</v>
      </c>
      <c r="T21" s="38">
        <v>500000000</v>
      </c>
    </row>
    <row r="22" spans="1:20">
      <c r="A22" s="74" t="s">
        <v>233</v>
      </c>
      <c r="B22" s="47" t="s">
        <v>192</v>
      </c>
      <c r="C22" s="48">
        <v>0.25</v>
      </c>
      <c r="D22" s="47">
        <v>2.74</v>
      </c>
      <c r="E22" s="47">
        <v>2.79</v>
      </c>
      <c r="F22" s="10" t="s">
        <v>0</v>
      </c>
      <c r="G22" s="10" t="s">
        <v>0</v>
      </c>
      <c r="H22" s="10" t="s">
        <v>0</v>
      </c>
      <c r="I22" s="35" t="s">
        <v>0</v>
      </c>
      <c r="J22" s="10" t="s">
        <v>0</v>
      </c>
      <c r="K22" s="10" t="s">
        <v>0</v>
      </c>
      <c r="L22" s="10" t="s">
        <v>0</v>
      </c>
      <c r="M22" s="36" t="s">
        <v>0</v>
      </c>
      <c r="N22" s="35" t="s">
        <v>0</v>
      </c>
      <c r="O22" s="35">
        <v>1.1077999999999999</v>
      </c>
      <c r="Q22" s="37" t="s">
        <v>1186</v>
      </c>
      <c r="R22" s="37" t="s">
        <v>1180</v>
      </c>
      <c r="S22" s="38">
        <v>200000000</v>
      </c>
      <c r="T22" s="38">
        <v>200000000</v>
      </c>
    </row>
    <row r="23" spans="1:20">
      <c r="A23" s="74" t="s">
        <v>55</v>
      </c>
      <c r="B23" s="47" t="s">
        <v>103</v>
      </c>
      <c r="C23" s="48">
        <v>0.625</v>
      </c>
      <c r="D23" s="47">
        <v>2.84</v>
      </c>
      <c r="E23" s="47">
        <v>2.9</v>
      </c>
      <c r="F23" s="10" t="s">
        <v>0</v>
      </c>
      <c r="G23" s="10" t="s">
        <v>0</v>
      </c>
      <c r="H23" s="10" t="s">
        <v>0</v>
      </c>
      <c r="I23" s="35" t="s">
        <v>0</v>
      </c>
      <c r="J23" s="10" t="s">
        <v>0</v>
      </c>
      <c r="K23" s="10" t="s">
        <v>0</v>
      </c>
      <c r="L23" s="10" t="s">
        <v>0</v>
      </c>
      <c r="M23" s="36" t="s">
        <v>0</v>
      </c>
      <c r="N23" s="35" t="s">
        <v>0</v>
      </c>
      <c r="O23" s="35">
        <v>1.1145</v>
      </c>
      <c r="Q23" s="37" t="s">
        <v>1187</v>
      </c>
      <c r="R23" s="37" t="s">
        <v>1180</v>
      </c>
      <c r="S23" s="38">
        <v>0</v>
      </c>
      <c r="T23" s="38">
        <v>200000000</v>
      </c>
    </row>
    <row r="24" spans="1:20">
      <c r="A24" s="74" t="s">
        <v>11</v>
      </c>
      <c r="B24" s="47" t="s">
        <v>102</v>
      </c>
      <c r="C24" s="48">
        <v>2.125</v>
      </c>
      <c r="D24" s="47">
        <v>2.91</v>
      </c>
      <c r="E24" s="47">
        <v>3.07</v>
      </c>
      <c r="F24" s="10" t="s">
        <v>0</v>
      </c>
      <c r="G24" s="10" t="s">
        <v>0</v>
      </c>
      <c r="H24" s="10" t="s">
        <v>0</v>
      </c>
      <c r="I24" s="35" t="s">
        <v>0</v>
      </c>
      <c r="J24" s="10" t="s">
        <v>0</v>
      </c>
      <c r="K24" s="10" t="s">
        <v>0</v>
      </c>
      <c r="L24" s="10" t="s">
        <v>0</v>
      </c>
      <c r="M24" s="36" t="s">
        <v>0</v>
      </c>
      <c r="N24" s="35" t="s">
        <v>0</v>
      </c>
      <c r="O24" s="35">
        <v>1.1240000000000001</v>
      </c>
      <c r="Q24" s="13" t="s">
        <v>0</v>
      </c>
      <c r="R24" s="13" t="s">
        <v>1181</v>
      </c>
      <c r="S24" s="46">
        <v>200000000</v>
      </c>
      <c r="T24" s="46">
        <v>0</v>
      </c>
    </row>
    <row r="25" spans="1:20">
      <c r="A25" s="74" t="s">
        <v>12</v>
      </c>
      <c r="B25" s="47" t="s">
        <v>104</v>
      </c>
      <c r="C25" s="48">
        <v>2</v>
      </c>
      <c r="D25" s="47">
        <v>3.18</v>
      </c>
      <c r="E25" s="47">
        <v>3.34</v>
      </c>
      <c r="F25" s="10" t="s">
        <v>0</v>
      </c>
      <c r="G25" s="10" t="s">
        <v>0</v>
      </c>
      <c r="H25" s="10" t="s">
        <v>0</v>
      </c>
      <c r="I25" s="35" t="s">
        <v>0</v>
      </c>
      <c r="J25" s="10" t="s">
        <v>0</v>
      </c>
      <c r="K25" s="10" t="s">
        <v>0</v>
      </c>
      <c r="L25" s="10" t="s">
        <v>0</v>
      </c>
      <c r="M25" s="36" t="s">
        <v>0</v>
      </c>
      <c r="N25" s="35" t="s">
        <v>0</v>
      </c>
      <c r="O25" s="35">
        <v>1.1403000000000001</v>
      </c>
      <c r="S25" s="41"/>
      <c r="T25" s="41"/>
    </row>
    <row r="26" spans="1:20">
      <c r="A26" s="74" t="s">
        <v>32</v>
      </c>
      <c r="B26" s="47" t="s">
        <v>105</v>
      </c>
      <c r="C26" s="48">
        <v>1.125</v>
      </c>
      <c r="D26" s="47">
        <v>3.27</v>
      </c>
      <c r="E26" s="47">
        <v>3.38</v>
      </c>
      <c r="F26" s="10" t="s">
        <v>0</v>
      </c>
      <c r="G26" s="10" t="s">
        <v>0</v>
      </c>
      <c r="H26" s="10" t="s">
        <v>0</v>
      </c>
      <c r="I26" s="35" t="s">
        <v>0</v>
      </c>
      <c r="J26" s="10" t="s">
        <v>0</v>
      </c>
      <c r="K26" s="10" t="s">
        <v>0</v>
      </c>
      <c r="L26" s="10" t="s">
        <v>0</v>
      </c>
      <c r="M26" s="36" t="s">
        <v>0</v>
      </c>
      <c r="N26" s="35" t="s">
        <v>0</v>
      </c>
      <c r="O26" s="35">
        <v>1.1439999999999999</v>
      </c>
      <c r="Q26" s="42"/>
      <c r="R26" s="42"/>
      <c r="S26" s="42"/>
      <c r="T26" s="42"/>
    </row>
    <row r="27" spans="1:20">
      <c r="A27" s="74" t="s">
        <v>234</v>
      </c>
      <c r="B27" s="47" t="s">
        <v>206</v>
      </c>
      <c r="C27" s="48">
        <v>0.5</v>
      </c>
      <c r="D27" s="47">
        <v>3.29</v>
      </c>
      <c r="E27" s="47">
        <v>3.36</v>
      </c>
      <c r="F27" s="10" t="s">
        <v>0</v>
      </c>
      <c r="G27" s="10" t="s">
        <v>0</v>
      </c>
      <c r="H27" s="10" t="s">
        <v>0</v>
      </c>
      <c r="I27" s="35" t="s">
        <v>0</v>
      </c>
      <c r="J27" s="10" t="s">
        <v>0</v>
      </c>
      <c r="K27" s="10" t="s">
        <v>0</v>
      </c>
      <c r="L27" s="10" t="s">
        <v>0</v>
      </c>
      <c r="M27" s="36" t="s">
        <v>0</v>
      </c>
      <c r="N27" s="35" t="s">
        <v>0</v>
      </c>
      <c r="O27" s="35">
        <v>1.1437999999999999</v>
      </c>
    </row>
    <row r="28" spans="1:20">
      <c r="A28" s="74" t="s">
        <v>218</v>
      </c>
      <c r="B28" s="47" t="s">
        <v>220</v>
      </c>
      <c r="C28" s="48">
        <v>1</v>
      </c>
      <c r="D28" s="47">
        <v>3.58</v>
      </c>
      <c r="E28" s="47">
        <v>3.69</v>
      </c>
      <c r="F28" s="10" t="s">
        <v>0</v>
      </c>
      <c r="G28" s="10" t="s">
        <v>0</v>
      </c>
      <c r="H28" s="10" t="s">
        <v>0</v>
      </c>
      <c r="I28" s="35" t="s">
        <v>0</v>
      </c>
      <c r="J28" s="10" t="s">
        <v>0</v>
      </c>
      <c r="K28" s="10" t="s">
        <v>0</v>
      </c>
      <c r="L28" s="10" t="s">
        <v>0</v>
      </c>
      <c r="M28" s="36" t="s">
        <v>0</v>
      </c>
      <c r="N28" s="35" t="s">
        <v>0</v>
      </c>
      <c r="O28" s="35">
        <v>1.1639999999999999</v>
      </c>
    </row>
    <row r="29" spans="1:20">
      <c r="A29" s="74" t="s">
        <v>13</v>
      </c>
      <c r="B29" s="47" t="s">
        <v>106</v>
      </c>
      <c r="C29" s="48">
        <v>3</v>
      </c>
      <c r="D29" s="47">
        <v>3.77</v>
      </c>
      <c r="E29" s="47">
        <v>4.09</v>
      </c>
      <c r="F29" s="10" t="s">
        <v>0</v>
      </c>
      <c r="G29" s="10" t="s">
        <v>0</v>
      </c>
      <c r="H29" s="10" t="s">
        <v>0</v>
      </c>
      <c r="I29" s="35" t="s">
        <v>0</v>
      </c>
      <c r="J29" s="10" t="s">
        <v>0</v>
      </c>
      <c r="K29" s="10" t="s">
        <v>0</v>
      </c>
      <c r="L29" s="10" t="s">
        <v>0</v>
      </c>
      <c r="M29" s="36" t="s">
        <v>0</v>
      </c>
      <c r="N29" s="35" t="s">
        <v>0</v>
      </c>
      <c r="O29" s="35">
        <v>1.1870000000000001</v>
      </c>
    </row>
    <row r="30" spans="1:20">
      <c r="A30" s="74" t="s">
        <v>256</v>
      </c>
      <c r="B30" s="47" t="s">
        <v>257</v>
      </c>
      <c r="C30" s="48">
        <v>1.25</v>
      </c>
      <c r="D30" s="47">
        <v>3.82</v>
      </c>
      <c r="E30" s="47">
        <v>3.94</v>
      </c>
      <c r="F30" s="10" t="s">
        <v>0</v>
      </c>
      <c r="G30" s="10" t="s">
        <v>0</v>
      </c>
      <c r="H30" s="10" t="s">
        <v>0</v>
      </c>
      <c r="I30" s="35" t="s">
        <v>0</v>
      </c>
      <c r="J30" s="10" t="s">
        <v>0</v>
      </c>
      <c r="K30" s="10" t="s">
        <v>0</v>
      </c>
      <c r="L30" s="10" t="s">
        <v>0</v>
      </c>
      <c r="M30" s="36" t="s">
        <v>0</v>
      </c>
      <c r="N30" s="35" t="s">
        <v>0</v>
      </c>
      <c r="O30" s="35">
        <v>1.18</v>
      </c>
    </row>
    <row r="31" spans="1:20">
      <c r="A31" s="74" t="s">
        <v>1</v>
      </c>
      <c r="B31" s="47" t="s">
        <v>107</v>
      </c>
      <c r="C31" s="48">
        <v>1</v>
      </c>
      <c r="D31" s="47">
        <v>3.82</v>
      </c>
      <c r="E31" s="47">
        <v>3.93</v>
      </c>
      <c r="F31" s="10" t="s">
        <v>0</v>
      </c>
      <c r="G31" s="10" t="s">
        <v>0</v>
      </c>
      <c r="H31" s="10" t="s">
        <v>0</v>
      </c>
      <c r="I31" s="35" t="s">
        <v>0</v>
      </c>
      <c r="J31" s="10" t="s">
        <v>0</v>
      </c>
      <c r="K31" s="10" t="s">
        <v>0</v>
      </c>
      <c r="L31" s="10" t="s">
        <v>0</v>
      </c>
      <c r="M31" s="36" t="s">
        <v>0</v>
      </c>
      <c r="N31" s="35" t="s">
        <v>0</v>
      </c>
      <c r="O31" s="35">
        <v>1.1798999999999999</v>
      </c>
    </row>
    <row r="32" spans="1:20">
      <c r="A32" s="74" t="s">
        <v>59</v>
      </c>
      <c r="B32" s="47" t="s">
        <v>109</v>
      </c>
      <c r="C32" s="48">
        <v>1.375</v>
      </c>
      <c r="D32" s="47">
        <v>4.05</v>
      </c>
      <c r="E32" s="47">
        <v>4.24</v>
      </c>
      <c r="F32" s="10" t="s">
        <v>0</v>
      </c>
      <c r="G32" s="10" t="s">
        <v>0</v>
      </c>
      <c r="H32" s="10" t="s">
        <v>0</v>
      </c>
      <c r="I32" s="35" t="s">
        <v>0</v>
      </c>
      <c r="J32" s="10" t="s">
        <v>0</v>
      </c>
      <c r="K32" s="10" t="s">
        <v>0</v>
      </c>
      <c r="L32" s="10" t="s">
        <v>0</v>
      </c>
      <c r="M32" s="36" t="s">
        <v>0</v>
      </c>
      <c r="N32" s="35" t="s">
        <v>0</v>
      </c>
      <c r="O32" s="35">
        <v>1.1995</v>
      </c>
    </row>
    <row r="33" spans="1:15">
      <c r="A33" s="74" t="s">
        <v>14</v>
      </c>
      <c r="B33" s="47" t="s">
        <v>108</v>
      </c>
      <c r="C33" s="48">
        <v>2.5</v>
      </c>
      <c r="D33" s="47">
        <v>4.05</v>
      </c>
      <c r="E33" s="47">
        <v>4.33</v>
      </c>
      <c r="F33" s="10" t="s">
        <v>0</v>
      </c>
      <c r="G33" s="10" t="s">
        <v>0</v>
      </c>
      <c r="H33" s="10" t="s">
        <v>0</v>
      </c>
      <c r="I33" s="35" t="s">
        <v>0</v>
      </c>
      <c r="J33" s="10" t="s">
        <v>0</v>
      </c>
      <c r="K33" s="10" t="s">
        <v>0</v>
      </c>
      <c r="L33" s="10" t="s">
        <v>0</v>
      </c>
      <c r="M33" s="36" t="s">
        <v>0</v>
      </c>
      <c r="N33" s="35" t="s">
        <v>0</v>
      </c>
      <c r="O33" s="35">
        <v>1.2036</v>
      </c>
    </row>
    <row r="34" spans="1:15">
      <c r="A34" s="74" t="s">
        <v>272</v>
      </c>
      <c r="B34" s="47" t="s">
        <v>271</v>
      </c>
      <c r="C34" s="48">
        <v>1</v>
      </c>
      <c r="D34" s="47">
        <v>4.0999999999999996</v>
      </c>
      <c r="E34" s="47">
        <v>4.26</v>
      </c>
      <c r="F34" s="10" t="s">
        <v>0</v>
      </c>
      <c r="G34" s="10" t="s">
        <v>0</v>
      </c>
      <c r="H34" s="10" t="s">
        <v>0</v>
      </c>
      <c r="I34" s="35" t="s">
        <v>0</v>
      </c>
      <c r="J34" s="10" t="s">
        <v>0</v>
      </c>
      <c r="K34" s="10" t="s">
        <v>0</v>
      </c>
      <c r="L34" s="10" t="s">
        <v>0</v>
      </c>
      <c r="M34" s="36" t="s">
        <v>0</v>
      </c>
      <c r="N34" s="35" t="s">
        <v>0</v>
      </c>
      <c r="O34" s="35">
        <v>1.2017</v>
      </c>
    </row>
    <row r="35" spans="1:15">
      <c r="A35" s="74" t="s">
        <v>34</v>
      </c>
      <c r="B35" s="47" t="s">
        <v>110</v>
      </c>
      <c r="C35" s="48">
        <v>1</v>
      </c>
      <c r="D35" s="47">
        <v>4.16</v>
      </c>
      <c r="E35" s="47">
        <v>4.32</v>
      </c>
      <c r="F35" s="10" t="s">
        <v>0</v>
      </c>
      <c r="G35" s="10" t="s">
        <v>0</v>
      </c>
      <c r="H35" s="10" t="s">
        <v>0</v>
      </c>
      <c r="I35" s="35" t="s">
        <v>0</v>
      </c>
      <c r="J35" s="10" t="s">
        <v>0</v>
      </c>
      <c r="K35" s="10" t="s">
        <v>0</v>
      </c>
      <c r="L35" s="10" t="s">
        <v>0</v>
      </c>
      <c r="M35" s="36" t="s">
        <v>0</v>
      </c>
      <c r="N35" s="35" t="s">
        <v>0</v>
      </c>
      <c r="O35" s="35">
        <v>1.2055</v>
      </c>
    </row>
    <row r="36" spans="1:15">
      <c r="A36" s="74" t="s">
        <v>321</v>
      </c>
      <c r="B36" s="47" t="s">
        <v>322</v>
      </c>
      <c r="C36" s="48">
        <v>1</v>
      </c>
      <c r="D36" s="47">
        <v>4.45</v>
      </c>
      <c r="E36" s="47">
        <v>4.6100000000000003</v>
      </c>
      <c r="F36" s="10" t="s">
        <v>0</v>
      </c>
      <c r="G36" s="10" t="s">
        <v>0</v>
      </c>
      <c r="H36" s="10" t="s">
        <v>0</v>
      </c>
      <c r="I36" s="35" t="s">
        <v>0</v>
      </c>
      <c r="J36" s="10" t="s">
        <v>0</v>
      </c>
      <c r="K36" s="10" t="s">
        <v>0</v>
      </c>
      <c r="L36" s="10" t="s">
        <v>0</v>
      </c>
      <c r="M36" s="36" t="s">
        <v>0</v>
      </c>
      <c r="N36" s="35" t="s">
        <v>0</v>
      </c>
      <c r="O36" s="35">
        <v>1.2229000000000001</v>
      </c>
    </row>
    <row r="37" spans="1:15">
      <c r="A37" s="74" t="s">
        <v>2</v>
      </c>
      <c r="B37" s="47" t="s">
        <v>112</v>
      </c>
      <c r="C37" s="48">
        <v>0.875</v>
      </c>
      <c r="D37" s="47">
        <v>4.5</v>
      </c>
      <c r="E37" s="47">
        <v>4.6500000000000004</v>
      </c>
      <c r="F37" s="10" t="s">
        <v>0</v>
      </c>
      <c r="G37" s="10" t="s">
        <v>0</v>
      </c>
      <c r="H37" s="10" t="s">
        <v>0</v>
      </c>
      <c r="I37" s="35" t="s">
        <v>0</v>
      </c>
      <c r="J37" s="10" t="s">
        <v>0</v>
      </c>
      <c r="K37" s="10" t="s">
        <v>0</v>
      </c>
      <c r="L37" s="10" t="s">
        <v>0</v>
      </c>
      <c r="M37" s="36" t="s">
        <v>0</v>
      </c>
      <c r="N37" s="35" t="s">
        <v>0</v>
      </c>
      <c r="O37" s="35">
        <v>1.2249000000000001</v>
      </c>
    </row>
    <row r="38" spans="1:15">
      <c r="A38" s="74" t="s">
        <v>15</v>
      </c>
      <c r="B38" s="47" t="s">
        <v>111</v>
      </c>
      <c r="C38" s="48">
        <v>2.625</v>
      </c>
      <c r="D38" s="47">
        <v>4.53</v>
      </c>
      <c r="E38" s="47">
        <v>4.83</v>
      </c>
      <c r="F38" s="10" t="s">
        <v>0</v>
      </c>
      <c r="G38" s="10" t="s">
        <v>0</v>
      </c>
      <c r="H38" s="10" t="s">
        <v>0</v>
      </c>
      <c r="I38" s="35" t="s">
        <v>0</v>
      </c>
      <c r="J38" s="10" t="s">
        <v>0</v>
      </c>
      <c r="K38" s="10" t="s">
        <v>0</v>
      </c>
      <c r="L38" s="10" t="s">
        <v>0</v>
      </c>
      <c r="M38" s="36" t="s">
        <v>0</v>
      </c>
      <c r="N38" s="35" t="s">
        <v>0</v>
      </c>
      <c r="O38" s="35">
        <v>1.2292000000000001</v>
      </c>
    </row>
    <row r="39" spans="1:15">
      <c r="A39" s="74" t="s">
        <v>308</v>
      </c>
      <c r="B39" s="47" t="s">
        <v>323</v>
      </c>
      <c r="C39" s="48">
        <v>1.125</v>
      </c>
      <c r="D39" s="47">
        <v>4.74</v>
      </c>
      <c r="E39" s="47">
        <v>4.92</v>
      </c>
      <c r="F39" s="10" t="s">
        <v>0</v>
      </c>
      <c r="G39" s="10" t="s">
        <v>0</v>
      </c>
      <c r="H39" s="10" t="s">
        <v>0</v>
      </c>
      <c r="I39" s="35" t="s">
        <v>0</v>
      </c>
      <c r="J39" s="10" t="s">
        <v>0</v>
      </c>
      <c r="K39" s="10" t="s">
        <v>0</v>
      </c>
      <c r="L39" s="10" t="s">
        <v>0</v>
      </c>
      <c r="M39" s="36" t="s">
        <v>0</v>
      </c>
      <c r="N39" s="35" t="s">
        <v>0</v>
      </c>
      <c r="O39" s="35">
        <v>1.2357</v>
      </c>
    </row>
    <row r="40" spans="1:15">
      <c r="A40" s="74" t="s">
        <v>235</v>
      </c>
      <c r="B40" s="47" t="s">
        <v>193</v>
      </c>
      <c r="C40" s="48">
        <v>0.25</v>
      </c>
      <c r="D40" s="47">
        <v>4.76</v>
      </c>
      <c r="E40" s="47">
        <v>4.8499999999999996</v>
      </c>
      <c r="F40" s="10" t="s">
        <v>0</v>
      </c>
      <c r="G40" s="10" t="s">
        <v>0</v>
      </c>
      <c r="H40" s="10" t="s">
        <v>0</v>
      </c>
      <c r="I40" s="35" t="s">
        <v>0</v>
      </c>
      <c r="J40" s="10" t="s">
        <v>0</v>
      </c>
      <c r="K40" s="10" t="s">
        <v>0</v>
      </c>
      <c r="L40" s="10" t="s">
        <v>0</v>
      </c>
      <c r="M40" s="36" t="s">
        <v>0</v>
      </c>
      <c r="N40" s="35" t="s">
        <v>0</v>
      </c>
      <c r="O40" s="35">
        <v>1.2354000000000001</v>
      </c>
    </row>
    <row r="41" spans="1:15">
      <c r="A41" s="74" t="s">
        <v>28</v>
      </c>
      <c r="B41" s="47" t="s">
        <v>114</v>
      </c>
      <c r="C41" s="48">
        <v>0.875</v>
      </c>
      <c r="D41" s="47">
        <v>4.8499999999999996</v>
      </c>
      <c r="E41" s="47">
        <v>5.01</v>
      </c>
      <c r="F41" s="10" t="s">
        <v>0</v>
      </c>
      <c r="G41" s="10" t="s">
        <v>0</v>
      </c>
      <c r="H41" s="10" t="s">
        <v>0</v>
      </c>
      <c r="I41" s="35" t="s">
        <v>0</v>
      </c>
      <c r="J41" s="10" t="s">
        <v>0</v>
      </c>
      <c r="K41" s="10" t="s">
        <v>0</v>
      </c>
      <c r="L41" s="10" t="s">
        <v>0</v>
      </c>
      <c r="M41" s="36" t="s">
        <v>0</v>
      </c>
      <c r="N41" s="35" t="s">
        <v>0</v>
      </c>
      <c r="O41" s="35">
        <v>1.2387999999999999</v>
      </c>
    </row>
    <row r="42" spans="1:15">
      <c r="A42" s="74" t="s">
        <v>16</v>
      </c>
      <c r="B42" s="47" t="s">
        <v>113</v>
      </c>
      <c r="C42" s="48">
        <v>2.125</v>
      </c>
      <c r="D42" s="47">
        <v>4.9800000000000004</v>
      </c>
      <c r="E42" s="47">
        <v>5.34</v>
      </c>
      <c r="F42" s="10" t="s">
        <v>0</v>
      </c>
      <c r="G42" s="10" t="s">
        <v>0</v>
      </c>
      <c r="H42" s="10" t="s">
        <v>0</v>
      </c>
      <c r="I42" s="35" t="s">
        <v>0</v>
      </c>
      <c r="J42" s="10" t="s">
        <v>0</v>
      </c>
      <c r="K42" s="10" t="s">
        <v>0</v>
      </c>
      <c r="L42" s="10" t="s">
        <v>0</v>
      </c>
      <c r="M42" s="36" t="s">
        <v>0</v>
      </c>
      <c r="N42" s="35" t="s">
        <v>0</v>
      </c>
      <c r="O42" s="35">
        <v>1.2404999999999999</v>
      </c>
    </row>
    <row r="43" spans="1:15">
      <c r="A43" s="74" t="s">
        <v>3</v>
      </c>
      <c r="B43" s="47" t="s">
        <v>115</v>
      </c>
      <c r="C43" s="48">
        <v>0.75</v>
      </c>
      <c r="D43" s="47">
        <v>5.15</v>
      </c>
      <c r="E43" s="47">
        <v>5.33</v>
      </c>
      <c r="F43" s="10" t="s">
        <v>0</v>
      </c>
      <c r="G43" s="10" t="s">
        <v>0</v>
      </c>
      <c r="H43" s="10" t="s">
        <v>0</v>
      </c>
      <c r="I43" s="35" t="s">
        <v>0</v>
      </c>
      <c r="J43" s="10" t="s">
        <v>0</v>
      </c>
      <c r="K43" s="10" t="s">
        <v>0</v>
      </c>
      <c r="L43" s="10" t="s">
        <v>0</v>
      </c>
      <c r="M43" s="36" t="s">
        <v>0</v>
      </c>
      <c r="N43" s="35" t="s">
        <v>0</v>
      </c>
      <c r="O43" s="35">
        <v>1.2438</v>
      </c>
    </row>
    <row r="44" spans="1:15">
      <c r="A44" s="74" t="s">
        <v>17</v>
      </c>
      <c r="B44" s="47" t="s">
        <v>116</v>
      </c>
      <c r="C44" s="48">
        <v>2.125</v>
      </c>
      <c r="D44" s="47">
        <v>5.46</v>
      </c>
      <c r="E44" s="47">
        <v>5.83</v>
      </c>
      <c r="F44" s="10" t="s">
        <v>0</v>
      </c>
      <c r="G44" s="10" t="s">
        <v>0</v>
      </c>
      <c r="H44" s="10" t="s">
        <v>0</v>
      </c>
      <c r="I44" s="35" t="s">
        <v>0</v>
      </c>
      <c r="J44" s="10" t="s">
        <v>0</v>
      </c>
      <c r="K44" s="10" t="s">
        <v>0</v>
      </c>
      <c r="L44" s="10" t="s">
        <v>0</v>
      </c>
      <c r="M44" s="36" t="s">
        <v>0</v>
      </c>
      <c r="N44" s="35" t="s">
        <v>0</v>
      </c>
      <c r="O44" s="35">
        <v>1.2395</v>
      </c>
    </row>
    <row r="45" spans="1:15">
      <c r="A45" s="74" t="s">
        <v>4</v>
      </c>
      <c r="B45" s="47" t="s">
        <v>117</v>
      </c>
      <c r="C45" s="48">
        <v>0.625</v>
      </c>
      <c r="D45" s="47">
        <v>5.53</v>
      </c>
      <c r="E45" s="47">
        <v>5.7</v>
      </c>
      <c r="F45" s="10" t="s">
        <v>0</v>
      </c>
      <c r="G45" s="10" t="s">
        <v>0</v>
      </c>
      <c r="H45" s="10" t="s">
        <v>0</v>
      </c>
      <c r="I45" s="35" t="s">
        <v>0</v>
      </c>
      <c r="J45" s="10" t="s">
        <v>0</v>
      </c>
      <c r="K45" s="10" t="s">
        <v>0</v>
      </c>
      <c r="L45" s="10" t="s">
        <v>0</v>
      </c>
      <c r="M45" s="36" t="s">
        <v>0</v>
      </c>
      <c r="N45" s="35" t="s">
        <v>0</v>
      </c>
      <c r="O45" s="35">
        <v>1.2436</v>
      </c>
    </row>
    <row r="46" spans="1:15">
      <c r="A46" s="74" t="s">
        <v>6</v>
      </c>
      <c r="B46" s="47" t="s">
        <v>119</v>
      </c>
      <c r="C46" s="48">
        <v>0.625</v>
      </c>
      <c r="D46" s="47">
        <v>5.83</v>
      </c>
      <c r="E46" s="47">
        <v>6</v>
      </c>
      <c r="F46" s="10" t="s">
        <v>0</v>
      </c>
      <c r="G46" s="10" t="s">
        <v>0</v>
      </c>
      <c r="H46" s="10" t="s">
        <v>0</v>
      </c>
      <c r="I46" s="35" t="s">
        <v>0</v>
      </c>
      <c r="J46" s="10" t="s">
        <v>0</v>
      </c>
      <c r="K46" s="10" t="s">
        <v>0</v>
      </c>
      <c r="L46" s="10" t="s">
        <v>0</v>
      </c>
      <c r="M46" s="36" t="s">
        <v>0</v>
      </c>
      <c r="N46" s="35" t="s">
        <v>0</v>
      </c>
      <c r="O46" s="35">
        <v>1.2413000000000001</v>
      </c>
    </row>
    <row r="47" spans="1:15">
      <c r="A47" s="74" t="s">
        <v>18</v>
      </c>
      <c r="B47" s="47" t="s">
        <v>118</v>
      </c>
      <c r="C47" s="48">
        <v>1.875</v>
      </c>
      <c r="D47" s="47">
        <v>5.91</v>
      </c>
      <c r="E47" s="47">
        <v>6.36</v>
      </c>
      <c r="F47" s="10" t="s">
        <v>0</v>
      </c>
      <c r="G47" s="10" t="s">
        <v>0</v>
      </c>
      <c r="H47" s="10" t="s">
        <v>0</v>
      </c>
      <c r="I47" s="35" t="s">
        <v>0</v>
      </c>
      <c r="J47" s="10" t="s">
        <v>0</v>
      </c>
      <c r="K47" s="10" t="s">
        <v>0</v>
      </c>
      <c r="L47" s="10" t="s">
        <v>0</v>
      </c>
      <c r="M47" s="36" t="s">
        <v>0</v>
      </c>
      <c r="N47" s="35" t="s">
        <v>0</v>
      </c>
      <c r="O47" s="35">
        <v>1.2363</v>
      </c>
    </row>
    <row r="48" spans="1:15">
      <c r="A48" s="74" t="s">
        <v>236</v>
      </c>
      <c r="B48" s="47" t="s">
        <v>120</v>
      </c>
      <c r="C48" s="48">
        <v>0.5</v>
      </c>
      <c r="D48" s="47">
        <v>6.16</v>
      </c>
      <c r="E48" s="47">
        <v>6.36</v>
      </c>
      <c r="F48" s="10" t="s">
        <v>0</v>
      </c>
      <c r="G48" s="10" t="s">
        <v>0</v>
      </c>
      <c r="H48" s="10" t="s">
        <v>0</v>
      </c>
      <c r="I48" s="35" t="s">
        <v>0</v>
      </c>
      <c r="J48" s="10" t="s">
        <v>0</v>
      </c>
      <c r="K48" s="10" t="s">
        <v>0</v>
      </c>
      <c r="L48" s="10" t="s">
        <v>0</v>
      </c>
      <c r="M48" s="36" t="s">
        <v>0</v>
      </c>
      <c r="N48" s="35" t="s">
        <v>0</v>
      </c>
      <c r="O48" s="35">
        <v>1.2390000000000001</v>
      </c>
    </row>
    <row r="49" spans="1:15">
      <c r="A49" s="74" t="s">
        <v>19</v>
      </c>
      <c r="B49" s="47" t="s">
        <v>121</v>
      </c>
      <c r="C49" s="48">
        <v>1.75</v>
      </c>
      <c r="D49" s="47">
        <v>6.4</v>
      </c>
      <c r="E49" s="47">
        <v>6.83</v>
      </c>
      <c r="F49" s="10">
        <v>1.258</v>
      </c>
      <c r="G49" s="10">
        <v>1.256</v>
      </c>
      <c r="H49" s="10">
        <v>1.2574000000000001</v>
      </c>
      <c r="I49" s="35">
        <v>11</v>
      </c>
      <c r="J49" s="10">
        <v>1.2549999999999999</v>
      </c>
      <c r="K49" s="10">
        <v>1.2549999999999999</v>
      </c>
      <c r="L49" s="10">
        <v>1.2549999999999999</v>
      </c>
      <c r="M49" s="36">
        <v>1</v>
      </c>
      <c r="N49" s="35">
        <v>3</v>
      </c>
      <c r="O49" s="35">
        <v>1.2375</v>
      </c>
    </row>
    <row r="50" spans="1:15">
      <c r="A50" s="74" t="s">
        <v>237</v>
      </c>
      <c r="B50" s="47" t="s">
        <v>124</v>
      </c>
      <c r="C50" s="48">
        <v>0.375</v>
      </c>
      <c r="D50" s="47">
        <v>6.49</v>
      </c>
      <c r="E50" s="47">
        <v>6.66</v>
      </c>
      <c r="F50" s="10" t="s">
        <v>0</v>
      </c>
      <c r="G50" s="10" t="s">
        <v>0</v>
      </c>
      <c r="H50" s="10" t="s">
        <v>0</v>
      </c>
      <c r="I50" s="35" t="s">
        <v>0</v>
      </c>
      <c r="J50" s="10" t="s">
        <v>0</v>
      </c>
      <c r="K50" s="10" t="s">
        <v>0</v>
      </c>
      <c r="L50" s="10" t="s">
        <v>0</v>
      </c>
      <c r="M50" s="36" t="s">
        <v>0</v>
      </c>
      <c r="N50" s="35" t="s">
        <v>0</v>
      </c>
      <c r="O50" s="35">
        <v>1.2388999999999999</v>
      </c>
    </row>
    <row r="51" spans="1:15">
      <c r="A51" s="74" t="s">
        <v>49</v>
      </c>
      <c r="B51" s="47" t="s">
        <v>122</v>
      </c>
      <c r="C51" s="48">
        <v>2.125</v>
      </c>
      <c r="D51" s="47">
        <v>6.62</v>
      </c>
      <c r="E51" s="47">
        <v>7.25</v>
      </c>
      <c r="F51" s="10" t="s">
        <v>0</v>
      </c>
      <c r="G51" s="10" t="s">
        <v>0</v>
      </c>
      <c r="H51" s="10" t="s">
        <v>0</v>
      </c>
      <c r="I51" s="35" t="s">
        <v>0</v>
      </c>
      <c r="J51" s="10" t="s">
        <v>0</v>
      </c>
      <c r="K51" s="10" t="s">
        <v>0</v>
      </c>
      <c r="L51" s="10" t="s">
        <v>0</v>
      </c>
      <c r="M51" s="36" t="s">
        <v>0</v>
      </c>
      <c r="N51" s="35" t="s">
        <v>0</v>
      </c>
      <c r="O51" s="35">
        <v>1.2442</v>
      </c>
    </row>
    <row r="52" spans="1:15">
      <c r="A52" s="74" t="s">
        <v>238</v>
      </c>
      <c r="B52" s="47" t="s">
        <v>126</v>
      </c>
      <c r="C52" s="48">
        <v>0.25</v>
      </c>
      <c r="D52" s="47">
        <v>6.85</v>
      </c>
      <c r="E52" s="47">
        <v>7</v>
      </c>
      <c r="F52" s="10" t="s">
        <v>0</v>
      </c>
      <c r="G52" s="10" t="s">
        <v>0</v>
      </c>
      <c r="H52" s="10" t="s">
        <v>0</v>
      </c>
      <c r="I52" s="35" t="s">
        <v>0</v>
      </c>
      <c r="J52" s="10" t="s">
        <v>0</v>
      </c>
      <c r="K52" s="10" t="s">
        <v>0</v>
      </c>
      <c r="L52" s="10" t="s">
        <v>0</v>
      </c>
      <c r="M52" s="36" t="s">
        <v>0</v>
      </c>
      <c r="N52" s="35" t="s">
        <v>0</v>
      </c>
      <c r="O52" s="35">
        <v>1.2423999999999999</v>
      </c>
    </row>
    <row r="53" spans="1:15">
      <c r="A53" s="74" t="s">
        <v>20</v>
      </c>
      <c r="B53" s="47" t="s">
        <v>123</v>
      </c>
      <c r="C53" s="48">
        <v>3.625</v>
      </c>
      <c r="D53" s="47">
        <v>6.83</v>
      </c>
      <c r="E53" s="47">
        <v>7.75</v>
      </c>
      <c r="F53" s="10" t="s">
        <v>0</v>
      </c>
      <c r="G53" s="10" t="s">
        <v>0</v>
      </c>
      <c r="H53" s="10" t="s">
        <v>0</v>
      </c>
      <c r="I53" s="35" t="s">
        <v>0</v>
      </c>
      <c r="J53" s="10" t="s">
        <v>0</v>
      </c>
      <c r="K53" s="10" t="s">
        <v>0</v>
      </c>
      <c r="L53" s="10" t="s">
        <v>0</v>
      </c>
      <c r="M53" s="36" t="s">
        <v>0</v>
      </c>
      <c r="N53" s="35" t="s">
        <v>0</v>
      </c>
      <c r="O53" s="35">
        <v>1.2559</v>
      </c>
    </row>
    <row r="54" spans="1:15">
      <c r="A54" s="74" t="s">
        <v>57</v>
      </c>
      <c r="B54" s="47" t="s">
        <v>125</v>
      </c>
      <c r="C54" s="48">
        <v>1.75</v>
      </c>
      <c r="D54" s="47">
        <v>7.06</v>
      </c>
      <c r="E54" s="47">
        <v>7.61</v>
      </c>
      <c r="F54" s="10" t="s">
        <v>0</v>
      </c>
      <c r="G54" s="10" t="s">
        <v>0</v>
      </c>
      <c r="H54" s="10" t="s">
        <v>0</v>
      </c>
      <c r="I54" s="35" t="s">
        <v>0</v>
      </c>
      <c r="J54" s="10" t="s">
        <v>0</v>
      </c>
      <c r="K54" s="10" t="s">
        <v>0</v>
      </c>
      <c r="L54" s="10" t="s">
        <v>0</v>
      </c>
      <c r="M54" s="36" t="s">
        <v>0</v>
      </c>
      <c r="N54" s="35" t="s">
        <v>0</v>
      </c>
      <c r="O54" s="35">
        <v>1.2553000000000001</v>
      </c>
    </row>
    <row r="55" spans="1:15">
      <c r="A55" s="74" t="s">
        <v>239</v>
      </c>
      <c r="B55" s="47" t="s">
        <v>127</v>
      </c>
      <c r="C55" s="48">
        <v>0.25</v>
      </c>
      <c r="D55" s="47">
        <v>7.19</v>
      </c>
      <c r="E55" s="47">
        <v>7.36</v>
      </c>
      <c r="F55" s="10" t="s">
        <v>0</v>
      </c>
      <c r="G55" s="10" t="s">
        <v>0</v>
      </c>
      <c r="H55" s="10" t="s">
        <v>0</v>
      </c>
      <c r="I55" s="35" t="s">
        <v>0</v>
      </c>
      <c r="J55" s="10" t="s">
        <v>0</v>
      </c>
      <c r="K55" s="10" t="s">
        <v>0</v>
      </c>
      <c r="L55" s="10" t="s">
        <v>0</v>
      </c>
      <c r="M55" s="36" t="s">
        <v>0</v>
      </c>
      <c r="N55" s="35" t="s">
        <v>0</v>
      </c>
      <c r="O55" s="35">
        <v>1.2507999999999999</v>
      </c>
    </row>
    <row r="56" spans="1:15">
      <c r="A56" s="74" t="s">
        <v>60</v>
      </c>
      <c r="B56" s="47" t="s">
        <v>128</v>
      </c>
      <c r="C56" s="48">
        <v>1.875</v>
      </c>
      <c r="D56" s="47">
        <v>7.22</v>
      </c>
      <c r="E56" s="47">
        <v>7.8</v>
      </c>
      <c r="F56" s="10" t="s">
        <v>0</v>
      </c>
      <c r="G56" s="10" t="s">
        <v>0</v>
      </c>
      <c r="H56" s="10" t="s">
        <v>0</v>
      </c>
      <c r="I56" s="35" t="s">
        <v>0</v>
      </c>
      <c r="J56" s="10" t="s">
        <v>0</v>
      </c>
      <c r="K56" s="10" t="s">
        <v>0</v>
      </c>
      <c r="L56" s="10" t="s">
        <v>0</v>
      </c>
      <c r="M56" s="36" t="s">
        <v>0</v>
      </c>
      <c r="N56" s="35" t="s">
        <v>0</v>
      </c>
      <c r="O56" s="35">
        <v>1.2606999999999999</v>
      </c>
    </row>
    <row r="57" spans="1:15">
      <c r="A57" s="74" t="s">
        <v>240</v>
      </c>
      <c r="B57" s="47" t="s">
        <v>186</v>
      </c>
      <c r="C57" s="48">
        <v>0.375</v>
      </c>
      <c r="D57" s="47">
        <v>7.35</v>
      </c>
      <c r="E57" s="47">
        <v>7.56</v>
      </c>
      <c r="F57" s="10" t="s">
        <v>0</v>
      </c>
      <c r="G57" s="10" t="s">
        <v>0</v>
      </c>
      <c r="H57" s="10" t="s">
        <v>0</v>
      </c>
      <c r="I57" s="35" t="s">
        <v>0</v>
      </c>
      <c r="J57" s="10" t="s">
        <v>0</v>
      </c>
      <c r="K57" s="10" t="s">
        <v>0</v>
      </c>
      <c r="L57" s="10" t="s">
        <v>0</v>
      </c>
      <c r="M57" s="36" t="s">
        <v>0</v>
      </c>
      <c r="N57" s="35" t="s">
        <v>0</v>
      </c>
      <c r="O57" s="35">
        <v>1.2565999999999999</v>
      </c>
    </row>
    <row r="58" spans="1:15">
      <c r="A58" s="74" t="s">
        <v>228</v>
      </c>
      <c r="B58" s="47" t="s">
        <v>189</v>
      </c>
      <c r="C58" s="48">
        <v>0.375</v>
      </c>
      <c r="D58" s="47">
        <v>7.48</v>
      </c>
      <c r="E58" s="47">
        <v>7.69</v>
      </c>
      <c r="F58" s="10" t="s">
        <v>0</v>
      </c>
      <c r="G58" s="10" t="s">
        <v>0</v>
      </c>
      <c r="H58" s="10" t="s">
        <v>0</v>
      </c>
      <c r="I58" s="35" t="s">
        <v>0</v>
      </c>
      <c r="J58" s="10" t="s">
        <v>0</v>
      </c>
      <c r="K58" s="10" t="s">
        <v>0</v>
      </c>
      <c r="L58" s="10" t="s">
        <v>0</v>
      </c>
      <c r="M58" s="36" t="s">
        <v>0</v>
      </c>
      <c r="N58" s="35" t="s">
        <v>0</v>
      </c>
      <c r="O58" s="35">
        <v>1.2607999999999999</v>
      </c>
    </row>
    <row r="59" spans="1:15">
      <c r="A59" s="74" t="s">
        <v>42</v>
      </c>
      <c r="B59" s="47" t="s">
        <v>129</v>
      </c>
      <c r="C59" s="48">
        <v>1.625</v>
      </c>
      <c r="D59" s="47">
        <v>7.62</v>
      </c>
      <c r="E59" s="47">
        <v>8.27</v>
      </c>
      <c r="F59" s="10" t="s">
        <v>0</v>
      </c>
      <c r="G59" s="10" t="s">
        <v>0</v>
      </c>
      <c r="H59" s="10" t="s">
        <v>0</v>
      </c>
      <c r="I59" s="35" t="s">
        <v>0</v>
      </c>
      <c r="J59" s="10" t="s">
        <v>0</v>
      </c>
      <c r="K59" s="10" t="s">
        <v>0</v>
      </c>
      <c r="L59" s="10" t="s">
        <v>0</v>
      </c>
      <c r="M59" s="36" t="s">
        <v>0</v>
      </c>
      <c r="N59" s="35" t="s">
        <v>0</v>
      </c>
      <c r="O59" s="35">
        <v>1.2745</v>
      </c>
    </row>
    <row r="60" spans="1:15">
      <c r="A60" s="74" t="s">
        <v>241</v>
      </c>
      <c r="B60" s="47" t="s">
        <v>198</v>
      </c>
      <c r="C60" s="48">
        <v>0.5</v>
      </c>
      <c r="D60" s="47">
        <v>7.73</v>
      </c>
      <c r="E60" s="47">
        <v>8.02</v>
      </c>
      <c r="F60" s="10" t="s">
        <v>0</v>
      </c>
      <c r="G60" s="10" t="s">
        <v>0</v>
      </c>
      <c r="H60" s="10" t="s">
        <v>0</v>
      </c>
      <c r="I60" s="35" t="s">
        <v>0</v>
      </c>
      <c r="J60" s="10" t="s">
        <v>0</v>
      </c>
      <c r="K60" s="10" t="s">
        <v>0</v>
      </c>
      <c r="L60" s="10" t="s">
        <v>0</v>
      </c>
      <c r="M60" s="36" t="s">
        <v>0</v>
      </c>
      <c r="N60" s="35" t="s">
        <v>0</v>
      </c>
      <c r="O60" s="35">
        <v>1.2708999999999999</v>
      </c>
    </row>
    <row r="61" spans="1:15">
      <c r="A61" s="74" t="s">
        <v>25</v>
      </c>
      <c r="B61" s="47" t="s">
        <v>130</v>
      </c>
      <c r="C61" s="48">
        <v>1.625</v>
      </c>
      <c r="D61" s="47">
        <v>7.77</v>
      </c>
      <c r="E61" s="47">
        <v>8.42</v>
      </c>
      <c r="F61" s="10" t="s">
        <v>0</v>
      </c>
      <c r="G61" s="10" t="s">
        <v>0</v>
      </c>
      <c r="H61" s="10" t="s">
        <v>0</v>
      </c>
      <c r="I61" s="35" t="s">
        <v>0</v>
      </c>
      <c r="J61" s="10" t="s">
        <v>0</v>
      </c>
      <c r="K61" s="10" t="s">
        <v>0</v>
      </c>
      <c r="L61" s="10" t="s">
        <v>0</v>
      </c>
      <c r="M61" s="36" t="s">
        <v>0</v>
      </c>
      <c r="N61" s="35" t="s">
        <v>0</v>
      </c>
      <c r="O61" s="35">
        <v>1.278</v>
      </c>
    </row>
    <row r="62" spans="1:15">
      <c r="A62" s="74" t="s">
        <v>242</v>
      </c>
      <c r="B62" s="47" t="s">
        <v>207</v>
      </c>
      <c r="C62" s="48">
        <v>0.75</v>
      </c>
      <c r="D62" s="47">
        <v>7.86</v>
      </c>
      <c r="E62" s="47">
        <v>8.24</v>
      </c>
      <c r="F62" s="10" t="s">
        <v>0</v>
      </c>
      <c r="G62" s="10" t="s">
        <v>0</v>
      </c>
      <c r="H62" s="10" t="s">
        <v>0</v>
      </c>
      <c r="I62" s="35" t="s">
        <v>0</v>
      </c>
      <c r="J62" s="10" t="s">
        <v>0</v>
      </c>
      <c r="K62" s="10" t="s">
        <v>0</v>
      </c>
      <c r="L62" s="10" t="s">
        <v>0</v>
      </c>
      <c r="M62" s="36" t="s">
        <v>0</v>
      </c>
      <c r="N62" s="35" t="s">
        <v>0</v>
      </c>
      <c r="O62" s="35">
        <v>1.2762</v>
      </c>
    </row>
    <row r="63" spans="1:15">
      <c r="A63" s="74" t="s">
        <v>205</v>
      </c>
      <c r="B63" s="47" t="s">
        <v>208</v>
      </c>
      <c r="C63" s="48">
        <v>0.625</v>
      </c>
      <c r="D63" s="47">
        <v>8.01</v>
      </c>
      <c r="E63" s="47">
        <v>8.35</v>
      </c>
      <c r="F63" s="10" t="s">
        <v>0</v>
      </c>
      <c r="G63" s="10" t="s">
        <v>0</v>
      </c>
      <c r="H63" s="10" t="s">
        <v>0</v>
      </c>
      <c r="I63" s="35" t="s">
        <v>0</v>
      </c>
      <c r="J63" s="10" t="s">
        <v>0</v>
      </c>
      <c r="K63" s="10" t="s">
        <v>0</v>
      </c>
      <c r="L63" s="10" t="s">
        <v>0</v>
      </c>
      <c r="M63" s="36" t="s">
        <v>0</v>
      </c>
      <c r="N63" s="35" t="s">
        <v>0</v>
      </c>
      <c r="O63" s="35">
        <v>1.2790999999999999</v>
      </c>
    </row>
    <row r="64" spans="1:15">
      <c r="A64" s="74" t="s">
        <v>219</v>
      </c>
      <c r="B64" s="47" t="s">
        <v>221</v>
      </c>
      <c r="C64" s="48">
        <v>1.25</v>
      </c>
      <c r="D64" s="47">
        <v>8.16</v>
      </c>
      <c r="E64" s="47">
        <v>8.7100000000000009</v>
      </c>
      <c r="F64" s="10">
        <v>1.28</v>
      </c>
      <c r="G64" s="10">
        <v>1.28</v>
      </c>
      <c r="H64" s="10">
        <v>1.28</v>
      </c>
      <c r="I64" s="35">
        <v>2</v>
      </c>
      <c r="J64" s="10" t="s">
        <v>0</v>
      </c>
      <c r="K64" s="10" t="s">
        <v>0</v>
      </c>
      <c r="L64" s="10" t="s">
        <v>0</v>
      </c>
      <c r="M64" s="36" t="s">
        <v>0</v>
      </c>
      <c r="N64" s="35" t="s">
        <v>0</v>
      </c>
      <c r="O64" s="35">
        <v>1.2841</v>
      </c>
    </row>
    <row r="65" spans="1:15">
      <c r="A65" s="74" t="s">
        <v>262</v>
      </c>
      <c r="B65" s="47" t="s">
        <v>263</v>
      </c>
      <c r="C65" s="48">
        <v>1.75</v>
      </c>
      <c r="D65" s="47">
        <v>8.31</v>
      </c>
      <c r="E65" s="47">
        <v>9.01</v>
      </c>
      <c r="F65" s="10" t="s">
        <v>0</v>
      </c>
      <c r="G65" s="10" t="s">
        <v>0</v>
      </c>
      <c r="H65" s="10" t="s">
        <v>0</v>
      </c>
      <c r="I65" s="35" t="s">
        <v>0</v>
      </c>
      <c r="J65" s="10" t="s">
        <v>0</v>
      </c>
      <c r="K65" s="10" t="s">
        <v>0</v>
      </c>
      <c r="L65" s="10" t="s">
        <v>0</v>
      </c>
      <c r="M65" s="36" t="s">
        <v>0</v>
      </c>
      <c r="N65" s="35" t="s">
        <v>0</v>
      </c>
      <c r="O65" s="35">
        <v>1.2867999999999999</v>
      </c>
    </row>
    <row r="66" spans="1:15">
      <c r="A66" s="74" t="s">
        <v>29</v>
      </c>
      <c r="B66" s="47" t="s">
        <v>131</v>
      </c>
      <c r="C66" s="48">
        <v>1.5</v>
      </c>
      <c r="D66" s="47">
        <v>8.1999999999999993</v>
      </c>
      <c r="E66" s="47">
        <v>8.82</v>
      </c>
      <c r="F66" s="10" t="s">
        <v>0</v>
      </c>
      <c r="G66" s="10" t="s">
        <v>0</v>
      </c>
      <c r="H66" s="10" t="s">
        <v>0</v>
      </c>
      <c r="I66" s="35" t="s">
        <v>0</v>
      </c>
      <c r="J66" s="10" t="s">
        <v>0</v>
      </c>
      <c r="K66" s="10" t="s">
        <v>0</v>
      </c>
      <c r="L66" s="10" t="s">
        <v>0</v>
      </c>
      <c r="M66" s="36" t="s">
        <v>0</v>
      </c>
      <c r="N66" s="35" t="s">
        <v>0</v>
      </c>
      <c r="O66" s="35">
        <v>1.2849999999999999</v>
      </c>
    </row>
    <row r="67" spans="1:15">
      <c r="A67" s="74" t="s">
        <v>52</v>
      </c>
      <c r="B67" s="47" t="s">
        <v>134</v>
      </c>
      <c r="C67" s="48">
        <v>1.5</v>
      </c>
      <c r="D67" s="47">
        <v>8.5399999999999991</v>
      </c>
      <c r="E67" s="47">
        <v>9.2899999999999991</v>
      </c>
      <c r="F67" s="10" t="s">
        <v>0</v>
      </c>
      <c r="G67" s="10" t="s">
        <v>0</v>
      </c>
      <c r="H67" s="10" t="s">
        <v>0</v>
      </c>
      <c r="I67" s="35" t="s">
        <v>0</v>
      </c>
      <c r="J67" s="10" t="s">
        <v>0</v>
      </c>
      <c r="K67" s="10" t="s">
        <v>0</v>
      </c>
      <c r="L67" s="10" t="s">
        <v>0</v>
      </c>
      <c r="M67" s="36" t="s">
        <v>0</v>
      </c>
      <c r="N67" s="35" t="s">
        <v>0</v>
      </c>
      <c r="O67" s="35">
        <v>1.2905</v>
      </c>
    </row>
    <row r="68" spans="1:15">
      <c r="A68" s="74" t="s">
        <v>275</v>
      </c>
      <c r="B68" s="47" t="s">
        <v>276</v>
      </c>
      <c r="C68" s="48">
        <v>1.25</v>
      </c>
      <c r="D68" s="47">
        <v>8.58</v>
      </c>
      <c r="E68" s="47">
        <v>9.24</v>
      </c>
      <c r="F68" s="10" t="s">
        <v>0</v>
      </c>
      <c r="G68" s="10" t="s">
        <v>0</v>
      </c>
      <c r="H68" s="10" t="s">
        <v>0</v>
      </c>
      <c r="I68" s="35" t="s">
        <v>0</v>
      </c>
      <c r="J68" s="10" t="s">
        <v>0</v>
      </c>
      <c r="K68" s="10" t="s">
        <v>0</v>
      </c>
      <c r="L68" s="10" t="s">
        <v>0</v>
      </c>
      <c r="M68" s="36" t="s">
        <v>0</v>
      </c>
      <c r="N68" s="35" t="s">
        <v>0</v>
      </c>
      <c r="O68" s="35">
        <v>1.2907999999999999</v>
      </c>
    </row>
    <row r="69" spans="1:15">
      <c r="A69" s="74" t="s">
        <v>61</v>
      </c>
      <c r="B69" s="47" t="s">
        <v>133</v>
      </c>
      <c r="C69" s="48">
        <v>1.75</v>
      </c>
      <c r="D69" s="47">
        <v>8.59</v>
      </c>
      <c r="E69" s="47">
        <v>9.43</v>
      </c>
      <c r="F69" s="10" t="s">
        <v>0</v>
      </c>
      <c r="G69" s="10" t="s">
        <v>0</v>
      </c>
      <c r="H69" s="10" t="s">
        <v>0</v>
      </c>
      <c r="I69" s="35" t="s">
        <v>0</v>
      </c>
      <c r="J69" s="10" t="s">
        <v>0</v>
      </c>
      <c r="K69" s="10" t="s">
        <v>0</v>
      </c>
      <c r="L69" s="10" t="s">
        <v>0</v>
      </c>
      <c r="M69" s="36" t="s">
        <v>0</v>
      </c>
      <c r="N69" s="35" t="s">
        <v>0</v>
      </c>
      <c r="O69" s="35">
        <v>1.2912999999999999</v>
      </c>
    </row>
    <row r="70" spans="1:15">
      <c r="A70" s="74" t="s">
        <v>273</v>
      </c>
      <c r="B70" s="47" t="s">
        <v>274</v>
      </c>
      <c r="C70" s="48">
        <v>1.125</v>
      </c>
      <c r="D70" s="47">
        <v>8.73</v>
      </c>
      <c r="E70" s="47">
        <v>9.34</v>
      </c>
      <c r="F70" s="10">
        <v>1.286</v>
      </c>
      <c r="G70" s="10">
        <v>1.2849999999999999</v>
      </c>
      <c r="H70" s="10">
        <v>1.2855000000000001</v>
      </c>
      <c r="I70" s="35">
        <v>4</v>
      </c>
      <c r="J70" s="10" t="s">
        <v>0</v>
      </c>
      <c r="K70" s="10" t="s">
        <v>0</v>
      </c>
      <c r="L70" s="10" t="s">
        <v>0</v>
      </c>
      <c r="M70" s="36" t="s">
        <v>0</v>
      </c>
      <c r="N70" s="35" t="s">
        <v>0</v>
      </c>
      <c r="O70" s="35">
        <v>1.2922</v>
      </c>
    </row>
    <row r="71" spans="1:15">
      <c r="A71" s="74" t="s">
        <v>30</v>
      </c>
      <c r="B71" s="47" t="s">
        <v>135</v>
      </c>
      <c r="C71" s="48">
        <v>2</v>
      </c>
      <c r="D71" s="47">
        <v>8.85</v>
      </c>
      <c r="E71" s="47">
        <v>9.7799999999999994</v>
      </c>
      <c r="F71" s="10" t="s">
        <v>0</v>
      </c>
      <c r="G71" s="10" t="s">
        <v>0</v>
      </c>
      <c r="H71" s="10" t="s">
        <v>0</v>
      </c>
      <c r="I71" s="35" t="s">
        <v>0</v>
      </c>
      <c r="J71" s="10" t="s">
        <v>0</v>
      </c>
      <c r="K71" s="10" t="s">
        <v>0</v>
      </c>
      <c r="L71" s="10" t="s">
        <v>0</v>
      </c>
      <c r="M71" s="36" t="s">
        <v>0</v>
      </c>
      <c r="N71" s="35" t="s">
        <v>0</v>
      </c>
      <c r="O71" s="35">
        <v>1.2944</v>
      </c>
    </row>
    <row r="72" spans="1:15">
      <c r="A72" s="74" t="s">
        <v>21</v>
      </c>
      <c r="B72" s="47" t="s">
        <v>132</v>
      </c>
      <c r="C72" s="48">
        <v>3.875</v>
      </c>
      <c r="D72" s="47">
        <v>8.89</v>
      </c>
      <c r="E72" s="47">
        <v>10.62</v>
      </c>
      <c r="F72" s="10" t="s">
        <v>0</v>
      </c>
      <c r="G72" s="10" t="s">
        <v>0</v>
      </c>
      <c r="H72" s="10" t="s">
        <v>0</v>
      </c>
      <c r="I72" s="35" t="s">
        <v>0</v>
      </c>
      <c r="J72" s="10" t="s">
        <v>0</v>
      </c>
      <c r="K72" s="10" t="s">
        <v>0</v>
      </c>
      <c r="L72" s="10" t="s">
        <v>0</v>
      </c>
      <c r="M72" s="36" t="s">
        <v>0</v>
      </c>
      <c r="N72" s="35" t="s">
        <v>0</v>
      </c>
      <c r="O72" s="35">
        <v>1.2994000000000001</v>
      </c>
    </row>
    <row r="73" spans="1:15">
      <c r="A73" s="74" t="s">
        <v>324</v>
      </c>
      <c r="B73" s="47" t="s">
        <v>325</v>
      </c>
      <c r="C73" s="48">
        <v>1.125</v>
      </c>
      <c r="D73" s="47">
        <v>9.0399999999999991</v>
      </c>
      <c r="E73" s="47">
        <v>9.65</v>
      </c>
      <c r="F73" s="10" t="s">
        <v>0</v>
      </c>
      <c r="G73" s="10" t="s">
        <v>0</v>
      </c>
      <c r="H73" s="10" t="s">
        <v>0</v>
      </c>
      <c r="I73" s="35" t="s">
        <v>0</v>
      </c>
      <c r="J73" s="10" t="s">
        <v>0</v>
      </c>
      <c r="K73" s="10" t="s">
        <v>0</v>
      </c>
      <c r="L73" s="10" t="s">
        <v>0</v>
      </c>
      <c r="M73" s="36" t="s">
        <v>0</v>
      </c>
      <c r="N73" s="35" t="s">
        <v>0</v>
      </c>
      <c r="O73" s="35">
        <v>1.2956000000000001</v>
      </c>
    </row>
    <row r="74" spans="1:15">
      <c r="A74" s="74" t="s">
        <v>537</v>
      </c>
      <c r="B74" s="47" t="s">
        <v>855</v>
      </c>
      <c r="C74" s="48">
        <v>1.25</v>
      </c>
      <c r="D74" s="47">
        <v>9.16</v>
      </c>
      <c r="E74" s="47">
        <v>9.9700000000000006</v>
      </c>
      <c r="F74" s="10">
        <v>1.29</v>
      </c>
      <c r="G74" s="10">
        <v>1.29</v>
      </c>
      <c r="H74" s="10">
        <v>1.29</v>
      </c>
      <c r="I74" s="35">
        <v>1.5</v>
      </c>
      <c r="J74" s="10" t="s">
        <v>0</v>
      </c>
      <c r="K74" s="10" t="s">
        <v>0</v>
      </c>
      <c r="L74" s="10" t="s">
        <v>0</v>
      </c>
      <c r="M74" s="36" t="s">
        <v>0</v>
      </c>
      <c r="N74" s="35" t="s">
        <v>0</v>
      </c>
      <c r="O74" s="35">
        <v>1.2971999999999999</v>
      </c>
    </row>
    <row r="75" spans="1:15">
      <c r="A75" s="74" t="s">
        <v>62</v>
      </c>
      <c r="B75" s="47" t="s">
        <v>136</v>
      </c>
      <c r="C75" s="48">
        <v>2</v>
      </c>
      <c r="D75" s="47">
        <v>9.19</v>
      </c>
      <c r="E75" s="47">
        <v>10.29</v>
      </c>
      <c r="F75" s="10" t="s">
        <v>0</v>
      </c>
      <c r="G75" s="10" t="s">
        <v>0</v>
      </c>
      <c r="H75" s="10" t="s">
        <v>0</v>
      </c>
      <c r="I75" s="35" t="s">
        <v>0</v>
      </c>
      <c r="J75" s="10" t="s">
        <v>0</v>
      </c>
      <c r="K75" s="10" t="s">
        <v>0</v>
      </c>
      <c r="L75" s="10" t="s">
        <v>0</v>
      </c>
      <c r="M75" s="36" t="s">
        <v>0</v>
      </c>
      <c r="N75" s="35" t="s">
        <v>0</v>
      </c>
      <c r="O75" s="35">
        <v>1.3004</v>
      </c>
    </row>
    <row r="76" spans="1:15">
      <c r="A76" s="74" t="s">
        <v>541</v>
      </c>
      <c r="B76" s="47" t="s">
        <v>855</v>
      </c>
      <c r="C76" s="48">
        <v>1.25</v>
      </c>
      <c r="D76" s="47">
        <v>9.31</v>
      </c>
      <c r="E76" s="47">
        <v>9.9700000000000006</v>
      </c>
      <c r="F76" s="10" t="s">
        <v>0</v>
      </c>
      <c r="G76" s="10" t="s">
        <v>0</v>
      </c>
      <c r="H76" s="10" t="s">
        <v>0</v>
      </c>
      <c r="I76" s="35" t="s">
        <v>0</v>
      </c>
      <c r="J76" s="10" t="s">
        <v>0</v>
      </c>
      <c r="K76" s="10" t="s">
        <v>0</v>
      </c>
      <c r="L76" s="10" t="s">
        <v>0</v>
      </c>
      <c r="M76" s="36" t="s">
        <v>0</v>
      </c>
      <c r="N76" s="35" t="s">
        <v>0</v>
      </c>
      <c r="O76" s="35">
        <v>1.2988999999999999</v>
      </c>
    </row>
    <row r="77" spans="1:15">
      <c r="A77" s="74" t="s">
        <v>43</v>
      </c>
      <c r="B77" s="47" t="s">
        <v>137</v>
      </c>
      <c r="C77" s="48">
        <v>1.875</v>
      </c>
      <c r="D77" s="47">
        <v>9.4700000000000006</v>
      </c>
      <c r="E77" s="47">
        <v>10.53</v>
      </c>
      <c r="F77" s="10" t="s">
        <v>0</v>
      </c>
      <c r="G77" s="10" t="s">
        <v>0</v>
      </c>
      <c r="H77" s="10" t="s">
        <v>0</v>
      </c>
      <c r="I77" s="35" t="s">
        <v>0</v>
      </c>
      <c r="J77" s="10" t="s">
        <v>0</v>
      </c>
      <c r="K77" s="10" t="s">
        <v>0</v>
      </c>
      <c r="L77" s="10" t="s">
        <v>0</v>
      </c>
      <c r="M77" s="36" t="s">
        <v>0</v>
      </c>
      <c r="N77" s="35" t="s">
        <v>0</v>
      </c>
      <c r="O77" s="35">
        <v>1.3038000000000001</v>
      </c>
    </row>
    <row r="78" spans="1:15">
      <c r="A78" s="74" t="s">
        <v>64</v>
      </c>
      <c r="B78" s="47" t="s">
        <v>138</v>
      </c>
      <c r="C78" s="48">
        <v>2.125</v>
      </c>
      <c r="D78" s="47">
        <v>9.64</v>
      </c>
      <c r="E78" s="47">
        <v>10.79</v>
      </c>
      <c r="F78" s="10" t="s">
        <v>0</v>
      </c>
      <c r="G78" s="10" t="s">
        <v>0</v>
      </c>
      <c r="H78" s="10" t="s">
        <v>0</v>
      </c>
      <c r="I78" s="35" t="s">
        <v>0</v>
      </c>
      <c r="J78" s="10" t="s">
        <v>0</v>
      </c>
      <c r="K78" s="10" t="s">
        <v>0</v>
      </c>
      <c r="L78" s="10" t="s">
        <v>0</v>
      </c>
      <c r="M78" s="36" t="s">
        <v>0</v>
      </c>
      <c r="N78" s="35" t="s">
        <v>0</v>
      </c>
      <c r="O78" s="35">
        <v>1.3066</v>
      </c>
    </row>
    <row r="79" spans="1:15">
      <c r="A79" s="74" t="s">
        <v>63</v>
      </c>
      <c r="B79" s="47" t="s">
        <v>139</v>
      </c>
      <c r="C79" s="48">
        <v>2.25</v>
      </c>
      <c r="D79" s="47">
        <v>9.76</v>
      </c>
      <c r="E79" s="47">
        <v>10.97</v>
      </c>
      <c r="F79" s="10" t="s">
        <v>0</v>
      </c>
      <c r="G79" s="10" t="s">
        <v>0</v>
      </c>
      <c r="H79" s="10" t="s">
        <v>0</v>
      </c>
      <c r="I79" s="35" t="s">
        <v>0</v>
      </c>
      <c r="J79" s="10" t="s">
        <v>0</v>
      </c>
      <c r="K79" s="10" t="s">
        <v>0</v>
      </c>
      <c r="L79" s="10" t="s">
        <v>0</v>
      </c>
      <c r="M79" s="36" t="s">
        <v>0</v>
      </c>
      <c r="N79" s="35" t="s">
        <v>0</v>
      </c>
      <c r="O79" s="35">
        <v>1.3086</v>
      </c>
    </row>
    <row r="80" spans="1:15">
      <c r="A80" s="74" t="s">
        <v>26</v>
      </c>
      <c r="B80" s="47" t="s">
        <v>140</v>
      </c>
      <c r="C80" s="48">
        <v>2</v>
      </c>
      <c r="D80" s="47">
        <v>9.98</v>
      </c>
      <c r="E80" s="47">
        <v>11.27</v>
      </c>
      <c r="F80" s="10" t="s">
        <v>0</v>
      </c>
      <c r="G80" s="10" t="s">
        <v>0</v>
      </c>
      <c r="H80" s="10" t="s">
        <v>0</v>
      </c>
      <c r="I80" s="35" t="s">
        <v>0</v>
      </c>
      <c r="J80" s="10" t="s">
        <v>0</v>
      </c>
      <c r="K80" s="10" t="s">
        <v>0</v>
      </c>
      <c r="L80" s="10" t="s">
        <v>0</v>
      </c>
      <c r="M80" s="36" t="s">
        <v>0</v>
      </c>
      <c r="N80" s="35" t="s">
        <v>0</v>
      </c>
      <c r="O80" s="35">
        <v>1.3137000000000001</v>
      </c>
    </row>
    <row r="81" spans="1:15">
      <c r="A81" s="74" t="s">
        <v>48</v>
      </c>
      <c r="B81" s="47" t="s">
        <v>141</v>
      </c>
      <c r="C81" s="48">
        <v>2.125</v>
      </c>
      <c r="D81" s="47">
        <v>10.14</v>
      </c>
      <c r="E81" s="47">
        <v>11.5</v>
      </c>
      <c r="F81" s="10" t="s">
        <v>0</v>
      </c>
      <c r="G81" s="10" t="s">
        <v>0</v>
      </c>
      <c r="H81" s="10" t="s">
        <v>0</v>
      </c>
      <c r="I81" s="35" t="s">
        <v>0</v>
      </c>
      <c r="J81" s="10" t="s">
        <v>0</v>
      </c>
      <c r="K81" s="10" t="s">
        <v>0</v>
      </c>
      <c r="L81" s="10" t="s">
        <v>0</v>
      </c>
      <c r="M81" s="36" t="s">
        <v>0</v>
      </c>
      <c r="N81" s="35" t="s">
        <v>0</v>
      </c>
      <c r="O81" s="35">
        <v>1.3166</v>
      </c>
    </row>
    <row r="82" spans="1:15">
      <c r="A82" s="74" t="s">
        <v>53</v>
      </c>
      <c r="B82" s="47" t="s">
        <v>142</v>
      </c>
      <c r="C82" s="48">
        <v>1.75</v>
      </c>
      <c r="D82" s="47">
        <v>10.66</v>
      </c>
      <c r="E82" s="47">
        <v>12.03</v>
      </c>
      <c r="F82" s="10" t="s">
        <v>0</v>
      </c>
      <c r="G82" s="10" t="s">
        <v>0</v>
      </c>
      <c r="H82" s="10" t="s">
        <v>0</v>
      </c>
      <c r="I82" s="35" t="s">
        <v>0</v>
      </c>
      <c r="J82" s="10" t="s">
        <v>0</v>
      </c>
      <c r="K82" s="10" t="s">
        <v>0</v>
      </c>
      <c r="L82" s="10" t="s">
        <v>0</v>
      </c>
      <c r="M82" s="36" t="s">
        <v>0</v>
      </c>
      <c r="N82" s="35" t="s">
        <v>0</v>
      </c>
      <c r="O82" s="35">
        <v>1.3259000000000001</v>
      </c>
    </row>
    <row r="83" spans="1:15">
      <c r="A83" s="74" t="s">
        <v>38</v>
      </c>
      <c r="B83" s="47" t="s">
        <v>143</v>
      </c>
      <c r="C83" s="48">
        <v>1.375</v>
      </c>
      <c r="D83" s="47">
        <v>11.11</v>
      </c>
      <c r="E83" s="47">
        <v>12.27</v>
      </c>
      <c r="F83" s="10" t="s">
        <v>0</v>
      </c>
      <c r="G83" s="10" t="s">
        <v>0</v>
      </c>
      <c r="H83" s="10" t="s">
        <v>0</v>
      </c>
      <c r="I83" s="35" t="s">
        <v>0</v>
      </c>
      <c r="J83" s="10" t="s">
        <v>0</v>
      </c>
      <c r="K83" s="10" t="s">
        <v>0</v>
      </c>
      <c r="L83" s="10" t="s">
        <v>0</v>
      </c>
      <c r="M83" s="36" t="s">
        <v>0</v>
      </c>
      <c r="N83" s="35" t="s">
        <v>0</v>
      </c>
      <c r="O83" s="35">
        <v>1.3310999999999999</v>
      </c>
    </row>
    <row r="84" spans="1:15">
      <c r="A84" s="74" t="s">
        <v>33</v>
      </c>
      <c r="B84" s="47" t="s">
        <v>144</v>
      </c>
      <c r="C84" s="48">
        <v>1.25</v>
      </c>
      <c r="D84" s="47">
        <v>11.4</v>
      </c>
      <c r="E84" s="47">
        <v>12.48</v>
      </c>
      <c r="F84" s="10" t="s">
        <v>0</v>
      </c>
      <c r="G84" s="10" t="s">
        <v>0</v>
      </c>
      <c r="H84" s="10" t="s">
        <v>0</v>
      </c>
      <c r="I84" s="35" t="s">
        <v>0</v>
      </c>
      <c r="J84" s="10" t="s">
        <v>0</v>
      </c>
      <c r="K84" s="10" t="s">
        <v>0</v>
      </c>
      <c r="L84" s="10" t="s">
        <v>0</v>
      </c>
      <c r="M84" s="36" t="s">
        <v>0</v>
      </c>
      <c r="N84" s="35" t="s">
        <v>0</v>
      </c>
      <c r="O84" s="35">
        <v>1.335</v>
      </c>
    </row>
    <row r="85" spans="1:15">
      <c r="A85" s="74" t="s">
        <v>44</v>
      </c>
      <c r="B85" s="47" t="s">
        <v>146</v>
      </c>
      <c r="C85" s="48">
        <v>1.125</v>
      </c>
      <c r="D85" s="47">
        <v>11.75</v>
      </c>
      <c r="E85" s="47">
        <v>12.76</v>
      </c>
      <c r="F85" s="10" t="s">
        <v>0</v>
      </c>
      <c r="G85" s="10" t="s">
        <v>0</v>
      </c>
      <c r="H85" s="10" t="s">
        <v>0</v>
      </c>
      <c r="I85" s="35" t="s">
        <v>0</v>
      </c>
      <c r="J85" s="10" t="s">
        <v>0</v>
      </c>
      <c r="K85" s="10" t="s">
        <v>0</v>
      </c>
      <c r="L85" s="10" t="s">
        <v>0</v>
      </c>
      <c r="M85" s="36" t="s">
        <v>0</v>
      </c>
      <c r="N85" s="35" t="s">
        <v>0</v>
      </c>
      <c r="O85" s="35">
        <v>1.3401000000000001</v>
      </c>
    </row>
    <row r="86" spans="1:15">
      <c r="A86" s="74" t="s">
        <v>35</v>
      </c>
      <c r="B86" s="47" t="s">
        <v>145</v>
      </c>
      <c r="C86" s="48">
        <v>1.75</v>
      </c>
      <c r="D86" s="47">
        <v>11.77</v>
      </c>
      <c r="E86" s="47">
        <v>13.35</v>
      </c>
      <c r="F86" s="10" t="s">
        <v>0</v>
      </c>
      <c r="G86" s="10" t="s">
        <v>0</v>
      </c>
      <c r="H86" s="10" t="s">
        <v>0</v>
      </c>
      <c r="I86" s="35" t="s">
        <v>0</v>
      </c>
      <c r="J86" s="10" t="s">
        <v>0</v>
      </c>
      <c r="K86" s="10" t="s">
        <v>0</v>
      </c>
      <c r="L86" s="10" t="s">
        <v>0</v>
      </c>
      <c r="M86" s="36" t="s">
        <v>0</v>
      </c>
      <c r="N86" s="35" t="s">
        <v>0</v>
      </c>
      <c r="O86" s="35">
        <v>1.3471</v>
      </c>
    </row>
    <row r="87" spans="1:15">
      <c r="A87" s="74" t="s">
        <v>65</v>
      </c>
      <c r="B87" s="47" t="s">
        <v>147</v>
      </c>
      <c r="C87" s="48">
        <v>1.5</v>
      </c>
      <c r="D87" s="47">
        <v>12.41</v>
      </c>
      <c r="E87" s="47">
        <v>13.84</v>
      </c>
      <c r="F87" s="10" t="s">
        <v>0</v>
      </c>
      <c r="G87" s="10" t="s">
        <v>0</v>
      </c>
      <c r="H87" s="10" t="s">
        <v>0</v>
      </c>
      <c r="I87" s="35" t="s">
        <v>0</v>
      </c>
      <c r="J87" s="10" t="s">
        <v>0</v>
      </c>
      <c r="K87" s="10" t="s">
        <v>0</v>
      </c>
      <c r="L87" s="10" t="s">
        <v>0</v>
      </c>
      <c r="M87" s="36" t="s">
        <v>0</v>
      </c>
      <c r="N87" s="35" t="s">
        <v>0</v>
      </c>
      <c r="O87" s="35">
        <v>1.3567</v>
      </c>
    </row>
    <row r="88" spans="1:15">
      <c r="A88" s="74" t="s">
        <v>66</v>
      </c>
      <c r="B88" s="47" t="s">
        <v>148</v>
      </c>
      <c r="C88" s="48">
        <v>1.375</v>
      </c>
      <c r="D88" s="47">
        <v>12.89</v>
      </c>
      <c r="E88" s="47">
        <v>14.41</v>
      </c>
      <c r="F88" s="10">
        <v>1.375</v>
      </c>
      <c r="G88" s="10">
        <v>1.375</v>
      </c>
      <c r="H88" s="10">
        <v>1.375</v>
      </c>
      <c r="I88" s="35">
        <v>10.5</v>
      </c>
      <c r="J88" s="10">
        <v>1.3759999999999999</v>
      </c>
      <c r="K88" s="10">
        <v>1.3759999999999999</v>
      </c>
      <c r="L88" s="10">
        <v>1.3759999999999999</v>
      </c>
      <c r="M88" s="36">
        <v>7</v>
      </c>
      <c r="N88" s="35">
        <v>10.5</v>
      </c>
      <c r="O88" s="35">
        <v>1.3673</v>
      </c>
    </row>
    <row r="89" spans="1:15">
      <c r="A89" s="74" t="s">
        <v>22</v>
      </c>
      <c r="B89" s="47" t="s">
        <v>149</v>
      </c>
      <c r="C89" s="48">
        <v>2.25</v>
      </c>
      <c r="D89" s="47">
        <v>13.59</v>
      </c>
      <c r="E89" s="47">
        <v>16.29</v>
      </c>
      <c r="F89" s="10" t="s">
        <v>0</v>
      </c>
      <c r="G89" s="10" t="s">
        <v>0</v>
      </c>
      <c r="H89" s="10" t="s">
        <v>0</v>
      </c>
      <c r="I89" s="35" t="s">
        <v>0</v>
      </c>
      <c r="J89" s="10" t="s">
        <v>0</v>
      </c>
      <c r="K89" s="10" t="s">
        <v>0</v>
      </c>
      <c r="L89" s="10" t="s">
        <v>0</v>
      </c>
      <c r="M89" s="36" t="s">
        <v>0</v>
      </c>
      <c r="N89" s="35" t="s">
        <v>0</v>
      </c>
      <c r="O89" s="35">
        <v>1.3955</v>
      </c>
    </row>
    <row r="90" spans="1:15">
      <c r="A90" s="74" t="s">
        <v>67</v>
      </c>
      <c r="B90" s="47" t="s">
        <v>150</v>
      </c>
      <c r="C90" s="48">
        <v>1.125</v>
      </c>
      <c r="D90" s="47">
        <v>13.6</v>
      </c>
      <c r="E90" s="47">
        <v>14.94</v>
      </c>
      <c r="F90" s="10" t="s">
        <v>0</v>
      </c>
      <c r="G90" s="10" t="s">
        <v>0</v>
      </c>
      <c r="H90" s="10" t="s">
        <v>0</v>
      </c>
      <c r="I90" s="35" t="s">
        <v>0</v>
      </c>
      <c r="J90" s="10" t="s">
        <v>0</v>
      </c>
      <c r="K90" s="10" t="s">
        <v>0</v>
      </c>
      <c r="L90" s="10" t="s">
        <v>0</v>
      </c>
      <c r="M90" s="36" t="s">
        <v>0</v>
      </c>
      <c r="N90" s="35" t="s">
        <v>0</v>
      </c>
      <c r="O90" s="35">
        <v>1.3782000000000001</v>
      </c>
    </row>
    <row r="91" spans="1:15">
      <c r="A91" s="74" t="s">
        <v>243</v>
      </c>
      <c r="B91" s="47" t="s">
        <v>151</v>
      </c>
      <c r="C91" s="48">
        <v>1.125</v>
      </c>
      <c r="D91" s="47">
        <v>13.79</v>
      </c>
      <c r="E91" s="47">
        <v>15.29</v>
      </c>
      <c r="F91" s="10" t="s">
        <v>0</v>
      </c>
      <c r="G91" s="10" t="s">
        <v>0</v>
      </c>
      <c r="H91" s="10" t="s">
        <v>0</v>
      </c>
      <c r="I91" s="35" t="s">
        <v>0</v>
      </c>
      <c r="J91" s="10" t="s">
        <v>0</v>
      </c>
      <c r="K91" s="10" t="s">
        <v>0</v>
      </c>
      <c r="L91" s="10" t="s">
        <v>0</v>
      </c>
      <c r="M91" s="36" t="s">
        <v>0</v>
      </c>
      <c r="N91" s="35" t="s">
        <v>0</v>
      </c>
      <c r="O91" s="35">
        <v>1.3847</v>
      </c>
    </row>
    <row r="92" spans="1:15">
      <c r="A92" s="74" t="s">
        <v>244</v>
      </c>
      <c r="B92" s="47" t="s">
        <v>152</v>
      </c>
      <c r="C92" s="48">
        <v>1.125</v>
      </c>
      <c r="D92" s="47">
        <v>13.89</v>
      </c>
      <c r="E92" s="47">
        <v>15.38</v>
      </c>
      <c r="F92" s="10" t="s">
        <v>0</v>
      </c>
      <c r="G92" s="10" t="s">
        <v>0</v>
      </c>
      <c r="H92" s="10" t="s">
        <v>0</v>
      </c>
      <c r="I92" s="35" t="s">
        <v>0</v>
      </c>
      <c r="J92" s="10" t="s">
        <v>0</v>
      </c>
      <c r="K92" s="10" t="s">
        <v>0</v>
      </c>
      <c r="L92" s="10" t="s">
        <v>0</v>
      </c>
      <c r="M92" s="36" t="s">
        <v>0</v>
      </c>
      <c r="N92" s="35" t="s">
        <v>0</v>
      </c>
      <c r="O92" s="35">
        <v>1.3865000000000001</v>
      </c>
    </row>
    <row r="93" spans="1:15">
      <c r="A93" s="74" t="s">
        <v>45</v>
      </c>
      <c r="B93" s="47" t="s">
        <v>153</v>
      </c>
      <c r="C93" s="48">
        <v>2.125</v>
      </c>
      <c r="D93" s="47">
        <v>14.32</v>
      </c>
      <c r="E93" s="47">
        <v>17.21</v>
      </c>
      <c r="F93" s="10" t="s">
        <v>0</v>
      </c>
      <c r="G93" s="10" t="s">
        <v>0</v>
      </c>
      <c r="H93" s="10" t="s">
        <v>0</v>
      </c>
      <c r="I93" s="35" t="s">
        <v>0</v>
      </c>
      <c r="J93" s="10" t="s">
        <v>0</v>
      </c>
      <c r="K93" s="10" t="s">
        <v>0</v>
      </c>
      <c r="L93" s="10" t="s">
        <v>0</v>
      </c>
      <c r="M93" s="36" t="s">
        <v>0</v>
      </c>
      <c r="N93" s="35" t="s">
        <v>0</v>
      </c>
      <c r="O93" s="35">
        <v>1.4127000000000001</v>
      </c>
    </row>
    <row r="94" spans="1:15">
      <c r="A94" s="74" t="s">
        <v>23</v>
      </c>
      <c r="B94" s="47" t="s">
        <v>154</v>
      </c>
      <c r="C94" s="48">
        <v>2</v>
      </c>
      <c r="D94" s="47">
        <v>14.58</v>
      </c>
      <c r="E94" s="47">
        <v>17.36</v>
      </c>
      <c r="F94" s="10" t="s">
        <v>0</v>
      </c>
      <c r="G94" s="10" t="s">
        <v>0</v>
      </c>
      <c r="H94" s="10" t="s">
        <v>0</v>
      </c>
      <c r="I94" s="35" t="s">
        <v>0</v>
      </c>
      <c r="J94" s="10" t="s">
        <v>0</v>
      </c>
      <c r="K94" s="10" t="s">
        <v>0</v>
      </c>
      <c r="L94" s="10" t="s">
        <v>0</v>
      </c>
      <c r="M94" s="36" t="s">
        <v>0</v>
      </c>
      <c r="N94" s="35" t="s">
        <v>0</v>
      </c>
      <c r="O94" s="35">
        <v>1.4162999999999999</v>
      </c>
    </row>
    <row r="95" spans="1:15">
      <c r="A95" s="74" t="s">
        <v>39</v>
      </c>
      <c r="B95" s="47" t="s">
        <v>155</v>
      </c>
      <c r="C95" s="48">
        <v>0.75</v>
      </c>
      <c r="D95" s="47">
        <v>14.76</v>
      </c>
      <c r="E95" s="47">
        <v>15.89</v>
      </c>
      <c r="F95" s="10" t="s">
        <v>0</v>
      </c>
      <c r="G95" s="10" t="s">
        <v>0</v>
      </c>
      <c r="H95" s="10" t="s">
        <v>0</v>
      </c>
      <c r="I95" s="35" t="s">
        <v>0</v>
      </c>
      <c r="J95" s="10" t="s">
        <v>0</v>
      </c>
      <c r="K95" s="10" t="s">
        <v>0</v>
      </c>
      <c r="L95" s="10" t="s">
        <v>0</v>
      </c>
      <c r="M95" s="36" t="s">
        <v>0</v>
      </c>
      <c r="N95" s="35" t="s">
        <v>0</v>
      </c>
      <c r="O95" s="35">
        <v>1.3986000000000001</v>
      </c>
    </row>
    <row r="96" spans="1:15">
      <c r="A96" s="74" t="s">
        <v>245</v>
      </c>
      <c r="B96" s="47" t="s">
        <v>157</v>
      </c>
      <c r="C96" s="48">
        <v>0.75</v>
      </c>
      <c r="D96" s="47">
        <v>15</v>
      </c>
      <c r="E96" s="47">
        <v>16.260000000000002</v>
      </c>
      <c r="F96" s="10" t="s">
        <v>0</v>
      </c>
      <c r="G96" s="10" t="s">
        <v>0</v>
      </c>
      <c r="H96" s="10" t="s">
        <v>0</v>
      </c>
      <c r="I96" s="35" t="s">
        <v>0</v>
      </c>
      <c r="J96" s="10" t="s">
        <v>0</v>
      </c>
      <c r="K96" s="10" t="s">
        <v>0</v>
      </c>
      <c r="L96" s="10" t="s">
        <v>0</v>
      </c>
      <c r="M96" s="36" t="s">
        <v>0</v>
      </c>
      <c r="N96" s="35" t="s">
        <v>0</v>
      </c>
      <c r="O96" s="35">
        <v>1.4056</v>
      </c>
    </row>
    <row r="97" spans="1:15">
      <c r="A97" s="74" t="s">
        <v>46</v>
      </c>
      <c r="B97" s="47" t="s">
        <v>156</v>
      </c>
      <c r="C97" s="48">
        <v>1.875</v>
      </c>
      <c r="D97" s="47">
        <v>15.18</v>
      </c>
      <c r="E97" s="47">
        <v>17.850000000000001</v>
      </c>
      <c r="F97" s="10" t="s">
        <v>0</v>
      </c>
      <c r="G97" s="10" t="s">
        <v>0</v>
      </c>
      <c r="H97" s="10" t="s">
        <v>0</v>
      </c>
      <c r="I97" s="35" t="s">
        <v>0</v>
      </c>
      <c r="J97" s="10" t="s">
        <v>0</v>
      </c>
      <c r="K97" s="10" t="s">
        <v>0</v>
      </c>
      <c r="L97" s="10" t="s">
        <v>0</v>
      </c>
      <c r="M97" s="36" t="s">
        <v>0</v>
      </c>
      <c r="N97" s="35" t="s">
        <v>0</v>
      </c>
      <c r="O97" s="35">
        <v>1.4263999999999999</v>
      </c>
    </row>
    <row r="98" spans="1:15">
      <c r="A98" s="74" t="s">
        <v>246</v>
      </c>
      <c r="B98" s="47" t="s">
        <v>159</v>
      </c>
      <c r="C98" s="48">
        <v>0.5</v>
      </c>
      <c r="D98" s="47">
        <v>15.45</v>
      </c>
      <c r="E98" s="47">
        <v>16.399999999999999</v>
      </c>
      <c r="F98" s="10" t="s">
        <v>0</v>
      </c>
      <c r="G98" s="10" t="s">
        <v>0</v>
      </c>
      <c r="H98" s="10" t="s">
        <v>0</v>
      </c>
      <c r="I98" s="35" t="s">
        <v>0</v>
      </c>
      <c r="J98" s="10" t="s">
        <v>0</v>
      </c>
      <c r="K98" s="10" t="s">
        <v>0</v>
      </c>
      <c r="L98" s="10" t="s">
        <v>0</v>
      </c>
      <c r="M98" s="36" t="s">
        <v>0</v>
      </c>
      <c r="N98" s="35" t="s">
        <v>0</v>
      </c>
      <c r="O98" s="35">
        <v>1.4103000000000001</v>
      </c>
    </row>
    <row r="99" spans="1:15">
      <c r="A99" s="74" t="s">
        <v>24</v>
      </c>
      <c r="B99" s="47" t="s">
        <v>158</v>
      </c>
      <c r="C99" s="48">
        <v>1.75</v>
      </c>
      <c r="D99" s="47">
        <v>15.51</v>
      </c>
      <c r="E99" s="47">
        <v>18.329999999999998</v>
      </c>
      <c r="F99" s="10" t="s">
        <v>0</v>
      </c>
      <c r="G99" s="10" t="s">
        <v>0</v>
      </c>
      <c r="H99" s="10" t="s">
        <v>0</v>
      </c>
      <c r="I99" s="35" t="s">
        <v>0</v>
      </c>
      <c r="J99" s="10" t="s">
        <v>0</v>
      </c>
      <c r="K99" s="10" t="s">
        <v>0</v>
      </c>
      <c r="L99" s="10" t="s">
        <v>0</v>
      </c>
      <c r="M99" s="36" t="s">
        <v>0</v>
      </c>
      <c r="N99" s="35" t="s">
        <v>0</v>
      </c>
      <c r="O99" s="35">
        <v>1.4360999999999999</v>
      </c>
    </row>
    <row r="100" spans="1:15">
      <c r="A100" s="74" t="s">
        <v>68</v>
      </c>
      <c r="B100" s="47" t="s">
        <v>160</v>
      </c>
      <c r="C100" s="48">
        <v>2.5</v>
      </c>
      <c r="D100" s="47">
        <v>15.91</v>
      </c>
      <c r="E100" s="47">
        <v>19.8</v>
      </c>
      <c r="F100" s="10" t="s">
        <v>0</v>
      </c>
      <c r="G100" s="10" t="s">
        <v>0</v>
      </c>
      <c r="H100" s="10" t="s">
        <v>0</v>
      </c>
      <c r="I100" s="35" t="s">
        <v>0</v>
      </c>
      <c r="J100" s="10" t="s">
        <v>0</v>
      </c>
      <c r="K100" s="10" t="s">
        <v>0</v>
      </c>
      <c r="L100" s="10" t="s">
        <v>0</v>
      </c>
      <c r="M100" s="36" t="s">
        <v>0</v>
      </c>
      <c r="N100" s="35" t="s">
        <v>0</v>
      </c>
      <c r="O100" s="35">
        <v>1.4559</v>
      </c>
    </row>
    <row r="101" spans="1:15">
      <c r="A101" s="74" t="s">
        <v>247</v>
      </c>
      <c r="B101" s="47" t="s">
        <v>162</v>
      </c>
      <c r="C101" s="48">
        <v>0.5</v>
      </c>
      <c r="D101" s="47">
        <v>15.97</v>
      </c>
      <c r="E101" s="47">
        <v>16.93</v>
      </c>
      <c r="F101" s="10" t="s">
        <v>0</v>
      </c>
      <c r="G101" s="10" t="s">
        <v>0</v>
      </c>
      <c r="H101" s="10" t="s">
        <v>0</v>
      </c>
      <c r="I101" s="35" t="s">
        <v>0</v>
      </c>
      <c r="J101" s="10" t="s">
        <v>0</v>
      </c>
      <c r="K101" s="10" t="s">
        <v>0</v>
      </c>
      <c r="L101" s="10" t="s">
        <v>0</v>
      </c>
      <c r="M101" s="36" t="s">
        <v>0</v>
      </c>
      <c r="N101" s="35" t="s">
        <v>0</v>
      </c>
      <c r="O101" s="35">
        <v>1.4207000000000001</v>
      </c>
    </row>
    <row r="102" spans="1:15">
      <c r="A102" s="74" t="s">
        <v>261</v>
      </c>
      <c r="B102" s="47" t="s">
        <v>258</v>
      </c>
      <c r="C102" s="48">
        <v>1.875</v>
      </c>
      <c r="D102" s="47">
        <v>16</v>
      </c>
      <c r="E102" s="47">
        <v>18.96</v>
      </c>
      <c r="F102" s="10">
        <v>1.4239999999999999</v>
      </c>
      <c r="G102" s="10">
        <v>1.423</v>
      </c>
      <c r="H102" s="10">
        <v>1.4235</v>
      </c>
      <c r="I102" s="35">
        <v>2</v>
      </c>
      <c r="J102" s="10" t="s">
        <v>0</v>
      </c>
      <c r="K102" s="10" t="s">
        <v>0</v>
      </c>
      <c r="L102" s="10" t="s">
        <v>0</v>
      </c>
      <c r="M102" s="36" t="s">
        <v>0</v>
      </c>
      <c r="N102" s="35" t="s">
        <v>0</v>
      </c>
      <c r="O102" s="35">
        <v>1.4464999999999999</v>
      </c>
    </row>
    <row r="103" spans="1:15">
      <c r="A103" s="74" t="s">
        <v>69</v>
      </c>
      <c r="B103" s="47" t="s">
        <v>161</v>
      </c>
      <c r="C103" s="48">
        <v>1.625</v>
      </c>
      <c r="D103" s="47">
        <v>16.16</v>
      </c>
      <c r="E103" s="47">
        <v>18.86</v>
      </c>
      <c r="F103" s="10" t="s">
        <v>0</v>
      </c>
      <c r="G103" s="10" t="s">
        <v>0</v>
      </c>
      <c r="H103" s="10" t="s">
        <v>0</v>
      </c>
      <c r="I103" s="35" t="s">
        <v>0</v>
      </c>
      <c r="J103" s="10" t="s">
        <v>0</v>
      </c>
      <c r="K103" s="10" t="s">
        <v>0</v>
      </c>
      <c r="L103" s="10" t="s">
        <v>0</v>
      </c>
      <c r="M103" s="36" t="s">
        <v>0</v>
      </c>
      <c r="N103" s="35" t="s">
        <v>0</v>
      </c>
      <c r="O103" s="35">
        <v>1.4469000000000001</v>
      </c>
    </row>
    <row r="104" spans="1:15">
      <c r="A104" s="74" t="s">
        <v>249</v>
      </c>
      <c r="B104" s="47" t="s">
        <v>168</v>
      </c>
      <c r="C104" s="48">
        <v>0.5</v>
      </c>
      <c r="D104" s="47">
        <v>16.23</v>
      </c>
      <c r="E104" s="47">
        <v>17.29</v>
      </c>
      <c r="F104" s="10" t="s">
        <v>0</v>
      </c>
      <c r="G104" s="10" t="s">
        <v>0</v>
      </c>
      <c r="H104" s="10" t="s">
        <v>0</v>
      </c>
      <c r="I104" s="35" t="s">
        <v>0</v>
      </c>
      <c r="J104" s="10" t="s">
        <v>0</v>
      </c>
      <c r="K104" s="10" t="s">
        <v>0</v>
      </c>
      <c r="L104" s="10" t="s">
        <v>0</v>
      </c>
      <c r="M104" s="36" t="s">
        <v>0</v>
      </c>
      <c r="N104" s="35" t="s">
        <v>0</v>
      </c>
      <c r="O104" s="35">
        <v>1.4278</v>
      </c>
    </row>
    <row r="105" spans="1:15">
      <c r="A105" s="74" t="s">
        <v>40</v>
      </c>
      <c r="B105" s="47" t="s">
        <v>163</v>
      </c>
      <c r="C105" s="48">
        <v>1.75</v>
      </c>
      <c r="D105" s="47">
        <v>16.260000000000002</v>
      </c>
      <c r="E105" s="47">
        <v>19.37</v>
      </c>
      <c r="F105" s="10" t="s">
        <v>0</v>
      </c>
      <c r="G105" s="10" t="s">
        <v>0</v>
      </c>
      <c r="H105" s="10" t="s">
        <v>0</v>
      </c>
      <c r="I105" s="35" t="s">
        <v>0</v>
      </c>
      <c r="J105" s="10" t="s">
        <v>0</v>
      </c>
      <c r="K105" s="10" t="s">
        <v>0</v>
      </c>
      <c r="L105" s="10" t="s">
        <v>0</v>
      </c>
      <c r="M105" s="36" t="s">
        <v>0</v>
      </c>
      <c r="N105" s="35" t="s">
        <v>0</v>
      </c>
      <c r="O105" s="35">
        <v>1.4551000000000001</v>
      </c>
    </row>
    <row r="106" spans="1:15">
      <c r="A106" s="74" t="s">
        <v>216</v>
      </c>
      <c r="B106" s="47" t="s">
        <v>167</v>
      </c>
      <c r="C106" s="48">
        <v>0.375</v>
      </c>
      <c r="D106" s="47">
        <v>16.34</v>
      </c>
      <c r="E106" s="47">
        <v>17.21</v>
      </c>
      <c r="F106" s="10" t="s">
        <v>0</v>
      </c>
      <c r="G106" s="10" t="s">
        <v>0</v>
      </c>
      <c r="H106" s="10" t="s">
        <v>0</v>
      </c>
      <c r="I106" s="35" t="s">
        <v>0</v>
      </c>
      <c r="J106" s="10" t="s">
        <v>0</v>
      </c>
      <c r="K106" s="10" t="s">
        <v>0</v>
      </c>
      <c r="L106" s="10" t="s">
        <v>0</v>
      </c>
      <c r="M106" s="36" t="s">
        <v>0</v>
      </c>
      <c r="N106" s="35" t="s">
        <v>0</v>
      </c>
      <c r="O106" s="35">
        <v>1.4273</v>
      </c>
    </row>
    <row r="107" spans="1:15">
      <c r="A107" s="74" t="s">
        <v>213</v>
      </c>
      <c r="B107" s="47" t="s">
        <v>209</v>
      </c>
      <c r="C107" s="48">
        <v>1</v>
      </c>
      <c r="D107" s="47">
        <v>16.34</v>
      </c>
      <c r="E107" s="47">
        <v>18.260000000000002</v>
      </c>
      <c r="F107" s="10" t="s">
        <v>0</v>
      </c>
      <c r="G107" s="10" t="s">
        <v>0</v>
      </c>
      <c r="H107" s="10" t="s">
        <v>0</v>
      </c>
      <c r="I107" s="35" t="s">
        <v>0</v>
      </c>
      <c r="J107" s="10" t="s">
        <v>0</v>
      </c>
      <c r="K107" s="10" t="s">
        <v>0</v>
      </c>
      <c r="L107" s="10" t="s">
        <v>0</v>
      </c>
      <c r="M107" s="36" t="s">
        <v>0</v>
      </c>
      <c r="N107" s="35" t="s">
        <v>0</v>
      </c>
      <c r="O107" s="35">
        <v>1.4417</v>
      </c>
    </row>
    <row r="108" spans="1:15">
      <c r="A108" s="74" t="s">
        <v>248</v>
      </c>
      <c r="B108" s="47" t="s">
        <v>187</v>
      </c>
      <c r="C108" s="48">
        <v>0.625</v>
      </c>
      <c r="D108" s="47">
        <v>16.36</v>
      </c>
      <c r="E108" s="47">
        <v>17.600000000000001</v>
      </c>
      <c r="F108" s="10" t="s">
        <v>0</v>
      </c>
      <c r="G108" s="10" t="s">
        <v>0</v>
      </c>
      <c r="H108" s="10" t="s">
        <v>0</v>
      </c>
      <c r="I108" s="35" t="s">
        <v>0</v>
      </c>
      <c r="J108" s="10" t="s">
        <v>0</v>
      </c>
      <c r="K108" s="10" t="s">
        <v>0</v>
      </c>
      <c r="L108" s="10" t="s">
        <v>0</v>
      </c>
      <c r="M108" s="36" t="s">
        <v>0</v>
      </c>
      <c r="N108" s="35" t="s">
        <v>0</v>
      </c>
      <c r="O108" s="35">
        <v>1.4327000000000001</v>
      </c>
    </row>
    <row r="109" spans="1:15">
      <c r="A109" s="74" t="s">
        <v>47</v>
      </c>
      <c r="B109" s="47" t="s">
        <v>164</v>
      </c>
      <c r="C109" s="48">
        <v>2.125</v>
      </c>
      <c r="D109" s="47">
        <v>16.52</v>
      </c>
      <c r="E109" s="47">
        <v>20.37</v>
      </c>
      <c r="F109" s="10" t="s">
        <v>0</v>
      </c>
      <c r="G109" s="10" t="s">
        <v>0</v>
      </c>
      <c r="H109" s="10" t="s">
        <v>0</v>
      </c>
      <c r="I109" s="35" t="s">
        <v>0</v>
      </c>
      <c r="J109" s="10" t="s">
        <v>0</v>
      </c>
      <c r="K109" s="10" t="s">
        <v>0</v>
      </c>
      <c r="L109" s="10" t="s">
        <v>0</v>
      </c>
      <c r="M109" s="36" t="s">
        <v>0</v>
      </c>
      <c r="N109" s="35" t="s">
        <v>0</v>
      </c>
      <c r="O109" s="35">
        <v>1.4695</v>
      </c>
    </row>
    <row r="110" spans="1:15">
      <c r="A110" s="74" t="s">
        <v>215</v>
      </c>
      <c r="B110" s="47" t="s">
        <v>210</v>
      </c>
      <c r="C110" s="48">
        <v>0.875</v>
      </c>
      <c r="D110" s="47">
        <v>16.64</v>
      </c>
      <c r="E110" s="47">
        <v>18.39</v>
      </c>
      <c r="F110" s="10" t="s">
        <v>0</v>
      </c>
      <c r="G110" s="10" t="s">
        <v>0</v>
      </c>
      <c r="H110" s="10" t="s">
        <v>0</v>
      </c>
      <c r="I110" s="35" t="s">
        <v>0</v>
      </c>
      <c r="J110" s="10" t="s">
        <v>0</v>
      </c>
      <c r="K110" s="10" t="s">
        <v>0</v>
      </c>
      <c r="L110" s="10" t="s">
        <v>0</v>
      </c>
      <c r="M110" s="36" t="s">
        <v>0</v>
      </c>
      <c r="N110" s="35" t="s">
        <v>0</v>
      </c>
      <c r="O110" s="35">
        <v>1.4454</v>
      </c>
    </row>
    <row r="111" spans="1:15">
      <c r="A111" s="74" t="s">
        <v>250</v>
      </c>
      <c r="B111" s="47" t="s">
        <v>199</v>
      </c>
      <c r="C111" s="48">
        <v>0.625</v>
      </c>
      <c r="D111" s="47">
        <v>16.71</v>
      </c>
      <c r="E111" s="47">
        <v>18.079999999999998</v>
      </c>
      <c r="F111" s="10" t="s">
        <v>0</v>
      </c>
      <c r="G111" s="10" t="s">
        <v>0</v>
      </c>
      <c r="H111" s="10" t="s">
        <v>0</v>
      </c>
      <c r="I111" s="35" t="s">
        <v>0</v>
      </c>
      <c r="J111" s="10" t="s">
        <v>0</v>
      </c>
      <c r="K111" s="10" t="s">
        <v>0</v>
      </c>
      <c r="L111" s="10" t="s">
        <v>0</v>
      </c>
      <c r="M111" s="36" t="s">
        <v>0</v>
      </c>
      <c r="N111" s="35" t="s">
        <v>0</v>
      </c>
      <c r="O111" s="35">
        <v>1.4419999999999999</v>
      </c>
    </row>
    <row r="112" spans="1:15">
      <c r="A112" s="74" t="s">
        <v>277</v>
      </c>
      <c r="B112" s="47" t="s">
        <v>278</v>
      </c>
      <c r="C112" s="48">
        <v>1.375</v>
      </c>
      <c r="D112" s="47">
        <v>16.73</v>
      </c>
      <c r="E112" s="47">
        <v>19.38</v>
      </c>
      <c r="F112" s="10" t="s">
        <v>0</v>
      </c>
      <c r="G112" s="10" t="s">
        <v>0</v>
      </c>
      <c r="H112" s="10" t="s">
        <v>0</v>
      </c>
      <c r="I112" s="35" t="s">
        <v>0</v>
      </c>
      <c r="J112" s="10" t="s">
        <v>0</v>
      </c>
      <c r="K112" s="10" t="s">
        <v>0</v>
      </c>
      <c r="L112" s="10" t="s">
        <v>0</v>
      </c>
      <c r="M112" s="36" t="s">
        <v>0</v>
      </c>
      <c r="N112" s="35" t="s">
        <v>0</v>
      </c>
      <c r="O112" s="35">
        <v>1.4592000000000001</v>
      </c>
    </row>
    <row r="113" spans="1:15">
      <c r="A113" s="74" t="s">
        <v>70</v>
      </c>
      <c r="B113" s="47" t="s">
        <v>170</v>
      </c>
      <c r="C113" s="48">
        <v>2.25</v>
      </c>
      <c r="D113" s="47">
        <v>16.79</v>
      </c>
      <c r="E113" s="47">
        <v>21.12</v>
      </c>
      <c r="F113" s="10" t="s">
        <v>0</v>
      </c>
      <c r="G113" s="10" t="s">
        <v>0</v>
      </c>
      <c r="H113" s="10" t="s">
        <v>0</v>
      </c>
      <c r="I113" s="35" t="s">
        <v>0</v>
      </c>
      <c r="J113" s="10" t="s">
        <v>0</v>
      </c>
      <c r="K113" s="10" t="s">
        <v>0</v>
      </c>
      <c r="L113" s="10" t="s">
        <v>0</v>
      </c>
      <c r="M113" s="36" t="s">
        <v>0</v>
      </c>
      <c r="N113" s="35" t="s">
        <v>0</v>
      </c>
      <c r="O113" s="35">
        <v>1.4815</v>
      </c>
    </row>
    <row r="114" spans="1:15">
      <c r="A114" s="74" t="s">
        <v>71</v>
      </c>
      <c r="B114" s="47" t="s">
        <v>165</v>
      </c>
      <c r="C114" s="48">
        <v>2.25</v>
      </c>
      <c r="D114" s="47">
        <v>16.809999999999999</v>
      </c>
      <c r="E114" s="47">
        <v>20.81</v>
      </c>
      <c r="F114" s="10" t="s">
        <v>0</v>
      </c>
      <c r="G114" s="10" t="s">
        <v>0</v>
      </c>
      <c r="H114" s="10" t="s">
        <v>0</v>
      </c>
      <c r="I114" s="35" t="s">
        <v>0</v>
      </c>
      <c r="J114" s="10" t="s">
        <v>0</v>
      </c>
      <c r="K114" s="10" t="s">
        <v>0</v>
      </c>
      <c r="L114" s="10" t="s">
        <v>0</v>
      </c>
      <c r="M114" s="36" t="s">
        <v>0</v>
      </c>
      <c r="N114" s="35" t="s">
        <v>0</v>
      </c>
      <c r="O114" s="35">
        <v>1.476</v>
      </c>
    </row>
    <row r="115" spans="1:15">
      <c r="A115" s="74" t="s">
        <v>54</v>
      </c>
      <c r="B115" s="47" t="s">
        <v>166</v>
      </c>
      <c r="C115" s="48">
        <v>2.375</v>
      </c>
      <c r="D115" s="47">
        <v>16.86</v>
      </c>
      <c r="E115" s="47">
        <v>21.33</v>
      </c>
      <c r="F115" s="10" t="s">
        <v>0</v>
      </c>
      <c r="G115" s="10" t="s">
        <v>0</v>
      </c>
      <c r="H115" s="10" t="s">
        <v>0</v>
      </c>
      <c r="I115" s="35" t="s">
        <v>0</v>
      </c>
      <c r="J115" s="10" t="s">
        <v>0</v>
      </c>
      <c r="K115" s="10" t="s">
        <v>0</v>
      </c>
      <c r="L115" s="10" t="s">
        <v>0</v>
      </c>
      <c r="M115" s="36" t="s">
        <v>0</v>
      </c>
      <c r="N115" s="35" t="s">
        <v>0</v>
      </c>
      <c r="O115" s="35">
        <v>1.4839</v>
      </c>
    </row>
    <row r="116" spans="1:15">
      <c r="A116" s="74" t="s">
        <v>251</v>
      </c>
      <c r="B116" s="47" t="s">
        <v>194</v>
      </c>
      <c r="C116" s="48">
        <v>0.5</v>
      </c>
      <c r="D116" s="47">
        <v>16.89</v>
      </c>
      <c r="E116" s="47">
        <v>17.96</v>
      </c>
      <c r="F116" s="10" t="s">
        <v>0</v>
      </c>
      <c r="G116" s="10" t="s">
        <v>0</v>
      </c>
      <c r="H116" s="10" t="s">
        <v>0</v>
      </c>
      <c r="I116" s="35" t="s">
        <v>0</v>
      </c>
      <c r="J116" s="10" t="s">
        <v>0</v>
      </c>
      <c r="K116" s="10" t="s">
        <v>0</v>
      </c>
      <c r="L116" s="10" t="s">
        <v>0</v>
      </c>
      <c r="M116" s="36" t="s">
        <v>0</v>
      </c>
      <c r="N116" s="35" t="s">
        <v>0</v>
      </c>
      <c r="O116" s="35">
        <v>1.4410000000000001</v>
      </c>
    </row>
    <row r="117" spans="1:15">
      <c r="A117" s="74" t="s">
        <v>72</v>
      </c>
      <c r="B117" s="47" t="s">
        <v>169</v>
      </c>
      <c r="C117" s="48">
        <v>2</v>
      </c>
      <c r="D117" s="47">
        <v>16.91</v>
      </c>
      <c r="E117" s="47">
        <v>20.62</v>
      </c>
      <c r="F117" s="10" t="s">
        <v>0</v>
      </c>
      <c r="G117" s="10" t="s">
        <v>0</v>
      </c>
      <c r="H117" s="10" t="s">
        <v>0</v>
      </c>
      <c r="I117" s="35" t="s">
        <v>0</v>
      </c>
      <c r="J117" s="10" t="s">
        <v>0</v>
      </c>
      <c r="K117" s="10" t="s">
        <v>0</v>
      </c>
      <c r="L117" s="10" t="s">
        <v>0</v>
      </c>
      <c r="M117" s="36" t="s">
        <v>0</v>
      </c>
      <c r="N117" s="35" t="s">
        <v>0</v>
      </c>
      <c r="O117" s="35">
        <v>1.4753000000000001</v>
      </c>
    </row>
    <row r="118" spans="1:15">
      <c r="A118" s="74" t="s">
        <v>73</v>
      </c>
      <c r="B118" s="47" t="s">
        <v>171</v>
      </c>
      <c r="C118" s="48">
        <v>2.375</v>
      </c>
      <c r="D118" s="47">
        <v>17.11</v>
      </c>
      <c r="E118" s="47">
        <v>21.58</v>
      </c>
      <c r="F118" s="10" t="s">
        <v>0</v>
      </c>
      <c r="G118" s="10" t="s">
        <v>0</v>
      </c>
      <c r="H118" s="10" t="s">
        <v>0</v>
      </c>
      <c r="I118" s="35" t="s">
        <v>0</v>
      </c>
      <c r="J118" s="10" t="s">
        <v>0</v>
      </c>
      <c r="K118" s="10" t="s">
        <v>0</v>
      </c>
      <c r="L118" s="10" t="s">
        <v>0</v>
      </c>
      <c r="M118" s="36" t="s">
        <v>0</v>
      </c>
      <c r="N118" s="35" t="s">
        <v>0</v>
      </c>
      <c r="O118" s="35">
        <v>1.4883</v>
      </c>
    </row>
    <row r="119" spans="1:15">
      <c r="A119" s="74" t="s">
        <v>326</v>
      </c>
      <c r="B119" s="47" t="s">
        <v>327</v>
      </c>
      <c r="C119" s="48">
        <v>1.375</v>
      </c>
      <c r="D119" s="47">
        <v>17.27</v>
      </c>
      <c r="E119" s="47">
        <v>19.940000000000001</v>
      </c>
      <c r="F119" s="10" t="s">
        <v>0</v>
      </c>
      <c r="G119" s="10" t="s">
        <v>0</v>
      </c>
      <c r="H119" s="10" t="s">
        <v>0</v>
      </c>
      <c r="I119" s="35" t="s">
        <v>0</v>
      </c>
      <c r="J119" s="10" t="s">
        <v>0</v>
      </c>
      <c r="K119" s="10" t="s">
        <v>0</v>
      </c>
      <c r="L119" s="10" t="s">
        <v>0</v>
      </c>
      <c r="M119" s="36" t="s">
        <v>0</v>
      </c>
      <c r="N119" s="35" t="s">
        <v>0</v>
      </c>
      <c r="O119" s="35">
        <v>1.4696</v>
      </c>
    </row>
    <row r="120" spans="1:15">
      <c r="A120" s="74" t="s">
        <v>74</v>
      </c>
      <c r="B120" s="47" t="s">
        <v>172</v>
      </c>
      <c r="C120" s="48">
        <v>2.25</v>
      </c>
      <c r="D120" s="47">
        <v>17.48</v>
      </c>
      <c r="E120" s="47">
        <v>21.82</v>
      </c>
      <c r="F120" s="10" t="s">
        <v>0</v>
      </c>
      <c r="G120" s="10" t="s">
        <v>0</v>
      </c>
      <c r="H120" s="10" t="s">
        <v>0</v>
      </c>
      <c r="I120" s="35" t="s">
        <v>0</v>
      </c>
      <c r="J120" s="10" t="s">
        <v>0</v>
      </c>
      <c r="K120" s="10" t="s">
        <v>0</v>
      </c>
      <c r="L120" s="10" t="s">
        <v>0</v>
      </c>
      <c r="M120" s="36" t="s">
        <v>0</v>
      </c>
      <c r="N120" s="35" t="s">
        <v>0</v>
      </c>
      <c r="O120" s="35">
        <v>1.4938</v>
      </c>
    </row>
    <row r="121" spans="1:15">
      <c r="A121" s="74" t="s">
        <v>75</v>
      </c>
      <c r="B121" s="47" t="s">
        <v>173</v>
      </c>
      <c r="C121" s="48">
        <v>2</v>
      </c>
      <c r="D121" s="47">
        <v>18.37</v>
      </c>
      <c r="E121" s="47">
        <v>23.11</v>
      </c>
      <c r="F121" s="10" t="s">
        <v>0</v>
      </c>
      <c r="G121" s="10" t="s">
        <v>0</v>
      </c>
      <c r="H121" s="10" t="s">
        <v>0</v>
      </c>
      <c r="I121" s="35" t="s">
        <v>0</v>
      </c>
      <c r="J121" s="10" t="s">
        <v>0</v>
      </c>
      <c r="K121" s="10" t="s">
        <v>0</v>
      </c>
      <c r="L121" s="10" t="s">
        <v>0</v>
      </c>
      <c r="M121" s="36" t="s">
        <v>0</v>
      </c>
      <c r="N121" s="35" t="s">
        <v>0</v>
      </c>
      <c r="O121" s="35">
        <v>1.5194000000000001</v>
      </c>
    </row>
    <row r="122" spans="1:15">
      <c r="A122" s="74" t="s">
        <v>76</v>
      </c>
      <c r="B122" s="47" t="s">
        <v>174</v>
      </c>
      <c r="C122" s="48">
        <v>1.625</v>
      </c>
      <c r="D122" s="47">
        <v>18.73</v>
      </c>
      <c r="E122" s="47">
        <v>22.6</v>
      </c>
      <c r="F122" s="10" t="s">
        <v>0</v>
      </c>
      <c r="G122" s="10" t="s">
        <v>0</v>
      </c>
      <c r="H122" s="10" t="s">
        <v>0</v>
      </c>
      <c r="I122" s="35" t="s">
        <v>0</v>
      </c>
      <c r="J122" s="10" t="s">
        <v>0</v>
      </c>
      <c r="K122" s="10" t="s">
        <v>0</v>
      </c>
      <c r="L122" s="10" t="s">
        <v>0</v>
      </c>
      <c r="M122" s="36" t="s">
        <v>0</v>
      </c>
      <c r="N122" s="35" t="s">
        <v>0</v>
      </c>
      <c r="O122" s="35">
        <v>1.5152000000000001</v>
      </c>
    </row>
    <row r="123" spans="1:15">
      <c r="A123" s="74" t="s">
        <v>77</v>
      </c>
      <c r="B123" s="47" t="s">
        <v>175</v>
      </c>
      <c r="C123" s="48">
        <v>1.875</v>
      </c>
      <c r="D123" s="47">
        <v>19.03</v>
      </c>
      <c r="E123" s="47">
        <v>23.61</v>
      </c>
      <c r="F123" s="10" t="s">
        <v>0</v>
      </c>
      <c r="G123" s="10" t="s">
        <v>0</v>
      </c>
      <c r="H123" s="10" t="s">
        <v>0</v>
      </c>
      <c r="I123" s="35" t="s">
        <v>0</v>
      </c>
      <c r="J123" s="10" t="s">
        <v>0</v>
      </c>
      <c r="K123" s="10" t="s">
        <v>0</v>
      </c>
      <c r="L123" s="10" t="s">
        <v>0</v>
      </c>
      <c r="M123" s="36" t="s">
        <v>0</v>
      </c>
      <c r="N123" s="35" t="s">
        <v>0</v>
      </c>
      <c r="O123" s="35">
        <v>1.5296000000000001</v>
      </c>
    </row>
    <row r="124" spans="1:15">
      <c r="A124" s="74" t="s">
        <v>78</v>
      </c>
      <c r="B124" s="47" t="s">
        <v>176</v>
      </c>
      <c r="C124" s="48">
        <v>1.375</v>
      </c>
      <c r="D124" s="47">
        <v>19.32</v>
      </c>
      <c r="E124" s="47">
        <v>22.81</v>
      </c>
      <c r="F124" s="10" t="s">
        <v>0</v>
      </c>
      <c r="G124" s="10" t="s">
        <v>0</v>
      </c>
      <c r="H124" s="10" t="s">
        <v>0</v>
      </c>
      <c r="I124" s="35" t="s">
        <v>0</v>
      </c>
      <c r="J124" s="10" t="s">
        <v>0</v>
      </c>
      <c r="K124" s="10" t="s">
        <v>0</v>
      </c>
      <c r="L124" s="10" t="s">
        <v>0</v>
      </c>
      <c r="M124" s="36" t="s">
        <v>0</v>
      </c>
      <c r="N124" s="35" t="s">
        <v>0</v>
      </c>
      <c r="O124" s="35">
        <v>1.5226</v>
      </c>
    </row>
    <row r="125" spans="1:15">
      <c r="A125" s="74" t="s">
        <v>79</v>
      </c>
      <c r="B125" s="47" t="s">
        <v>177</v>
      </c>
      <c r="C125" s="48">
        <v>1.625</v>
      </c>
      <c r="D125" s="47">
        <v>19.59</v>
      </c>
      <c r="E125" s="47">
        <v>24.11</v>
      </c>
      <c r="F125" s="10" t="s">
        <v>0</v>
      </c>
      <c r="G125" s="10" t="s">
        <v>0</v>
      </c>
      <c r="H125" s="10" t="s">
        <v>0</v>
      </c>
      <c r="I125" s="35" t="s">
        <v>0</v>
      </c>
      <c r="J125" s="10" t="s">
        <v>0</v>
      </c>
      <c r="K125" s="10" t="s">
        <v>0</v>
      </c>
      <c r="L125" s="10" t="s">
        <v>0</v>
      </c>
      <c r="M125" s="36" t="s">
        <v>0</v>
      </c>
      <c r="N125" s="35" t="s">
        <v>0</v>
      </c>
      <c r="O125" s="35">
        <v>1.542</v>
      </c>
    </row>
    <row r="126" spans="1:15">
      <c r="A126" s="74" t="s">
        <v>80</v>
      </c>
      <c r="B126" s="47" t="s">
        <v>178</v>
      </c>
      <c r="C126" s="48">
        <v>1.5</v>
      </c>
      <c r="D126" s="47">
        <v>20.27</v>
      </c>
      <c r="E126" s="47">
        <v>24.59</v>
      </c>
      <c r="F126" s="10" t="s">
        <v>0</v>
      </c>
      <c r="G126" s="10" t="s">
        <v>0</v>
      </c>
      <c r="H126" s="10" t="s">
        <v>0</v>
      </c>
      <c r="I126" s="35" t="s">
        <v>0</v>
      </c>
      <c r="J126" s="10" t="s">
        <v>0</v>
      </c>
      <c r="K126" s="10" t="s">
        <v>0</v>
      </c>
      <c r="L126" s="10" t="s">
        <v>0</v>
      </c>
      <c r="M126" s="36" t="s">
        <v>0</v>
      </c>
      <c r="N126" s="35" t="s">
        <v>0</v>
      </c>
      <c r="O126" s="35">
        <v>1.5523</v>
      </c>
    </row>
    <row r="127" spans="1:15">
      <c r="A127" s="74" t="s">
        <v>56</v>
      </c>
      <c r="B127" s="47" t="s">
        <v>179</v>
      </c>
      <c r="C127" s="48">
        <v>1.375</v>
      </c>
      <c r="D127" s="47">
        <v>20.67</v>
      </c>
      <c r="E127" s="47">
        <v>25.07</v>
      </c>
      <c r="F127" s="10" t="s">
        <v>0</v>
      </c>
      <c r="G127" s="10" t="s">
        <v>0</v>
      </c>
      <c r="H127" s="10" t="s">
        <v>0</v>
      </c>
      <c r="I127" s="35" t="s">
        <v>0</v>
      </c>
      <c r="J127" s="10" t="s">
        <v>0</v>
      </c>
      <c r="K127" s="10" t="s">
        <v>0</v>
      </c>
      <c r="L127" s="10" t="s">
        <v>0</v>
      </c>
      <c r="M127" s="36" t="s">
        <v>0</v>
      </c>
      <c r="N127" s="35" t="s">
        <v>0</v>
      </c>
      <c r="O127" s="35">
        <v>1.5628</v>
      </c>
    </row>
    <row r="128" spans="1:15">
      <c r="A128" s="74" t="s">
        <v>267</v>
      </c>
      <c r="B128" s="47" t="s">
        <v>264</v>
      </c>
      <c r="C128" s="48">
        <v>2.375</v>
      </c>
      <c r="D128" s="47">
        <v>21.27</v>
      </c>
      <c r="E128" s="47">
        <v>29.08</v>
      </c>
      <c r="F128" s="10">
        <v>1.506</v>
      </c>
      <c r="G128" s="10">
        <v>1.5049999999999999</v>
      </c>
      <c r="H128" s="10">
        <v>1.5055000000000001</v>
      </c>
      <c r="I128" s="35">
        <v>10.5</v>
      </c>
      <c r="J128" s="10" t="s">
        <v>0</v>
      </c>
      <c r="K128" s="10" t="s">
        <v>0</v>
      </c>
      <c r="L128" s="10" t="s">
        <v>0</v>
      </c>
      <c r="M128" s="36" t="s">
        <v>0</v>
      </c>
      <c r="N128" s="35" t="s">
        <v>0</v>
      </c>
      <c r="O128" s="35">
        <v>1.6088</v>
      </c>
    </row>
    <row r="129" spans="1:15">
      <c r="A129" s="74" t="s">
        <v>81</v>
      </c>
      <c r="B129" s="47" t="s">
        <v>180</v>
      </c>
      <c r="C129" s="48">
        <v>1.125</v>
      </c>
      <c r="D129" s="47">
        <v>21.71</v>
      </c>
      <c r="E129" s="47">
        <v>25.59</v>
      </c>
      <c r="F129" s="10" t="s">
        <v>0</v>
      </c>
      <c r="G129" s="10" t="s">
        <v>0</v>
      </c>
      <c r="H129" s="10" t="s">
        <v>0</v>
      </c>
      <c r="I129" s="35" t="s">
        <v>0</v>
      </c>
      <c r="J129" s="10" t="s">
        <v>0</v>
      </c>
      <c r="K129" s="10" t="s">
        <v>0</v>
      </c>
      <c r="L129" s="10" t="s">
        <v>0</v>
      </c>
      <c r="M129" s="36" t="s">
        <v>0</v>
      </c>
      <c r="N129" s="35" t="s">
        <v>0</v>
      </c>
      <c r="O129" s="35">
        <v>1.5765</v>
      </c>
    </row>
    <row r="130" spans="1:15">
      <c r="A130" s="74" t="s">
        <v>223</v>
      </c>
      <c r="B130" s="47" t="s">
        <v>222</v>
      </c>
      <c r="C130" s="48">
        <v>2</v>
      </c>
      <c r="D130" s="47">
        <v>21.85</v>
      </c>
      <c r="E130" s="47">
        <v>28.6</v>
      </c>
      <c r="F130" s="10">
        <v>1.5009999999999999</v>
      </c>
      <c r="G130" s="10">
        <v>1.5</v>
      </c>
      <c r="H130" s="10">
        <v>1.5004999999999999</v>
      </c>
      <c r="I130" s="35">
        <v>67.5</v>
      </c>
      <c r="J130" s="10" t="s">
        <v>0</v>
      </c>
      <c r="K130" s="10" t="s">
        <v>0</v>
      </c>
      <c r="L130" s="10" t="s">
        <v>0</v>
      </c>
      <c r="M130" s="36" t="s">
        <v>0</v>
      </c>
      <c r="N130" s="35" t="s">
        <v>0</v>
      </c>
      <c r="O130" s="35">
        <v>1.6085</v>
      </c>
    </row>
    <row r="131" spans="1:15">
      <c r="A131" s="74" t="s">
        <v>50</v>
      </c>
      <c r="B131" s="47" t="s">
        <v>181</v>
      </c>
      <c r="C131" s="48">
        <v>1</v>
      </c>
      <c r="D131" s="47">
        <v>22.22</v>
      </c>
      <c r="E131" s="47">
        <v>26.07</v>
      </c>
      <c r="F131" s="10" t="s">
        <v>0</v>
      </c>
      <c r="G131" s="10" t="s">
        <v>0</v>
      </c>
      <c r="H131" s="10" t="s">
        <v>0</v>
      </c>
      <c r="I131" s="35" t="s">
        <v>0</v>
      </c>
      <c r="J131" s="10" t="s">
        <v>0</v>
      </c>
      <c r="K131" s="10" t="s">
        <v>0</v>
      </c>
      <c r="L131" s="10" t="s">
        <v>0</v>
      </c>
      <c r="M131" s="36" t="s">
        <v>0</v>
      </c>
      <c r="N131" s="35" t="s">
        <v>0</v>
      </c>
      <c r="O131" s="35">
        <v>1.5873999999999999</v>
      </c>
    </row>
    <row r="132" spans="1:15">
      <c r="A132" s="74" t="s">
        <v>252</v>
      </c>
      <c r="B132" s="47" t="s">
        <v>182</v>
      </c>
      <c r="C132" s="48">
        <v>0.75</v>
      </c>
      <c r="D132" s="47">
        <v>23.39</v>
      </c>
      <c r="E132" s="47">
        <v>26.57</v>
      </c>
      <c r="F132" s="10" t="s">
        <v>0</v>
      </c>
      <c r="G132" s="10" t="s">
        <v>0</v>
      </c>
      <c r="H132" s="10" t="s">
        <v>0</v>
      </c>
      <c r="I132" s="35" t="s">
        <v>0</v>
      </c>
      <c r="J132" s="10" t="s">
        <v>0</v>
      </c>
      <c r="K132" s="10" t="s">
        <v>0</v>
      </c>
      <c r="L132" s="10" t="s">
        <v>0</v>
      </c>
      <c r="M132" s="36" t="s">
        <v>0</v>
      </c>
      <c r="N132" s="35" t="s">
        <v>0</v>
      </c>
      <c r="O132" s="35">
        <v>1.6019000000000001</v>
      </c>
    </row>
    <row r="133" spans="1:15">
      <c r="A133" s="74" t="s">
        <v>253</v>
      </c>
      <c r="B133" s="47" t="s">
        <v>202</v>
      </c>
      <c r="C133" s="48">
        <v>1.125</v>
      </c>
      <c r="D133" s="47">
        <v>23.39</v>
      </c>
      <c r="E133" s="47">
        <v>28.19</v>
      </c>
      <c r="F133" s="10" t="s">
        <v>0</v>
      </c>
      <c r="G133" s="10" t="s">
        <v>0</v>
      </c>
      <c r="H133" s="10" t="s">
        <v>0</v>
      </c>
      <c r="I133" s="35" t="s">
        <v>0</v>
      </c>
      <c r="J133" s="10" t="s">
        <v>0</v>
      </c>
      <c r="K133" s="10" t="s">
        <v>0</v>
      </c>
      <c r="L133" s="10" t="s">
        <v>0</v>
      </c>
      <c r="M133" s="36" t="s">
        <v>0</v>
      </c>
      <c r="N133" s="35" t="s">
        <v>0</v>
      </c>
      <c r="O133" s="35">
        <v>1.6206</v>
      </c>
    </row>
    <row r="134" spans="1:15">
      <c r="A134" s="74" t="s">
        <v>328</v>
      </c>
      <c r="B134" s="47" t="s">
        <v>329</v>
      </c>
      <c r="C134" s="48">
        <v>1.5</v>
      </c>
      <c r="D134" s="47">
        <v>23.45</v>
      </c>
      <c r="E134" s="47">
        <v>29.57</v>
      </c>
      <c r="F134" s="10" t="s">
        <v>0</v>
      </c>
      <c r="G134" s="10" t="s">
        <v>0</v>
      </c>
      <c r="H134" s="10" t="s">
        <v>0</v>
      </c>
      <c r="I134" s="35" t="s">
        <v>0</v>
      </c>
      <c r="J134" s="10" t="s">
        <v>0</v>
      </c>
      <c r="K134" s="10" t="s">
        <v>0</v>
      </c>
      <c r="L134" s="10" t="s">
        <v>0</v>
      </c>
      <c r="M134" s="36" t="s">
        <v>0</v>
      </c>
      <c r="N134" s="35" t="s">
        <v>0</v>
      </c>
      <c r="O134" s="35">
        <v>1.6335</v>
      </c>
    </row>
    <row r="135" spans="1:15">
      <c r="A135" s="74" t="s">
        <v>638</v>
      </c>
      <c r="B135" s="47" t="s">
        <v>856</v>
      </c>
      <c r="C135" s="48">
        <v>1.5</v>
      </c>
      <c r="D135" s="47">
        <v>23.87</v>
      </c>
      <c r="E135" s="47">
        <v>30</v>
      </c>
      <c r="F135" s="10" t="s">
        <v>0</v>
      </c>
      <c r="G135" s="10" t="s">
        <v>0</v>
      </c>
      <c r="H135" s="10" t="s">
        <v>0</v>
      </c>
      <c r="I135" s="35" t="s">
        <v>0</v>
      </c>
      <c r="J135" s="10" t="s">
        <v>0</v>
      </c>
      <c r="K135" s="10" t="s">
        <v>0</v>
      </c>
      <c r="L135" s="10" t="s">
        <v>0</v>
      </c>
      <c r="M135" s="36" t="s">
        <v>0</v>
      </c>
      <c r="N135" s="35" t="s">
        <v>0</v>
      </c>
      <c r="O135" s="35">
        <v>1.64</v>
      </c>
    </row>
    <row r="136" spans="1:15">
      <c r="A136" s="74" t="s">
        <v>254</v>
      </c>
      <c r="B136" s="47" t="s">
        <v>184</v>
      </c>
      <c r="C136" s="48">
        <v>0.625</v>
      </c>
      <c r="D136" s="47">
        <v>24.35</v>
      </c>
      <c r="E136" s="47">
        <v>27.37</v>
      </c>
      <c r="F136" s="10" t="s">
        <v>0</v>
      </c>
      <c r="G136" s="10" t="s">
        <v>0</v>
      </c>
      <c r="H136" s="10" t="s">
        <v>0</v>
      </c>
      <c r="I136" s="35" t="s">
        <v>0</v>
      </c>
      <c r="J136" s="10" t="s">
        <v>0</v>
      </c>
      <c r="K136" s="10" t="s">
        <v>0</v>
      </c>
      <c r="L136" s="10" t="s">
        <v>0</v>
      </c>
      <c r="M136" s="36" t="s">
        <v>0</v>
      </c>
      <c r="N136" s="35" t="s">
        <v>0</v>
      </c>
      <c r="O136" s="35">
        <v>1.6189</v>
      </c>
    </row>
    <row r="137" spans="1:15">
      <c r="A137" s="75" t="s">
        <v>255</v>
      </c>
      <c r="B137" s="47" t="s">
        <v>183</v>
      </c>
      <c r="C137" s="48">
        <v>0.375</v>
      </c>
      <c r="D137" s="47">
        <v>25.02</v>
      </c>
      <c r="E137" s="47">
        <v>27.12</v>
      </c>
      <c r="F137" s="10" t="s">
        <v>0</v>
      </c>
      <c r="G137" s="10" t="s">
        <v>0</v>
      </c>
      <c r="H137" s="10" t="s">
        <v>0</v>
      </c>
      <c r="I137" s="35" t="s">
        <v>0</v>
      </c>
      <c r="J137" s="10" t="s">
        <v>0</v>
      </c>
      <c r="K137" s="10" t="s">
        <v>0</v>
      </c>
      <c r="L137" s="10" t="s">
        <v>0</v>
      </c>
      <c r="M137" s="36" t="s">
        <v>0</v>
      </c>
      <c r="N137" s="35" t="s">
        <v>0</v>
      </c>
      <c r="O137" s="35">
        <v>1.6211</v>
      </c>
    </row>
    <row r="138" spans="1:15">
      <c r="A138" s="12" t="s">
        <v>1186</v>
      </c>
      <c r="B138" s="14" t="s">
        <v>1188</v>
      </c>
      <c r="C138" s="44">
        <v>1.73</v>
      </c>
      <c r="D138" s="44">
        <v>1.78</v>
      </c>
      <c r="E138" s="10"/>
      <c r="F138" s="10">
        <v>1.5329999999999999</v>
      </c>
      <c r="G138" s="10">
        <v>1.53</v>
      </c>
      <c r="H138" s="10">
        <v>1.5315000000000001</v>
      </c>
      <c r="I138" s="35">
        <v>4</v>
      </c>
      <c r="J138" s="10" t="s">
        <v>0</v>
      </c>
      <c r="K138" s="10" t="s">
        <v>0</v>
      </c>
      <c r="L138" s="10" t="s">
        <v>0</v>
      </c>
      <c r="M138" s="36" t="s">
        <v>0</v>
      </c>
      <c r="N138" s="35" t="s">
        <v>0</v>
      </c>
      <c r="O138" s="35" t="e">
        <v>#N/A</v>
      </c>
    </row>
    <row r="139" spans="1:15">
      <c r="A139" s="12" t="s">
        <v>1187</v>
      </c>
      <c r="B139" s="14" t="s">
        <v>1189</v>
      </c>
      <c r="C139" s="44">
        <v>1.74</v>
      </c>
      <c r="D139" s="44">
        <v>1.78</v>
      </c>
      <c r="E139" s="10"/>
      <c r="F139" s="10">
        <v>1.5229999999999999</v>
      </c>
      <c r="G139" s="10">
        <v>1.52</v>
      </c>
      <c r="H139" s="10">
        <v>1.5215000000000001</v>
      </c>
      <c r="I139" s="35">
        <v>4</v>
      </c>
      <c r="J139" s="10" t="s">
        <v>0</v>
      </c>
      <c r="K139" s="10" t="s">
        <v>0</v>
      </c>
      <c r="L139" s="10" t="s">
        <v>0</v>
      </c>
      <c r="M139" s="36" t="s">
        <v>0</v>
      </c>
      <c r="N139" s="35" t="s">
        <v>0</v>
      </c>
      <c r="O139" s="35" t="e">
        <v>#N/A</v>
      </c>
    </row>
    <row r="140" spans="1:15">
      <c r="A140" s="12" t="s">
        <v>1182</v>
      </c>
      <c r="B140" s="14" t="s">
        <v>1190</v>
      </c>
      <c r="C140" s="44">
        <v>0.65</v>
      </c>
      <c r="D140" s="44">
        <v>0.66</v>
      </c>
      <c r="E140" s="10"/>
      <c r="F140" s="10">
        <v>1.52</v>
      </c>
      <c r="G140" s="10">
        <v>1.51</v>
      </c>
      <c r="H140" s="10">
        <v>1.5149999999999999</v>
      </c>
      <c r="I140" s="35">
        <v>7</v>
      </c>
      <c r="J140" s="10" t="s">
        <v>0</v>
      </c>
      <c r="K140" s="10" t="s">
        <v>0</v>
      </c>
      <c r="L140" s="10" t="s">
        <v>0</v>
      </c>
      <c r="M140" s="36" t="s">
        <v>0</v>
      </c>
      <c r="N140" s="35" t="s">
        <v>0</v>
      </c>
      <c r="O140" s="35" t="e">
        <v>#N/A</v>
      </c>
    </row>
    <row r="141" spans="1:15">
      <c r="A141" s="12" t="s">
        <v>1183</v>
      </c>
      <c r="B141" s="14" t="s">
        <v>1191</v>
      </c>
      <c r="C141" s="44">
        <v>3.9</v>
      </c>
      <c r="D141" s="44">
        <v>4.59</v>
      </c>
      <c r="E141" s="10"/>
      <c r="F141" s="10">
        <v>1.603</v>
      </c>
      <c r="G141" s="10">
        <v>1.6</v>
      </c>
      <c r="H141" s="10">
        <v>1.6014999999999999</v>
      </c>
      <c r="I141" s="35">
        <v>2</v>
      </c>
      <c r="J141" s="10" t="s">
        <v>0</v>
      </c>
      <c r="K141" s="10" t="s">
        <v>0</v>
      </c>
      <c r="L141" s="10" t="s">
        <v>0</v>
      </c>
      <c r="M141" s="36" t="s">
        <v>0</v>
      </c>
      <c r="N141" s="35" t="s">
        <v>0</v>
      </c>
      <c r="O141" s="35" t="e">
        <v>#N/A</v>
      </c>
    </row>
    <row r="142" spans="1:15">
      <c r="A142" s="12" t="s">
        <v>1184</v>
      </c>
      <c r="B142" s="14" t="s">
        <v>1192</v>
      </c>
      <c r="C142" s="12" t="s">
        <v>268</v>
      </c>
      <c r="D142" s="15">
        <v>4.32</v>
      </c>
      <c r="E142" s="15">
        <v>5</v>
      </c>
      <c r="F142" s="10">
        <v>1.53</v>
      </c>
      <c r="G142" s="10">
        <v>1.53</v>
      </c>
      <c r="H142" s="10">
        <v>1.53</v>
      </c>
      <c r="I142" s="35">
        <v>5</v>
      </c>
      <c r="J142" s="10">
        <v>1.53</v>
      </c>
      <c r="K142" s="10">
        <v>1.53</v>
      </c>
      <c r="L142" s="10">
        <v>1.53</v>
      </c>
      <c r="M142" s="36">
        <v>7</v>
      </c>
      <c r="N142" s="35">
        <v>7</v>
      </c>
      <c r="O142" s="35" t="e">
        <v>#N/A</v>
      </c>
    </row>
    <row r="143" spans="1:15">
      <c r="A143" s="12" t="s">
        <v>1193</v>
      </c>
      <c r="B143" s="14" t="s">
        <v>1194</v>
      </c>
      <c r="C143" s="12" t="s">
        <v>268</v>
      </c>
      <c r="D143" s="15">
        <v>6.13</v>
      </c>
      <c r="E143" s="15">
        <v>7</v>
      </c>
      <c r="F143" s="10" t="s">
        <v>0</v>
      </c>
      <c r="G143" s="10" t="s">
        <v>0</v>
      </c>
      <c r="H143" s="10" t="s">
        <v>0</v>
      </c>
      <c r="I143" s="35" t="s">
        <v>0</v>
      </c>
      <c r="J143" s="10">
        <v>1.59</v>
      </c>
      <c r="K143" s="10">
        <v>1.59</v>
      </c>
      <c r="L143" s="10">
        <v>1.59</v>
      </c>
      <c r="M143" s="36">
        <v>6</v>
      </c>
      <c r="N143" s="35">
        <v>24</v>
      </c>
      <c r="O143" s="35" t="e">
        <v>#N/A</v>
      </c>
    </row>
    <row r="144" spans="1:15">
      <c r="A144" s="12" t="s">
        <v>1195</v>
      </c>
      <c r="B144" s="14" t="s">
        <v>1196</v>
      </c>
      <c r="C144" s="12" t="s">
        <v>268</v>
      </c>
      <c r="D144" s="15">
        <v>8.7100000000000009</v>
      </c>
      <c r="E144" s="15">
        <v>10</v>
      </c>
      <c r="F144" s="10" t="s">
        <v>0</v>
      </c>
      <c r="G144" s="10" t="s">
        <v>0</v>
      </c>
      <c r="H144" s="10" t="s">
        <v>0</v>
      </c>
      <c r="I144" s="35" t="s">
        <v>0</v>
      </c>
      <c r="J144" s="10">
        <v>1.68</v>
      </c>
      <c r="K144" s="10">
        <v>1.68</v>
      </c>
      <c r="L144" s="10">
        <v>1.68</v>
      </c>
      <c r="M144" s="36">
        <v>13</v>
      </c>
      <c r="N144" s="35">
        <v>38</v>
      </c>
      <c r="O144" s="35" t="e">
        <v>#N/A</v>
      </c>
    </row>
    <row r="145" spans="1:15">
      <c r="A145" s="12" t="s">
        <v>852</v>
      </c>
      <c r="B145" s="14" t="s">
        <v>857</v>
      </c>
      <c r="C145" s="12" t="s">
        <v>268</v>
      </c>
      <c r="D145" s="15">
        <v>0.96</v>
      </c>
      <c r="E145" s="15">
        <v>0.97</v>
      </c>
      <c r="F145" s="10">
        <v>1.59</v>
      </c>
      <c r="G145" s="10">
        <v>1.59</v>
      </c>
      <c r="H145" s="10">
        <v>1.59</v>
      </c>
      <c r="I145" s="35">
        <v>5</v>
      </c>
      <c r="J145" s="10">
        <v>1.58</v>
      </c>
      <c r="K145" s="10">
        <v>1.58</v>
      </c>
      <c r="L145" s="10">
        <v>1.58</v>
      </c>
      <c r="M145" s="36">
        <v>1</v>
      </c>
      <c r="N145" s="35">
        <v>5</v>
      </c>
      <c r="O145" s="35" t="e">
        <v>#N/A</v>
      </c>
    </row>
    <row r="146" spans="1:15">
      <c r="A146" s="12" t="s">
        <v>1197</v>
      </c>
      <c r="B146" s="14" t="s">
        <v>1198</v>
      </c>
      <c r="C146" s="12" t="s">
        <v>268</v>
      </c>
      <c r="D146" s="15">
        <v>0.78</v>
      </c>
      <c r="E146" s="15">
        <v>0.79</v>
      </c>
      <c r="F146" s="10" t="s">
        <v>0</v>
      </c>
      <c r="G146" s="10" t="s">
        <v>0</v>
      </c>
      <c r="H146" s="10" t="s">
        <v>0</v>
      </c>
      <c r="I146" s="35" t="s">
        <v>0</v>
      </c>
      <c r="J146" s="10">
        <v>1.51</v>
      </c>
      <c r="K146" s="10">
        <v>1.5</v>
      </c>
      <c r="L146" s="10">
        <v>1.5049999999999999</v>
      </c>
      <c r="M146" s="36">
        <v>4</v>
      </c>
      <c r="N146" s="35">
        <v>1</v>
      </c>
      <c r="O146" s="35" t="e">
        <v>#N/A</v>
      </c>
    </row>
    <row r="147" spans="1:15">
      <c r="A147" s="12" t="s">
        <v>1147</v>
      </c>
      <c r="B147" s="14" t="s">
        <v>1148</v>
      </c>
      <c r="C147" s="12" t="s">
        <v>268</v>
      </c>
      <c r="D147" s="15">
        <v>11.23</v>
      </c>
      <c r="E147" s="15">
        <v>14.99</v>
      </c>
      <c r="F147" s="10" t="s">
        <v>0</v>
      </c>
      <c r="G147" s="10" t="s">
        <v>0</v>
      </c>
      <c r="H147" s="10" t="s">
        <v>0</v>
      </c>
      <c r="I147" s="35" t="s">
        <v>0</v>
      </c>
      <c r="J147" s="10">
        <v>3.85</v>
      </c>
      <c r="K147" s="10">
        <v>3.85</v>
      </c>
      <c r="L147" s="10">
        <v>3.85</v>
      </c>
      <c r="M147" s="36">
        <v>2</v>
      </c>
      <c r="N147" s="35">
        <v>0.23499999999999999</v>
      </c>
      <c r="O147" s="35"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AU138"/>
  <sheetViews>
    <sheetView tabSelected="1" workbookViewId="0">
      <pane xSplit="4" ySplit="4" topLeftCell="E5" activePane="bottomRight" state="frozen"/>
      <selection pane="topRight" activeCell="E1" sqref="E1"/>
      <selection pane="bottomLeft" activeCell="A5" sqref="A5"/>
      <selection pane="bottomRight" activeCell="F17" sqref="F17"/>
    </sheetView>
  </sheetViews>
  <sheetFormatPr defaultRowHeight="16.5"/>
  <cols>
    <col min="3" max="3" width="0" hidden="1" customWidth="1"/>
    <col min="4" max="4" width="11.625" bestFit="1" customWidth="1"/>
    <col min="5" max="19" width="8.625" style="2" customWidth="1"/>
    <col min="20" max="20" width="8.625" customWidth="1"/>
  </cols>
  <sheetData>
    <row r="1" spans="1:47">
      <c r="D1" t="s">
        <v>334</v>
      </c>
      <c r="E1" s="2">
        <f t="shared" ref="E1:AT1" si="0">(E2-F2)*100</f>
        <v>1.5000000000000124</v>
      </c>
      <c r="F1" s="2">
        <f t="shared" si="0"/>
        <v>9.9999999999988987E-2</v>
      </c>
      <c r="G1" s="2">
        <f t="shared" si="0"/>
        <v>-2.6000000000000023</v>
      </c>
      <c r="H1" s="2">
        <f t="shared" si="0"/>
        <v>1.8000000000000016</v>
      </c>
      <c r="I1" s="2">
        <f t="shared" si="0"/>
        <v>-1.8000000000000016</v>
      </c>
      <c r="J1" s="2">
        <f t="shared" si="0"/>
        <v>4.3000000000000149</v>
      </c>
      <c r="K1" s="2">
        <f t="shared" si="0"/>
        <v>0</v>
      </c>
      <c r="L1" s="2">
        <f t="shared" si="0"/>
        <v>1.1999999999999789</v>
      </c>
      <c r="M1" s="2">
        <f t="shared" si="0"/>
        <v>0.50000000000001155</v>
      </c>
      <c r="N1" s="2">
        <f t="shared" si="0"/>
        <v>0</v>
      </c>
      <c r="O1" s="2">
        <f t="shared" si="0"/>
        <v>0.49999999999998934</v>
      </c>
      <c r="P1" s="2">
        <f t="shared" si="0"/>
        <v>-0.49999999999998934</v>
      </c>
      <c r="Q1" s="2">
        <f t="shared" si="0"/>
        <v>0</v>
      </c>
      <c r="R1" s="2">
        <f t="shared" si="0"/>
        <v>1.0000000000000009</v>
      </c>
      <c r="S1" s="2">
        <f t="shared" si="0"/>
        <v>0.49999999999998934</v>
      </c>
      <c r="T1" s="2">
        <f t="shared" si="0"/>
        <v>-1.4999999999999902</v>
      </c>
      <c r="U1" s="2">
        <f t="shared" si="0"/>
        <v>1.0000000000000009</v>
      </c>
      <c r="V1" s="2">
        <f t="shared" si="0"/>
        <v>0</v>
      </c>
      <c r="W1" s="2">
        <f t="shared" si="0"/>
        <v>-0.75000000000000622</v>
      </c>
      <c r="X1" s="2">
        <f t="shared" si="0"/>
        <v>1.760000000000006</v>
      </c>
      <c r="Y1" s="2">
        <f t="shared" si="0"/>
        <v>2.9900000000000038</v>
      </c>
      <c r="Z1" s="2">
        <f t="shared" si="0"/>
        <v>0</v>
      </c>
      <c r="AA1" s="2">
        <f t="shared" si="0"/>
        <v>0</v>
      </c>
      <c r="AB1" s="2">
        <f t="shared" si="0"/>
        <v>0</v>
      </c>
      <c r="AC1" s="2">
        <f t="shared" si="0"/>
        <v>0</v>
      </c>
      <c r="AD1" s="2">
        <f t="shared" si="0"/>
        <v>0</v>
      </c>
      <c r="AE1" s="2">
        <f t="shared" si="0"/>
        <v>0</v>
      </c>
      <c r="AF1" s="2">
        <f t="shared" si="0"/>
        <v>0</v>
      </c>
      <c r="AG1" s="2">
        <f t="shared" si="0"/>
        <v>-0.50000000000001155</v>
      </c>
      <c r="AH1" s="2">
        <f t="shared" si="0"/>
        <v>0</v>
      </c>
      <c r="AI1" s="2">
        <f t="shared" si="0"/>
        <v>0</v>
      </c>
      <c r="AJ1" s="2">
        <f t="shared" si="0"/>
        <v>0.50000000000001155</v>
      </c>
      <c r="AK1" s="2">
        <f t="shared" si="0"/>
        <v>1.0000000000000009</v>
      </c>
      <c r="AL1" s="2">
        <f t="shared" si="0"/>
        <v>-2.0000000000000018</v>
      </c>
      <c r="AM1" s="2">
        <f t="shared" si="0"/>
        <v>-0.50000000000001155</v>
      </c>
      <c r="AN1" s="2">
        <f t="shared" si="0"/>
        <v>0.63999999999999613</v>
      </c>
      <c r="AO1" s="2">
        <f t="shared" si="0"/>
        <v>0.71000000000001062</v>
      </c>
      <c r="AP1" s="2">
        <f t="shared" si="0"/>
        <v>-0.73000000000000842</v>
      </c>
      <c r="AQ1" s="2">
        <f t="shared" si="0"/>
        <v>1.2800000000000145</v>
      </c>
      <c r="AR1" s="2">
        <f t="shared" si="0"/>
        <v>-0.9000000000000119</v>
      </c>
      <c r="AS1" s="2">
        <f t="shared" si="0"/>
        <v>0.50000000000001155</v>
      </c>
      <c r="AT1" s="2">
        <f t="shared" si="0"/>
        <v>0.49999999999998934</v>
      </c>
    </row>
    <row r="2" spans="1:47">
      <c r="D2" s="2" t="s">
        <v>333</v>
      </c>
      <c r="E2" s="2">
        <f>VLOOKUP(E4,[6]台灣10yr!$A$1172:$M$10000,3,FALSE)</f>
        <v>1.29</v>
      </c>
      <c r="F2" s="2">
        <f>VLOOKUP(F4,[6]台灣10yr!$A$1172:$M$10000,3,FALSE)</f>
        <v>1.2749999999999999</v>
      </c>
      <c r="G2" s="2">
        <f>VLOOKUP(G4,[6]台灣10yr!$A$1172:$M$10000,3,FALSE)</f>
        <v>1.274</v>
      </c>
      <c r="H2" s="2">
        <f>VLOOKUP(H4,[6]台灣10yr!$A$1172:$M$10000,3,FALSE)</f>
        <v>1.3</v>
      </c>
      <c r="I2" s="2">
        <f>VLOOKUP(I4,[6]台灣10yr!$A$1172:$M$10000,3,FALSE)</f>
        <v>1.282</v>
      </c>
      <c r="J2" s="2">
        <f>VLOOKUP(J4,[6]台灣10yr!$A$1172:$M$10000,3,FALSE)</f>
        <v>1.3</v>
      </c>
      <c r="K2" s="2">
        <f>VLOOKUP(K4,[6]台灣10yr!$A$1172:$M$10000,3,FALSE)</f>
        <v>1.2569999999999999</v>
      </c>
      <c r="L2" s="2">
        <f>VLOOKUP(L4,[6]台灣10yr!$A$1172:$M$10000,3,FALSE)</f>
        <v>1.2569999999999999</v>
      </c>
      <c r="M2" s="2">
        <f>VLOOKUP(M4,[6]台灣10yr!$A$1172:$M$10000,3,FALSE)</f>
        <v>1.2450000000000001</v>
      </c>
      <c r="N2" s="2">
        <f>VLOOKUP(N4,[6]台灣10yr!$A$1172:$M$10000,3,FALSE)</f>
        <v>1.24</v>
      </c>
      <c r="O2" s="2">
        <f>VLOOKUP(O4,[6]台灣10yr!$A$1172:$M$10000,3,FALSE)</f>
        <v>1.24</v>
      </c>
      <c r="P2" s="2">
        <f>VLOOKUP(P4,[6]台灣10yr!$A$1172:$M$10000,3,FALSE)</f>
        <v>1.2350000000000001</v>
      </c>
      <c r="Q2" s="2">
        <f>VLOOKUP(Q4,[6]台灣10yr!$A$1172:$M$10000,3,FALSE)</f>
        <v>1.24</v>
      </c>
      <c r="R2" s="2">
        <f>VLOOKUP(R4,[6]台灣10yr!$A$1172:$M$10000,3,FALSE)</f>
        <v>1.24</v>
      </c>
      <c r="S2" s="2">
        <f>VLOOKUP(S4,[6]台灣10yr!$A$1172:$M$10000,3,FALSE)</f>
        <v>1.23</v>
      </c>
      <c r="T2" s="2">
        <f>VLOOKUP(T4,[6]台灣10yr!$A$1172:$M$10000,3,FALSE)</f>
        <v>1.2250000000000001</v>
      </c>
      <c r="U2" s="2">
        <v>1.24</v>
      </c>
      <c r="V2" s="2">
        <v>1.23</v>
      </c>
      <c r="W2" s="2">
        <v>1.23</v>
      </c>
      <c r="X2" s="2">
        <v>1.2375</v>
      </c>
      <c r="Y2" s="2">
        <v>1.2199</v>
      </c>
      <c r="Z2" s="2">
        <v>1.19</v>
      </c>
      <c r="AA2" s="2">
        <v>1.19</v>
      </c>
      <c r="AB2" s="2">
        <v>1.19</v>
      </c>
      <c r="AC2" s="2">
        <v>1.19</v>
      </c>
      <c r="AD2" s="2">
        <v>1.19</v>
      </c>
      <c r="AE2" s="2">
        <v>1.19</v>
      </c>
      <c r="AF2" s="2">
        <v>1.19</v>
      </c>
      <c r="AG2" s="2">
        <v>1.19</v>
      </c>
      <c r="AH2" s="2">
        <v>1.1950000000000001</v>
      </c>
      <c r="AI2" s="2">
        <v>1.1950000000000001</v>
      </c>
      <c r="AJ2" s="2">
        <v>1.1950000000000001</v>
      </c>
      <c r="AK2" s="2">
        <v>1.19</v>
      </c>
      <c r="AL2" s="2">
        <v>1.18</v>
      </c>
      <c r="AM2" s="2">
        <v>1.2</v>
      </c>
      <c r="AN2" s="2">
        <v>1.2050000000000001</v>
      </c>
      <c r="AO2" s="2">
        <v>1.1986000000000001</v>
      </c>
      <c r="AP2" s="2">
        <v>1.1915</v>
      </c>
      <c r="AQ2" s="2">
        <v>1.1988000000000001</v>
      </c>
      <c r="AR2" s="2">
        <v>1.1859999999999999</v>
      </c>
      <c r="AS2" s="2">
        <v>1.1950000000000001</v>
      </c>
      <c r="AT2" s="2">
        <v>1.19</v>
      </c>
      <c r="AU2" s="2">
        <v>1.1850000000000001</v>
      </c>
    </row>
    <row r="4" spans="1:47">
      <c r="A4" t="s">
        <v>332</v>
      </c>
      <c r="B4" s="5" t="s">
        <v>82</v>
      </c>
      <c r="C4" s="5" t="s">
        <v>196</v>
      </c>
      <c r="D4" s="5" t="s">
        <v>331</v>
      </c>
      <c r="E4" s="1">
        <v>45212</v>
      </c>
      <c r="F4" s="1">
        <v>45211</v>
      </c>
      <c r="G4" s="1">
        <v>45210</v>
      </c>
      <c r="H4" s="1">
        <v>45205</v>
      </c>
      <c r="I4" s="1">
        <v>45204</v>
      </c>
      <c r="J4" s="1">
        <v>45203</v>
      </c>
      <c r="K4" s="1">
        <v>45202</v>
      </c>
      <c r="L4" s="1">
        <v>45201</v>
      </c>
      <c r="M4" s="1">
        <v>45197</v>
      </c>
      <c r="N4" s="1">
        <v>45196</v>
      </c>
      <c r="O4" s="1">
        <v>45195</v>
      </c>
      <c r="P4" s="1">
        <v>45194</v>
      </c>
      <c r="Q4" s="1">
        <v>45191</v>
      </c>
      <c r="R4" s="1">
        <v>45190</v>
      </c>
      <c r="S4" s="1">
        <v>45189</v>
      </c>
      <c r="T4" s="70">
        <v>45188</v>
      </c>
      <c r="U4" s="1">
        <v>45187</v>
      </c>
      <c r="V4" s="1">
        <v>45184</v>
      </c>
      <c r="W4" s="1">
        <v>45183</v>
      </c>
      <c r="X4" s="1">
        <v>45182</v>
      </c>
      <c r="Y4" s="1">
        <v>45181</v>
      </c>
      <c r="Z4" s="1">
        <v>45180</v>
      </c>
      <c r="AA4" s="1">
        <v>45177</v>
      </c>
      <c r="AB4" s="1">
        <v>45176</v>
      </c>
      <c r="AC4" s="1">
        <v>45175</v>
      </c>
      <c r="AD4" s="1">
        <v>45174</v>
      </c>
      <c r="AE4" s="1">
        <v>45173</v>
      </c>
      <c r="AF4" s="1">
        <v>45170</v>
      </c>
      <c r="AG4" s="1">
        <v>45169</v>
      </c>
      <c r="AH4" s="1">
        <v>45168</v>
      </c>
      <c r="AI4" s="1">
        <v>45167</v>
      </c>
      <c r="AJ4" s="1">
        <v>45166</v>
      </c>
      <c r="AK4" s="1">
        <v>45163</v>
      </c>
      <c r="AL4" s="1">
        <v>45162</v>
      </c>
      <c r="AM4" s="1">
        <v>45161</v>
      </c>
      <c r="AN4" s="1">
        <v>45160</v>
      </c>
      <c r="AO4" s="1">
        <v>45159</v>
      </c>
      <c r="AP4" s="1">
        <v>45156</v>
      </c>
      <c r="AQ4" s="1">
        <v>45155</v>
      </c>
      <c r="AR4" s="1">
        <v>45154</v>
      </c>
      <c r="AS4" s="1">
        <v>45153</v>
      </c>
      <c r="AT4" s="1">
        <v>45152</v>
      </c>
      <c r="AU4" s="1">
        <v>45149</v>
      </c>
    </row>
    <row r="5" spans="1:47">
      <c r="A5" s="3" t="s">
        <v>36</v>
      </c>
      <c r="B5" s="5">
        <f>VLOOKUP($A5,'[21]1013'!$A$4:$O$321,4,FALSE)</f>
        <v>0.1</v>
      </c>
      <c r="C5" s="5">
        <v>0.28999999999999998</v>
      </c>
      <c r="D5" s="5">
        <f>VLOOKUP($A5,'[21]1013'!$A$4:$O$321,15,FALSE)</f>
        <v>0.90100000000000002</v>
      </c>
      <c r="E5" s="4" t="str">
        <f>IF(VLOOKUP($A5,'[21]1013'!$A$4:$O$150,8,FALSE)="",VLOOKUP($A5,'[21]1013'!$A$4:$O$150,12,FALSE),VLOOKUP($A5,'[21]1013'!$A$4:$O$150,8,FALSE))</f>
        <v/>
      </c>
      <c r="F5" s="4" t="str">
        <f>IF(VLOOKUP($A5,'[7]1012'!$A$4:$O$150,8,FALSE)="",VLOOKUP($A5,'[7]1012'!$A$4:$O$150,12,FALSE),VLOOKUP($A5,'[7]1012'!$A$4:$O$150,8,FALSE))</f>
        <v/>
      </c>
      <c r="G5" s="4" t="str">
        <f>IF(VLOOKUP($A5,'[8]1011'!$A$4:$O$150,8,FALSE)="",VLOOKUP($A5,'[8]1011'!$A$4:$O$150,12,FALSE),VLOOKUP($A5,'[8]1011'!$A$4:$O$150,8,FALSE))</f>
        <v/>
      </c>
      <c r="H5" s="106"/>
      <c r="I5" s="4" t="str">
        <f>IF(VLOOKUP($A5,'[9]1005'!$A$4:$O$150,8,FALSE)="",VLOOKUP($A5,'[9]1005'!$A$4:$O$150,12,FALSE),VLOOKUP($A5,'[9]1005'!$A$4:$O$150,8,FALSE))</f>
        <v/>
      </c>
      <c r="J5" s="4" t="str">
        <f>IF(VLOOKUP($A5,'[10]1004'!$A$4:$O$150,8,FALSE)="",VLOOKUP($A5,'[10]1004'!$A$4:$O$150,12,FALSE),VLOOKUP($A5,'[10]1004'!$A$4:$O$150,8,FALSE))</f>
        <v/>
      </c>
      <c r="K5" s="4" t="str">
        <f>IF(VLOOKUP($A5,'[11]1003'!$A$4:$O$150,8,FALSE)="",VLOOKUP($A5,'[11]1003'!$A$4:$O$150,12,FALSE),VLOOKUP($A5,'[11]1003'!$A$4:$O$150,8,FALSE))</f>
        <v/>
      </c>
      <c r="L5" s="4" t="str">
        <f>IF(VLOOKUP($A5,'[12]1002'!$A$4:$O$150,8,FALSE)="",VLOOKUP($A5,'[12]1002'!$A$4:$O$150,12,FALSE),VLOOKUP($A5,'[12]1002'!$A$4:$O$150,8,FALSE))</f>
        <v/>
      </c>
      <c r="M5" s="106"/>
      <c r="N5" s="4" t="str">
        <f>IF(VLOOKUP($A5,'[13]0927'!$A$4:$O$150,8,FALSE)="",VLOOKUP($A5,'[13]0927'!$A$4:$O$150,12,FALSE),VLOOKUP($A5,'[13]0927'!$A$4:$O$150,8,FALSE))</f>
        <v/>
      </c>
      <c r="O5" s="5"/>
      <c r="P5" s="4" t="str">
        <f>IF(VLOOKUP($A5,'[14]0925'!$A$4:$O$150,8,FALSE)="",VLOOKUP($A5,'[14]0925'!$A$4:$O$150,12,FALSE),VLOOKUP($A5,'[14]0925'!$A$4:$O$150,8,FALSE))</f>
        <v/>
      </c>
      <c r="Q5" s="4" t="str">
        <f>IF(VLOOKUP($A5,'[15]0922'!$A$4:$O$150,8,FALSE)="",VLOOKUP($A5,'[15]0922'!$A$4:$O$150,12,FALSE),VLOOKUP($A5,'[15]0922'!$A$4:$O$150,8,FALSE))</f>
        <v/>
      </c>
      <c r="R5" s="4" t="str">
        <f>IF(VLOOKUP($A5,'[16]0921'!$A$4:$O$150,8,FALSE)="",VLOOKUP($A5,'[16]0921'!$A$4:$O$150,12,FALSE),VLOOKUP($A5,'[16]0921'!$A$4:$O$150,8,FALSE))</f>
        <v/>
      </c>
      <c r="S5" s="4" t="str">
        <f>IF(VLOOKUP($A5,'[17]0920'!$A$4:$O$150,8,FALSE)="",VLOOKUP($A5,'[17]0920'!$A$4:$O$150,12,FALSE),VLOOKUP($A5,'[17]0920'!$A$4:$O$150,8,FALSE))</f>
        <v/>
      </c>
      <c r="T5" s="4" t="s">
        <v>0</v>
      </c>
      <c r="U5" s="4" t="s">
        <v>0</v>
      </c>
      <c r="W5" s="4" t="s">
        <v>0</v>
      </c>
      <c r="X5" s="4" t="s">
        <v>0</v>
      </c>
      <c r="Y5" s="4" t="s">
        <v>0</v>
      </c>
      <c r="Z5" s="4" t="s">
        <v>0</v>
      </c>
      <c r="AA5" s="4" t="s">
        <v>0</v>
      </c>
      <c r="AB5" s="4" t="s">
        <v>0</v>
      </c>
      <c r="AC5" s="4" t="s">
        <v>0</v>
      </c>
      <c r="AD5" s="4" t="s">
        <v>0</v>
      </c>
      <c r="AE5" s="4" t="s">
        <v>0</v>
      </c>
      <c r="AF5" s="4" t="s">
        <v>0</v>
      </c>
      <c r="AG5" s="4" t="s">
        <v>0</v>
      </c>
      <c r="AH5" s="4" t="s">
        <v>0</v>
      </c>
      <c r="AI5" s="4" t="s">
        <v>0</v>
      </c>
      <c r="AJ5" s="4" t="s">
        <v>0</v>
      </c>
      <c r="AK5" s="4" t="s">
        <v>0</v>
      </c>
      <c r="AL5" s="4" t="s">
        <v>0</v>
      </c>
      <c r="AM5" s="4" t="s">
        <v>0</v>
      </c>
      <c r="AN5" s="4" t="s">
        <v>0</v>
      </c>
      <c r="AP5" s="4" t="s">
        <v>0</v>
      </c>
      <c r="AQ5" s="4" t="s">
        <v>0</v>
      </c>
      <c r="AR5" s="4" t="s">
        <v>0</v>
      </c>
      <c r="AU5" s="4" t="s">
        <v>0</v>
      </c>
    </row>
    <row r="6" spans="1:47">
      <c r="A6" s="3" t="s">
        <v>27</v>
      </c>
      <c r="B6" s="5">
        <f>VLOOKUP($A6,'[21]1013'!$A$4:$O$321,4,FALSE)</f>
        <v>0.24</v>
      </c>
      <c r="C6" s="5">
        <v>0.43</v>
      </c>
      <c r="D6" s="5">
        <f>VLOOKUP($A6,'[21]1013'!$A$4:$O$321,15,FALSE)</f>
        <v>0.90100000000000002</v>
      </c>
      <c r="E6" s="4">
        <f>IF(VLOOKUP($A6,'[21]1013'!$A$4:$O$150,8,FALSE)="",VLOOKUP($A6,'[21]1013'!$A$4:$O$150,12,FALSE),VLOOKUP($A6,'[21]1013'!$A$4:$O$150,8,FALSE))</f>
        <v>0.89500000000000002</v>
      </c>
      <c r="F6" s="4" t="str">
        <f>IF(VLOOKUP($A6,'[7]1012'!$A$4:$O$150,8,FALSE)="",VLOOKUP($A6,'[7]1012'!$A$4:$O$150,12,FALSE),VLOOKUP($A6,'[7]1012'!$A$4:$O$150,8,FALSE))</f>
        <v/>
      </c>
      <c r="G6" s="4" t="str">
        <f>IF(VLOOKUP($A6,'[8]1011'!$A$4:$O$150,8,FALSE)="",VLOOKUP($A6,'[8]1011'!$A$4:$O$150,12,FALSE),VLOOKUP($A6,'[8]1011'!$A$4:$O$150,8,FALSE))</f>
        <v/>
      </c>
      <c r="H6" s="106"/>
      <c r="I6" s="4" t="str">
        <f>IF(VLOOKUP($A6,'[9]1005'!$A$4:$O$150,8,FALSE)="",VLOOKUP($A6,'[9]1005'!$A$4:$O$150,12,FALSE),VLOOKUP($A6,'[9]1005'!$A$4:$O$150,8,FALSE))</f>
        <v/>
      </c>
      <c r="J6" s="4" t="str">
        <f>IF(VLOOKUP($A6,'[10]1004'!$A$4:$O$150,8,FALSE)="",VLOOKUP($A6,'[10]1004'!$A$4:$O$150,12,FALSE),VLOOKUP($A6,'[10]1004'!$A$4:$O$150,8,FALSE))</f>
        <v/>
      </c>
      <c r="K6" s="4" t="str">
        <f>IF(VLOOKUP($A6,'[11]1003'!$A$4:$O$150,8,FALSE)="",VLOOKUP($A6,'[11]1003'!$A$4:$O$150,12,FALSE),VLOOKUP($A6,'[11]1003'!$A$4:$O$150,8,FALSE))</f>
        <v/>
      </c>
      <c r="L6" s="4" t="str">
        <f>IF(VLOOKUP($A6,'[12]1002'!$A$4:$O$150,8,FALSE)="",VLOOKUP($A6,'[12]1002'!$A$4:$O$150,12,FALSE),VLOOKUP($A6,'[12]1002'!$A$4:$O$150,8,FALSE))</f>
        <v/>
      </c>
      <c r="M6" s="106"/>
      <c r="N6" s="4" t="str">
        <f>IF(VLOOKUP($A6,'[13]0927'!$A$4:$O$150,8,FALSE)="",VLOOKUP($A6,'[13]0927'!$A$4:$O$150,12,FALSE),VLOOKUP($A6,'[13]0927'!$A$4:$O$150,8,FALSE))</f>
        <v/>
      </c>
      <c r="O6" s="5"/>
      <c r="P6" s="4" t="str">
        <f>IF(VLOOKUP($A6,'[14]0925'!$A$4:$O$150,8,FALSE)="",VLOOKUP($A6,'[14]0925'!$A$4:$O$150,12,FALSE),VLOOKUP($A6,'[14]0925'!$A$4:$O$150,8,FALSE))</f>
        <v/>
      </c>
      <c r="Q6" s="4" t="str">
        <f>IF(VLOOKUP($A6,'[15]0922'!$A$4:$O$150,8,FALSE)="",VLOOKUP($A6,'[15]0922'!$A$4:$O$150,12,FALSE),VLOOKUP($A6,'[15]0922'!$A$4:$O$150,8,FALSE))</f>
        <v/>
      </c>
      <c r="R6" s="4" t="str">
        <f>IF(VLOOKUP($A6,'[16]0921'!$A$4:$O$150,8,FALSE)="",VLOOKUP($A6,'[16]0921'!$A$4:$O$150,12,FALSE),VLOOKUP($A6,'[16]0921'!$A$4:$O$150,8,FALSE))</f>
        <v/>
      </c>
      <c r="S6" s="4" t="str">
        <f>IF(VLOOKUP($A6,'[17]0920'!$A$4:$O$150,8,FALSE)="",VLOOKUP($A6,'[17]0920'!$A$4:$O$150,12,FALSE),VLOOKUP($A6,'[17]0920'!$A$4:$O$150,8,FALSE))</f>
        <v/>
      </c>
      <c r="T6" s="4" t="s">
        <v>0</v>
      </c>
      <c r="U6" s="4" t="s">
        <v>0</v>
      </c>
      <c r="W6" s="4">
        <v>0.88</v>
      </c>
      <c r="X6" s="4" t="s">
        <v>0</v>
      </c>
      <c r="Y6" s="4" t="s">
        <v>0</v>
      </c>
      <c r="Z6" s="4" t="s">
        <v>0</v>
      </c>
      <c r="AA6" s="4" t="s">
        <v>0</v>
      </c>
      <c r="AB6" s="4" t="s">
        <v>0</v>
      </c>
      <c r="AC6" s="4" t="s">
        <v>0</v>
      </c>
      <c r="AD6" s="4" t="s">
        <v>0</v>
      </c>
      <c r="AE6" s="4" t="s">
        <v>0</v>
      </c>
      <c r="AF6" s="4" t="s">
        <v>0</v>
      </c>
      <c r="AG6" s="4" t="s">
        <v>0</v>
      </c>
      <c r="AH6" s="4" t="s">
        <v>0</v>
      </c>
      <c r="AI6" s="4" t="s">
        <v>0</v>
      </c>
      <c r="AJ6" s="4" t="s">
        <v>0</v>
      </c>
      <c r="AK6" s="4" t="s">
        <v>0</v>
      </c>
      <c r="AL6" s="4" t="s">
        <v>0</v>
      </c>
      <c r="AM6" s="4" t="s">
        <v>0</v>
      </c>
      <c r="AN6" s="4" t="s">
        <v>0</v>
      </c>
      <c r="AP6" s="4" t="s">
        <v>0</v>
      </c>
      <c r="AQ6" s="4" t="s">
        <v>0</v>
      </c>
      <c r="AR6" s="4" t="s">
        <v>0</v>
      </c>
      <c r="AU6" s="4" t="s">
        <v>0</v>
      </c>
    </row>
    <row r="7" spans="1:47">
      <c r="A7" s="3" t="s">
        <v>9</v>
      </c>
      <c r="B7" s="5">
        <f>VLOOKUP($A7,'[21]1013'!$A$4:$O$321,4,FALSE)</f>
        <v>0.32</v>
      </c>
      <c r="C7" s="5">
        <v>0.5</v>
      </c>
      <c r="D7" s="5">
        <f>VLOOKUP($A7,'[21]1013'!$A$4:$O$321,15,FALSE)</f>
        <v>0.90580000000000005</v>
      </c>
      <c r="E7" s="4" t="str">
        <f>IF(VLOOKUP($A7,'[21]1013'!$A$4:$O$150,8,FALSE)="",VLOOKUP($A7,'[21]1013'!$A$4:$O$150,12,FALSE),VLOOKUP($A7,'[21]1013'!$A$4:$O$150,8,FALSE))</f>
        <v/>
      </c>
      <c r="F7" s="4">
        <f>IF(VLOOKUP($A7,'[7]1012'!$A$4:$O$150,8,FALSE)="",VLOOKUP($A7,'[7]1012'!$A$4:$O$150,12,FALSE),VLOOKUP($A7,'[7]1012'!$A$4:$O$150,8,FALSE))</f>
        <v>0.90259999999999996</v>
      </c>
      <c r="G7" s="4">
        <f>IF(VLOOKUP($A7,'[8]1011'!$A$4:$O$150,8,FALSE)="",VLOOKUP($A7,'[8]1011'!$A$4:$O$150,12,FALSE),VLOOKUP($A7,'[8]1011'!$A$4:$O$150,8,FALSE))</f>
        <v>0.90249999999999997</v>
      </c>
      <c r="H7" s="106"/>
      <c r="I7" s="4" t="str">
        <f>IF(VLOOKUP($A7,'[9]1005'!$A$4:$O$150,8,FALSE)="",VLOOKUP($A7,'[9]1005'!$A$4:$O$150,12,FALSE),VLOOKUP($A7,'[9]1005'!$A$4:$O$150,8,FALSE))</f>
        <v/>
      </c>
      <c r="J7" s="4" t="str">
        <f>IF(VLOOKUP($A7,'[10]1004'!$A$4:$O$150,8,FALSE)="",VLOOKUP($A7,'[10]1004'!$A$4:$O$150,12,FALSE),VLOOKUP($A7,'[10]1004'!$A$4:$O$150,8,FALSE))</f>
        <v/>
      </c>
      <c r="K7" s="4" t="str">
        <f>IF(VLOOKUP($A7,'[11]1003'!$A$4:$O$150,8,FALSE)="",VLOOKUP($A7,'[11]1003'!$A$4:$O$150,12,FALSE),VLOOKUP($A7,'[11]1003'!$A$4:$O$150,8,FALSE))</f>
        <v/>
      </c>
      <c r="L7" s="4" t="str">
        <f>IF(VLOOKUP($A7,'[12]1002'!$A$4:$O$150,8,FALSE)="",VLOOKUP($A7,'[12]1002'!$A$4:$O$150,12,FALSE),VLOOKUP($A7,'[12]1002'!$A$4:$O$150,8,FALSE))</f>
        <v/>
      </c>
      <c r="M7" s="106"/>
      <c r="N7" s="4" t="str">
        <f>IF(VLOOKUP($A7,'[13]0927'!$A$4:$O$150,8,FALSE)="",VLOOKUP($A7,'[13]0927'!$A$4:$O$150,12,FALSE),VLOOKUP($A7,'[13]0927'!$A$4:$O$150,8,FALSE))</f>
        <v/>
      </c>
      <c r="O7" s="5"/>
      <c r="P7" s="4" t="str">
        <f>IF(VLOOKUP($A7,'[14]0925'!$A$4:$O$150,8,FALSE)="",VLOOKUP($A7,'[14]0925'!$A$4:$O$150,12,FALSE),VLOOKUP($A7,'[14]0925'!$A$4:$O$150,8,FALSE))</f>
        <v/>
      </c>
      <c r="Q7" s="4" t="str">
        <f>IF(VLOOKUP($A7,'[15]0922'!$A$4:$O$150,8,FALSE)="",VLOOKUP($A7,'[15]0922'!$A$4:$O$150,12,FALSE),VLOOKUP($A7,'[15]0922'!$A$4:$O$150,8,FALSE))</f>
        <v/>
      </c>
      <c r="R7" s="4" t="str">
        <f>IF(VLOOKUP($A7,'[16]0921'!$A$4:$O$150,8,FALSE)="",VLOOKUP($A7,'[16]0921'!$A$4:$O$150,12,FALSE),VLOOKUP($A7,'[16]0921'!$A$4:$O$150,8,FALSE))</f>
        <v/>
      </c>
      <c r="S7" s="4" t="str">
        <f>IF(VLOOKUP($A7,'[17]0920'!$A$4:$O$150,8,FALSE)="",VLOOKUP($A7,'[17]0920'!$A$4:$O$150,12,FALSE),VLOOKUP($A7,'[17]0920'!$A$4:$O$150,8,FALSE))</f>
        <v/>
      </c>
      <c r="T7" s="4" t="s">
        <v>0</v>
      </c>
      <c r="U7" s="4" t="s">
        <v>0</v>
      </c>
      <c r="W7" s="4" t="s">
        <v>0</v>
      </c>
      <c r="X7" s="4" t="s">
        <v>0</v>
      </c>
      <c r="Y7" s="4" t="s">
        <v>0</v>
      </c>
      <c r="Z7" s="4" t="s">
        <v>0</v>
      </c>
      <c r="AA7" s="4">
        <v>0.84499999999999997</v>
      </c>
      <c r="AB7" s="4" t="s">
        <v>0</v>
      </c>
      <c r="AC7" s="4"/>
      <c r="AD7" s="4" t="s">
        <v>0</v>
      </c>
      <c r="AE7" s="4" t="s">
        <v>0</v>
      </c>
      <c r="AF7" s="4">
        <v>0.90249999999999997</v>
      </c>
      <c r="AG7" s="4" t="s">
        <v>0</v>
      </c>
      <c r="AH7" s="4" t="s">
        <v>0</v>
      </c>
      <c r="AI7" s="4" t="s">
        <v>0</v>
      </c>
      <c r="AJ7" s="4" t="s">
        <v>0</v>
      </c>
      <c r="AK7" s="4" t="s">
        <v>0</v>
      </c>
      <c r="AL7" s="4"/>
      <c r="AM7" s="4">
        <v>0.91500000000000004</v>
      </c>
      <c r="AN7" s="4" t="s">
        <v>0</v>
      </c>
      <c r="AP7" s="4">
        <v>0.93500000000000005</v>
      </c>
      <c r="AQ7" s="4" t="s">
        <v>0</v>
      </c>
      <c r="AR7" s="4" t="s">
        <v>0</v>
      </c>
      <c r="AU7" s="4" t="s">
        <v>0</v>
      </c>
    </row>
    <row r="8" spans="1:47">
      <c r="A8" s="3" t="s">
        <v>51</v>
      </c>
      <c r="B8" s="5">
        <f>VLOOKUP($A8,'[21]1013'!$A$4:$O$321,4,FALSE)</f>
        <v>0.37</v>
      </c>
      <c r="C8" s="5">
        <v>0.56000000000000005</v>
      </c>
      <c r="D8" s="5">
        <f>VLOOKUP($A8,'[21]1013'!$A$4:$O$321,15,FALSE)</f>
        <v>0.91020000000000001</v>
      </c>
      <c r="E8" s="4" t="str">
        <f>IF(VLOOKUP($A8,'[21]1013'!$A$4:$O$150,8,FALSE)="",VLOOKUP($A8,'[21]1013'!$A$4:$O$150,12,FALSE),VLOOKUP($A8,'[21]1013'!$A$4:$O$150,8,FALSE))</f>
        <v/>
      </c>
      <c r="F8" s="4" t="str">
        <f>IF(VLOOKUP($A8,'[7]1012'!$A$4:$O$150,8,FALSE)="",VLOOKUP($A8,'[7]1012'!$A$4:$O$150,12,FALSE),VLOOKUP($A8,'[7]1012'!$A$4:$O$150,8,FALSE))</f>
        <v/>
      </c>
      <c r="G8" s="4" t="str">
        <f>IF(VLOOKUP($A8,'[8]1011'!$A$4:$O$150,8,FALSE)="",VLOOKUP($A8,'[8]1011'!$A$4:$O$150,12,FALSE),VLOOKUP($A8,'[8]1011'!$A$4:$O$150,8,FALSE))</f>
        <v/>
      </c>
      <c r="H8" s="106"/>
      <c r="I8" s="4" t="str">
        <f>IF(VLOOKUP($A8,'[9]1005'!$A$4:$O$150,8,FALSE)="",VLOOKUP($A8,'[9]1005'!$A$4:$O$150,12,FALSE),VLOOKUP($A8,'[9]1005'!$A$4:$O$150,8,FALSE))</f>
        <v/>
      </c>
      <c r="J8" s="4">
        <f>IF(VLOOKUP($A8,'[10]1004'!$A$4:$O$150,8,FALSE)="",VLOOKUP($A8,'[10]1004'!$A$4:$O$150,12,FALSE),VLOOKUP($A8,'[10]1004'!$A$4:$O$150,8,FALSE))</f>
        <v>0.87</v>
      </c>
      <c r="K8" s="4" t="str">
        <f>IF(VLOOKUP($A8,'[11]1003'!$A$4:$O$150,8,FALSE)="",VLOOKUP($A8,'[11]1003'!$A$4:$O$150,12,FALSE),VLOOKUP($A8,'[11]1003'!$A$4:$O$150,8,FALSE))</f>
        <v/>
      </c>
      <c r="L8" s="4">
        <f>IF(VLOOKUP($A8,'[12]1002'!$A$4:$O$150,8,FALSE)="",VLOOKUP($A8,'[12]1002'!$A$4:$O$150,12,FALSE),VLOOKUP($A8,'[12]1002'!$A$4:$O$150,8,FALSE))</f>
        <v>0.91500000000000004</v>
      </c>
      <c r="M8" s="106"/>
      <c r="N8" s="4" t="str">
        <f>IF(VLOOKUP($A8,'[13]0927'!$A$4:$O$150,8,FALSE)="",VLOOKUP($A8,'[13]0927'!$A$4:$O$150,12,FALSE),VLOOKUP($A8,'[13]0927'!$A$4:$O$150,8,FALSE))</f>
        <v/>
      </c>
      <c r="O8" s="5"/>
      <c r="P8" s="4" t="str">
        <f>IF(VLOOKUP($A8,'[14]0925'!$A$4:$O$150,8,FALSE)="",VLOOKUP($A8,'[14]0925'!$A$4:$O$150,12,FALSE),VLOOKUP($A8,'[14]0925'!$A$4:$O$150,8,FALSE))</f>
        <v/>
      </c>
      <c r="Q8" s="4" t="str">
        <f>IF(VLOOKUP($A8,'[15]0922'!$A$4:$O$150,8,FALSE)="",VLOOKUP($A8,'[15]0922'!$A$4:$O$150,12,FALSE),VLOOKUP($A8,'[15]0922'!$A$4:$O$150,8,FALSE))</f>
        <v/>
      </c>
      <c r="R8" s="4" t="str">
        <f>IF(VLOOKUP($A8,'[16]0921'!$A$4:$O$150,8,FALSE)="",VLOOKUP($A8,'[16]0921'!$A$4:$O$150,12,FALSE),VLOOKUP($A8,'[16]0921'!$A$4:$O$150,8,FALSE))</f>
        <v/>
      </c>
      <c r="S8" s="4" t="str">
        <f>IF(VLOOKUP($A8,'[17]0920'!$A$4:$O$150,8,FALSE)="",VLOOKUP($A8,'[17]0920'!$A$4:$O$150,12,FALSE),VLOOKUP($A8,'[17]0920'!$A$4:$O$150,8,FALSE))</f>
        <v/>
      </c>
      <c r="T8" s="4" t="s">
        <v>0</v>
      </c>
      <c r="U8" s="4" t="s">
        <v>0</v>
      </c>
      <c r="V8" s="5">
        <v>0.88500000000000001</v>
      </c>
      <c r="W8" s="4" t="s">
        <v>0</v>
      </c>
      <c r="X8" s="4" t="s">
        <v>0</v>
      </c>
      <c r="Y8" s="4" t="s">
        <v>0</v>
      </c>
      <c r="Z8" s="4" t="s">
        <v>0</v>
      </c>
      <c r="AA8" s="4" t="s">
        <v>0</v>
      </c>
      <c r="AB8" s="4" t="s">
        <v>0</v>
      </c>
      <c r="AC8" s="4" t="s">
        <v>0</v>
      </c>
      <c r="AD8" s="4" t="s">
        <v>0</v>
      </c>
      <c r="AE8" s="4" t="s">
        <v>0</v>
      </c>
      <c r="AF8" s="4" t="s">
        <v>0</v>
      </c>
      <c r="AG8" s="4">
        <v>0.88400000000000001</v>
      </c>
      <c r="AH8" s="4">
        <v>0.91</v>
      </c>
      <c r="AI8" s="4" t="s">
        <v>0</v>
      </c>
      <c r="AJ8" s="4" t="s">
        <v>0</v>
      </c>
      <c r="AK8" s="4" t="s">
        <v>0</v>
      </c>
      <c r="AL8" s="4"/>
      <c r="AM8" s="4" t="s">
        <v>0</v>
      </c>
      <c r="AN8" s="4" t="s">
        <v>0</v>
      </c>
      <c r="AP8" s="4" t="s">
        <v>0</v>
      </c>
      <c r="AQ8" s="4" t="s">
        <v>0</v>
      </c>
      <c r="AR8" s="4" t="s">
        <v>0</v>
      </c>
      <c r="AU8" s="4" t="s">
        <v>0</v>
      </c>
    </row>
    <row r="9" spans="1:47">
      <c r="A9" s="3" t="s">
        <v>217</v>
      </c>
      <c r="B9" s="5">
        <f>VLOOKUP($A9,'[21]1013'!$A$4:$O$321,4,FALSE)</f>
        <v>0.45</v>
      </c>
      <c r="C9" s="5">
        <v>0.64</v>
      </c>
      <c r="D9" s="5">
        <f>VLOOKUP($A9,'[21]1013'!$A$4:$O$321,15,FALSE)</f>
        <v>0.91639999999999999</v>
      </c>
      <c r="E9" s="4" t="str">
        <f>IF(VLOOKUP($A9,'[21]1013'!$A$4:$O$150,8,FALSE)="",VLOOKUP($A9,'[21]1013'!$A$4:$O$150,12,FALSE),VLOOKUP($A9,'[21]1013'!$A$4:$O$150,8,FALSE))</f>
        <v/>
      </c>
      <c r="F9" s="4" t="str">
        <f>IF(VLOOKUP($A9,'[7]1012'!$A$4:$O$150,8,FALSE)="",VLOOKUP($A9,'[7]1012'!$A$4:$O$150,12,FALSE),VLOOKUP($A9,'[7]1012'!$A$4:$O$150,8,FALSE))</f>
        <v/>
      </c>
      <c r="G9" s="4" t="str">
        <f>IF(VLOOKUP($A9,'[8]1011'!$A$4:$O$150,8,FALSE)="",VLOOKUP($A9,'[8]1011'!$A$4:$O$150,12,FALSE),VLOOKUP($A9,'[8]1011'!$A$4:$O$150,8,FALSE))</f>
        <v/>
      </c>
      <c r="H9" s="106"/>
      <c r="I9" s="4" t="str">
        <f>IF(VLOOKUP($A9,'[9]1005'!$A$4:$O$150,8,FALSE)="",VLOOKUP($A9,'[9]1005'!$A$4:$O$150,12,FALSE),VLOOKUP($A9,'[9]1005'!$A$4:$O$150,8,FALSE))</f>
        <v/>
      </c>
      <c r="J9" s="4" t="str">
        <f>IF(VLOOKUP($A9,'[10]1004'!$A$4:$O$150,8,FALSE)="",VLOOKUP($A9,'[10]1004'!$A$4:$O$150,12,FALSE),VLOOKUP($A9,'[10]1004'!$A$4:$O$150,8,FALSE))</f>
        <v/>
      </c>
      <c r="K9" s="4" t="str">
        <f>IF(VLOOKUP($A9,'[11]1003'!$A$4:$O$150,8,FALSE)="",VLOOKUP($A9,'[11]1003'!$A$4:$O$150,12,FALSE),VLOOKUP($A9,'[11]1003'!$A$4:$O$150,8,FALSE))</f>
        <v/>
      </c>
      <c r="L9" s="4" t="str">
        <f>IF(VLOOKUP($A9,'[12]1002'!$A$4:$O$150,8,FALSE)="",VLOOKUP($A9,'[12]1002'!$A$4:$O$150,12,FALSE),VLOOKUP($A9,'[12]1002'!$A$4:$O$150,8,FALSE))</f>
        <v/>
      </c>
      <c r="M9" s="106"/>
      <c r="N9" s="4" t="str">
        <f>IF(VLOOKUP($A9,'[13]0927'!$A$4:$O$150,8,FALSE)="",VLOOKUP($A9,'[13]0927'!$A$4:$O$150,12,FALSE),VLOOKUP($A9,'[13]0927'!$A$4:$O$150,8,FALSE))</f>
        <v/>
      </c>
      <c r="O9" s="5"/>
      <c r="P9" s="4" t="str">
        <f>IF(VLOOKUP($A9,'[14]0925'!$A$4:$O$150,8,FALSE)="",VLOOKUP($A9,'[14]0925'!$A$4:$O$150,12,FALSE),VLOOKUP($A9,'[14]0925'!$A$4:$O$150,8,FALSE))</f>
        <v/>
      </c>
      <c r="Q9" s="4" t="str">
        <f>IF(VLOOKUP($A9,'[15]0922'!$A$4:$O$150,8,FALSE)="",VLOOKUP($A9,'[15]0922'!$A$4:$O$150,12,FALSE),VLOOKUP($A9,'[15]0922'!$A$4:$O$150,8,FALSE))</f>
        <v/>
      </c>
      <c r="R9" s="4" t="str">
        <f>IF(VLOOKUP($A9,'[16]0921'!$A$4:$O$150,8,FALSE)="",VLOOKUP($A9,'[16]0921'!$A$4:$O$150,12,FALSE),VLOOKUP($A9,'[16]0921'!$A$4:$O$150,8,FALSE))</f>
        <v/>
      </c>
      <c r="S9" s="4" t="str">
        <f>IF(VLOOKUP($A9,'[17]0920'!$A$4:$O$150,8,FALSE)="",VLOOKUP($A9,'[17]0920'!$A$4:$O$150,12,FALSE),VLOOKUP($A9,'[17]0920'!$A$4:$O$150,8,FALSE))</f>
        <v/>
      </c>
      <c r="T9" s="4" t="s">
        <v>0</v>
      </c>
      <c r="U9" s="4" t="s">
        <v>0</v>
      </c>
      <c r="W9" s="4" t="s">
        <v>0</v>
      </c>
      <c r="X9" s="4" t="s">
        <v>0</v>
      </c>
      <c r="Y9" s="4" t="s">
        <v>0</v>
      </c>
      <c r="Z9" s="4" t="s">
        <v>0</v>
      </c>
      <c r="AA9" s="4" t="s">
        <v>0</v>
      </c>
      <c r="AB9" s="4" t="s">
        <v>0</v>
      </c>
      <c r="AC9" s="4" t="s">
        <v>0</v>
      </c>
      <c r="AD9" s="4" t="s">
        <v>0</v>
      </c>
      <c r="AE9" s="4" t="s">
        <v>0</v>
      </c>
      <c r="AF9" s="4" t="s">
        <v>0</v>
      </c>
      <c r="AG9" s="4" t="s">
        <v>0</v>
      </c>
      <c r="AH9" s="4" t="s">
        <v>0</v>
      </c>
      <c r="AI9" s="4" t="s">
        <v>0</v>
      </c>
      <c r="AJ9" s="4" t="s">
        <v>0</v>
      </c>
      <c r="AK9" s="4" t="s">
        <v>0</v>
      </c>
      <c r="AL9" s="4"/>
      <c r="AM9" s="4" t="s">
        <v>0</v>
      </c>
      <c r="AN9" s="4" t="s">
        <v>0</v>
      </c>
      <c r="AP9" s="4" t="s">
        <v>0</v>
      </c>
      <c r="AQ9" s="4" t="s">
        <v>0</v>
      </c>
      <c r="AR9" s="4" t="s">
        <v>0</v>
      </c>
      <c r="AU9" s="4" t="s">
        <v>0</v>
      </c>
    </row>
    <row r="10" spans="1:47">
      <c r="A10" s="3" t="s">
        <v>5</v>
      </c>
      <c r="B10" s="5">
        <f>VLOOKUP($A10,'[21]1013'!$A$4:$O$321,4,FALSE)</f>
        <v>0.74</v>
      </c>
      <c r="C10" s="5">
        <v>0.94</v>
      </c>
      <c r="D10" s="5">
        <f>VLOOKUP($A10,'[21]1013'!$A$4:$O$321,15,FALSE)</f>
        <v>0.94230000000000003</v>
      </c>
      <c r="E10" s="4" t="str">
        <f>IF(VLOOKUP($A10,'[21]1013'!$A$4:$O$150,8,FALSE)="",VLOOKUP($A10,'[21]1013'!$A$4:$O$150,12,FALSE),VLOOKUP($A10,'[21]1013'!$A$4:$O$150,8,FALSE))</f>
        <v/>
      </c>
      <c r="F10" s="4">
        <f>IF(VLOOKUP($A10,'[7]1012'!$A$4:$O$150,8,FALSE)="",VLOOKUP($A10,'[7]1012'!$A$4:$O$150,12,FALSE),VLOOKUP($A10,'[7]1012'!$A$4:$O$150,8,FALSE))</f>
        <v>0.93</v>
      </c>
      <c r="G10" s="4">
        <f>IF(VLOOKUP($A10,'[8]1011'!$A$4:$O$150,8,FALSE)="",VLOOKUP($A10,'[8]1011'!$A$4:$O$150,12,FALSE),VLOOKUP($A10,'[8]1011'!$A$4:$O$150,8,FALSE))</f>
        <v>0.93</v>
      </c>
      <c r="H10" s="106">
        <f>VLOOKUP($A10,'[18]1006'!$A$5:$P$270,12,FALSE)</f>
        <v>0.93</v>
      </c>
      <c r="I10" s="4">
        <f>IF(VLOOKUP($A10,'[9]1005'!$A$4:$O$150,8,FALSE)="",VLOOKUP($A10,'[9]1005'!$A$4:$O$150,12,FALSE),VLOOKUP($A10,'[9]1005'!$A$4:$O$150,8,FALSE))</f>
        <v>0.93149999999999999</v>
      </c>
      <c r="J10" s="4">
        <f>IF(VLOOKUP($A10,'[10]1004'!$A$4:$O$150,8,FALSE)="",VLOOKUP($A10,'[10]1004'!$A$4:$O$150,12,FALSE),VLOOKUP($A10,'[10]1004'!$A$4:$O$150,8,FALSE))</f>
        <v>0.92</v>
      </c>
      <c r="K10" s="4">
        <f>IF(VLOOKUP($A10,'[11]1003'!$A$4:$O$150,8,FALSE)="",VLOOKUP($A10,'[11]1003'!$A$4:$O$150,12,FALSE),VLOOKUP($A10,'[11]1003'!$A$4:$O$150,8,FALSE))</f>
        <v>0.93</v>
      </c>
      <c r="L10" s="4" t="str">
        <f>IF(VLOOKUP($A10,'[12]1002'!$A$4:$O$150,8,FALSE)="",VLOOKUP($A10,'[12]1002'!$A$4:$O$150,12,FALSE),VLOOKUP($A10,'[12]1002'!$A$4:$O$150,8,FALSE))</f>
        <v/>
      </c>
      <c r="M10" s="106"/>
      <c r="N10" s="4" t="str">
        <f>IF(VLOOKUP($A10,'[13]0927'!$A$4:$O$150,8,FALSE)="",VLOOKUP($A10,'[13]0927'!$A$4:$O$150,12,FALSE),VLOOKUP($A10,'[13]0927'!$A$4:$O$150,8,FALSE))</f>
        <v/>
      </c>
      <c r="O10" s="5"/>
      <c r="P10" s="4" t="str">
        <f>IF(VLOOKUP($A10,'[14]0925'!$A$4:$O$150,8,FALSE)="",VLOOKUP($A10,'[14]0925'!$A$4:$O$150,12,FALSE),VLOOKUP($A10,'[14]0925'!$A$4:$O$150,8,FALSE))</f>
        <v/>
      </c>
      <c r="Q10" s="4" t="str">
        <f>IF(VLOOKUP($A10,'[15]0922'!$A$4:$O$150,8,FALSE)="",VLOOKUP($A10,'[15]0922'!$A$4:$O$150,12,FALSE),VLOOKUP($A10,'[15]0922'!$A$4:$O$150,8,FALSE))</f>
        <v/>
      </c>
      <c r="R10" s="4" t="str">
        <f>IF(VLOOKUP($A10,'[16]0921'!$A$4:$O$150,8,FALSE)="",VLOOKUP($A10,'[16]0921'!$A$4:$O$150,12,FALSE),VLOOKUP($A10,'[16]0921'!$A$4:$O$150,8,FALSE))</f>
        <v/>
      </c>
      <c r="S10" s="4" t="str">
        <f>IF(VLOOKUP($A10,'[17]0920'!$A$4:$O$150,8,FALSE)="",VLOOKUP($A10,'[17]0920'!$A$4:$O$150,12,FALSE),VLOOKUP($A10,'[17]0920'!$A$4:$O$150,8,FALSE))</f>
        <v/>
      </c>
      <c r="T10" s="4" t="s">
        <v>0</v>
      </c>
      <c r="U10" s="4" t="s">
        <v>0</v>
      </c>
      <c r="W10" s="4">
        <v>0.91</v>
      </c>
      <c r="X10" s="4" t="s">
        <v>0</v>
      </c>
      <c r="Y10" s="4" t="s">
        <v>0</v>
      </c>
      <c r="Z10" s="4" t="s">
        <v>0</v>
      </c>
      <c r="AA10" s="4" t="s">
        <v>0</v>
      </c>
      <c r="AB10" s="4" t="s">
        <v>0</v>
      </c>
      <c r="AC10" s="4">
        <v>0.91249999999999998</v>
      </c>
      <c r="AD10" s="4" t="s">
        <v>0</v>
      </c>
      <c r="AE10" s="4" t="s">
        <v>0</v>
      </c>
      <c r="AF10" s="4">
        <v>0.9</v>
      </c>
      <c r="AG10" s="4" t="s">
        <v>0</v>
      </c>
      <c r="AH10" s="4" t="s">
        <v>0</v>
      </c>
      <c r="AI10" s="4" t="s">
        <v>0</v>
      </c>
      <c r="AJ10" s="4" t="s">
        <v>0</v>
      </c>
      <c r="AK10" s="4" t="s">
        <v>0</v>
      </c>
      <c r="AL10" s="4"/>
      <c r="AM10" s="4" t="s">
        <v>0</v>
      </c>
      <c r="AN10" s="4" t="s">
        <v>0</v>
      </c>
      <c r="AP10" s="4" t="s">
        <v>0</v>
      </c>
      <c r="AQ10" s="4" t="s">
        <v>0</v>
      </c>
      <c r="AR10" s="4" t="s">
        <v>0</v>
      </c>
      <c r="AU10" s="4" t="s">
        <v>0</v>
      </c>
    </row>
    <row r="11" spans="1:47">
      <c r="A11" s="3" t="s">
        <v>41</v>
      </c>
      <c r="B11" s="5">
        <f>VLOOKUP($A11,'[21]1013'!$A$4:$O$321,4,FALSE)</f>
        <v>0.93</v>
      </c>
      <c r="C11" s="5">
        <v>1.1299999999999999</v>
      </c>
      <c r="D11" s="5">
        <f>VLOOKUP($A11,'[21]1013'!$A$4:$O$321,15,FALSE)</f>
        <v>0.96</v>
      </c>
      <c r="E11" s="4" t="str">
        <f>IF(VLOOKUP($A11,'[21]1013'!$A$4:$O$150,8,FALSE)="",VLOOKUP($A11,'[21]1013'!$A$4:$O$150,12,FALSE),VLOOKUP($A11,'[21]1013'!$A$4:$O$150,8,FALSE))</f>
        <v/>
      </c>
      <c r="F11" s="4" t="str">
        <f>IF(VLOOKUP($A11,'[7]1012'!$A$4:$O$150,8,FALSE)="",VLOOKUP($A11,'[7]1012'!$A$4:$O$150,12,FALSE),VLOOKUP($A11,'[7]1012'!$A$4:$O$150,8,FALSE))</f>
        <v/>
      </c>
      <c r="G11" s="4" t="str">
        <f>IF(VLOOKUP($A11,'[8]1011'!$A$4:$O$150,8,FALSE)="",VLOOKUP($A11,'[8]1011'!$A$4:$O$150,12,FALSE),VLOOKUP($A11,'[8]1011'!$A$4:$O$150,8,FALSE))</f>
        <v/>
      </c>
      <c r="H11" s="106"/>
      <c r="I11" s="4" t="str">
        <f>IF(VLOOKUP($A11,'[9]1005'!$A$4:$O$150,8,FALSE)="",VLOOKUP($A11,'[9]1005'!$A$4:$O$150,12,FALSE),VLOOKUP($A11,'[9]1005'!$A$4:$O$150,8,FALSE))</f>
        <v/>
      </c>
      <c r="J11" s="4" t="str">
        <f>IF(VLOOKUP($A11,'[10]1004'!$A$4:$O$150,8,FALSE)="",VLOOKUP($A11,'[10]1004'!$A$4:$O$150,12,FALSE),VLOOKUP($A11,'[10]1004'!$A$4:$O$150,8,FALSE))</f>
        <v/>
      </c>
      <c r="K11" s="4" t="str">
        <f>IF(VLOOKUP($A11,'[11]1003'!$A$4:$O$150,8,FALSE)="",VLOOKUP($A11,'[11]1003'!$A$4:$O$150,12,FALSE),VLOOKUP($A11,'[11]1003'!$A$4:$O$150,8,FALSE))</f>
        <v/>
      </c>
      <c r="L11" s="4" t="str">
        <f>IF(VLOOKUP($A11,'[12]1002'!$A$4:$O$150,8,FALSE)="",VLOOKUP($A11,'[12]1002'!$A$4:$O$150,12,FALSE),VLOOKUP($A11,'[12]1002'!$A$4:$O$150,8,FALSE))</f>
        <v/>
      </c>
      <c r="M11" s="106"/>
      <c r="N11" s="4" t="str">
        <f>IF(VLOOKUP($A11,'[13]0927'!$A$4:$O$150,8,FALSE)="",VLOOKUP($A11,'[13]0927'!$A$4:$O$150,12,FALSE),VLOOKUP($A11,'[13]0927'!$A$4:$O$150,8,FALSE))</f>
        <v/>
      </c>
      <c r="O11" s="5"/>
      <c r="P11" s="4" t="str">
        <f>IF(VLOOKUP($A11,'[14]0925'!$A$4:$O$150,8,FALSE)="",VLOOKUP($A11,'[14]0925'!$A$4:$O$150,12,FALSE),VLOOKUP($A11,'[14]0925'!$A$4:$O$150,8,FALSE))</f>
        <v/>
      </c>
      <c r="Q11" s="4" t="str">
        <f>IF(VLOOKUP($A11,'[15]0922'!$A$4:$O$150,8,FALSE)="",VLOOKUP($A11,'[15]0922'!$A$4:$O$150,12,FALSE),VLOOKUP($A11,'[15]0922'!$A$4:$O$150,8,FALSE))</f>
        <v/>
      </c>
      <c r="R11" s="4" t="str">
        <f>IF(VLOOKUP($A11,'[16]0921'!$A$4:$O$150,8,FALSE)="",VLOOKUP($A11,'[16]0921'!$A$4:$O$150,12,FALSE),VLOOKUP($A11,'[16]0921'!$A$4:$O$150,8,FALSE))</f>
        <v/>
      </c>
      <c r="S11" s="4" t="str">
        <f>IF(VLOOKUP($A11,'[17]0920'!$A$4:$O$150,8,FALSE)="",VLOOKUP($A11,'[17]0920'!$A$4:$O$150,12,FALSE),VLOOKUP($A11,'[17]0920'!$A$4:$O$150,8,FALSE))</f>
        <v/>
      </c>
      <c r="T11" s="4" t="s">
        <v>0</v>
      </c>
      <c r="U11" s="4" t="s">
        <v>0</v>
      </c>
      <c r="W11" s="4" t="s">
        <v>0</v>
      </c>
      <c r="X11" s="4" t="s">
        <v>0</v>
      </c>
      <c r="Y11" s="4" t="s">
        <v>0</v>
      </c>
      <c r="Z11" s="4" t="s">
        <v>0</v>
      </c>
      <c r="AA11" s="4" t="s">
        <v>0</v>
      </c>
      <c r="AB11" s="4" t="s">
        <v>0</v>
      </c>
      <c r="AC11" s="4" t="s">
        <v>0</v>
      </c>
      <c r="AD11" s="4" t="s">
        <v>0</v>
      </c>
      <c r="AE11" s="4" t="s">
        <v>0</v>
      </c>
      <c r="AF11" s="4" t="s">
        <v>0</v>
      </c>
      <c r="AG11" s="4" t="s">
        <v>0</v>
      </c>
      <c r="AH11" s="4" t="s">
        <v>0</v>
      </c>
      <c r="AI11" s="4" t="s">
        <v>0</v>
      </c>
      <c r="AJ11" s="4" t="s">
        <v>0</v>
      </c>
      <c r="AK11" s="4" t="s">
        <v>0</v>
      </c>
      <c r="AL11" s="4" t="s">
        <v>0</v>
      </c>
      <c r="AM11" s="4" t="s">
        <v>0</v>
      </c>
      <c r="AN11" s="4" t="s">
        <v>0</v>
      </c>
      <c r="AP11" s="4" t="s">
        <v>0</v>
      </c>
      <c r="AQ11" s="4" t="s">
        <v>0</v>
      </c>
      <c r="AR11" s="4" t="s">
        <v>0</v>
      </c>
      <c r="AU11" s="4" t="s">
        <v>0</v>
      </c>
    </row>
    <row r="12" spans="1:47">
      <c r="A12" s="3" t="s">
        <v>10</v>
      </c>
      <c r="B12" s="5">
        <f>VLOOKUP($A12,'[21]1013'!$A$4:$O$321,4,FALSE)</f>
        <v>1.05</v>
      </c>
      <c r="C12" s="5">
        <v>1.28</v>
      </c>
      <c r="D12" s="5">
        <f>VLOOKUP($A12,'[21]1013'!$A$4:$O$321,15,FALSE)</f>
        <v>0.97330000000000005</v>
      </c>
      <c r="E12" s="4" t="str">
        <f>IF(VLOOKUP($A12,'[21]1013'!$A$4:$O$150,8,FALSE)="",VLOOKUP($A12,'[21]1013'!$A$4:$O$150,12,FALSE),VLOOKUP($A12,'[21]1013'!$A$4:$O$150,8,FALSE))</f>
        <v/>
      </c>
      <c r="F12" s="4" t="str">
        <f>IF(VLOOKUP($A12,'[7]1012'!$A$4:$O$150,8,FALSE)="",VLOOKUP($A12,'[7]1012'!$A$4:$O$150,12,FALSE),VLOOKUP($A12,'[7]1012'!$A$4:$O$150,8,FALSE))</f>
        <v/>
      </c>
      <c r="G12" s="4" t="str">
        <f>IF(VLOOKUP($A12,'[8]1011'!$A$4:$O$150,8,FALSE)="",VLOOKUP($A12,'[8]1011'!$A$4:$O$150,12,FALSE),VLOOKUP($A12,'[8]1011'!$A$4:$O$150,8,FALSE))</f>
        <v/>
      </c>
      <c r="H12" s="106"/>
      <c r="I12" s="4" t="str">
        <f>IF(VLOOKUP($A12,'[9]1005'!$A$4:$O$150,8,FALSE)="",VLOOKUP($A12,'[9]1005'!$A$4:$O$150,12,FALSE),VLOOKUP($A12,'[9]1005'!$A$4:$O$150,8,FALSE))</f>
        <v/>
      </c>
      <c r="J12" s="4" t="str">
        <f>IF(VLOOKUP($A12,'[10]1004'!$A$4:$O$150,8,FALSE)="",VLOOKUP($A12,'[10]1004'!$A$4:$O$150,12,FALSE),VLOOKUP($A12,'[10]1004'!$A$4:$O$150,8,FALSE))</f>
        <v/>
      </c>
      <c r="K12" s="4" t="str">
        <f>IF(VLOOKUP($A12,'[11]1003'!$A$4:$O$150,8,FALSE)="",VLOOKUP($A12,'[11]1003'!$A$4:$O$150,12,FALSE),VLOOKUP($A12,'[11]1003'!$A$4:$O$150,8,FALSE))</f>
        <v/>
      </c>
      <c r="L12" s="4" t="str">
        <f>IF(VLOOKUP($A12,'[12]1002'!$A$4:$O$150,8,FALSE)="",VLOOKUP($A12,'[12]1002'!$A$4:$O$150,12,FALSE),VLOOKUP($A12,'[12]1002'!$A$4:$O$150,8,FALSE))</f>
        <v/>
      </c>
      <c r="M12" s="106"/>
      <c r="N12" s="4" t="str">
        <f>IF(VLOOKUP($A12,'[13]0927'!$A$4:$O$150,8,FALSE)="",VLOOKUP($A12,'[13]0927'!$A$4:$O$150,12,FALSE),VLOOKUP($A12,'[13]0927'!$A$4:$O$150,8,FALSE))</f>
        <v/>
      </c>
      <c r="O12" s="5"/>
      <c r="P12" s="4" t="str">
        <f>IF(VLOOKUP($A12,'[14]0925'!$A$4:$O$150,8,FALSE)="",VLOOKUP($A12,'[14]0925'!$A$4:$O$150,12,FALSE),VLOOKUP($A12,'[14]0925'!$A$4:$O$150,8,FALSE))</f>
        <v/>
      </c>
      <c r="Q12" s="4" t="str">
        <f>IF(VLOOKUP($A12,'[15]0922'!$A$4:$O$150,8,FALSE)="",VLOOKUP($A12,'[15]0922'!$A$4:$O$150,12,FALSE),VLOOKUP($A12,'[15]0922'!$A$4:$O$150,8,FALSE))</f>
        <v/>
      </c>
      <c r="R12" s="4" t="str">
        <f>IF(VLOOKUP($A12,'[16]0921'!$A$4:$O$150,8,FALSE)="",VLOOKUP($A12,'[16]0921'!$A$4:$O$150,12,FALSE),VLOOKUP($A12,'[16]0921'!$A$4:$O$150,8,FALSE))</f>
        <v/>
      </c>
      <c r="S12" s="4" t="str">
        <f>IF(VLOOKUP($A12,'[17]0920'!$A$4:$O$150,8,FALSE)="",VLOOKUP($A12,'[17]0920'!$A$4:$O$150,12,FALSE),VLOOKUP($A12,'[17]0920'!$A$4:$O$150,8,FALSE))</f>
        <v/>
      </c>
      <c r="T12" s="4" t="s">
        <v>0</v>
      </c>
      <c r="U12" s="4" t="s">
        <v>0</v>
      </c>
      <c r="W12" s="4" t="s">
        <v>0</v>
      </c>
      <c r="X12" s="4" t="s">
        <v>0</v>
      </c>
      <c r="Y12" s="4" t="s">
        <v>0</v>
      </c>
      <c r="Z12" s="4" t="s">
        <v>0</v>
      </c>
      <c r="AA12" s="4" t="s">
        <v>0</v>
      </c>
      <c r="AB12" s="4" t="s">
        <v>0</v>
      </c>
      <c r="AC12" s="4" t="s">
        <v>0</v>
      </c>
      <c r="AD12" s="4" t="s">
        <v>0</v>
      </c>
      <c r="AE12" s="4" t="s">
        <v>0</v>
      </c>
      <c r="AF12" s="4" t="s">
        <v>0</v>
      </c>
      <c r="AG12" s="4" t="s">
        <v>0</v>
      </c>
      <c r="AH12" s="4" t="s">
        <v>0</v>
      </c>
      <c r="AI12" s="4" t="s">
        <v>0</v>
      </c>
      <c r="AJ12" s="4" t="s">
        <v>0</v>
      </c>
      <c r="AK12" s="4" t="s">
        <v>0</v>
      </c>
      <c r="AL12" s="4" t="s">
        <v>0</v>
      </c>
      <c r="AM12" s="4" t="s">
        <v>0</v>
      </c>
      <c r="AN12" s="4" t="s">
        <v>0</v>
      </c>
      <c r="AP12" s="4" t="s">
        <v>0</v>
      </c>
      <c r="AQ12" s="4" t="s">
        <v>0</v>
      </c>
      <c r="AR12" s="4" t="s">
        <v>0</v>
      </c>
      <c r="AU12" s="4" t="s">
        <v>0</v>
      </c>
    </row>
    <row r="13" spans="1:47">
      <c r="A13" s="3" t="s">
        <v>84</v>
      </c>
      <c r="B13" s="5">
        <f>VLOOKUP($A13,'[21]1013'!$A$4:$O$321,4,FALSE)</f>
        <v>1.22</v>
      </c>
      <c r="C13" s="5">
        <v>1.42</v>
      </c>
      <c r="D13" s="5">
        <f>VLOOKUP($A13,'[21]1013'!$A$4:$O$321,15,FALSE)</f>
        <v>0.98680000000000001</v>
      </c>
      <c r="E13" s="4" t="str">
        <f>IF(VLOOKUP($A13,'[21]1013'!$A$4:$O$150,8,FALSE)="",VLOOKUP($A13,'[21]1013'!$A$4:$O$150,12,FALSE),VLOOKUP($A13,'[21]1013'!$A$4:$O$150,8,FALSE))</f>
        <v/>
      </c>
      <c r="F13" s="4" t="str">
        <f>IF(VLOOKUP($A13,'[7]1012'!$A$4:$O$150,8,FALSE)="",VLOOKUP($A13,'[7]1012'!$A$4:$O$150,12,FALSE),VLOOKUP($A13,'[7]1012'!$A$4:$O$150,8,FALSE))</f>
        <v/>
      </c>
      <c r="G13" s="4" t="str">
        <f>IF(VLOOKUP($A13,'[8]1011'!$A$4:$O$150,8,FALSE)="",VLOOKUP($A13,'[8]1011'!$A$4:$O$150,12,FALSE),VLOOKUP($A13,'[8]1011'!$A$4:$O$150,8,FALSE))</f>
        <v/>
      </c>
      <c r="H13" s="106"/>
      <c r="I13" s="4" t="str">
        <f>IF(VLOOKUP($A13,'[9]1005'!$A$4:$O$150,8,FALSE)="",VLOOKUP($A13,'[9]1005'!$A$4:$O$150,12,FALSE),VLOOKUP($A13,'[9]1005'!$A$4:$O$150,8,FALSE))</f>
        <v/>
      </c>
      <c r="J13" s="4">
        <f>IF(VLOOKUP($A13,'[10]1004'!$A$4:$O$150,8,FALSE)="",VLOOKUP($A13,'[10]1004'!$A$4:$O$150,12,FALSE),VLOOKUP($A13,'[10]1004'!$A$4:$O$150,8,FALSE))</f>
        <v>0.93</v>
      </c>
      <c r="K13" s="4" t="str">
        <f>IF(VLOOKUP($A13,'[11]1003'!$A$4:$O$150,8,FALSE)="",VLOOKUP($A13,'[11]1003'!$A$4:$O$150,12,FALSE),VLOOKUP($A13,'[11]1003'!$A$4:$O$150,8,FALSE))</f>
        <v/>
      </c>
      <c r="L13" s="4" t="str">
        <f>IF(VLOOKUP($A13,'[12]1002'!$A$4:$O$150,8,FALSE)="",VLOOKUP($A13,'[12]1002'!$A$4:$O$150,12,FALSE),VLOOKUP($A13,'[12]1002'!$A$4:$O$150,8,FALSE))</f>
        <v/>
      </c>
      <c r="M13" s="106"/>
      <c r="N13" s="4" t="str">
        <f>IF(VLOOKUP($A13,'[13]0927'!$A$4:$O$150,8,FALSE)="",VLOOKUP($A13,'[13]0927'!$A$4:$O$150,12,FALSE),VLOOKUP($A13,'[13]0927'!$A$4:$O$150,8,FALSE))</f>
        <v/>
      </c>
      <c r="O13" s="5"/>
      <c r="P13" s="4" t="str">
        <f>IF(VLOOKUP($A13,'[14]0925'!$A$4:$O$150,8,FALSE)="",VLOOKUP($A13,'[14]0925'!$A$4:$O$150,12,FALSE),VLOOKUP($A13,'[14]0925'!$A$4:$O$150,8,FALSE))</f>
        <v/>
      </c>
      <c r="Q13" s="4" t="str">
        <f>IF(VLOOKUP($A13,'[15]0922'!$A$4:$O$150,8,FALSE)="",VLOOKUP($A13,'[15]0922'!$A$4:$O$150,12,FALSE),VLOOKUP($A13,'[15]0922'!$A$4:$O$150,8,FALSE))</f>
        <v/>
      </c>
      <c r="R13" s="4" t="str">
        <f>IF(VLOOKUP($A13,'[16]0921'!$A$4:$O$150,8,FALSE)="",VLOOKUP($A13,'[16]0921'!$A$4:$O$150,12,FALSE),VLOOKUP($A13,'[16]0921'!$A$4:$O$150,8,FALSE))</f>
        <v/>
      </c>
      <c r="S13" s="4" t="str">
        <f>IF(VLOOKUP($A13,'[17]0920'!$A$4:$O$150,8,FALSE)="",VLOOKUP($A13,'[17]0920'!$A$4:$O$150,12,FALSE),VLOOKUP($A13,'[17]0920'!$A$4:$O$150,8,FALSE))</f>
        <v/>
      </c>
      <c r="T13" s="4" t="s">
        <v>0</v>
      </c>
      <c r="U13" s="4" t="s">
        <v>0</v>
      </c>
      <c r="V13" s="5">
        <v>0.97250000000000003</v>
      </c>
      <c r="W13" s="4" t="s">
        <v>0</v>
      </c>
      <c r="X13" s="4" t="s">
        <v>0</v>
      </c>
      <c r="Y13" s="4" t="s">
        <v>0</v>
      </c>
      <c r="Z13" s="4" t="s">
        <v>0</v>
      </c>
      <c r="AA13" s="4" t="s">
        <v>0</v>
      </c>
      <c r="AB13" s="4">
        <v>0.94850000000000001</v>
      </c>
      <c r="AC13" s="4" t="s">
        <v>0</v>
      </c>
      <c r="AD13" s="4" t="s">
        <v>0</v>
      </c>
      <c r="AE13" s="4" t="s">
        <v>0</v>
      </c>
      <c r="AF13" s="4" t="s">
        <v>0</v>
      </c>
      <c r="AG13" s="4" t="s">
        <v>0</v>
      </c>
      <c r="AH13" s="4" t="s">
        <v>0</v>
      </c>
      <c r="AI13" s="4" t="s">
        <v>0</v>
      </c>
      <c r="AJ13" s="4" t="s">
        <v>0</v>
      </c>
      <c r="AK13" s="4" t="s">
        <v>0</v>
      </c>
      <c r="AL13" s="4">
        <v>0.96550000000000002</v>
      </c>
      <c r="AM13" s="4">
        <v>0.9708</v>
      </c>
      <c r="AN13" s="4" t="s">
        <v>0</v>
      </c>
      <c r="AP13" s="4" t="s">
        <v>0</v>
      </c>
      <c r="AQ13" s="4" t="s">
        <v>0</v>
      </c>
      <c r="AR13" s="4">
        <v>0.9506</v>
      </c>
      <c r="AT13" s="5">
        <v>0.98750000000000004</v>
      </c>
      <c r="AU13" s="4" t="s">
        <v>0</v>
      </c>
    </row>
    <row r="14" spans="1:47">
      <c r="A14" s="3" t="s">
        <v>7</v>
      </c>
      <c r="B14" s="5">
        <f>VLOOKUP($A14,'[21]1013'!$A$4:$O$321,4,FALSE)</f>
        <v>1.32</v>
      </c>
      <c r="C14" s="5">
        <v>1.55</v>
      </c>
      <c r="D14" s="5">
        <f>VLOOKUP($A14,'[21]1013'!$A$4:$O$321,15,FALSE)</f>
        <v>0.99780000000000002</v>
      </c>
      <c r="E14" s="4" t="str">
        <f>IF(VLOOKUP($A14,'[21]1013'!$A$4:$O$150,8,FALSE)="",VLOOKUP($A14,'[21]1013'!$A$4:$O$150,12,FALSE),VLOOKUP($A14,'[21]1013'!$A$4:$O$150,8,FALSE))</f>
        <v/>
      </c>
      <c r="F14" s="4" t="str">
        <f>IF(VLOOKUP($A14,'[7]1012'!$A$4:$O$150,8,FALSE)="",VLOOKUP($A14,'[7]1012'!$A$4:$O$150,12,FALSE),VLOOKUP($A14,'[7]1012'!$A$4:$O$150,8,FALSE))</f>
        <v/>
      </c>
      <c r="G14" s="4" t="str">
        <f>IF(VLOOKUP($A14,'[8]1011'!$A$4:$O$150,8,FALSE)="",VLOOKUP($A14,'[8]1011'!$A$4:$O$150,12,FALSE),VLOOKUP($A14,'[8]1011'!$A$4:$O$150,8,FALSE))</f>
        <v/>
      </c>
      <c r="H14" s="106"/>
      <c r="I14" s="4" t="str">
        <f>IF(VLOOKUP($A14,'[9]1005'!$A$4:$O$150,8,FALSE)="",VLOOKUP($A14,'[9]1005'!$A$4:$O$150,12,FALSE),VLOOKUP($A14,'[9]1005'!$A$4:$O$150,8,FALSE))</f>
        <v/>
      </c>
      <c r="J14" s="4" t="str">
        <f>IF(VLOOKUP($A14,'[10]1004'!$A$4:$O$150,8,FALSE)="",VLOOKUP($A14,'[10]1004'!$A$4:$O$150,12,FALSE),VLOOKUP($A14,'[10]1004'!$A$4:$O$150,8,FALSE))</f>
        <v/>
      </c>
      <c r="K14" s="4" t="str">
        <f>IF(VLOOKUP($A14,'[11]1003'!$A$4:$O$150,8,FALSE)="",VLOOKUP($A14,'[11]1003'!$A$4:$O$150,12,FALSE),VLOOKUP($A14,'[11]1003'!$A$4:$O$150,8,FALSE))</f>
        <v/>
      </c>
      <c r="L14" s="4" t="str">
        <f>IF(VLOOKUP($A14,'[12]1002'!$A$4:$O$150,8,FALSE)="",VLOOKUP($A14,'[12]1002'!$A$4:$O$150,12,FALSE),VLOOKUP($A14,'[12]1002'!$A$4:$O$150,8,FALSE))</f>
        <v/>
      </c>
      <c r="M14" s="106"/>
      <c r="N14" s="4" t="str">
        <f>IF(VLOOKUP($A14,'[13]0927'!$A$4:$O$150,8,FALSE)="",VLOOKUP($A14,'[13]0927'!$A$4:$O$150,12,FALSE),VLOOKUP($A14,'[13]0927'!$A$4:$O$150,8,FALSE))</f>
        <v/>
      </c>
      <c r="O14" s="5"/>
      <c r="P14" s="4" t="str">
        <f>IF(VLOOKUP($A14,'[14]0925'!$A$4:$O$150,8,FALSE)="",VLOOKUP($A14,'[14]0925'!$A$4:$O$150,12,FALSE),VLOOKUP($A14,'[14]0925'!$A$4:$O$150,8,FALSE))</f>
        <v/>
      </c>
      <c r="Q14" s="4" t="str">
        <f>IF(VLOOKUP($A14,'[15]0922'!$A$4:$O$150,8,FALSE)="",VLOOKUP($A14,'[15]0922'!$A$4:$O$150,12,FALSE),VLOOKUP($A14,'[15]0922'!$A$4:$O$150,8,FALSE))</f>
        <v/>
      </c>
      <c r="R14" s="4" t="str">
        <f>IF(VLOOKUP($A14,'[16]0921'!$A$4:$O$150,8,FALSE)="",VLOOKUP($A14,'[16]0921'!$A$4:$O$150,12,FALSE),VLOOKUP($A14,'[16]0921'!$A$4:$O$150,8,FALSE))</f>
        <v/>
      </c>
      <c r="S14" s="4" t="str">
        <f>IF(VLOOKUP($A14,'[17]0920'!$A$4:$O$150,8,FALSE)="",VLOOKUP($A14,'[17]0920'!$A$4:$O$150,12,FALSE),VLOOKUP($A14,'[17]0920'!$A$4:$O$150,8,FALSE))</f>
        <v/>
      </c>
      <c r="T14" s="4" t="s">
        <v>0</v>
      </c>
      <c r="U14" s="4" t="s">
        <v>0</v>
      </c>
      <c r="W14" s="4" t="s">
        <v>0</v>
      </c>
      <c r="X14" s="4" t="s">
        <v>0</v>
      </c>
      <c r="Y14" s="4" t="s">
        <v>0</v>
      </c>
      <c r="Z14" s="4" t="s">
        <v>0</v>
      </c>
      <c r="AA14" s="4" t="s">
        <v>0</v>
      </c>
      <c r="AB14" s="4" t="s">
        <v>0</v>
      </c>
      <c r="AC14" s="4" t="s">
        <v>0</v>
      </c>
      <c r="AD14" s="4" t="s">
        <v>0</v>
      </c>
      <c r="AE14" s="4" t="s">
        <v>0</v>
      </c>
      <c r="AF14" s="4" t="s">
        <v>0</v>
      </c>
      <c r="AG14" s="4" t="s">
        <v>0</v>
      </c>
      <c r="AH14" s="4" t="s">
        <v>0</v>
      </c>
      <c r="AI14" s="4" t="s">
        <v>0</v>
      </c>
      <c r="AJ14" s="4" t="s">
        <v>0</v>
      </c>
      <c r="AK14" s="4" t="s">
        <v>0</v>
      </c>
      <c r="AL14" s="4" t="s">
        <v>0</v>
      </c>
      <c r="AM14" s="4" t="s">
        <v>0</v>
      </c>
      <c r="AN14" s="4" t="s">
        <v>0</v>
      </c>
      <c r="AP14" s="4" t="s">
        <v>0</v>
      </c>
      <c r="AQ14" s="4" t="s">
        <v>0</v>
      </c>
      <c r="AR14" s="4" t="s">
        <v>0</v>
      </c>
      <c r="AU14" s="4" t="s">
        <v>0</v>
      </c>
    </row>
    <row r="15" spans="1:47">
      <c r="A15" s="3" t="s">
        <v>279</v>
      </c>
      <c r="B15" s="5">
        <f>VLOOKUP($A15,'[21]1013'!$A$4:$O$321,4,FALSE)</f>
        <v>1.33</v>
      </c>
      <c r="C15" s="5">
        <v>1.54</v>
      </c>
      <c r="D15" s="5">
        <f>VLOOKUP($A15,'[21]1013'!$A$4:$O$321,15,FALSE)</f>
        <v>0.99760000000000004</v>
      </c>
      <c r="E15" s="4" t="str">
        <f>IF(VLOOKUP($A15,'[21]1013'!$A$4:$O$150,8,FALSE)="",VLOOKUP($A15,'[21]1013'!$A$4:$O$150,12,FALSE),VLOOKUP($A15,'[21]1013'!$A$4:$O$150,8,FALSE))</f>
        <v/>
      </c>
      <c r="F15" s="4" t="str">
        <f>IF(VLOOKUP($A15,'[7]1012'!$A$4:$O$150,8,FALSE)="",VLOOKUP($A15,'[7]1012'!$A$4:$O$150,12,FALSE),VLOOKUP($A15,'[7]1012'!$A$4:$O$150,8,FALSE))</f>
        <v/>
      </c>
      <c r="G15" s="4" t="str">
        <f>IF(VLOOKUP($A15,'[8]1011'!$A$4:$O$150,8,FALSE)="",VLOOKUP($A15,'[8]1011'!$A$4:$O$150,12,FALSE),VLOOKUP($A15,'[8]1011'!$A$4:$O$150,8,FALSE))</f>
        <v/>
      </c>
      <c r="H15" s="106"/>
      <c r="I15" s="4" t="str">
        <f>IF(VLOOKUP($A15,'[9]1005'!$A$4:$O$150,8,FALSE)="",VLOOKUP($A15,'[9]1005'!$A$4:$O$150,12,FALSE),VLOOKUP($A15,'[9]1005'!$A$4:$O$150,8,FALSE))</f>
        <v/>
      </c>
      <c r="J15" s="4" t="str">
        <f>IF(VLOOKUP($A15,'[10]1004'!$A$4:$O$150,8,FALSE)="",VLOOKUP($A15,'[10]1004'!$A$4:$O$150,12,FALSE),VLOOKUP($A15,'[10]1004'!$A$4:$O$150,8,FALSE))</f>
        <v/>
      </c>
      <c r="K15" s="4" t="str">
        <f>IF(VLOOKUP($A15,'[11]1003'!$A$4:$O$150,8,FALSE)="",VLOOKUP($A15,'[11]1003'!$A$4:$O$150,12,FALSE),VLOOKUP($A15,'[11]1003'!$A$4:$O$150,8,FALSE))</f>
        <v/>
      </c>
      <c r="L15" s="4" t="str">
        <f>IF(VLOOKUP($A15,'[12]1002'!$A$4:$O$150,8,FALSE)="",VLOOKUP($A15,'[12]1002'!$A$4:$O$150,12,FALSE),VLOOKUP($A15,'[12]1002'!$A$4:$O$150,8,FALSE))</f>
        <v/>
      </c>
      <c r="M15" s="106"/>
      <c r="N15" s="4">
        <f>IF(VLOOKUP($A15,'[13]0927'!$A$4:$O$150,8,FALSE)="",VLOOKUP($A15,'[13]0927'!$A$4:$O$150,12,FALSE),VLOOKUP($A15,'[13]0927'!$A$4:$O$150,8,FALSE))</f>
        <v>0.97729999999999995</v>
      </c>
      <c r="O15" s="5"/>
      <c r="P15" s="4" t="str">
        <f>IF(VLOOKUP($A15,'[14]0925'!$A$4:$O$150,8,FALSE)="",VLOOKUP($A15,'[14]0925'!$A$4:$O$150,12,FALSE),VLOOKUP($A15,'[14]0925'!$A$4:$O$150,8,FALSE))</f>
        <v/>
      </c>
      <c r="Q15" s="4" t="str">
        <f>IF(VLOOKUP($A15,'[15]0922'!$A$4:$O$150,8,FALSE)="",VLOOKUP($A15,'[15]0922'!$A$4:$O$150,12,FALSE),VLOOKUP($A15,'[15]0922'!$A$4:$O$150,8,FALSE))</f>
        <v/>
      </c>
      <c r="R15" s="4" t="str">
        <f>IF(VLOOKUP($A15,'[16]0921'!$A$4:$O$150,8,FALSE)="",VLOOKUP($A15,'[16]0921'!$A$4:$O$150,12,FALSE),VLOOKUP($A15,'[16]0921'!$A$4:$O$150,8,FALSE))</f>
        <v/>
      </c>
      <c r="S15" s="4" t="str">
        <f>IF(VLOOKUP($A15,'[17]0920'!$A$4:$O$150,8,FALSE)="",VLOOKUP($A15,'[17]0920'!$A$4:$O$150,12,FALSE),VLOOKUP($A15,'[17]0920'!$A$4:$O$150,8,FALSE))</f>
        <v/>
      </c>
      <c r="T15" s="4" t="s">
        <v>0</v>
      </c>
      <c r="U15" s="4" t="s">
        <v>0</v>
      </c>
      <c r="W15" s="4" t="s">
        <v>0</v>
      </c>
      <c r="X15" s="4" t="s">
        <v>0</v>
      </c>
      <c r="Y15" s="4" t="s">
        <v>0</v>
      </c>
      <c r="Z15" s="4" t="s">
        <v>0</v>
      </c>
      <c r="AA15" s="4" t="s">
        <v>0</v>
      </c>
      <c r="AB15" s="4" t="s">
        <v>0</v>
      </c>
      <c r="AC15" s="4"/>
      <c r="AD15" s="4" t="s">
        <v>0</v>
      </c>
      <c r="AE15" s="4" t="s">
        <v>0</v>
      </c>
      <c r="AF15" s="4" t="s">
        <v>0</v>
      </c>
      <c r="AG15" s="4">
        <v>0.95250000000000001</v>
      </c>
      <c r="AH15" s="4">
        <v>0.95850000000000002</v>
      </c>
      <c r="AI15" s="4">
        <v>0.95</v>
      </c>
      <c r="AJ15" s="4" t="s">
        <v>0</v>
      </c>
      <c r="AK15" s="4" t="s">
        <v>0</v>
      </c>
      <c r="AL15" s="4">
        <v>0.95499999999999996</v>
      </c>
      <c r="AM15" s="4" t="s">
        <v>0</v>
      </c>
      <c r="AN15" s="4" t="s">
        <v>0</v>
      </c>
      <c r="AP15" s="4" t="s">
        <v>0</v>
      </c>
      <c r="AQ15" s="4" t="s">
        <v>0</v>
      </c>
      <c r="AR15" s="4" t="s">
        <v>0</v>
      </c>
      <c r="AU15" s="4" t="s">
        <v>0</v>
      </c>
    </row>
    <row r="16" spans="1:47">
      <c r="A16" s="3" t="s">
        <v>31</v>
      </c>
      <c r="B16" s="5">
        <f>VLOOKUP($A16,'[21]1013'!$A$4:$O$321,4,FALSE)</f>
        <v>1.37</v>
      </c>
      <c r="C16" s="5">
        <v>1.59</v>
      </c>
      <c r="D16" s="5">
        <f>VLOOKUP($A16,'[21]1013'!$A$4:$O$321,15,FALSE)</f>
        <v>1.002</v>
      </c>
      <c r="E16" s="4" t="str">
        <f>IF(VLOOKUP($A16,'[21]1013'!$A$4:$O$150,8,FALSE)="",VLOOKUP($A16,'[21]1013'!$A$4:$O$150,12,FALSE),VLOOKUP($A16,'[21]1013'!$A$4:$O$150,8,FALSE))</f>
        <v/>
      </c>
      <c r="F16" s="4" t="str">
        <f>IF(VLOOKUP($A16,'[7]1012'!$A$4:$O$150,8,FALSE)="",VLOOKUP($A16,'[7]1012'!$A$4:$O$150,12,FALSE),VLOOKUP($A16,'[7]1012'!$A$4:$O$150,8,FALSE))</f>
        <v/>
      </c>
      <c r="G16" s="4" t="str">
        <f>IF(VLOOKUP($A16,'[8]1011'!$A$4:$O$150,8,FALSE)="",VLOOKUP($A16,'[8]1011'!$A$4:$O$150,12,FALSE),VLOOKUP($A16,'[8]1011'!$A$4:$O$150,8,FALSE))</f>
        <v/>
      </c>
      <c r="H16" s="106"/>
      <c r="I16" s="4" t="str">
        <f>IF(VLOOKUP($A16,'[9]1005'!$A$4:$O$150,8,FALSE)="",VLOOKUP($A16,'[9]1005'!$A$4:$O$150,12,FALSE),VLOOKUP($A16,'[9]1005'!$A$4:$O$150,8,FALSE))</f>
        <v/>
      </c>
      <c r="J16" s="4" t="str">
        <f>IF(VLOOKUP($A16,'[10]1004'!$A$4:$O$150,8,FALSE)="",VLOOKUP($A16,'[10]1004'!$A$4:$O$150,12,FALSE),VLOOKUP($A16,'[10]1004'!$A$4:$O$150,8,FALSE))</f>
        <v/>
      </c>
      <c r="K16" s="4" t="str">
        <f>IF(VLOOKUP($A16,'[11]1003'!$A$4:$O$150,8,FALSE)="",VLOOKUP($A16,'[11]1003'!$A$4:$O$150,12,FALSE),VLOOKUP($A16,'[11]1003'!$A$4:$O$150,8,FALSE))</f>
        <v/>
      </c>
      <c r="L16" s="4" t="str">
        <f>IF(VLOOKUP($A16,'[12]1002'!$A$4:$O$150,8,FALSE)="",VLOOKUP($A16,'[12]1002'!$A$4:$O$150,12,FALSE),VLOOKUP($A16,'[12]1002'!$A$4:$O$150,8,FALSE))</f>
        <v/>
      </c>
      <c r="M16" s="106"/>
      <c r="N16" s="4" t="str">
        <f>IF(VLOOKUP($A16,'[13]0927'!$A$4:$O$150,8,FALSE)="",VLOOKUP($A16,'[13]0927'!$A$4:$O$150,12,FALSE),VLOOKUP($A16,'[13]0927'!$A$4:$O$150,8,FALSE))</f>
        <v/>
      </c>
      <c r="O16" s="5"/>
      <c r="P16" s="4" t="str">
        <f>IF(VLOOKUP($A16,'[14]0925'!$A$4:$O$150,8,FALSE)="",VLOOKUP($A16,'[14]0925'!$A$4:$O$150,12,FALSE),VLOOKUP($A16,'[14]0925'!$A$4:$O$150,8,FALSE))</f>
        <v/>
      </c>
      <c r="Q16" s="4" t="str">
        <f>IF(VLOOKUP($A16,'[15]0922'!$A$4:$O$150,8,FALSE)="",VLOOKUP($A16,'[15]0922'!$A$4:$O$150,12,FALSE),VLOOKUP($A16,'[15]0922'!$A$4:$O$150,8,FALSE))</f>
        <v/>
      </c>
      <c r="R16" s="4" t="str">
        <f>IF(VLOOKUP($A16,'[16]0921'!$A$4:$O$150,8,FALSE)="",VLOOKUP($A16,'[16]0921'!$A$4:$O$150,12,FALSE),VLOOKUP($A16,'[16]0921'!$A$4:$O$150,8,FALSE))</f>
        <v/>
      </c>
      <c r="S16" s="4" t="str">
        <f>IF(VLOOKUP($A16,'[17]0920'!$A$4:$O$150,8,FALSE)="",VLOOKUP($A16,'[17]0920'!$A$4:$O$150,12,FALSE),VLOOKUP($A16,'[17]0920'!$A$4:$O$150,8,FALSE))</f>
        <v/>
      </c>
      <c r="T16" s="4" t="s">
        <v>0</v>
      </c>
      <c r="U16" s="4" t="s">
        <v>0</v>
      </c>
      <c r="W16" s="4" t="s">
        <v>0</v>
      </c>
      <c r="X16" s="4" t="s">
        <v>0</v>
      </c>
      <c r="Y16" s="4" t="s">
        <v>0</v>
      </c>
      <c r="Z16" s="4" t="s">
        <v>0</v>
      </c>
      <c r="AA16" s="4" t="s">
        <v>0</v>
      </c>
      <c r="AB16" s="4" t="s">
        <v>0</v>
      </c>
      <c r="AC16" s="4" t="s">
        <v>0</v>
      </c>
      <c r="AD16" s="4" t="s">
        <v>0</v>
      </c>
      <c r="AE16" s="4" t="s">
        <v>0</v>
      </c>
      <c r="AF16" s="4" t="s">
        <v>0</v>
      </c>
      <c r="AG16" s="4" t="s">
        <v>0</v>
      </c>
      <c r="AH16" s="4" t="s">
        <v>0</v>
      </c>
      <c r="AI16" s="4" t="s">
        <v>0</v>
      </c>
      <c r="AJ16" s="4" t="s">
        <v>0</v>
      </c>
      <c r="AK16" s="4" t="s">
        <v>0</v>
      </c>
      <c r="AL16" s="4" t="s">
        <v>0</v>
      </c>
      <c r="AM16" s="4" t="s">
        <v>0</v>
      </c>
      <c r="AN16" s="4" t="s">
        <v>0</v>
      </c>
      <c r="AP16" s="4" t="s">
        <v>0</v>
      </c>
      <c r="AQ16" s="4" t="s">
        <v>0</v>
      </c>
      <c r="AR16" s="4" t="s">
        <v>0</v>
      </c>
      <c r="AU16" s="4" t="s">
        <v>0</v>
      </c>
    </row>
    <row r="17" spans="1:47">
      <c r="A17" s="3" t="s">
        <v>89</v>
      </c>
      <c r="B17" s="5">
        <f>VLOOKUP($A17,'[21]1013'!$A$4:$O$321,4,FALSE)</f>
        <v>1.73</v>
      </c>
      <c r="C17" s="5">
        <v>1.94</v>
      </c>
      <c r="D17" s="5">
        <f>VLOOKUP($A17,'[21]1013'!$A$4:$O$321,15,FALSE)</f>
        <v>1.0324</v>
      </c>
      <c r="E17" s="4" t="str">
        <f>IF(VLOOKUP($A17,'[21]1013'!$A$4:$O$150,8,FALSE)="",VLOOKUP($A17,'[21]1013'!$A$4:$O$150,12,FALSE),VLOOKUP($A17,'[21]1013'!$A$4:$O$150,8,FALSE))</f>
        <v/>
      </c>
      <c r="F17" s="4">
        <f>IF(VLOOKUP($A17,'[7]1012'!$A$4:$O$150,8,FALSE)="",VLOOKUP($A17,'[7]1012'!$A$4:$O$150,12,FALSE),VLOOKUP($A17,'[7]1012'!$A$4:$O$150,8,FALSE))</f>
        <v>1.038</v>
      </c>
      <c r="G17" s="4" t="str">
        <f>IF(VLOOKUP($A17,'[8]1011'!$A$4:$O$150,8,FALSE)="",VLOOKUP($A17,'[8]1011'!$A$4:$O$150,12,FALSE),VLOOKUP($A17,'[8]1011'!$A$4:$O$150,8,FALSE))</f>
        <v/>
      </c>
      <c r="H17" s="106"/>
      <c r="I17" s="4" t="str">
        <f>IF(VLOOKUP($A17,'[9]1005'!$A$4:$O$150,8,FALSE)="",VLOOKUP($A17,'[9]1005'!$A$4:$O$150,12,FALSE),VLOOKUP($A17,'[9]1005'!$A$4:$O$150,8,FALSE))</f>
        <v/>
      </c>
      <c r="J17" s="4" t="str">
        <f>IF(VLOOKUP($A17,'[10]1004'!$A$4:$O$150,8,FALSE)="",VLOOKUP($A17,'[10]1004'!$A$4:$O$150,12,FALSE),VLOOKUP($A17,'[10]1004'!$A$4:$O$150,8,FALSE))</f>
        <v/>
      </c>
      <c r="K17" s="4" t="str">
        <f>IF(VLOOKUP($A17,'[11]1003'!$A$4:$O$150,8,FALSE)="",VLOOKUP($A17,'[11]1003'!$A$4:$O$150,12,FALSE),VLOOKUP($A17,'[11]1003'!$A$4:$O$150,8,FALSE))</f>
        <v/>
      </c>
      <c r="L17" s="4" t="str">
        <f>IF(VLOOKUP($A17,'[12]1002'!$A$4:$O$150,8,FALSE)="",VLOOKUP($A17,'[12]1002'!$A$4:$O$150,12,FALSE),VLOOKUP($A17,'[12]1002'!$A$4:$O$150,8,FALSE))</f>
        <v/>
      </c>
      <c r="M17" s="106"/>
      <c r="N17" s="4" t="str">
        <f>IF(VLOOKUP($A17,'[13]0927'!$A$4:$O$150,8,FALSE)="",VLOOKUP($A17,'[13]0927'!$A$4:$O$150,12,FALSE),VLOOKUP($A17,'[13]0927'!$A$4:$O$150,8,FALSE))</f>
        <v/>
      </c>
      <c r="O17" s="5"/>
      <c r="P17" s="4" t="str">
        <f>IF(VLOOKUP($A17,'[14]0925'!$A$4:$O$150,8,FALSE)="",VLOOKUP($A17,'[14]0925'!$A$4:$O$150,12,FALSE),VLOOKUP($A17,'[14]0925'!$A$4:$O$150,8,FALSE))</f>
        <v/>
      </c>
      <c r="Q17" s="4" t="str">
        <f>IF(VLOOKUP($A17,'[15]0922'!$A$4:$O$150,8,FALSE)="",VLOOKUP($A17,'[15]0922'!$A$4:$O$150,12,FALSE),VLOOKUP($A17,'[15]0922'!$A$4:$O$150,8,FALSE))</f>
        <v/>
      </c>
      <c r="R17" s="4" t="str">
        <f>IF(VLOOKUP($A17,'[16]0921'!$A$4:$O$150,8,FALSE)="",VLOOKUP($A17,'[16]0921'!$A$4:$O$150,12,FALSE),VLOOKUP($A17,'[16]0921'!$A$4:$O$150,8,FALSE))</f>
        <v/>
      </c>
      <c r="S17" s="4" t="str">
        <f>IF(VLOOKUP($A17,'[17]0920'!$A$4:$O$150,8,FALSE)="",VLOOKUP($A17,'[17]0920'!$A$4:$O$150,12,FALSE),VLOOKUP($A17,'[17]0920'!$A$4:$O$150,8,FALSE))</f>
        <v/>
      </c>
      <c r="T17" s="4" t="s">
        <v>0</v>
      </c>
      <c r="U17" s="4" t="s">
        <v>0</v>
      </c>
      <c r="W17" s="4" t="s">
        <v>0</v>
      </c>
      <c r="X17" s="4" t="s">
        <v>0</v>
      </c>
      <c r="Y17" s="4" t="s">
        <v>0</v>
      </c>
      <c r="Z17" s="4"/>
      <c r="AA17" s="4" t="s">
        <v>0</v>
      </c>
      <c r="AB17" s="4">
        <v>0.96099999999999997</v>
      </c>
      <c r="AC17" s="4" t="s">
        <v>0</v>
      </c>
      <c r="AD17" s="4" t="s">
        <v>0</v>
      </c>
      <c r="AE17" s="4" t="s">
        <v>0</v>
      </c>
      <c r="AF17" s="4" t="s">
        <v>0</v>
      </c>
      <c r="AG17" s="4" t="s">
        <v>0</v>
      </c>
      <c r="AH17" s="4" t="s">
        <v>0</v>
      </c>
      <c r="AI17" s="4" t="s">
        <v>0</v>
      </c>
      <c r="AJ17" s="4" t="s">
        <v>0</v>
      </c>
      <c r="AK17" s="4" t="s">
        <v>0</v>
      </c>
      <c r="AL17" s="4" t="s">
        <v>0</v>
      </c>
      <c r="AM17" s="4" t="s">
        <v>0</v>
      </c>
      <c r="AN17" s="4" t="s">
        <v>0</v>
      </c>
      <c r="AP17" s="4" t="s">
        <v>0</v>
      </c>
      <c r="AQ17" s="4" t="s">
        <v>0</v>
      </c>
      <c r="AR17" s="4" t="s">
        <v>0</v>
      </c>
      <c r="AU17" s="4" t="s">
        <v>0</v>
      </c>
    </row>
    <row r="18" spans="1:47">
      <c r="A18" s="3" t="s">
        <v>37</v>
      </c>
      <c r="B18" s="5">
        <f>VLOOKUP($A18,'[21]1013'!$A$4:$O$321,4,FALSE)</f>
        <v>1.87</v>
      </c>
      <c r="C18" s="5">
        <v>2.09</v>
      </c>
      <c r="D18" s="5">
        <f>VLOOKUP($A18,'[21]1013'!$A$4:$O$321,15,FALSE)</f>
        <v>1.0446</v>
      </c>
      <c r="E18" s="4" t="str">
        <f>IF(VLOOKUP($A18,'[21]1013'!$A$4:$O$150,8,FALSE)="",VLOOKUP($A18,'[21]1013'!$A$4:$O$150,12,FALSE),VLOOKUP($A18,'[21]1013'!$A$4:$O$150,8,FALSE))</f>
        <v/>
      </c>
      <c r="F18" s="4" t="str">
        <f>IF(VLOOKUP($A18,'[7]1012'!$A$4:$O$150,8,FALSE)="",VLOOKUP($A18,'[7]1012'!$A$4:$O$150,12,FALSE),VLOOKUP($A18,'[7]1012'!$A$4:$O$150,8,FALSE))</f>
        <v/>
      </c>
      <c r="G18" s="4" t="str">
        <f>IF(VLOOKUP($A18,'[8]1011'!$A$4:$O$150,8,FALSE)="",VLOOKUP($A18,'[8]1011'!$A$4:$O$150,12,FALSE),VLOOKUP($A18,'[8]1011'!$A$4:$O$150,8,FALSE))</f>
        <v/>
      </c>
      <c r="H18" s="106"/>
      <c r="I18" s="4" t="str">
        <f>IF(VLOOKUP($A18,'[9]1005'!$A$4:$O$150,8,FALSE)="",VLOOKUP($A18,'[9]1005'!$A$4:$O$150,12,FALSE),VLOOKUP($A18,'[9]1005'!$A$4:$O$150,8,FALSE))</f>
        <v/>
      </c>
      <c r="J18" s="4" t="str">
        <f>IF(VLOOKUP($A18,'[10]1004'!$A$4:$O$150,8,FALSE)="",VLOOKUP($A18,'[10]1004'!$A$4:$O$150,12,FALSE),VLOOKUP($A18,'[10]1004'!$A$4:$O$150,8,FALSE))</f>
        <v/>
      </c>
      <c r="K18" s="4" t="str">
        <f>IF(VLOOKUP($A18,'[11]1003'!$A$4:$O$150,8,FALSE)="",VLOOKUP($A18,'[11]1003'!$A$4:$O$150,12,FALSE),VLOOKUP($A18,'[11]1003'!$A$4:$O$150,8,FALSE))</f>
        <v/>
      </c>
      <c r="L18" s="4" t="str">
        <f>IF(VLOOKUP($A18,'[12]1002'!$A$4:$O$150,8,FALSE)="",VLOOKUP($A18,'[12]1002'!$A$4:$O$150,12,FALSE),VLOOKUP($A18,'[12]1002'!$A$4:$O$150,8,FALSE))</f>
        <v/>
      </c>
      <c r="M18" s="106"/>
      <c r="N18" s="4" t="str">
        <f>IF(VLOOKUP($A18,'[13]0927'!$A$4:$O$150,8,FALSE)="",VLOOKUP($A18,'[13]0927'!$A$4:$O$150,12,FALSE),VLOOKUP($A18,'[13]0927'!$A$4:$O$150,8,FALSE))</f>
        <v/>
      </c>
      <c r="O18" s="5"/>
      <c r="P18" s="4" t="str">
        <f>IF(VLOOKUP($A18,'[14]0925'!$A$4:$O$150,8,FALSE)="",VLOOKUP($A18,'[14]0925'!$A$4:$O$150,12,FALSE),VLOOKUP($A18,'[14]0925'!$A$4:$O$150,8,FALSE))</f>
        <v/>
      </c>
      <c r="Q18" s="4" t="str">
        <f>IF(VLOOKUP($A18,'[15]0922'!$A$4:$O$150,8,FALSE)="",VLOOKUP($A18,'[15]0922'!$A$4:$O$150,12,FALSE),VLOOKUP($A18,'[15]0922'!$A$4:$O$150,8,FALSE))</f>
        <v/>
      </c>
      <c r="R18" s="4" t="str">
        <f>IF(VLOOKUP($A18,'[16]0921'!$A$4:$O$150,8,FALSE)="",VLOOKUP($A18,'[16]0921'!$A$4:$O$150,12,FALSE),VLOOKUP($A18,'[16]0921'!$A$4:$O$150,8,FALSE))</f>
        <v/>
      </c>
      <c r="S18" s="4" t="str">
        <f>IF(VLOOKUP($A18,'[17]0920'!$A$4:$O$150,8,FALSE)="",VLOOKUP($A18,'[17]0920'!$A$4:$O$150,12,FALSE),VLOOKUP($A18,'[17]0920'!$A$4:$O$150,8,FALSE))</f>
        <v/>
      </c>
      <c r="T18" s="4" t="s">
        <v>0</v>
      </c>
      <c r="U18" s="4" t="s">
        <v>0</v>
      </c>
      <c r="W18" s="4" t="s">
        <v>0</v>
      </c>
      <c r="X18" s="4" t="s">
        <v>0</v>
      </c>
      <c r="Y18" s="4">
        <v>0.98050000000000004</v>
      </c>
      <c r="Z18" s="4">
        <v>0.98050000000000004</v>
      </c>
      <c r="AA18" s="4">
        <v>0.97199999999999998</v>
      </c>
      <c r="AB18" s="4" t="s">
        <v>0</v>
      </c>
      <c r="AC18" s="4" t="s">
        <v>0</v>
      </c>
      <c r="AD18" s="4" t="s">
        <v>0</v>
      </c>
      <c r="AE18" s="4" t="s">
        <v>0</v>
      </c>
      <c r="AF18" s="4" t="s">
        <v>0</v>
      </c>
      <c r="AG18" s="4" t="s">
        <v>0</v>
      </c>
      <c r="AH18" s="4" t="s">
        <v>0</v>
      </c>
      <c r="AI18" s="4" t="s">
        <v>0</v>
      </c>
      <c r="AJ18" s="4" t="s">
        <v>0</v>
      </c>
      <c r="AK18" s="4" t="s">
        <v>0</v>
      </c>
      <c r="AL18" s="4" t="s">
        <v>0</v>
      </c>
      <c r="AM18" s="4" t="s">
        <v>0</v>
      </c>
      <c r="AN18" s="4" t="s">
        <v>0</v>
      </c>
      <c r="AP18" s="4" t="s">
        <v>0</v>
      </c>
      <c r="AQ18" s="4" t="s">
        <v>0</v>
      </c>
      <c r="AR18" s="4" t="s">
        <v>0</v>
      </c>
      <c r="AU18" s="4" t="s">
        <v>0</v>
      </c>
    </row>
    <row r="19" spans="1:47">
      <c r="A19" s="3" t="s">
        <v>93</v>
      </c>
      <c r="B19" s="5">
        <f>VLOOKUP($A19,'[21]1013'!$A$4:$O$321,4,FALSE)</f>
        <v>2.12</v>
      </c>
      <c r="C19" s="5">
        <v>2.33</v>
      </c>
      <c r="D19" s="5">
        <f>VLOOKUP($A19,'[21]1013'!$A$4:$O$321,15,FALSE)</f>
        <v>1.0638000000000001</v>
      </c>
      <c r="E19" s="4" t="str">
        <f>IF(VLOOKUP($A19,'[21]1013'!$A$4:$O$150,8,FALSE)="",VLOOKUP($A19,'[21]1013'!$A$4:$O$150,12,FALSE),VLOOKUP($A19,'[21]1013'!$A$4:$O$150,8,FALSE))</f>
        <v/>
      </c>
      <c r="F19" s="4">
        <f>IF(VLOOKUP($A19,'[7]1012'!$A$4:$O$150,8,FALSE)="",VLOOKUP($A19,'[7]1012'!$A$4:$O$150,12,FALSE),VLOOKUP($A19,'[7]1012'!$A$4:$O$150,8,FALSE))</f>
        <v>1.0609999999999999</v>
      </c>
      <c r="G19" s="4" t="str">
        <f>IF(VLOOKUP($A19,'[8]1011'!$A$4:$O$150,8,FALSE)="",VLOOKUP($A19,'[8]1011'!$A$4:$O$150,12,FALSE),VLOOKUP($A19,'[8]1011'!$A$4:$O$150,8,FALSE))</f>
        <v/>
      </c>
      <c r="H19" s="106">
        <f>VLOOKUP($A19,'[18]1006'!$A$5:$P$270,12,FALSE)</f>
        <v>1.08</v>
      </c>
      <c r="I19" s="4" t="str">
        <f>IF(VLOOKUP($A19,'[9]1005'!$A$4:$O$150,8,FALSE)="",VLOOKUP($A19,'[9]1005'!$A$4:$O$150,12,FALSE),VLOOKUP($A19,'[9]1005'!$A$4:$O$150,8,FALSE))</f>
        <v/>
      </c>
      <c r="J19" s="4" t="str">
        <f>IF(VLOOKUP($A19,'[10]1004'!$A$4:$O$150,8,FALSE)="",VLOOKUP($A19,'[10]1004'!$A$4:$O$150,12,FALSE),VLOOKUP($A19,'[10]1004'!$A$4:$O$150,8,FALSE))</f>
        <v/>
      </c>
      <c r="K19" s="4" t="str">
        <f>IF(VLOOKUP($A19,'[11]1003'!$A$4:$O$150,8,FALSE)="",VLOOKUP($A19,'[11]1003'!$A$4:$O$150,12,FALSE),VLOOKUP($A19,'[11]1003'!$A$4:$O$150,8,FALSE))</f>
        <v/>
      </c>
      <c r="L19" s="4" t="str">
        <f>IF(VLOOKUP($A19,'[12]1002'!$A$4:$O$150,8,FALSE)="",VLOOKUP($A19,'[12]1002'!$A$4:$O$150,12,FALSE),VLOOKUP($A19,'[12]1002'!$A$4:$O$150,8,FALSE))</f>
        <v/>
      </c>
      <c r="M19" s="106"/>
      <c r="N19" s="4" t="str">
        <f>IF(VLOOKUP($A19,'[13]0927'!$A$4:$O$150,8,FALSE)="",VLOOKUP($A19,'[13]0927'!$A$4:$O$150,12,FALSE),VLOOKUP($A19,'[13]0927'!$A$4:$O$150,8,FALSE))</f>
        <v/>
      </c>
      <c r="O19" s="5"/>
      <c r="P19" s="4">
        <f>IF(VLOOKUP($A19,'[14]0925'!$A$4:$O$150,8,FALSE)="",VLOOKUP($A19,'[14]0925'!$A$4:$O$150,12,FALSE),VLOOKUP($A19,'[14]0925'!$A$4:$O$150,8,FALSE))</f>
        <v>1.0509999999999999</v>
      </c>
      <c r="Q19" s="4">
        <f>IF(VLOOKUP($A19,'[15]0922'!$A$4:$O$150,8,FALSE)="",VLOOKUP($A19,'[15]0922'!$A$4:$O$150,12,FALSE),VLOOKUP($A19,'[15]0922'!$A$4:$O$150,8,FALSE))</f>
        <v>1.0515000000000001</v>
      </c>
      <c r="R19" s="4" t="str">
        <f>IF(VLOOKUP($A19,'[16]0921'!$A$4:$O$150,8,FALSE)="",VLOOKUP($A19,'[16]0921'!$A$4:$O$150,12,FALSE),VLOOKUP($A19,'[16]0921'!$A$4:$O$150,8,FALSE))</f>
        <v/>
      </c>
      <c r="S19" s="4" t="str">
        <f>IF(VLOOKUP($A19,'[17]0920'!$A$4:$O$150,8,FALSE)="",VLOOKUP($A19,'[17]0920'!$A$4:$O$150,12,FALSE),VLOOKUP($A19,'[17]0920'!$A$4:$O$150,8,FALSE))</f>
        <v/>
      </c>
      <c r="T19" s="4" t="s">
        <v>0</v>
      </c>
      <c r="U19" s="4" t="s">
        <v>0</v>
      </c>
      <c r="V19" s="5">
        <v>1.03</v>
      </c>
      <c r="W19" s="4">
        <v>1.01</v>
      </c>
      <c r="X19" s="4" t="s">
        <v>0</v>
      </c>
      <c r="Y19" s="4" t="s">
        <v>0</v>
      </c>
      <c r="Z19" s="4">
        <v>1.0006999999999999</v>
      </c>
      <c r="AA19" s="4">
        <v>1.0006999999999999</v>
      </c>
      <c r="AB19" s="4" t="s">
        <v>0</v>
      </c>
      <c r="AC19" s="4" t="s">
        <v>0</v>
      </c>
      <c r="AD19" s="4" t="s">
        <v>0</v>
      </c>
      <c r="AE19" s="4" t="s">
        <v>0</v>
      </c>
      <c r="AF19" s="4" t="s">
        <v>0</v>
      </c>
      <c r="AG19" s="4" t="s">
        <v>0</v>
      </c>
      <c r="AH19" s="4">
        <v>1.0318000000000001</v>
      </c>
      <c r="AI19" s="4">
        <v>1.0449999999999999</v>
      </c>
      <c r="AJ19" s="4" t="s">
        <v>0</v>
      </c>
      <c r="AK19" s="4">
        <v>1.0449999999999999</v>
      </c>
      <c r="AL19" s="4">
        <v>1.0355000000000001</v>
      </c>
      <c r="AM19" s="4">
        <v>1.0469999999999999</v>
      </c>
      <c r="AN19" s="4" t="s">
        <v>0</v>
      </c>
      <c r="AP19" s="4" t="s">
        <v>0</v>
      </c>
      <c r="AQ19" s="4" t="s">
        <v>0</v>
      </c>
      <c r="AR19" s="4" t="s">
        <v>0</v>
      </c>
      <c r="AU19" s="4" t="s">
        <v>0</v>
      </c>
    </row>
    <row r="20" spans="1:47">
      <c r="A20" s="3" t="s">
        <v>95</v>
      </c>
      <c r="B20" s="5">
        <f>VLOOKUP($A20,'[21]1013'!$A$4:$O$321,4,FALSE)</f>
        <v>2.21</v>
      </c>
      <c r="C20" s="5">
        <v>2.4300000000000002</v>
      </c>
      <c r="D20" s="5">
        <f>VLOOKUP($A20,'[21]1013'!$A$4:$O$321,15,FALSE)</f>
        <v>1.0710999999999999</v>
      </c>
      <c r="E20" s="4" t="str">
        <f>IF(VLOOKUP($A20,'[21]1013'!$A$4:$O$150,8,FALSE)="",VLOOKUP($A20,'[21]1013'!$A$4:$O$150,12,FALSE),VLOOKUP($A20,'[21]1013'!$A$4:$O$150,8,FALSE))</f>
        <v/>
      </c>
      <c r="F20" s="4" t="str">
        <f>IF(VLOOKUP($A20,'[7]1012'!$A$4:$O$150,8,FALSE)="",VLOOKUP($A20,'[7]1012'!$A$4:$O$150,12,FALSE),VLOOKUP($A20,'[7]1012'!$A$4:$O$150,8,FALSE))</f>
        <v/>
      </c>
      <c r="G20" s="4" t="str">
        <f>IF(VLOOKUP($A20,'[8]1011'!$A$4:$O$150,8,FALSE)="",VLOOKUP($A20,'[8]1011'!$A$4:$O$150,12,FALSE),VLOOKUP($A20,'[8]1011'!$A$4:$O$150,8,FALSE))</f>
        <v/>
      </c>
      <c r="H20" s="106"/>
      <c r="I20" s="4" t="str">
        <f>IF(VLOOKUP($A20,'[9]1005'!$A$4:$O$150,8,FALSE)="",VLOOKUP($A20,'[9]1005'!$A$4:$O$150,12,FALSE),VLOOKUP($A20,'[9]1005'!$A$4:$O$150,8,FALSE))</f>
        <v/>
      </c>
      <c r="J20" s="4" t="str">
        <f>IF(VLOOKUP($A20,'[10]1004'!$A$4:$O$150,8,FALSE)="",VLOOKUP($A20,'[10]1004'!$A$4:$O$150,12,FALSE),VLOOKUP($A20,'[10]1004'!$A$4:$O$150,8,FALSE))</f>
        <v/>
      </c>
      <c r="K20" s="4" t="str">
        <f>IF(VLOOKUP($A20,'[11]1003'!$A$4:$O$150,8,FALSE)="",VLOOKUP($A20,'[11]1003'!$A$4:$O$150,12,FALSE),VLOOKUP($A20,'[11]1003'!$A$4:$O$150,8,FALSE))</f>
        <v/>
      </c>
      <c r="L20" s="4" t="str">
        <f>IF(VLOOKUP($A20,'[12]1002'!$A$4:$O$150,8,FALSE)="",VLOOKUP($A20,'[12]1002'!$A$4:$O$150,12,FALSE),VLOOKUP($A20,'[12]1002'!$A$4:$O$150,8,FALSE))</f>
        <v/>
      </c>
      <c r="M20" s="106"/>
      <c r="N20" s="4">
        <f>IF(VLOOKUP($A20,'[13]0927'!$A$4:$O$150,8,FALSE)="",VLOOKUP($A20,'[13]0927'!$A$4:$O$150,12,FALSE),VLOOKUP($A20,'[13]0927'!$A$4:$O$150,8,FALSE))</f>
        <v>1.06</v>
      </c>
      <c r="O20" s="5"/>
      <c r="P20" s="4" t="str">
        <f>IF(VLOOKUP($A20,'[14]0925'!$A$4:$O$150,8,FALSE)="",VLOOKUP($A20,'[14]0925'!$A$4:$O$150,12,FALSE),VLOOKUP($A20,'[14]0925'!$A$4:$O$150,8,FALSE))</f>
        <v/>
      </c>
      <c r="Q20" s="4" t="str">
        <f>IF(VLOOKUP($A20,'[15]0922'!$A$4:$O$150,8,FALSE)="",VLOOKUP($A20,'[15]0922'!$A$4:$O$150,12,FALSE),VLOOKUP($A20,'[15]0922'!$A$4:$O$150,8,FALSE))</f>
        <v/>
      </c>
      <c r="R20" s="4" t="str">
        <f>IF(VLOOKUP($A20,'[16]0921'!$A$4:$O$150,8,FALSE)="",VLOOKUP($A20,'[16]0921'!$A$4:$O$150,12,FALSE),VLOOKUP($A20,'[16]0921'!$A$4:$O$150,8,FALSE))</f>
        <v/>
      </c>
      <c r="S20" s="4" t="str">
        <f>IF(VLOOKUP($A20,'[17]0920'!$A$4:$O$150,8,FALSE)="",VLOOKUP($A20,'[17]0920'!$A$4:$O$150,12,FALSE),VLOOKUP($A20,'[17]0920'!$A$4:$O$150,8,FALSE))</f>
        <v/>
      </c>
      <c r="T20" s="4" t="s">
        <v>0</v>
      </c>
      <c r="U20" s="4" t="s">
        <v>0</v>
      </c>
      <c r="W20" s="4" t="s">
        <v>0</v>
      </c>
      <c r="X20" s="4" t="s">
        <v>0</v>
      </c>
      <c r="Y20" s="4" t="s">
        <v>0</v>
      </c>
      <c r="Z20" s="4" t="s">
        <v>0</v>
      </c>
      <c r="AA20" s="4" t="s">
        <v>0</v>
      </c>
      <c r="AB20" s="4" t="s">
        <v>0</v>
      </c>
      <c r="AC20" s="4" t="s">
        <v>0</v>
      </c>
      <c r="AD20" s="4" t="s">
        <v>0</v>
      </c>
      <c r="AE20" s="4" t="s">
        <v>0</v>
      </c>
      <c r="AF20" s="4" t="s">
        <v>0</v>
      </c>
      <c r="AG20" s="4" t="s">
        <v>0</v>
      </c>
      <c r="AH20" s="4" t="s">
        <v>0</v>
      </c>
      <c r="AI20" s="4" t="s">
        <v>0</v>
      </c>
      <c r="AJ20" s="4" t="s">
        <v>0</v>
      </c>
      <c r="AK20" s="4" t="s">
        <v>0</v>
      </c>
      <c r="AL20" s="4" t="s">
        <v>0</v>
      </c>
      <c r="AM20" s="4" t="s">
        <v>0</v>
      </c>
      <c r="AN20" s="4" t="s">
        <v>0</v>
      </c>
      <c r="AP20" s="4" t="s">
        <v>0</v>
      </c>
      <c r="AQ20" s="4" t="s">
        <v>0</v>
      </c>
      <c r="AR20" s="4" t="s">
        <v>0</v>
      </c>
      <c r="AU20" s="4" t="s">
        <v>0</v>
      </c>
    </row>
    <row r="21" spans="1:47">
      <c r="A21" s="3" t="s">
        <v>8</v>
      </c>
      <c r="B21" s="5">
        <f>VLOOKUP($A21,'[21]1013'!$A$4:$O$321,4,FALSE)</f>
        <v>2.2799999999999998</v>
      </c>
      <c r="C21" s="5">
        <v>2.54</v>
      </c>
      <c r="D21" s="5">
        <f>VLOOKUP($A21,'[21]1013'!$A$4:$O$321,15,FALSE)</f>
        <v>1.0783</v>
      </c>
      <c r="E21" s="4" t="str">
        <f>IF(VLOOKUP($A21,'[21]1013'!$A$4:$O$150,8,FALSE)="",VLOOKUP($A21,'[21]1013'!$A$4:$O$150,12,FALSE),VLOOKUP($A21,'[21]1013'!$A$4:$O$150,8,FALSE))</f>
        <v/>
      </c>
      <c r="F21" s="4" t="str">
        <f>IF(VLOOKUP($A21,'[7]1012'!$A$4:$O$150,8,FALSE)="",VLOOKUP($A21,'[7]1012'!$A$4:$O$150,12,FALSE),VLOOKUP($A21,'[7]1012'!$A$4:$O$150,8,FALSE))</f>
        <v/>
      </c>
      <c r="G21" s="4" t="str">
        <f>IF(VLOOKUP($A21,'[8]1011'!$A$4:$O$150,8,FALSE)="",VLOOKUP($A21,'[8]1011'!$A$4:$O$150,12,FALSE),VLOOKUP($A21,'[8]1011'!$A$4:$O$150,8,FALSE))</f>
        <v/>
      </c>
      <c r="H21" s="106"/>
      <c r="I21" s="4" t="str">
        <f>IF(VLOOKUP($A21,'[9]1005'!$A$4:$O$150,8,FALSE)="",VLOOKUP($A21,'[9]1005'!$A$4:$O$150,12,FALSE),VLOOKUP($A21,'[9]1005'!$A$4:$O$150,8,FALSE))</f>
        <v/>
      </c>
      <c r="J21" s="4" t="str">
        <f>IF(VLOOKUP($A21,'[10]1004'!$A$4:$O$150,8,FALSE)="",VLOOKUP($A21,'[10]1004'!$A$4:$O$150,12,FALSE),VLOOKUP($A21,'[10]1004'!$A$4:$O$150,8,FALSE))</f>
        <v/>
      </c>
      <c r="K21" s="4" t="str">
        <f>IF(VLOOKUP($A21,'[11]1003'!$A$4:$O$150,8,FALSE)="",VLOOKUP($A21,'[11]1003'!$A$4:$O$150,12,FALSE),VLOOKUP($A21,'[11]1003'!$A$4:$O$150,8,FALSE))</f>
        <v/>
      </c>
      <c r="L21" s="4" t="str">
        <f>IF(VLOOKUP($A21,'[12]1002'!$A$4:$O$150,8,FALSE)="",VLOOKUP($A21,'[12]1002'!$A$4:$O$150,12,FALSE),VLOOKUP($A21,'[12]1002'!$A$4:$O$150,8,FALSE))</f>
        <v/>
      </c>
      <c r="M21" s="106"/>
      <c r="N21" s="4" t="str">
        <f>IF(VLOOKUP($A21,'[13]0927'!$A$4:$O$150,8,FALSE)="",VLOOKUP($A21,'[13]0927'!$A$4:$O$150,12,FALSE),VLOOKUP($A21,'[13]0927'!$A$4:$O$150,8,FALSE))</f>
        <v/>
      </c>
      <c r="O21" s="5"/>
      <c r="P21" s="4" t="str">
        <f>IF(VLOOKUP($A21,'[14]0925'!$A$4:$O$150,8,FALSE)="",VLOOKUP($A21,'[14]0925'!$A$4:$O$150,12,FALSE),VLOOKUP($A21,'[14]0925'!$A$4:$O$150,8,FALSE))</f>
        <v/>
      </c>
      <c r="Q21" s="4" t="str">
        <f>IF(VLOOKUP($A21,'[15]0922'!$A$4:$O$150,8,FALSE)="",VLOOKUP($A21,'[15]0922'!$A$4:$O$150,12,FALSE),VLOOKUP($A21,'[15]0922'!$A$4:$O$150,8,FALSE))</f>
        <v/>
      </c>
      <c r="R21" s="4" t="str">
        <f>IF(VLOOKUP($A21,'[16]0921'!$A$4:$O$150,8,FALSE)="",VLOOKUP($A21,'[16]0921'!$A$4:$O$150,12,FALSE),VLOOKUP($A21,'[16]0921'!$A$4:$O$150,8,FALSE))</f>
        <v/>
      </c>
      <c r="S21" s="4" t="str">
        <f>IF(VLOOKUP($A21,'[17]0920'!$A$4:$O$150,8,FALSE)="",VLOOKUP($A21,'[17]0920'!$A$4:$O$150,12,FALSE),VLOOKUP($A21,'[17]0920'!$A$4:$O$150,8,FALSE))</f>
        <v/>
      </c>
      <c r="T21" s="4" t="s">
        <v>0</v>
      </c>
      <c r="U21" s="4" t="s">
        <v>0</v>
      </c>
      <c r="W21" s="4" t="s">
        <v>0</v>
      </c>
      <c r="X21" s="4" t="s">
        <v>0</v>
      </c>
      <c r="Y21" s="4" t="s">
        <v>0</v>
      </c>
      <c r="Z21" s="4" t="s">
        <v>0</v>
      </c>
      <c r="AA21" s="4" t="s">
        <v>0</v>
      </c>
      <c r="AB21" s="4" t="s">
        <v>0</v>
      </c>
      <c r="AC21" s="4" t="s">
        <v>0</v>
      </c>
      <c r="AD21" s="4" t="s">
        <v>0</v>
      </c>
      <c r="AE21" s="4" t="s">
        <v>0</v>
      </c>
      <c r="AF21" s="4" t="s">
        <v>0</v>
      </c>
      <c r="AG21" s="4" t="s">
        <v>0</v>
      </c>
      <c r="AH21" s="4" t="s">
        <v>0</v>
      </c>
      <c r="AI21" s="4" t="s">
        <v>0</v>
      </c>
      <c r="AJ21" s="4" t="s">
        <v>0</v>
      </c>
      <c r="AK21" s="4" t="s">
        <v>0</v>
      </c>
      <c r="AL21" s="4" t="s">
        <v>0</v>
      </c>
      <c r="AM21" s="4" t="s">
        <v>0</v>
      </c>
      <c r="AN21" s="4" t="s">
        <v>0</v>
      </c>
      <c r="AP21" s="4" t="s">
        <v>0</v>
      </c>
      <c r="AQ21" s="4" t="s">
        <v>0</v>
      </c>
      <c r="AR21" s="4" t="s">
        <v>0</v>
      </c>
      <c r="AS21" s="5">
        <v>1.0505</v>
      </c>
      <c r="AU21" s="4" t="s">
        <v>0</v>
      </c>
    </row>
    <row r="22" spans="1:47">
      <c r="A22" s="3" t="s">
        <v>58</v>
      </c>
      <c r="B22" s="5">
        <f>VLOOKUP($A22,'[21]1013'!$A$4:$O$321,4,FALSE)</f>
        <v>2.33</v>
      </c>
      <c r="C22" s="5">
        <v>2.57</v>
      </c>
      <c r="D22" s="5">
        <f>VLOOKUP($A22,'[21]1013'!$A$4:$O$321,15,FALSE)</f>
        <v>1.0806</v>
      </c>
      <c r="E22" s="4" t="str">
        <f>IF(VLOOKUP($A22,'[21]1013'!$A$4:$O$150,8,FALSE)="",VLOOKUP($A22,'[21]1013'!$A$4:$O$150,12,FALSE),VLOOKUP($A22,'[21]1013'!$A$4:$O$150,8,FALSE))</f>
        <v/>
      </c>
      <c r="F22" s="4" t="str">
        <f>IF(VLOOKUP($A22,'[7]1012'!$A$4:$O$150,8,FALSE)="",VLOOKUP($A22,'[7]1012'!$A$4:$O$150,12,FALSE),VLOOKUP($A22,'[7]1012'!$A$4:$O$150,8,FALSE))</f>
        <v/>
      </c>
      <c r="G22" s="4" t="str">
        <f>IF(VLOOKUP($A22,'[8]1011'!$A$4:$O$150,8,FALSE)="",VLOOKUP($A22,'[8]1011'!$A$4:$O$150,12,FALSE),VLOOKUP($A22,'[8]1011'!$A$4:$O$150,8,FALSE))</f>
        <v/>
      </c>
      <c r="H22" s="106"/>
      <c r="I22" s="4" t="str">
        <f>IF(VLOOKUP($A22,'[9]1005'!$A$4:$O$150,8,FALSE)="",VLOOKUP($A22,'[9]1005'!$A$4:$O$150,12,FALSE),VLOOKUP($A22,'[9]1005'!$A$4:$O$150,8,FALSE))</f>
        <v/>
      </c>
      <c r="J22" s="4" t="str">
        <f>IF(VLOOKUP($A22,'[10]1004'!$A$4:$O$150,8,FALSE)="",VLOOKUP($A22,'[10]1004'!$A$4:$O$150,12,FALSE),VLOOKUP($A22,'[10]1004'!$A$4:$O$150,8,FALSE))</f>
        <v/>
      </c>
      <c r="K22" s="4" t="str">
        <f>IF(VLOOKUP($A22,'[11]1003'!$A$4:$O$150,8,FALSE)="",VLOOKUP($A22,'[11]1003'!$A$4:$O$150,12,FALSE),VLOOKUP($A22,'[11]1003'!$A$4:$O$150,8,FALSE))</f>
        <v/>
      </c>
      <c r="L22" s="4" t="str">
        <f>IF(VLOOKUP($A22,'[12]1002'!$A$4:$O$150,8,FALSE)="",VLOOKUP($A22,'[12]1002'!$A$4:$O$150,12,FALSE),VLOOKUP($A22,'[12]1002'!$A$4:$O$150,8,FALSE))</f>
        <v/>
      </c>
      <c r="M22" s="106"/>
      <c r="N22" s="4">
        <f>IF(VLOOKUP($A22,'[13]0927'!$A$4:$O$150,8,FALSE)="",VLOOKUP($A22,'[13]0927'!$A$4:$O$150,12,FALSE),VLOOKUP($A22,'[13]0927'!$A$4:$O$150,8,FALSE))</f>
        <v>1.0874999999999999</v>
      </c>
      <c r="O22" s="5"/>
      <c r="P22" s="4" t="str">
        <f>IF(VLOOKUP($A22,'[14]0925'!$A$4:$O$150,8,FALSE)="",VLOOKUP($A22,'[14]0925'!$A$4:$O$150,12,FALSE),VLOOKUP($A22,'[14]0925'!$A$4:$O$150,8,FALSE))</f>
        <v/>
      </c>
      <c r="Q22" s="4" t="str">
        <f>IF(VLOOKUP($A22,'[15]0922'!$A$4:$O$150,8,FALSE)="",VLOOKUP($A22,'[15]0922'!$A$4:$O$150,12,FALSE),VLOOKUP($A22,'[15]0922'!$A$4:$O$150,8,FALSE))</f>
        <v/>
      </c>
      <c r="R22" s="4" t="str">
        <f>IF(VLOOKUP($A22,'[16]0921'!$A$4:$O$150,8,FALSE)="",VLOOKUP($A22,'[16]0921'!$A$4:$O$150,12,FALSE),VLOOKUP($A22,'[16]0921'!$A$4:$O$150,8,FALSE))</f>
        <v/>
      </c>
      <c r="S22" s="4">
        <f>IF(VLOOKUP($A22,'[17]0920'!$A$4:$O$150,8,FALSE)="",VLOOKUP($A22,'[17]0920'!$A$4:$O$150,12,FALSE),VLOOKUP($A22,'[17]0920'!$A$4:$O$150,8,FALSE))</f>
        <v>1.091</v>
      </c>
      <c r="T22" s="4" t="s">
        <v>0</v>
      </c>
      <c r="U22" s="4" t="s">
        <v>0</v>
      </c>
      <c r="W22" s="4" t="s">
        <v>0</v>
      </c>
      <c r="X22" s="4" t="s">
        <v>0</v>
      </c>
      <c r="Y22" s="4" t="s">
        <v>0</v>
      </c>
      <c r="Z22" s="4" t="s">
        <v>0</v>
      </c>
      <c r="AA22" s="4" t="s">
        <v>0</v>
      </c>
      <c r="AB22" s="4" t="s">
        <v>0</v>
      </c>
      <c r="AC22" s="4" t="s">
        <v>0</v>
      </c>
      <c r="AD22" s="4" t="s">
        <v>0</v>
      </c>
      <c r="AE22" s="4" t="s">
        <v>0</v>
      </c>
      <c r="AF22" s="4" t="s">
        <v>0</v>
      </c>
      <c r="AG22" s="4">
        <v>1.046</v>
      </c>
      <c r="AH22" s="4" t="s">
        <v>0</v>
      </c>
      <c r="AI22" s="4">
        <v>1.0469999999999999</v>
      </c>
      <c r="AJ22" s="4" t="s">
        <v>0</v>
      </c>
      <c r="AK22" s="4" t="s">
        <v>0</v>
      </c>
      <c r="AL22" s="4" t="s">
        <v>0</v>
      </c>
      <c r="AM22" s="4">
        <v>1.0595000000000001</v>
      </c>
      <c r="AN22" s="4" t="s">
        <v>0</v>
      </c>
      <c r="AP22" s="4" t="s">
        <v>0</v>
      </c>
      <c r="AQ22" s="4" t="s">
        <v>0</v>
      </c>
      <c r="AR22" s="4" t="s">
        <v>0</v>
      </c>
      <c r="AU22" s="4" t="s">
        <v>0</v>
      </c>
    </row>
    <row r="23" spans="1:47">
      <c r="A23" s="3" t="s">
        <v>195</v>
      </c>
      <c r="B23" s="5">
        <f>VLOOKUP($A23,'[21]1013'!$A$4:$O$321,4,FALSE)</f>
        <v>2.74</v>
      </c>
      <c r="C23" s="5">
        <v>2.97</v>
      </c>
      <c r="D23" s="5">
        <f>VLOOKUP($A23,'[21]1013'!$A$4:$O$321,15,FALSE)</f>
        <v>1.1077999999999999</v>
      </c>
      <c r="E23" s="4" t="str">
        <f>IF(VLOOKUP($A23,'[21]1013'!$A$4:$O$150,8,FALSE)="",VLOOKUP($A23,'[21]1013'!$A$4:$O$150,12,FALSE),VLOOKUP($A23,'[21]1013'!$A$4:$O$150,8,FALSE))</f>
        <v/>
      </c>
      <c r="F23" s="4">
        <f>IF(VLOOKUP($A23,'[7]1012'!$A$4:$O$150,8,FALSE)="",VLOOKUP($A23,'[7]1012'!$A$4:$O$150,12,FALSE),VLOOKUP($A23,'[7]1012'!$A$4:$O$150,8,FALSE))</f>
        <v>1.1225000000000001</v>
      </c>
      <c r="G23" s="4" t="str">
        <f>IF(VLOOKUP($A23,'[8]1011'!$A$4:$O$150,8,FALSE)="",VLOOKUP($A23,'[8]1011'!$A$4:$O$150,12,FALSE),VLOOKUP($A23,'[8]1011'!$A$4:$O$150,8,FALSE))</f>
        <v/>
      </c>
      <c r="H23" s="106">
        <f>VLOOKUP($A23,'[18]1006'!$A$5:$P$270,12,FALSE)</f>
        <v>1.119</v>
      </c>
      <c r="I23" s="4" t="str">
        <f>IF(VLOOKUP($A23,'[9]1005'!$A$4:$O$150,8,FALSE)="",VLOOKUP($A23,'[9]1005'!$A$4:$O$150,12,FALSE),VLOOKUP($A23,'[9]1005'!$A$4:$O$150,8,FALSE))</f>
        <v/>
      </c>
      <c r="J23" s="4" t="str">
        <f>IF(VLOOKUP($A23,'[10]1004'!$A$4:$O$150,8,FALSE)="",VLOOKUP($A23,'[10]1004'!$A$4:$O$150,12,FALSE),VLOOKUP($A23,'[10]1004'!$A$4:$O$150,8,FALSE))</f>
        <v/>
      </c>
      <c r="K23" s="4" t="str">
        <f>IF(VLOOKUP($A23,'[11]1003'!$A$4:$O$150,8,FALSE)="",VLOOKUP($A23,'[11]1003'!$A$4:$O$150,12,FALSE),VLOOKUP($A23,'[11]1003'!$A$4:$O$150,8,FALSE))</f>
        <v/>
      </c>
      <c r="L23" s="4" t="str">
        <f>IF(VLOOKUP($A23,'[12]1002'!$A$4:$O$150,8,FALSE)="",VLOOKUP($A23,'[12]1002'!$A$4:$O$150,12,FALSE),VLOOKUP($A23,'[12]1002'!$A$4:$O$150,8,FALSE))</f>
        <v/>
      </c>
      <c r="M23" s="106"/>
      <c r="N23" s="4" t="str">
        <f>IF(VLOOKUP($A23,'[13]0927'!$A$4:$O$150,8,FALSE)="",VLOOKUP($A23,'[13]0927'!$A$4:$O$150,12,FALSE),VLOOKUP($A23,'[13]0927'!$A$4:$O$150,8,FALSE))</f>
        <v/>
      </c>
      <c r="O23" s="5"/>
      <c r="P23" s="4" t="str">
        <f>IF(VLOOKUP($A23,'[14]0925'!$A$4:$O$150,8,FALSE)="",VLOOKUP($A23,'[14]0925'!$A$4:$O$150,12,FALSE),VLOOKUP($A23,'[14]0925'!$A$4:$O$150,8,FALSE))</f>
        <v/>
      </c>
      <c r="Q23" s="4" t="str">
        <f>IF(VLOOKUP($A23,'[15]0922'!$A$4:$O$150,8,FALSE)="",VLOOKUP($A23,'[15]0922'!$A$4:$O$150,12,FALSE),VLOOKUP($A23,'[15]0922'!$A$4:$O$150,8,FALSE))</f>
        <v/>
      </c>
      <c r="R23" s="4" t="str">
        <f>IF(VLOOKUP($A23,'[16]0921'!$A$4:$O$150,8,FALSE)="",VLOOKUP($A23,'[16]0921'!$A$4:$O$150,12,FALSE),VLOOKUP($A23,'[16]0921'!$A$4:$O$150,8,FALSE))</f>
        <v/>
      </c>
      <c r="S23" s="4" t="str">
        <f>IF(VLOOKUP($A23,'[17]0920'!$A$4:$O$150,8,FALSE)="",VLOOKUP($A23,'[17]0920'!$A$4:$O$150,12,FALSE),VLOOKUP($A23,'[17]0920'!$A$4:$O$150,8,FALSE))</f>
        <v/>
      </c>
      <c r="T23" s="4" t="s">
        <v>0</v>
      </c>
      <c r="U23" s="4" t="s">
        <v>0</v>
      </c>
      <c r="W23" s="4" t="s">
        <v>0</v>
      </c>
      <c r="X23" s="4" t="s">
        <v>0</v>
      </c>
      <c r="Y23" s="4" t="s">
        <v>0</v>
      </c>
      <c r="Z23" s="4" t="s">
        <v>0</v>
      </c>
      <c r="AA23" s="4">
        <v>1.034</v>
      </c>
      <c r="AB23" s="4" t="s">
        <v>0</v>
      </c>
      <c r="AC23" s="4" t="s">
        <v>0</v>
      </c>
      <c r="AD23" s="4" t="s">
        <v>0</v>
      </c>
      <c r="AE23" s="4" t="s">
        <v>0</v>
      </c>
      <c r="AF23" s="4" t="s">
        <v>0</v>
      </c>
      <c r="AG23" s="4" t="s">
        <v>0</v>
      </c>
      <c r="AH23" s="4" t="s">
        <v>0</v>
      </c>
      <c r="AI23" s="4" t="s">
        <v>0</v>
      </c>
      <c r="AJ23" s="4" t="s">
        <v>0</v>
      </c>
      <c r="AK23" s="4" t="s">
        <v>0</v>
      </c>
      <c r="AL23" s="4" t="s">
        <v>0</v>
      </c>
      <c r="AM23" s="4" t="s">
        <v>0</v>
      </c>
      <c r="AN23" s="4" t="s">
        <v>0</v>
      </c>
      <c r="AP23" s="4" t="s">
        <v>0</v>
      </c>
      <c r="AQ23" s="4" t="s">
        <v>0</v>
      </c>
      <c r="AR23" s="4" t="s">
        <v>0</v>
      </c>
      <c r="AU23" s="4" t="s">
        <v>0</v>
      </c>
    </row>
    <row r="24" spans="1:47">
      <c r="A24" s="3" t="s">
        <v>55</v>
      </c>
      <c r="B24" s="5">
        <f>VLOOKUP($A24,'[21]1013'!$A$4:$O$321,4,FALSE)</f>
        <v>2.84</v>
      </c>
      <c r="C24" s="5">
        <v>3.08</v>
      </c>
      <c r="D24" s="5">
        <f>VLOOKUP($A24,'[21]1013'!$A$4:$O$321,15,FALSE)</f>
        <v>1.1145</v>
      </c>
      <c r="E24" s="4" t="str">
        <f>IF(VLOOKUP($A24,'[21]1013'!$A$4:$O$150,8,FALSE)="",VLOOKUP($A24,'[21]1013'!$A$4:$O$150,12,FALSE),VLOOKUP($A24,'[21]1013'!$A$4:$O$150,8,FALSE))</f>
        <v/>
      </c>
      <c r="F24" s="4" t="str">
        <f>IF(VLOOKUP($A24,'[7]1012'!$A$4:$O$150,8,FALSE)="",VLOOKUP($A24,'[7]1012'!$A$4:$O$150,12,FALSE),VLOOKUP($A24,'[7]1012'!$A$4:$O$150,8,FALSE))</f>
        <v/>
      </c>
      <c r="G24" s="4" t="str">
        <f>IF(VLOOKUP($A24,'[8]1011'!$A$4:$O$150,8,FALSE)="",VLOOKUP($A24,'[8]1011'!$A$4:$O$150,12,FALSE),VLOOKUP($A24,'[8]1011'!$A$4:$O$150,8,FALSE))</f>
        <v/>
      </c>
      <c r="H24" s="106"/>
      <c r="I24" s="4" t="str">
        <f>IF(VLOOKUP($A24,'[9]1005'!$A$4:$O$150,8,FALSE)="",VLOOKUP($A24,'[9]1005'!$A$4:$O$150,12,FALSE),VLOOKUP($A24,'[9]1005'!$A$4:$O$150,8,FALSE))</f>
        <v/>
      </c>
      <c r="J24" s="4" t="str">
        <f>IF(VLOOKUP($A24,'[10]1004'!$A$4:$O$150,8,FALSE)="",VLOOKUP($A24,'[10]1004'!$A$4:$O$150,12,FALSE),VLOOKUP($A24,'[10]1004'!$A$4:$O$150,8,FALSE))</f>
        <v/>
      </c>
      <c r="K24" s="4" t="str">
        <f>IF(VLOOKUP($A24,'[11]1003'!$A$4:$O$150,8,FALSE)="",VLOOKUP($A24,'[11]1003'!$A$4:$O$150,12,FALSE),VLOOKUP($A24,'[11]1003'!$A$4:$O$150,8,FALSE))</f>
        <v/>
      </c>
      <c r="L24" s="4" t="str">
        <f>IF(VLOOKUP($A24,'[12]1002'!$A$4:$O$150,8,FALSE)="",VLOOKUP($A24,'[12]1002'!$A$4:$O$150,12,FALSE),VLOOKUP($A24,'[12]1002'!$A$4:$O$150,8,FALSE))</f>
        <v/>
      </c>
      <c r="M24" s="106"/>
      <c r="N24" s="4" t="str">
        <f>IF(VLOOKUP($A24,'[13]0927'!$A$4:$O$150,8,FALSE)="",VLOOKUP($A24,'[13]0927'!$A$4:$O$150,12,FALSE),VLOOKUP($A24,'[13]0927'!$A$4:$O$150,8,FALSE))</f>
        <v/>
      </c>
      <c r="O24" s="5"/>
      <c r="P24" s="4" t="str">
        <f>IF(VLOOKUP($A24,'[14]0925'!$A$4:$O$150,8,FALSE)="",VLOOKUP($A24,'[14]0925'!$A$4:$O$150,12,FALSE),VLOOKUP($A24,'[14]0925'!$A$4:$O$150,8,FALSE))</f>
        <v/>
      </c>
      <c r="Q24" s="4" t="str">
        <f>IF(VLOOKUP($A24,'[15]0922'!$A$4:$O$150,8,FALSE)="",VLOOKUP($A24,'[15]0922'!$A$4:$O$150,12,FALSE),VLOOKUP($A24,'[15]0922'!$A$4:$O$150,8,FALSE))</f>
        <v/>
      </c>
      <c r="R24" s="4" t="str">
        <f>IF(VLOOKUP($A24,'[16]0921'!$A$4:$O$150,8,FALSE)="",VLOOKUP($A24,'[16]0921'!$A$4:$O$150,12,FALSE),VLOOKUP($A24,'[16]0921'!$A$4:$O$150,8,FALSE))</f>
        <v/>
      </c>
      <c r="S24" s="4" t="str">
        <f>IF(VLOOKUP($A24,'[17]0920'!$A$4:$O$150,8,FALSE)="",VLOOKUP($A24,'[17]0920'!$A$4:$O$150,12,FALSE),VLOOKUP($A24,'[17]0920'!$A$4:$O$150,8,FALSE))</f>
        <v/>
      </c>
      <c r="T24" s="4" t="s">
        <v>0</v>
      </c>
      <c r="U24" s="4" t="s">
        <v>0</v>
      </c>
      <c r="W24" s="4" t="s">
        <v>0</v>
      </c>
      <c r="X24" s="4" t="s">
        <v>0</v>
      </c>
      <c r="Y24" s="4" t="s">
        <v>0</v>
      </c>
      <c r="Z24" s="4" t="s">
        <v>0</v>
      </c>
      <c r="AA24" s="4" t="s">
        <v>0</v>
      </c>
      <c r="AB24" s="4" t="s">
        <v>0</v>
      </c>
      <c r="AC24" s="4" t="s">
        <v>0</v>
      </c>
      <c r="AD24" s="4" t="s">
        <v>0</v>
      </c>
      <c r="AE24" s="4" t="s">
        <v>0</v>
      </c>
      <c r="AF24" s="4" t="s">
        <v>0</v>
      </c>
      <c r="AG24" s="4" t="s">
        <v>0</v>
      </c>
      <c r="AH24" s="4" t="s">
        <v>0</v>
      </c>
      <c r="AI24" s="4" t="s">
        <v>0</v>
      </c>
      <c r="AJ24" s="4" t="s">
        <v>0</v>
      </c>
      <c r="AK24" s="4" t="s">
        <v>0</v>
      </c>
      <c r="AL24" s="4" t="s">
        <v>0</v>
      </c>
      <c r="AM24" s="4" t="s">
        <v>0</v>
      </c>
      <c r="AN24" s="4" t="s">
        <v>0</v>
      </c>
      <c r="AP24" s="4" t="s">
        <v>0</v>
      </c>
      <c r="AQ24" s="4" t="s">
        <v>0</v>
      </c>
      <c r="AR24" s="4" t="s">
        <v>0</v>
      </c>
      <c r="AU24" s="4" t="s">
        <v>0</v>
      </c>
    </row>
    <row r="25" spans="1:47">
      <c r="A25" s="3" t="s">
        <v>11</v>
      </c>
      <c r="B25" s="5">
        <f>VLOOKUP($A25,'[21]1013'!$A$4:$O$321,4,FALSE)</f>
        <v>2.91</v>
      </c>
      <c r="C25" s="5">
        <v>3.25</v>
      </c>
      <c r="D25" s="5">
        <f>VLOOKUP($A25,'[21]1013'!$A$4:$O$321,15,FALSE)</f>
        <v>1.1240000000000001</v>
      </c>
      <c r="E25" s="4" t="str">
        <f>IF(VLOOKUP($A25,'[21]1013'!$A$4:$O$150,8,FALSE)="",VLOOKUP($A25,'[21]1013'!$A$4:$O$150,12,FALSE),VLOOKUP($A25,'[21]1013'!$A$4:$O$150,8,FALSE))</f>
        <v/>
      </c>
      <c r="F25" s="4" t="str">
        <f>IF(VLOOKUP($A25,'[7]1012'!$A$4:$O$150,8,FALSE)="",VLOOKUP($A25,'[7]1012'!$A$4:$O$150,12,FALSE),VLOOKUP($A25,'[7]1012'!$A$4:$O$150,8,FALSE))</f>
        <v/>
      </c>
      <c r="G25" s="4" t="str">
        <f>IF(VLOOKUP($A25,'[8]1011'!$A$4:$O$150,8,FALSE)="",VLOOKUP($A25,'[8]1011'!$A$4:$O$150,12,FALSE),VLOOKUP($A25,'[8]1011'!$A$4:$O$150,8,FALSE))</f>
        <v/>
      </c>
      <c r="H25" s="106"/>
      <c r="I25" s="4" t="str">
        <f>IF(VLOOKUP($A25,'[9]1005'!$A$4:$O$150,8,FALSE)="",VLOOKUP($A25,'[9]1005'!$A$4:$O$150,12,FALSE),VLOOKUP($A25,'[9]1005'!$A$4:$O$150,8,FALSE))</f>
        <v/>
      </c>
      <c r="J25" s="4" t="str">
        <f>IF(VLOOKUP($A25,'[10]1004'!$A$4:$O$150,8,FALSE)="",VLOOKUP($A25,'[10]1004'!$A$4:$O$150,12,FALSE),VLOOKUP($A25,'[10]1004'!$A$4:$O$150,8,FALSE))</f>
        <v/>
      </c>
      <c r="K25" s="4" t="str">
        <f>IF(VLOOKUP($A25,'[11]1003'!$A$4:$O$150,8,FALSE)="",VLOOKUP($A25,'[11]1003'!$A$4:$O$150,12,FALSE),VLOOKUP($A25,'[11]1003'!$A$4:$O$150,8,FALSE))</f>
        <v/>
      </c>
      <c r="L25" s="4" t="str">
        <f>IF(VLOOKUP($A25,'[12]1002'!$A$4:$O$150,8,FALSE)="",VLOOKUP($A25,'[12]1002'!$A$4:$O$150,12,FALSE),VLOOKUP($A25,'[12]1002'!$A$4:$O$150,8,FALSE))</f>
        <v/>
      </c>
      <c r="M25" s="106"/>
      <c r="N25" s="4" t="str">
        <f>IF(VLOOKUP($A25,'[13]0927'!$A$4:$O$150,8,FALSE)="",VLOOKUP($A25,'[13]0927'!$A$4:$O$150,12,FALSE),VLOOKUP($A25,'[13]0927'!$A$4:$O$150,8,FALSE))</f>
        <v/>
      </c>
      <c r="O25" s="5"/>
      <c r="P25" s="4" t="str">
        <f>IF(VLOOKUP($A25,'[14]0925'!$A$4:$O$150,8,FALSE)="",VLOOKUP($A25,'[14]0925'!$A$4:$O$150,12,FALSE),VLOOKUP($A25,'[14]0925'!$A$4:$O$150,8,FALSE))</f>
        <v/>
      </c>
      <c r="Q25" s="4" t="str">
        <f>IF(VLOOKUP($A25,'[15]0922'!$A$4:$O$150,8,FALSE)="",VLOOKUP($A25,'[15]0922'!$A$4:$O$150,12,FALSE),VLOOKUP($A25,'[15]0922'!$A$4:$O$150,8,FALSE))</f>
        <v/>
      </c>
      <c r="R25" s="4" t="str">
        <f>IF(VLOOKUP($A25,'[16]0921'!$A$4:$O$150,8,FALSE)="",VLOOKUP($A25,'[16]0921'!$A$4:$O$150,12,FALSE),VLOOKUP($A25,'[16]0921'!$A$4:$O$150,8,FALSE))</f>
        <v/>
      </c>
      <c r="S25" s="4" t="str">
        <f>IF(VLOOKUP($A25,'[17]0920'!$A$4:$O$150,8,FALSE)="",VLOOKUP($A25,'[17]0920'!$A$4:$O$150,12,FALSE),VLOOKUP($A25,'[17]0920'!$A$4:$O$150,8,FALSE))</f>
        <v/>
      </c>
      <c r="T25" s="4">
        <v>1.121</v>
      </c>
      <c r="U25" s="4" t="s">
        <v>0</v>
      </c>
      <c r="W25" s="4" t="s">
        <v>0</v>
      </c>
      <c r="X25" s="4" t="s">
        <v>0</v>
      </c>
      <c r="Y25" s="4" t="s">
        <v>0</v>
      </c>
      <c r="Z25" s="4" t="s">
        <v>0</v>
      </c>
      <c r="AA25" s="4" t="s">
        <v>0</v>
      </c>
      <c r="AB25" s="4" t="s">
        <v>0</v>
      </c>
      <c r="AC25" s="4" t="s">
        <v>0</v>
      </c>
      <c r="AD25" s="4" t="s">
        <v>0</v>
      </c>
      <c r="AE25" s="4" t="s">
        <v>0</v>
      </c>
      <c r="AF25" s="4" t="s">
        <v>0</v>
      </c>
      <c r="AG25" s="4" t="s">
        <v>0</v>
      </c>
      <c r="AH25" s="4" t="s">
        <v>0</v>
      </c>
      <c r="AI25" s="4" t="s">
        <v>0</v>
      </c>
      <c r="AJ25" s="4" t="s">
        <v>0</v>
      </c>
      <c r="AK25" s="4" t="s">
        <v>0</v>
      </c>
      <c r="AL25" s="4" t="s">
        <v>0</v>
      </c>
      <c r="AM25" s="4" t="s">
        <v>0</v>
      </c>
      <c r="AN25" s="4" t="s">
        <v>0</v>
      </c>
      <c r="AP25" s="4" t="s">
        <v>0</v>
      </c>
      <c r="AQ25" s="4" t="s">
        <v>0</v>
      </c>
      <c r="AR25" s="4" t="s">
        <v>0</v>
      </c>
      <c r="AU25" s="4" t="s">
        <v>0</v>
      </c>
    </row>
    <row r="26" spans="1:47">
      <c r="A26" s="3" t="s">
        <v>12</v>
      </c>
      <c r="B26" s="5">
        <f>VLOOKUP($A26,'[21]1013'!$A$4:$O$321,4,FALSE)</f>
        <v>3.18</v>
      </c>
      <c r="C26" s="5">
        <v>3.52</v>
      </c>
      <c r="D26" s="5">
        <f>VLOOKUP($A26,'[21]1013'!$A$4:$O$321,15,FALSE)</f>
        <v>1.1403000000000001</v>
      </c>
      <c r="E26" s="4" t="str">
        <f>IF(VLOOKUP($A26,'[21]1013'!$A$4:$O$150,8,FALSE)="",VLOOKUP($A26,'[21]1013'!$A$4:$O$150,12,FALSE),VLOOKUP($A26,'[21]1013'!$A$4:$O$150,8,FALSE))</f>
        <v/>
      </c>
      <c r="F26" s="4" t="str">
        <f>IF(VLOOKUP($A26,'[7]1012'!$A$4:$O$150,8,FALSE)="",VLOOKUP($A26,'[7]1012'!$A$4:$O$150,12,FALSE),VLOOKUP($A26,'[7]1012'!$A$4:$O$150,8,FALSE))</f>
        <v/>
      </c>
      <c r="G26" s="4" t="str">
        <f>IF(VLOOKUP($A26,'[8]1011'!$A$4:$O$150,8,FALSE)="",VLOOKUP($A26,'[8]1011'!$A$4:$O$150,12,FALSE),VLOOKUP($A26,'[8]1011'!$A$4:$O$150,8,FALSE))</f>
        <v/>
      </c>
      <c r="H26" s="106"/>
      <c r="I26" s="4" t="str">
        <f>IF(VLOOKUP($A26,'[9]1005'!$A$4:$O$150,8,FALSE)="",VLOOKUP($A26,'[9]1005'!$A$4:$O$150,12,FALSE),VLOOKUP($A26,'[9]1005'!$A$4:$O$150,8,FALSE))</f>
        <v/>
      </c>
      <c r="J26" s="4" t="str">
        <f>IF(VLOOKUP($A26,'[10]1004'!$A$4:$O$150,8,FALSE)="",VLOOKUP($A26,'[10]1004'!$A$4:$O$150,12,FALSE),VLOOKUP($A26,'[10]1004'!$A$4:$O$150,8,FALSE))</f>
        <v/>
      </c>
      <c r="K26" s="4" t="str">
        <f>IF(VLOOKUP($A26,'[11]1003'!$A$4:$O$150,8,FALSE)="",VLOOKUP($A26,'[11]1003'!$A$4:$O$150,12,FALSE),VLOOKUP($A26,'[11]1003'!$A$4:$O$150,8,FALSE))</f>
        <v/>
      </c>
      <c r="L26" s="4" t="str">
        <f>IF(VLOOKUP($A26,'[12]1002'!$A$4:$O$150,8,FALSE)="",VLOOKUP($A26,'[12]1002'!$A$4:$O$150,12,FALSE),VLOOKUP($A26,'[12]1002'!$A$4:$O$150,8,FALSE))</f>
        <v/>
      </c>
      <c r="M26" s="106"/>
      <c r="N26" s="4" t="str">
        <f>IF(VLOOKUP($A26,'[13]0927'!$A$4:$O$150,8,FALSE)="",VLOOKUP($A26,'[13]0927'!$A$4:$O$150,12,FALSE),VLOOKUP($A26,'[13]0927'!$A$4:$O$150,8,FALSE))</f>
        <v/>
      </c>
      <c r="O26" s="5"/>
      <c r="P26" s="4" t="str">
        <f>IF(VLOOKUP($A26,'[14]0925'!$A$4:$O$150,8,FALSE)="",VLOOKUP($A26,'[14]0925'!$A$4:$O$150,12,FALSE),VLOOKUP($A26,'[14]0925'!$A$4:$O$150,8,FALSE))</f>
        <v/>
      </c>
      <c r="Q26" s="4" t="str">
        <f>IF(VLOOKUP($A26,'[15]0922'!$A$4:$O$150,8,FALSE)="",VLOOKUP($A26,'[15]0922'!$A$4:$O$150,12,FALSE),VLOOKUP($A26,'[15]0922'!$A$4:$O$150,8,FALSE))</f>
        <v/>
      </c>
      <c r="R26" s="4" t="str">
        <f>IF(VLOOKUP($A26,'[16]0921'!$A$4:$O$150,8,FALSE)="",VLOOKUP($A26,'[16]0921'!$A$4:$O$150,12,FALSE),VLOOKUP($A26,'[16]0921'!$A$4:$O$150,8,FALSE))</f>
        <v/>
      </c>
      <c r="S26" s="4" t="str">
        <f>IF(VLOOKUP($A26,'[17]0920'!$A$4:$O$150,8,FALSE)="",VLOOKUP($A26,'[17]0920'!$A$4:$O$150,12,FALSE),VLOOKUP($A26,'[17]0920'!$A$4:$O$150,8,FALSE))</f>
        <v/>
      </c>
      <c r="T26" s="4" t="s">
        <v>0</v>
      </c>
      <c r="U26" s="4" t="s">
        <v>0</v>
      </c>
      <c r="W26" s="4" t="s">
        <v>0</v>
      </c>
      <c r="X26" s="4">
        <v>1.131</v>
      </c>
      <c r="Y26" s="4" t="s">
        <v>0</v>
      </c>
      <c r="Z26" s="4" t="s">
        <v>0</v>
      </c>
      <c r="AA26" s="4" t="s">
        <v>0</v>
      </c>
      <c r="AB26" s="4" t="s">
        <v>0</v>
      </c>
      <c r="AC26" s="4" t="s">
        <v>0</v>
      </c>
      <c r="AD26" s="4" t="s">
        <v>0</v>
      </c>
      <c r="AE26" s="4" t="s">
        <v>0</v>
      </c>
      <c r="AF26" s="4" t="s">
        <v>0</v>
      </c>
      <c r="AG26" s="4" t="s">
        <v>0</v>
      </c>
      <c r="AH26" s="4" t="s">
        <v>0</v>
      </c>
      <c r="AI26" s="4" t="s">
        <v>0</v>
      </c>
      <c r="AJ26" s="4" t="s">
        <v>0</v>
      </c>
      <c r="AK26" s="4" t="s">
        <v>0</v>
      </c>
      <c r="AL26" s="4" t="s">
        <v>0</v>
      </c>
      <c r="AM26" s="4" t="s">
        <v>0</v>
      </c>
      <c r="AN26" s="4" t="s">
        <v>0</v>
      </c>
      <c r="AP26" s="4" t="s">
        <v>0</v>
      </c>
      <c r="AQ26" s="4" t="s">
        <v>0</v>
      </c>
      <c r="AR26" s="4" t="s">
        <v>0</v>
      </c>
      <c r="AU26" s="4" t="s">
        <v>0</v>
      </c>
    </row>
    <row r="27" spans="1:47">
      <c r="A27" s="3" t="s">
        <v>32</v>
      </c>
      <c r="B27" s="5">
        <f>VLOOKUP($A27,'[21]1013'!$A$4:$O$321,4,FALSE)</f>
        <v>3.27</v>
      </c>
      <c r="C27" s="5">
        <v>3.56</v>
      </c>
      <c r="D27" s="5">
        <f>VLOOKUP($A27,'[21]1013'!$A$4:$O$321,15,FALSE)</f>
        <v>1.1439999999999999</v>
      </c>
      <c r="E27" s="4" t="str">
        <f>IF(VLOOKUP($A27,'[21]1013'!$A$4:$O$150,8,FALSE)="",VLOOKUP($A27,'[21]1013'!$A$4:$O$150,12,FALSE),VLOOKUP($A27,'[21]1013'!$A$4:$O$150,8,FALSE))</f>
        <v/>
      </c>
      <c r="F27" s="4" t="str">
        <f>IF(VLOOKUP($A27,'[7]1012'!$A$4:$O$150,8,FALSE)="",VLOOKUP($A27,'[7]1012'!$A$4:$O$150,12,FALSE),VLOOKUP($A27,'[7]1012'!$A$4:$O$150,8,FALSE))</f>
        <v/>
      </c>
      <c r="G27" s="4" t="str">
        <f>IF(VLOOKUP($A27,'[8]1011'!$A$4:$O$150,8,FALSE)="",VLOOKUP($A27,'[8]1011'!$A$4:$O$150,12,FALSE),VLOOKUP($A27,'[8]1011'!$A$4:$O$150,8,FALSE))</f>
        <v/>
      </c>
      <c r="H27" s="106"/>
      <c r="I27" s="4" t="str">
        <f>IF(VLOOKUP($A27,'[9]1005'!$A$4:$O$150,8,FALSE)="",VLOOKUP($A27,'[9]1005'!$A$4:$O$150,12,FALSE),VLOOKUP($A27,'[9]1005'!$A$4:$O$150,8,FALSE))</f>
        <v/>
      </c>
      <c r="J27" s="4" t="str">
        <f>IF(VLOOKUP($A27,'[10]1004'!$A$4:$O$150,8,FALSE)="",VLOOKUP($A27,'[10]1004'!$A$4:$O$150,12,FALSE),VLOOKUP($A27,'[10]1004'!$A$4:$O$150,8,FALSE))</f>
        <v/>
      </c>
      <c r="K27" s="4" t="str">
        <f>IF(VLOOKUP($A27,'[11]1003'!$A$4:$O$150,8,FALSE)="",VLOOKUP($A27,'[11]1003'!$A$4:$O$150,12,FALSE),VLOOKUP($A27,'[11]1003'!$A$4:$O$150,8,FALSE))</f>
        <v/>
      </c>
      <c r="L27" s="4" t="str">
        <f>IF(VLOOKUP($A27,'[12]1002'!$A$4:$O$150,8,FALSE)="",VLOOKUP($A27,'[12]1002'!$A$4:$O$150,12,FALSE),VLOOKUP($A27,'[12]1002'!$A$4:$O$150,8,FALSE))</f>
        <v/>
      </c>
      <c r="M27" s="106"/>
      <c r="N27" s="4" t="str">
        <f>IF(VLOOKUP($A27,'[13]0927'!$A$4:$O$150,8,FALSE)="",VLOOKUP($A27,'[13]0927'!$A$4:$O$150,12,FALSE),VLOOKUP($A27,'[13]0927'!$A$4:$O$150,8,FALSE))</f>
        <v/>
      </c>
      <c r="O27" s="5"/>
      <c r="P27" s="4" t="str">
        <f>IF(VLOOKUP($A27,'[14]0925'!$A$4:$O$150,8,FALSE)="",VLOOKUP($A27,'[14]0925'!$A$4:$O$150,12,FALSE),VLOOKUP($A27,'[14]0925'!$A$4:$O$150,8,FALSE))</f>
        <v/>
      </c>
      <c r="Q27" s="4">
        <f>IF(VLOOKUP($A27,'[15]0922'!$A$4:$O$150,8,FALSE)="",VLOOKUP($A27,'[15]0922'!$A$4:$O$150,12,FALSE),VLOOKUP($A27,'[15]0922'!$A$4:$O$150,8,FALSE))</f>
        <v>1.1359999999999999</v>
      </c>
      <c r="R27" s="4" t="str">
        <f>IF(VLOOKUP($A27,'[16]0921'!$A$4:$O$150,8,FALSE)="",VLOOKUP($A27,'[16]0921'!$A$4:$O$150,12,FALSE),VLOOKUP($A27,'[16]0921'!$A$4:$O$150,8,FALSE))</f>
        <v/>
      </c>
      <c r="S27" s="4" t="str">
        <f>IF(VLOOKUP($A27,'[17]0920'!$A$4:$O$150,8,FALSE)="",VLOOKUP($A27,'[17]0920'!$A$4:$O$150,12,FALSE),VLOOKUP($A27,'[17]0920'!$A$4:$O$150,8,FALSE))</f>
        <v/>
      </c>
      <c r="T27" s="4" t="s">
        <v>0</v>
      </c>
      <c r="U27" s="4" t="s">
        <v>0</v>
      </c>
      <c r="W27" s="4" t="s">
        <v>0</v>
      </c>
      <c r="X27" s="4">
        <v>1.131</v>
      </c>
      <c r="Y27" s="4" t="s">
        <v>0</v>
      </c>
      <c r="Z27" s="4" t="s">
        <v>0</v>
      </c>
      <c r="AA27" s="4" t="s">
        <v>0</v>
      </c>
      <c r="AB27" s="4" t="s">
        <v>0</v>
      </c>
      <c r="AC27" s="4" t="s">
        <v>0</v>
      </c>
      <c r="AD27" s="4" t="s">
        <v>0</v>
      </c>
      <c r="AE27" s="4" t="s">
        <v>0</v>
      </c>
      <c r="AF27" s="4" t="s">
        <v>0</v>
      </c>
      <c r="AG27" s="4" t="s">
        <v>0</v>
      </c>
      <c r="AH27" s="4" t="s">
        <v>0</v>
      </c>
      <c r="AI27" s="4" t="s">
        <v>0</v>
      </c>
      <c r="AJ27" s="4" t="s">
        <v>0</v>
      </c>
      <c r="AK27" s="4" t="s">
        <v>0</v>
      </c>
      <c r="AL27" s="4" t="s">
        <v>0</v>
      </c>
      <c r="AM27" s="4" t="s">
        <v>0</v>
      </c>
      <c r="AN27" s="4" t="s">
        <v>0</v>
      </c>
      <c r="AP27" s="4" t="s">
        <v>0</v>
      </c>
      <c r="AQ27" s="4">
        <v>1.0649999999999999</v>
      </c>
      <c r="AR27" s="4" t="s">
        <v>0</v>
      </c>
      <c r="AU27" s="4" t="s">
        <v>0</v>
      </c>
    </row>
    <row r="28" spans="1:47">
      <c r="A28" s="3" t="s">
        <v>214</v>
      </c>
      <c r="B28" s="5">
        <f>VLOOKUP($A28,'[21]1013'!$A$4:$O$321,4,FALSE)</f>
        <v>3.29</v>
      </c>
      <c r="C28" s="5">
        <v>3.54</v>
      </c>
      <c r="D28" s="5">
        <f>VLOOKUP($A28,'[21]1013'!$A$4:$O$321,15,FALSE)</f>
        <v>1.1437999999999999</v>
      </c>
      <c r="E28" s="4" t="str">
        <f>IF(VLOOKUP($A28,'[21]1013'!$A$4:$O$150,8,FALSE)="",VLOOKUP($A28,'[21]1013'!$A$4:$O$150,12,FALSE),VLOOKUP($A28,'[21]1013'!$A$4:$O$150,8,FALSE))</f>
        <v/>
      </c>
      <c r="F28" s="4" t="str">
        <f>IF(VLOOKUP($A28,'[7]1012'!$A$4:$O$150,8,FALSE)="",VLOOKUP($A28,'[7]1012'!$A$4:$O$150,12,FALSE),VLOOKUP($A28,'[7]1012'!$A$4:$O$150,8,FALSE))</f>
        <v/>
      </c>
      <c r="G28" s="4" t="str">
        <f>IF(VLOOKUP($A28,'[8]1011'!$A$4:$O$150,8,FALSE)="",VLOOKUP($A28,'[8]1011'!$A$4:$O$150,12,FALSE),VLOOKUP($A28,'[8]1011'!$A$4:$O$150,8,FALSE))</f>
        <v/>
      </c>
      <c r="H28" s="106"/>
      <c r="I28" s="4" t="str">
        <f>IF(VLOOKUP($A28,'[9]1005'!$A$4:$O$150,8,FALSE)="",VLOOKUP($A28,'[9]1005'!$A$4:$O$150,12,FALSE),VLOOKUP($A28,'[9]1005'!$A$4:$O$150,8,FALSE))</f>
        <v/>
      </c>
      <c r="J28" s="4" t="str">
        <f>IF(VLOOKUP($A28,'[10]1004'!$A$4:$O$150,8,FALSE)="",VLOOKUP($A28,'[10]1004'!$A$4:$O$150,12,FALSE),VLOOKUP($A28,'[10]1004'!$A$4:$O$150,8,FALSE))</f>
        <v/>
      </c>
      <c r="K28" s="4" t="str">
        <f>IF(VLOOKUP($A28,'[11]1003'!$A$4:$O$150,8,FALSE)="",VLOOKUP($A28,'[11]1003'!$A$4:$O$150,12,FALSE),VLOOKUP($A28,'[11]1003'!$A$4:$O$150,8,FALSE))</f>
        <v/>
      </c>
      <c r="L28" s="4" t="str">
        <f>IF(VLOOKUP($A28,'[12]1002'!$A$4:$O$150,8,FALSE)="",VLOOKUP($A28,'[12]1002'!$A$4:$O$150,12,FALSE),VLOOKUP($A28,'[12]1002'!$A$4:$O$150,8,FALSE))</f>
        <v/>
      </c>
      <c r="M28" s="106"/>
      <c r="N28" s="4" t="str">
        <f>IF(VLOOKUP($A28,'[13]0927'!$A$4:$O$150,8,FALSE)="",VLOOKUP($A28,'[13]0927'!$A$4:$O$150,12,FALSE),VLOOKUP($A28,'[13]0927'!$A$4:$O$150,8,FALSE))</f>
        <v/>
      </c>
      <c r="O28" s="5"/>
      <c r="P28" s="4" t="str">
        <f>IF(VLOOKUP($A28,'[14]0925'!$A$4:$O$150,8,FALSE)="",VLOOKUP($A28,'[14]0925'!$A$4:$O$150,12,FALSE),VLOOKUP($A28,'[14]0925'!$A$4:$O$150,8,FALSE))</f>
        <v/>
      </c>
      <c r="Q28" s="4" t="str">
        <f>IF(VLOOKUP($A28,'[15]0922'!$A$4:$O$150,8,FALSE)="",VLOOKUP($A28,'[15]0922'!$A$4:$O$150,12,FALSE),VLOOKUP($A28,'[15]0922'!$A$4:$O$150,8,FALSE))</f>
        <v/>
      </c>
      <c r="R28" s="4" t="str">
        <f>IF(VLOOKUP($A28,'[16]0921'!$A$4:$O$150,8,FALSE)="",VLOOKUP($A28,'[16]0921'!$A$4:$O$150,12,FALSE),VLOOKUP($A28,'[16]0921'!$A$4:$O$150,8,FALSE))</f>
        <v/>
      </c>
      <c r="S28" s="4" t="str">
        <f>IF(VLOOKUP($A28,'[17]0920'!$A$4:$O$150,8,FALSE)="",VLOOKUP($A28,'[17]0920'!$A$4:$O$150,12,FALSE),VLOOKUP($A28,'[17]0920'!$A$4:$O$150,8,FALSE))</f>
        <v/>
      </c>
      <c r="T28" s="4" t="s">
        <v>0</v>
      </c>
      <c r="U28" s="4" t="s">
        <v>0</v>
      </c>
      <c r="W28" s="4" t="s">
        <v>0</v>
      </c>
      <c r="X28" s="4" t="s">
        <v>0</v>
      </c>
      <c r="Y28" s="4" t="s">
        <v>0</v>
      </c>
      <c r="Z28" s="4" t="s">
        <v>0</v>
      </c>
      <c r="AA28" s="4" t="s">
        <v>0</v>
      </c>
      <c r="AB28" s="4" t="s">
        <v>0</v>
      </c>
      <c r="AC28" s="4" t="s">
        <v>0</v>
      </c>
      <c r="AD28" s="4" t="s">
        <v>0</v>
      </c>
      <c r="AE28" s="4" t="s">
        <v>0</v>
      </c>
      <c r="AF28" s="4" t="s">
        <v>0</v>
      </c>
      <c r="AG28" s="4" t="s">
        <v>0</v>
      </c>
      <c r="AH28" s="4" t="s">
        <v>0</v>
      </c>
      <c r="AI28" s="4" t="s">
        <v>0</v>
      </c>
      <c r="AJ28" s="4" t="s">
        <v>0</v>
      </c>
      <c r="AK28" s="4" t="s">
        <v>0</v>
      </c>
      <c r="AL28" s="4" t="s">
        <v>0</v>
      </c>
      <c r="AM28" s="4" t="s">
        <v>0</v>
      </c>
      <c r="AN28" s="4" t="s">
        <v>0</v>
      </c>
      <c r="AP28" s="4" t="s">
        <v>0</v>
      </c>
      <c r="AQ28" s="4" t="s">
        <v>0</v>
      </c>
      <c r="AR28" s="4" t="s">
        <v>0</v>
      </c>
      <c r="AU28" s="4" t="s">
        <v>0</v>
      </c>
    </row>
    <row r="29" spans="1:47">
      <c r="A29" s="3" t="s">
        <v>224</v>
      </c>
      <c r="B29" s="5">
        <f>VLOOKUP($A29,'[21]1013'!$A$4:$O$321,4,FALSE)</f>
        <v>3.58</v>
      </c>
      <c r="C29" s="5">
        <v>3.87</v>
      </c>
      <c r="D29" s="5">
        <f>VLOOKUP($A29,'[21]1013'!$A$4:$O$321,15,FALSE)</f>
        <v>1.1639999999999999</v>
      </c>
      <c r="E29" s="4" t="str">
        <f>IF(VLOOKUP($A29,'[21]1013'!$A$4:$O$150,8,FALSE)="",VLOOKUP($A29,'[21]1013'!$A$4:$O$150,12,FALSE),VLOOKUP($A29,'[21]1013'!$A$4:$O$150,8,FALSE))</f>
        <v/>
      </c>
      <c r="F29" s="4">
        <f>IF(VLOOKUP($A29,'[7]1012'!$A$4:$O$150,8,FALSE)="",VLOOKUP($A29,'[7]1012'!$A$4:$O$150,12,FALSE),VLOOKUP($A29,'[7]1012'!$A$4:$O$150,8,FALSE))</f>
        <v>1.1904999999999999</v>
      </c>
      <c r="G29" s="4">
        <f>IF(VLOOKUP($A29,'[8]1011'!$A$4:$O$150,8,FALSE)="",VLOOKUP($A29,'[8]1011'!$A$4:$O$150,12,FALSE),VLOOKUP($A29,'[8]1011'!$A$4:$O$150,8,FALSE))</f>
        <v>1.2004999999999999</v>
      </c>
      <c r="H29" s="106"/>
      <c r="I29" s="4" t="str">
        <f>IF(VLOOKUP($A29,'[9]1005'!$A$4:$O$150,8,FALSE)="",VLOOKUP($A29,'[9]1005'!$A$4:$O$150,12,FALSE),VLOOKUP($A29,'[9]1005'!$A$4:$O$150,8,FALSE))</f>
        <v/>
      </c>
      <c r="J29" s="4" t="str">
        <f>IF(VLOOKUP($A29,'[10]1004'!$A$4:$O$150,8,FALSE)="",VLOOKUP($A29,'[10]1004'!$A$4:$O$150,12,FALSE),VLOOKUP($A29,'[10]1004'!$A$4:$O$150,8,FALSE))</f>
        <v/>
      </c>
      <c r="K29" s="4" t="str">
        <f>IF(VLOOKUP($A29,'[11]1003'!$A$4:$O$150,8,FALSE)="",VLOOKUP($A29,'[11]1003'!$A$4:$O$150,12,FALSE),VLOOKUP($A29,'[11]1003'!$A$4:$O$150,8,FALSE))</f>
        <v/>
      </c>
      <c r="L29" s="4" t="str">
        <f>IF(VLOOKUP($A29,'[12]1002'!$A$4:$O$150,8,FALSE)="",VLOOKUP($A29,'[12]1002'!$A$4:$O$150,12,FALSE),VLOOKUP($A29,'[12]1002'!$A$4:$O$150,8,FALSE))</f>
        <v/>
      </c>
      <c r="M29" s="106"/>
      <c r="N29" s="4" t="str">
        <f>IF(VLOOKUP($A29,'[13]0927'!$A$4:$O$150,8,FALSE)="",VLOOKUP($A29,'[13]0927'!$A$4:$O$150,12,FALSE),VLOOKUP($A29,'[13]0927'!$A$4:$O$150,8,FALSE))</f>
        <v/>
      </c>
      <c r="O29" s="5"/>
      <c r="P29" s="4" t="str">
        <f>IF(VLOOKUP($A29,'[14]0925'!$A$4:$O$150,8,FALSE)="",VLOOKUP($A29,'[14]0925'!$A$4:$O$150,12,FALSE),VLOOKUP($A29,'[14]0925'!$A$4:$O$150,8,FALSE))</f>
        <v/>
      </c>
      <c r="Q29" s="4" t="str">
        <f>IF(VLOOKUP($A29,'[15]0922'!$A$4:$O$150,8,FALSE)="",VLOOKUP($A29,'[15]0922'!$A$4:$O$150,12,FALSE),VLOOKUP($A29,'[15]0922'!$A$4:$O$150,8,FALSE))</f>
        <v/>
      </c>
      <c r="R29" s="4" t="str">
        <f>IF(VLOOKUP($A29,'[16]0921'!$A$4:$O$150,8,FALSE)="",VLOOKUP($A29,'[16]0921'!$A$4:$O$150,12,FALSE),VLOOKUP($A29,'[16]0921'!$A$4:$O$150,8,FALSE))</f>
        <v/>
      </c>
      <c r="S29" s="4" t="str">
        <f>IF(VLOOKUP($A29,'[17]0920'!$A$4:$O$150,8,FALSE)="",VLOOKUP($A29,'[17]0920'!$A$4:$O$150,12,FALSE),VLOOKUP($A29,'[17]0920'!$A$4:$O$150,8,FALSE))</f>
        <v/>
      </c>
      <c r="T29" s="4" t="s">
        <v>0</v>
      </c>
      <c r="U29" s="4" t="s">
        <v>0</v>
      </c>
      <c r="W29" s="4" t="s">
        <v>0</v>
      </c>
      <c r="X29" s="4" t="s">
        <v>0</v>
      </c>
      <c r="Y29" s="4" t="s">
        <v>0</v>
      </c>
      <c r="Z29" s="4">
        <v>1.0805</v>
      </c>
      <c r="AA29" s="4">
        <v>1.0805</v>
      </c>
      <c r="AB29" s="4" t="s">
        <v>0</v>
      </c>
      <c r="AC29" s="4" t="s">
        <v>0</v>
      </c>
      <c r="AD29" s="4" t="s">
        <v>0</v>
      </c>
      <c r="AE29" s="4" t="s">
        <v>0</v>
      </c>
      <c r="AF29" s="4">
        <v>1.0805</v>
      </c>
      <c r="AG29" s="4" t="s">
        <v>0</v>
      </c>
      <c r="AH29" s="4" t="s">
        <v>0</v>
      </c>
      <c r="AI29" s="4" t="s">
        <v>0</v>
      </c>
      <c r="AJ29" s="4" t="s">
        <v>0</v>
      </c>
      <c r="AK29" s="4" t="s">
        <v>0</v>
      </c>
      <c r="AL29" s="4" t="s">
        <v>0</v>
      </c>
      <c r="AM29" s="4" t="s">
        <v>0</v>
      </c>
      <c r="AN29" s="4" t="s">
        <v>0</v>
      </c>
      <c r="AP29" s="4" t="s">
        <v>0</v>
      </c>
      <c r="AQ29" s="4" t="s">
        <v>0</v>
      </c>
      <c r="AR29" s="4" t="s">
        <v>0</v>
      </c>
      <c r="AU29" s="4" t="s">
        <v>0</v>
      </c>
    </row>
    <row r="30" spans="1:47">
      <c r="A30" s="3" t="s">
        <v>259</v>
      </c>
      <c r="B30" s="5">
        <f>VLOOKUP($A30,'[21]1013'!$A$4:$O$321,4,FALSE)</f>
        <v>3.82</v>
      </c>
      <c r="C30" s="5">
        <v>4.12</v>
      </c>
      <c r="D30" s="5">
        <f>VLOOKUP($A30,'[21]1013'!$A$4:$O$321,15,FALSE)</f>
        <v>1.18</v>
      </c>
      <c r="E30" s="4" t="str">
        <f>IF(VLOOKUP($A30,'[21]1013'!$A$4:$O$150,8,FALSE)="",VLOOKUP($A30,'[21]1013'!$A$4:$O$150,12,FALSE),VLOOKUP($A30,'[21]1013'!$A$4:$O$150,8,FALSE))</f>
        <v/>
      </c>
      <c r="F30" s="4" t="str">
        <f>IF(VLOOKUP($A30,'[7]1012'!$A$4:$O$150,8,FALSE)="",VLOOKUP($A30,'[7]1012'!$A$4:$O$150,12,FALSE),VLOOKUP($A30,'[7]1012'!$A$4:$O$150,8,FALSE))</f>
        <v/>
      </c>
      <c r="G30" s="4">
        <f>IF(VLOOKUP($A30,'[8]1011'!$A$4:$O$150,8,FALSE)="",VLOOKUP($A30,'[8]1011'!$A$4:$O$150,12,FALSE),VLOOKUP($A30,'[8]1011'!$A$4:$O$150,8,FALSE))</f>
        <v>1.2055</v>
      </c>
      <c r="H30" s="106">
        <f>VLOOKUP($A30,'[18]1006'!$A$5:$P$270,12,FALSE)</f>
        <v>1.2004999999999999</v>
      </c>
      <c r="I30" s="4" t="str">
        <f>IF(VLOOKUP($A30,'[9]1005'!$A$4:$O$150,8,FALSE)="",VLOOKUP($A30,'[9]1005'!$A$4:$O$150,12,FALSE),VLOOKUP($A30,'[9]1005'!$A$4:$O$150,8,FALSE))</f>
        <v/>
      </c>
      <c r="J30" s="4" t="str">
        <f>IF(VLOOKUP($A30,'[10]1004'!$A$4:$O$150,8,FALSE)="",VLOOKUP($A30,'[10]1004'!$A$4:$O$150,12,FALSE),VLOOKUP($A30,'[10]1004'!$A$4:$O$150,8,FALSE))</f>
        <v/>
      </c>
      <c r="K30" s="4" t="str">
        <f>IF(VLOOKUP($A30,'[11]1003'!$A$4:$O$150,8,FALSE)="",VLOOKUP($A30,'[11]1003'!$A$4:$O$150,12,FALSE),VLOOKUP($A30,'[11]1003'!$A$4:$O$150,8,FALSE))</f>
        <v/>
      </c>
      <c r="L30" s="4" t="str">
        <f>IF(VLOOKUP($A30,'[12]1002'!$A$4:$O$150,8,FALSE)="",VLOOKUP($A30,'[12]1002'!$A$4:$O$150,12,FALSE),VLOOKUP($A30,'[12]1002'!$A$4:$O$150,8,FALSE))</f>
        <v/>
      </c>
      <c r="M30" s="106"/>
      <c r="N30" s="4" t="str">
        <f>IF(VLOOKUP($A30,'[13]0927'!$A$4:$O$150,8,FALSE)="",VLOOKUP($A30,'[13]0927'!$A$4:$O$150,12,FALSE),VLOOKUP($A30,'[13]0927'!$A$4:$O$150,8,FALSE))</f>
        <v/>
      </c>
      <c r="O30" s="5"/>
      <c r="P30" s="4" t="str">
        <f>IF(VLOOKUP($A30,'[14]0925'!$A$4:$O$150,8,FALSE)="",VLOOKUP($A30,'[14]0925'!$A$4:$O$150,12,FALSE),VLOOKUP($A30,'[14]0925'!$A$4:$O$150,8,FALSE))</f>
        <v/>
      </c>
      <c r="Q30" s="4" t="str">
        <f>IF(VLOOKUP($A30,'[15]0922'!$A$4:$O$150,8,FALSE)="",VLOOKUP($A30,'[15]0922'!$A$4:$O$150,12,FALSE),VLOOKUP($A30,'[15]0922'!$A$4:$O$150,8,FALSE))</f>
        <v/>
      </c>
      <c r="R30" s="4" t="str">
        <f>IF(VLOOKUP($A30,'[16]0921'!$A$4:$O$150,8,FALSE)="",VLOOKUP($A30,'[16]0921'!$A$4:$O$150,12,FALSE),VLOOKUP($A30,'[16]0921'!$A$4:$O$150,8,FALSE))</f>
        <v/>
      </c>
      <c r="S30" s="4" t="str">
        <f>IF(VLOOKUP($A30,'[17]0920'!$A$4:$O$150,8,FALSE)="",VLOOKUP($A30,'[17]0920'!$A$4:$O$150,12,FALSE),VLOOKUP($A30,'[17]0920'!$A$4:$O$150,8,FALSE))</f>
        <v/>
      </c>
      <c r="T30" s="4" t="s">
        <v>0</v>
      </c>
      <c r="U30" s="4" t="s">
        <v>0</v>
      </c>
      <c r="W30" s="4" t="s">
        <v>0</v>
      </c>
      <c r="X30" s="4" t="s">
        <v>0</v>
      </c>
      <c r="Y30" s="4" t="s">
        <v>0</v>
      </c>
      <c r="Z30" s="4" t="s">
        <v>0</v>
      </c>
      <c r="AA30" s="4" t="s">
        <v>0</v>
      </c>
      <c r="AB30" s="4" t="s">
        <v>0</v>
      </c>
      <c r="AC30" s="4" t="s">
        <v>0</v>
      </c>
      <c r="AD30" s="4" t="s">
        <v>0</v>
      </c>
      <c r="AE30" s="4" t="s">
        <v>0</v>
      </c>
      <c r="AF30" s="4" t="s">
        <v>0</v>
      </c>
      <c r="AG30" s="4">
        <v>1.1105</v>
      </c>
      <c r="AH30" s="4" t="s">
        <v>0</v>
      </c>
      <c r="AI30" s="4" t="s">
        <v>0</v>
      </c>
      <c r="AJ30" s="4" t="s">
        <v>0</v>
      </c>
      <c r="AK30" s="4" t="s">
        <v>0</v>
      </c>
      <c r="AL30" s="4">
        <v>1.0901000000000001</v>
      </c>
      <c r="AM30" s="4">
        <v>1.0825</v>
      </c>
      <c r="AN30" s="4" t="s">
        <v>0</v>
      </c>
      <c r="AP30" s="4" t="s">
        <v>0</v>
      </c>
      <c r="AQ30" s="4" t="s">
        <v>0</v>
      </c>
      <c r="AR30" s="4" t="s">
        <v>0</v>
      </c>
      <c r="AU30" s="4" t="s">
        <v>0</v>
      </c>
    </row>
    <row r="31" spans="1:47">
      <c r="A31" s="3" t="s">
        <v>13</v>
      </c>
      <c r="B31" s="5">
        <f>VLOOKUP($A31,'[21]1013'!$A$4:$O$321,4,FALSE)</f>
        <v>3.77</v>
      </c>
      <c r="C31" s="5">
        <v>4.2699999999999996</v>
      </c>
      <c r="D31" s="5">
        <f>VLOOKUP($A31,'[21]1013'!$A$4:$O$321,15,FALSE)</f>
        <v>1.1870000000000001</v>
      </c>
      <c r="E31" s="4" t="str">
        <f>IF(VLOOKUP($A31,'[21]1013'!$A$4:$O$150,8,FALSE)="",VLOOKUP($A31,'[21]1013'!$A$4:$O$150,12,FALSE),VLOOKUP($A31,'[21]1013'!$A$4:$O$150,8,FALSE))</f>
        <v/>
      </c>
      <c r="F31" s="4" t="str">
        <f>IF(VLOOKUP($A31,'[7]1012'!$A$4:$O$150,8,FALSE)="",VLOOKUP($A31,'[7]1012'!$A$4:$O$150,12,FALSE),VLOOKUP($A31,'[7]1012'!$A$4:$O$150,8,FALSE))</f>
        <v/>
      </c>
      <c r="G31" s="4" t="str">
        <f>IF(VLOOKUP($A31,'[8]1011'!$A$4:$O$150,8,FALSE)="",VLOOKUP($A31,'[8]1011'!$A$4:$O$150,12,FALSE),VLOOKUP($A31,'[8]1011'!$A$4:$O$150,8,FALSE))</f>
        <v/>
      </c>
      <c r="H31" s="106"/>
      <c r="I31" s="4" t="str">
        <f>IF(VLOOKUP($A31,'[9]1005'!$A$4:$O$150,8,FALSE)="",VLOOKUP($A31,'[9]1005'!$A$4:$O$150,12,FALSE),VLOOKUP($A31,'[9]1005'!$A$4:$O$150,8,FALSE))</f>
        <v/>
      </c>
      <c r="J31" s="4" t="str">
        <f>IF(VLOOKUP($A31,'[10]1004'!$A$4:$O$150,8,FALSE)="",VLOOKUP($A31,'[10]1004'!$A$4:$O$150,12,FALSE),VLOOKUP($A31,'[10]1004'!$A$4:$O$150,8,FALSE))</f>
        <v/>
      </c>
      <c r="K31" s="4" t="str">
        <f>IF(VLOOKUP($A31,'[11]1003'!$A$4:$O$150,8,FALSE)="",VLOOKUP($A31,'[11]1003'!$A$4:$O$150,12,FALSE),VLOOKUP($A31,'[11]1003'!$A$4:$O$150,8,FALSE))</f>
        <v/>
      </c>
      <c r="L31" s="4" t="str">
        <f>IF(VLOOKUP($A31,'[12]1002'!$A$4:$O$150,8,FALSE)="",VLOOKUP($A31,'[12]1002'!$A$4:$O$150,12,FALSE),VLOOKUP($A31,'[12]1002'!$A$4:$O$150,8,FALSE))</f>
        <v/>
      </c>
      <c r="M31" s="106"/>
      <c r="N31" s="4" t="str">
        <f>IF(VLOOKUP($A31,'[13]0927'!$A$4:$O$150,8,FALSE)="",VLOOKUP($A31,'[13]0927'!$A$4:$O$150,12,FALSE),VLOOKUP($A31,'[13]0927'!$A$4:$O$150,8,FALSE))</f>
        <v/>
      </c>
      <c r="O31" s="5"/>
      <c r="P31" s="4" t="str">
        <f>IF(VLOOKUP($A31,'[14]0925'!$A$4:$O$150,8,FALSE)="",VLOOKUP($A31,'[14]0925'!$A$4:$O$150,12,FALSE),VLOOKUP($A31,'[14]0925'!$A$4:$O$150,8,FALSE))</f>
        <v/>
      </c>
      <c r="Q31" s="4" t="str">
        <f>IF(VLOOKUP($A31,'[15]0922'!$A$4:$O$150,8,FALSE)="",VLOOKUP($A31,'[15]0922'!$A$4:$O$150,12,FALSE),VLOOKUP($A31,'[15]0922'!$A$4:$O$150,8,FALSE))</f>
        <v/>
      </c>
      <c r="R31" s="4" t="str">
        <f>IF(VLOOKUP($A31,'[16]0921'!$A$4:$O$150,8,FALSE)="",VLOOKUP($A31,'[16]0921'!$A$4:$O$150,12,FALSE),VLOOKUP($A31,'[16]0921'!$A$4:$O$150,8,FALSE))</f>
        <v/>
      </c>
      <c r="S31" s="4" t="str">
        <f>IF(VLOOKUP($A31,'[17]0920'!$A$4:$O$150,8,FALSE)="",VLOOKUP($A31,'[17]0920'!$A$4:$O$150,12,FALSE),VLOOKUP($A31,'[17]0920'!$A$4:$O$150,8,FALSE))</f>
        <v/>
      </c>
      <c r="T31" s="4" t="s">
        <v>0</v>
      </c>
      <c r="U31" s="4" t="s">
        <v>0</v>
      </c>
      <c r="W31" s="4" t="s">
        <v>0</v>
      </c>
      <c r="X31" s="4" t="s">
        <v>0</v>
      </c>
      <c r="Y31" s="4" t="s">
        <v>0</v>
      </c>
      <c r="Z31" s="4" t="s">
        <v>0</v>
      </c>
      <c r="AA31" s="4" t="s">
        <v>0</v>
      </c>
      <c r="AB31" s="4" t="s">
        <v>0</v>
      </c>
      <c r="AC31" s="4" t="s">
        <v>0</v>
      </c>
      <c r="AD31" s="4" t="s">
        <v>0</v>
      </c>
      <c r="AE31" s="4" t="s">
        <v>0</v>
      </c>
      <c r="AF31" s="4" t="s">
        <v>0</v>
      </c>
      <c r="AG31" s="4" t="s">
        <v>0</v>
      </c>
      <c r="AH31" s="4" t="s">
        <v>0</v>
      </c>
      <c r="AI31" s="4" t="s">
        <v>0</v>
      </c>
      <c r="AJ31" s="4" t="s">
        <v>0</v>
      </c>
      <c r="AK31" s="4" t="s">
        <v>0</v>
      </c>
      <c r="AL31" s="4" t="s">
        <v>0</v>
      </c>
      <c r="AM31" s="4" t="s">
        <v>0</v>
      </c>
      <c r="AN31" s="4" t="s">
        <v>0</v>
      </c>
      <c r="AP31" s="4" t="s">
        <v>0</v>
      </c>
      <c r="AQ31" s="4" t="s">
        <v>0</v>
      </c>
      <c r="AR31" s="4" t="s">
        <v>0</v>
      </c>
      <c r="AU31" s="4" t="s">
        <v>0</v>
      </c>
    </row>
    <row r="32" spans="1:47">
      <c r="A32" s="3" t="s">
        <v>1</v>
      </c>
      <c r="B32" s="5">
        <f>VLOOKUP($A32,'[21]1013'!$A$4:$O$321,4,FALSE)</f>
        <v>3.82</v>
      </c>
      <c r="C32" s="5">
        <v>4.1100000000000003</v>
      </c>
      <c r="D32" s="5">
        <f>VLOOKUP($A32,'[21]1013'!$A$4:$O$321,15,FALSE)</f>
        <v>1.1798999999999999</v>
      </c>
      <c r="E32" s="4" t="str">
        <f>IF(VLOOKUP($A32,'[21]1013'!$A$4:$O$150,8,FALSE)="",VLOOKUP($A32,'[21]1013'!$A$4:$O$150,12,FALSE),VLOOKUP($A32,'[21]1013'!$A$4:$O$150,8,FALSE))</f>
        <v/>
      </c>
      <c r="F32" s="4" t="str">
        <f>IF(VLOOKUP($A32,'[7]1012'!$A$4:$O$150,8,FALSE)="",VLOOKUP($A32,'[7]1012'!$A$4:$O$150,12,FALSE),VLOOKUP($A32,'[7]1012'!$A$4:$O$150,8,FALSE))</f>
        <v/>
      </c>
      <c r="G32" s="4" t="str">
        <f>IF(VLOOKUP($A32,'[8]1011'!$A$4:$O$150,8,FALSE)="",VLOOKUP($A32,'[8]1011'!$A$4:$O$150,12,FALSE),VLOOKUP($A32,'[8]1011'!$A$4:$O$150,8,FALSE))</f>
        <v/>
      </c>
      <c r="H32" s="106"/>
      <c r="I32" s="4" t="str">
        <f>IF(VLOOKUP($A32,'[9]1005'!$A$4:$O$150,8,FALSE)="",VLOOKUP($A32,'[9]1005'!$A$4:$O$150,12,FALSE),VLOOKUP($A32,'[9]1005'!$A$4:$O$150,8,FALSE))</f>
        <v/>
      </c>
      <c r="J32" s="4" t="str">
        <f>IF(VLOOKUP($A32,'[10]1004'!$A$4:$O$150,8,FALSE)="",VLOOKUP($A32,'[10]1004'!$A$4:$O$150,12,FALSE),VLOOKUP($A32,'[10]1004'!$A$4:$O$150,8,FALSE))</f>
        <v/>
      </c>
      <c r="K32" s="4" t="str">
        <f>IF(VLOOKUP($A32,'[11]1003'!$A$4:$O$150,8,FALSE)="",VLOOKUP($A32,'[11]1003'!$A$4:$O$150,12,FALSE),VLOOKUP($A32,'[11]1003'!$A$4:$O$150,8,FALSE))</f>
        <v/>
      </c>
      <c r="L32" s="4" t="str">
        <f>IF(VLOOKUP($A32,'[12]1002'!$A$4:$O$150,8,FALSE)="",VLOOKUP($A32,'[12]1002'!$A$4:$O$150,12,FALSE),VLOOKUP($A32,'[12]1002'!$A$4:$O$150,8,FALSE))</f>
        <v/>
      </c>
      <c r="M32" s="106"/>
      <c r="N32" s="4">
        <f>IF(VLOOKUP($A32,'[13]0927'!$A$4:$O$150,8,FALSE)="",VLOOKUP($A32,'[13]0927'!$A$4:$O$150,12,FALSE),VLOOKUP($A32,'[13]0927'!$A$4:$O$150,8,FALSE))</f>
        <v>1.1435</v>
      </c>
      <c r="O32" s="5"/>
      <c r="P32" s="4" t="str">
        <f>IF(VLOOKUP($A32,'[14]0925'!$A$4:$O$150,8,FALSE)="",VLOOKUP($A32,'[14]0925'!$A$4:$O$150,12,FALSE),VLOOKUP($A32,'[14]0925'!$A$4:$O$150,8,FALSE))</f>
        <v/>
      </c>
      <c r="Q32" s="4">
        <f>IF(VLOOKUP($A32,'[15]0922'!$A$4:$O$150,8,FALSE)="",VLOOKUP($A32,'[15]0922'!$A$4:$O$150,12,FALSE),VLOOKUP($A32,'[15]0922'!$A$4:$O$150,8,FALSE))</f>
        <v>1.1385000000000001</v>
      </c>
      <c r="R32" s="4" t="str">
        <f>IF(VLOOKUP($A32,'[16]0921'!$A$4:$O$150,8,FALSE)="",VLOOKUP($A32,'[16]0921'!$A$4:$O$150,12,FALSE),VLOOKUP($A32,'[16]0921'!$A$4:$O$150,8,FALSE))</f>
        <v/>
      </c>
      <c r="S32" s="4" t="str">
        <f>IF(VLOOKUP($A32,'[17]0920'!$A$4:$O$150,8,FALSE)="",VLOOKUP($A32,'[17]0920'!$A$4:$O$150,12,FALSE),VLOOKUP($A32,'[17]0920'!$A$4:$O$150,8,FALSE))</f>
        <v/>
      </c>
      <c r="T32" s="4" t="s">
        <v>0</v>
      </c>
      <c r="U32" s="4" t="s">
        <v>0</v>
      </c>
      <c r="W32" s="4" t="s">
        <v>0</v>
      </c>
      <c r="X32" s="4" t="s">
        <v>0</v>
      </c>
      <c r="Y32" s="4" t="s">
        <v>0</v>
      </c>
      <c r="Z32" s="4" t="s">
        <v>0</v>
      </c>
      <c r="AA32" s="4" t="s">
        <v>0</v>
      </c>
      <c r="AB32" s="4" t="s">
        <v>0</v>
      </c>
      <c r="AC32" s="4" t="s">
        <v>0</v>
      </c>
      <c r="AD32" s="4" t="s">
        <v>0</v>
      </c>
      <c r="AE32" s="4" t="s">
        <v>0</v>
      </c>
      <c r="AF32" s="4" t="s">
        <v>0</v>
      </c>
      <c r="AG32" s="4" t="s">
        <v>0</v>
      </c>
      <c r="AH32" s="4" t="s">
        <v>0</v>
      </c>
      <c r="AI32" s="4" t="s">
        <v>0</v>
      </c>
      <c r="AJ32" s="4" t="s">
        <v>0</v>
      </c>
      <c r="AK32" s="4" t="s">
        <v>0</v>
      </c>
      <c r="AL32" s="4" t="s">
        <v>0</v>
      </c>
      <c r="AM32" s="4" t="s">
        <v>0</v>
      </c>
      <c r="AN32" s="4" t="s">
        <v>0</v>
      </c>
      <c r="AP32" s="4" t="s">
        <v>0</v>
      </c>
      <c r="AQ32" s="4" t="s">
        <v>0</v>
      </c>
      <c r="AR32" s="4" t="s">
        <v>0</v>
      </c>
      <c r="AU32" s="4" t="s">
        <v>0</v>
      </c>
    </row>
    <row r="33" spans="1:47">
      <c r="A33" s="3" t="s">
        <v>59</v>
      </c>
      <c r="B33" s="5">
        <f>VLOOKUP($A33,'[21]1013'!$A$4:$O$321,4,FALSE)</f>
        <v>4.05</v>
      </c>
      <c r="C33" s="5">
        <v>4.42</v>
      </c>
      <c r="D33" s="5">
        <f>VLOOKUP($A33,'[21]1013'!$A$4:$O$321,15,FALSE)</f>
        <v>1.1995</v>
      </c>
      <c r="E33" s="4" t="str">
        <f>IF(VLOOKUP($A33,'[21]1013'!$A$4:$O$150,8,FALSE)="",VLOOKUP($A33,'[21]1013'!$A$4:$O$150,12,FALSE),VLOOKUP($A33,'[21]1013'!$A$4:$O$150,8,FALSE))</f>
        <v/>
      </c>
      <c r="F33" s="4" t="str">
        <f>IF(VLOOKUP($A33,'[7]1012'!$A$4:$O$150,8,FALSE)="",VLOOKUP($A33,'[7]1012'!$A$4:$O$150,12,FALSE),VLOOKUP($A33,'[7]1012'!$A$4:$O$150,8,FALSE))</f>
        <v/>
      </c>
      <c r="G33" s="4" t="str">
        <f>IF(VLOOKUP($A33,'[8]1011'!$A$4:$O$150,8,FALSE)="",VLOOKUP($A33,'[8]1011'!$A$4:$O$150,12,FALSE),VLOOKUP($A33,'[8]1011'!$A$4:$O$150,8,FALSE))</f>
        <v/>
      </c>
      <c r="H33" s="106"/>
      <c r="I33" s="4" t="str">
        <f>IF(VLOOKUP($A33,'[9]1005'!$A$4:$O$150,8,FALSE)="",VLOOKUP($A33,'[9]1005'!$A$4:$O$150,12,FALSE),VLOOKUP($A33,'[9]1005'!$A$4:$O$150,8,FALSE))</f>
        <v/>
      </c>
      <c r="J33" s="4" t="str">
        <f>IF(VLOOKUP($A33,'[10]1004'!$A$4:$O$150,8,FALSE)="",VLOOKUP($A33,'[10]1004'!$A$4:$O$150,12,FALSE),VLOOKUP($A33,'[10]1004'!$A$4:$O$150,8,FALSE))</f>
        <v/>
      </c>
      <c r="K33" s="4" t="str">
        <f>IF(VLOOKUP($A33,'[11]1003'!$A$4:$O$150,8,FALSE)="",VLOOKUP($A33,'[11]1003'!$A$4:$O$150,12,FALSE),VLOOKUP($A33,'[11]1003'!$A$4:$O$150,8,FALSE))</f>
        <v/>
      </c>
      <c r="L33" s="4" t="str">
        <f>IF(VLOOKUP($A33,'[12]1002'!$A$4:$O$150,8,FALSE)="",VLOOKUP($A33,'[12]1002'!$A$4:$O$150,12,FALSE),VLOOKUP($A33,'[12]1002'!$A$4:$O$150,8,FALSE))</f>
        <v/>
      </c>
      <c r="M33" s="106"/>
      <c r="N33" s="4" t="str">
        <f>IF(VLOOKUP($A33,'[13]0927'!$A$4:$O$150,8,FALSE)="",VLOOKUP($A33,'[13]0927'!$A$4:$O$150,12,FALSE),VLOOKUP($A33,'[13]0927'!$A$4:$O$150,8,FALSE))</f>
        <v/>
      </c>
      <c r="O33" s="5"/>
      <c r="P33" s="4" t="str">
        <f>IF(VLOOKUP($A33,'[14]0925'!$A$4:$O$150,8,FALSE)="",VLOOKUP($A33,'[14]0925'!$A$4:$O$150,12,FALSE),VLOOKUP($A33,'[14]0925'!$A$4:$O$150,8,FALSE))</f>
        <v/>
      </c>
      <c r="Q33" s="4" t="str">
        <f>IF(VLOOKUP($A33,'[15]0922'!$A$4:$O$150,8,FALSE)="",VLOOKUP($A33,'[15]0922'!$A$4:$O$150,12,FALSE),VLOOKUP($A33,'[15]0922'!$A$4:$O$150,8,FALSE))</f>
        <v/>
      </c>
      <c r="R33" s="4" t="str">
        <f>IF(VLOOKUP($A33,'[16]0921'!$A$4:$O$150,8,FALSE)="",VLOOKUP($A33,'[16]0921'!$A$4:$O$150,12,FALSE),VLOOKUP($A33,'[16]0921'!$A$4:$O$150,8,FALSE))</f>
        <v/>
      </c>
      <c r="S33" s="4" t="str">
        <f>IF(VLOOKUP($A33,'[17]0920'!$A$4:$O$150,8,FALSE)="",VLOOKUP($A33,'[17]0920'!$A$4:$O$150,12,FALSE),VLOOKUP($A33,'[17]0920'!$A$4:$O$150,8,FALSE))</f>
        <v/>
      </c>
      <c r="T33" s="4" t="s">
        <v>0</v>
      </c>
      <c r="U33" s="4" t="s">
        <v>0</v>
      </c>
      <c r="W33" s="4" t="s">
        <v>0</v>
      </c>
      <c r="X33" s="4" t="s">
        <v>0</v>
      </c>
      <c r="Y33" s="4" t="s">
        <v>0</v>
      </c>
      <c r="Z33" s="4" t="s">
        <v>0</v>
      </c>
      <c r="AA33" s="4" t="s">
        <v>0</v>
      </c>
      <c r="AB33" s="4" t="s">
        <v>0</v>
      </c>
      <c r="AC33" s="4" t="s">
        <v>0</v>
      </c>
      <c r="AD33" s="4" t="s">
        <v>0</v>
      </c>
      <c r="AE33" s="4" t="s">
        <v>0</v>
      </c>
      <c r="AF33" s="4" t="s">
        <v>0</v>
      </c>
      <c r="AG33" s="4" t="s">
        <v>0</v>
      </c>
      <c r="AH33" s="4" t="s">
        <v>0</v>
      </c>
      <c r="AI33" s="4" t="s">
        <v>0</v>
      </c>
      <c r="AJ33" s="4" t="s">
        <v>0</v>
      </c>
      <c r="AK33" s="4" t="s">
        <v>0</v>
      </c>
      <c r="AL33" s="4" t="s">
        <v>0</v>
      </c>
      <c r="AM33" s="4" t="s">
        <v>0</v>
      </c>
      <c r="AN33" s="4" t="s">
        <v>0</v>
      </c>
      <c r="AP33" s="4" t="s">
        <v>0</v>
      </c>
      <c r="AQ33" s="4" t="s">
        <v>0</v>
      </c>
      <c r="AR33" s="4" t="s">
        <v>0</v>
      </c>
      <c r="AU33" s="4" t="s">
        <v>0</v>
      </c>
    </row>
    <row r="34" spans="1:47">
      <c r="A34" s="3" t="s">
        <v>14</v>
      </c>
      <c r="B34" s="5">
        <f>VLOOKUP($A34,'[21]1013'!$A$4:$O$321,4,FALSE)</f>
        <v>4.05</v>
      </c>
      <c r="C34" s="5">
        <v>4.5199999999999996</v>
      </c>
      <c r="D34" s="5">
        <f>VLOOKUP($A34,'[21]1013'!$A$4:$O$321,15,FALSE)</f>
        <v>1.2036</v>
      </c>
      <c r="E34" s="4" t="str">
        <f>IF(VLOOKUP($A34,'[21]1013'!$A$4:$O$150,8,FALSE)="",VLOOKUP($A34,'[21]1013'!$A$4:$O$150,12,FALSE),VLOOKUP($A34,'[21]1013'!$A$4:$O$150,8,FALSE))</f>
        <v/>
      </c>
      <c r="F34" s="4" t="str">
        <f>IF(VLOOKUP($A34,'[7]1012'!$A$4:$O$150,8,FALSE)="",VLOOKUP($A34,'[7]1012'!$A$4:$O$150,12,FALSE),VLOOKUP($A34,'[7]1012'!$A$4:$O$150,8,FALSE))</f>
        <v/>
      </c>
      <c r="G34" s="4" t="str">
        <f>IF(VLOOKUP($A34,'[8]1011'!$A$4:$O$150,8,FALSE)="",VLOOKUP($A34,'[8]1011'!$A$4:$O$150,12,FALSE),VLOOKUP($A34,'[8]1011'!$A$4:$O$150,8,FALSE))</f>
        <v/>
      </c>
      <c r="H34" s="106"/>
      <c r="I34" s="4" t="str">
        <f>IF(VLOOKUP($A34,'[9]1005'!$A$4:$O$150,8,FALSE)="",VLOOKUP($A34,'[9]1005'!$A$4:$O$150,12,FALSE),VLOOKUP($A34,'[9]1005'!$A$4:$O$150,8,FALSE))</f>
        <v/>
      </c>
      <c r="J34" s="4" t="str">
        <f>IF(VLOOKUP($A34,'[10]1004'!$A$4:$O$150,8,FALSE)="",VLOOKUP($A34,'[10]1004'!$A$4:$O$150,12,FALSE),VLOOKUP($A34,'[10]1004'!$A$4:$O$150,8,FALSE))</f>
        <v/>
      </c>
      <c r="K34" s="4" t="str">
        <f>IF(VLOOKUP($A34,'[11]1003'!$A$4:$O$150,8,FALSE)="",VLOOKUP($A34,'[11]1003'!$A$4:$O$150,12,FALSE),VLOOKUP($A34,'[11]1003'!$A$4:$O$150,8,FALSE))</f>
        <v/>
      </c>
      <c r="L34" s="4" t="str">
        <f>IF(VLOOKUP($A34,'[12]1002'!$A$4:$O$150,8,FALSE)="",VLOOKUP($A34,'[12]1002'!$A$4:$O$150,12,FALSE),VLOOKUP($A34,'[12]1002'!$A$4:$O$150,8,FALSE))</f>
        <v/>
      </c>
      <c r="M34" s="106"/>
      <c r="N34" s="4" t="str">
        <f>IF(VLOOKUP($A34,'[13]0927'!$A$4:$O$150,8,FALSE)="",VLOOKUP($A34,'[13]0927'!$A$4:$O$150,12,FALSE),VLOOKUP($A34,'[13]0927'!$A$4:$O$150,8,FALSE))</f>
        <v/>
      </c>
      <c r="O34" s="5"/>
      <c r="P34" s="4" t="str">
        <f>IF(VLOOKUP($A34,'[14]0925'!$A$4:$O$150,8,FALSE)="",VLOOKUP($A34,'[14]0925'!$A$4:$O$150,12,FALSE),VLOOKUP($A34,'[14]0925'!$A$4:$O$150,8,FALSE))</f>
        <v/>
      </c>
      <c r="Q34" s="4" t="str">
        <f>IF(VLOOKUP($A34,'[15]0922'!$A$4:$O$150,8,FALSE)="",VLOOKUP($A34,'[15]0922'!$A$4:$O$150,12,FALSE),VLOOKUP($A34,'[15]0922'!$A$4:$O$150,8,FALSE))</f>
        <v/>
      </c>
      <c r="R34" s="4" t="str">
        <f>IF(VLOOKUP($A34,'[16]0921'!$A$4:$O$150,8,FALSE)="",VLOOKUP($A34,'[16]0921'!$A$4:$O$150,12,FALSE),VLOOKUP($A34,'[16]0921'!$A$4:$O$150,8,FALSE))</f>
        <v/>
      </c>
      <c r="S34" s="4" t="str">
        <f>IF(VLOOKUP($A34,'[17]0920'!$A$4:$O$150,8,FALSE)="",VLOOKUP($A34,'[17]0920'!$A$4:$O$150,12,FALSE),VLOOKUP($A34,'[17]0920'!$A$4:$O$150,8,FALSE))</f>
        <v/>
      </c>
      <c r="T34" s="4" t="s">
        <v>0</v>
      </c>
      <c r="U34" s="4" t="s">
        <v>0</v>
      </c>
      <c r="W34" s="4" t="s">
        <v>0</v>
      </c>
      <c r="X34" s="4" t="s">
        <v>0</v>
      </c>
      <c r="Y34" s="4" t="s">
        <v>0</v>
      </c>
      <c r="Z34" s="4" t="s">
        <v>0</v>
      </c>
      <c r="AA34" s="4" t="s">
        <v>0</v>
      </c>
      <c r="AB34" s="4" t="s">
        <v>0</v>
      </c>
      <c r="AC34" s="4" t="s">
        <v>0</v>
      </c>
      <c r="AD34" s="4" t="s">
        <v>0</v>
      </c>
      <c r="AE34" s="4" t="s">
        <v>0</v>
      </c>
      <c r="AF34" s="4" t="s">
        <v>0</v>
      </c>
      <c r="AG34" s="4" t="s">
        <v>0</v>
      </c>
      <c r="AH34" s="4" t="s">
        <v>0</v>
      </c>
      <c r="AI34" s="4" t="s">
        <v>0</v>
      </c>
      <c r="AJ34" s="4" t="s">
        <v>0</v>
      </c>
      <c r="AK34" s="4" t="s">
        <v>0</v>
      </c>
      <c r="AL34" s="4" t="s">
        <v>0</v>
      </c>
      <c r="AM34" s="4" t="s">
        <v>0</v>
      </c>
      <c r="AN34" s="4" t="s">
        <v>0</v>
      </c>
      <c r="AP34" s="4" t="s">
        <v>0</v>
      </c>
      <c r="AQ34" s="4" t="s">
        <v>0</v>
      </c>
      <c r="AR34" s="4" t="s">
        <v>0</v>
      </c>
      <c r="AU34" s="4" t="s">
        <v>0</v>
      </c>
    </row>
    <row r="35" spans="1:47">
      <c r="A35" s="3" t="s">
        <v>280</v>
      </c>
      <c r="B35" s="5">
        <f>VLOOKUP($A35,'[21]1013'!$A$4:$O$321,4,FALSE)</f>
        <v>4.0999999999999996</v>
      </c>
      <c r="C35" s="5">
        <v>4.4400000000000004</v>
      </c>
      <c r="D35" s="5">
        <f>VLOOKUP($A35,'[21]1013'!$A$4:$O$321,15,FALSE)</f>
        <v>1.2017</v>
      </c>
      <c r="E35" s="4" t="str">
        <f>IF(VLOOKUP($A35,'[21]1013'!$A$4:$O$150,8,FALSE)="",VLOOKUP($A35,'[21]1013'!$A$4:$O$150,12,FALSE),VLOOKUP($A35,'[21]1013'!$A$4:$O$150,8,FALSE))</f>
        <v/>
      </c>
      <c r="F35" s="4" t="str">
        <f>IF(VLOOKUP($A35,'[7]1012'!$A$4:$O$150,8,FALSE)="",VLOOKUP($A35,'[7]1012'!$A$4:$O$150,12,FALSE),VLOOKUP($A35,'[7]1012'!$A$4:$O$150,8,FALSE))</f>
        <v/>
      </c>
      <c r="G35" s="4" t="str">
        <f>IF(VLOOKUP($A35,'[8]1011'!$A$4:$O$150,8,FALSE)="",VLOOKUP($A35,'[8]1011'!$A$4:$O$150,12,FALSE),VLOOKUP($A35,'[8]1011'!$A$4:$O$150,8,FALSE))</f>
        <v/>
      </c>
      <c r="H35" s="106"/>
      <c r="I35" s="4" t="str">
        <f>IF(VLOOKUP($A35,'[9]1005'!$A$4:$O$150,8,FALSE)="",VLOOKUP($A35,'[9]1005'!$A$4:$O$150,12,FALSE),VLOOKUP($A35,'[9]1005'!$A$4:$O$150,8,FALSE))</f>
        <v/>
      </c>
      <c r="J35" s="4" t="str">
        <f>IF(VLOOKUP($A35,'[10]1004'!$A$4:$O$150,8,FALSE)="",VLOOKUP($A35,'[10]1004'!$A$4:$O$150,12,FALSE),VLOOKUP($A35,'[10]1004'!$A$4:$O$150,8,FALSE))</f>
        <v/>
      </c>
      <c r="K35" s="4" t="str">
        <f>IF(VLOOKUP($A35,'[11]1003'!$A$4:$O$150,8,FALSE)="",VLOOKUP($A35,'[11]1003'!$A$4:$O$150,12,FALSE),VLOOKUP($A35,'[11]1003'!$A$4:$O$150,8,FALSE))</f>
        <v/>
      </c>
      <c r="L35" s="4" t="str">
        <f>IF(VLOOKUP($A35,'[12]1002'!$A$4:$O$150,8,FALSE)="",VLOOKUP($A35,'[12]1002'!$A$4:$O$150,12,FALSE),VLOOKUP($A35,'[12]1002'!$A$4:$O$150,8,FALSE))</f>
        <v/>
      </c>
      <c r="M35" s="106">
        <f>VLOOKUP($A35,'[19]0928'!$A$5:$P$27,12,FALSE)</f>
        <v>1.1625000000000001</v>
      </c>
      <c r="N35" s="4">
        <f>IF(VLOOKUP($A35,'[13]0927'!$A$4:$O$150,8,FALSE)="",VLOOKUP($A35,'[13]0927'!$A$4:$O$150,12,FALSE),VLOOKUP($A35,'[13]0927'!$A$4:$O$150,8,FALSE))</f>
        <v>1.1539999999999999</v>
      </c>
      <c r="O35" s="5">
        <f>VLOOKUP(A35,'[20]0926'!$A$5:$P$27,12,FALSE)</f>
        <v>1.1501999999999999</v>
      </c>
      <c r="P35" s="4" t="str">
        <f>IF(VLOOKUP($A35,'[14]0925'!$A$4:$O$150,8,FALSE)="",VLOOKUP($A35,'[14]0925'!$A$4:$O$150,12,FALSE),VLOOKUP($A35,'[14]0925'!$A$4:$O$150,8,FALSE))</f>
        <v/>
      </c>
      <c r="Q35" s="4" t="str">
        <f>IF(VLOOKUP($A35,'[15]0922'!$A$4:$O$150,8,FALSE)="",VLOOKUP($A35,'[15]0922'!$A$4:$O$150,12,FALSE),VLOOKUP($A35,'[15]0922'!$A$4:$O$150,8,FALSE))</f>
        <v/>
      </c>
      <c r="R35" s="4" t="str">
        <f>IF(VLOOKUP($A35,'[16]0921'!$A$4:$O$150,8,FALSE)="",VLOOKUP($A35,'[16]0921'!$A$4:$O$150,12,FALSE),VLOOKUP($A35,'[16]0921'!$A$4:$O$150,8,FALSE))</f>
        <v/>
      </c>
      <c r="S35" s="4" t="str">
        <f>IF(VLOOKUP($A35,'[17]0920'!$A$4:$O$150,8,FALSE)="",VLOOKUP($A35,'[17]0920'!$A$4:$O$150,12,FALSE),VLOOKUP($A35,'[17]0920'!$A$4:$O$150,8,FALSE))</f>
        <v/>
      </c>
      <c r="T35" s="4" t="s">
        <v>0</v>
      </c>
      <c r="U35" s="4">
        <v>1.1499999999999999</v>
      </c>
      <c r="W35" s="4" t="s">
        <v>0</v>
      </c>
      <c r="X35" s="4" t="s">
        <v>0</v>
      </c>
      <c r="Y35" s="4" t="s">
        <v>0</v>
      </c>
      <c r="Z35" s="4" t="s">
        <v>0</v>
      </c>
      <c r="AA35" s="4" t="s">
        <v>0</v>
      </c>
      <c r="AB35" s="4" t="s">
        <v>0</v>
      </c>
      <c r="AC35" s="4" t="s">
        <v>0</v>
      </c>
      <c r="AD35" s="4" t="s">
        <v>0</v>
      </c>
      <c r="AE35" s="4" t="s">
        <v>0</v>
      </c>
      <c r="AF35" s="4" t="s">
        <v>0</v>
      </c>
      <c r="AG35" s="4">
        <v>1.117</v>
      </c>
      <c r="AH35" s="4" t="s">
        <v>0</v>
      </c>
      <c r="AI35" s="4">
        <v>1.1200000000000001</v>
      </c>
      <c r="AJ35" s="4" t="s">
        <v>0</v>
      </c>
      <c r="AK35" s="4" t="s">
        <v>0</v>
      </c>
      <c r="AL35" s="4" t="s">
        <v>0</v>
      </c>
      <c r="AM35" s="4" t="s">
        <v>0</v>
      </c>
      <c r="AN35" s="4" t="s">
        <v>0</v>
      </c>
      <c r="AP35" s="4">
        <v>1.0905</v>
      </c>
      <c r="AQ35" s="4" t="s">
        <v>0</v>
      </c>
      <c r="AR35" s="4" t="s">
        <v>0</v>
      </c>
      <c r="AU35" s="4" t="s">
        <v>0</v>
      </c>
    </row>
    <row r="36" spans="1:47">
      <c r="A36" s="3" t="s">
        <v>34</v>
      </c>
      <c r="B36" s="5">
        <f>VLOOKUP($A36,'[21]1013'!$A$4:$O$321,4,FALSE)</f>
        <v>4.16</v>
      </c>
      <c r="C36" s="5">
        <v>4.5</v>
      </c>
      <c r="D36" s="5">
        <f>VLOOKUP($A36,'[21]1013'!$A$4:$O$321,15,FALSE)</f>
        <v>1.2055</v>
      </c>
      <c r="E36" s="4" t="str">
        <f>IF(VLOOKUP($A36,'[21]1013'!$A$4:$O$150,8,FALSE)="",VLOOKUP($A36,'[21]1013'!$A$4:$O$150,12,FALSE),VLOOKUP($A36,'[21]1013'!$A$4:$O$150,8,FALSE))</f>
        <v/>
      </c>
      <c r="F36" s="4" t="str">
        <f>IF(VLOOKUP($A36,'[7]1012'!$A$4:$O$150,8,FALSE)="",VLOOKUP($A36,'[7]1012'!$A$4:$O$150,12,FALSE),VLOOKUP($A36,'[7]1012'!$A$4:$O$150,8,FALSE))</f>
        <v/>
      </c>
      <c r="G36" s="4" t="str">
        <f>IF(VLOOKUP($A36,'[8]1011'!$A$4:$O$150,8,FALSE)="",VLOOKUP($A36,'[8]1011'!$A$4:$O$150,12,FALSE),VLOOKUP($A36,'[8]1011'!$A$4:$O$150,8,FALSE))</f>
        <v/>
      </c>
      <c r="H36" s="106"/>
      <c r="I36" s="4" t="str">
        <f>IF(VLOOKUP($A36,'[9]1005'!$A$4:$O$150,8,FALSE)="",VLOOKUP($A36,'[9]1005'!$A$4:$O$150,12,FALSE),VLOOKUP($A36,'[9]1005'!$A$4:$O$150,8,FALSE))</f>
        <v/>
      </c>
      <c r="J36" s="4" t="str">
        <f>IF(VLOOKUP($A36,'[10]1004'!$A$4:$O$150,8,FALSE)="",VLOOKUP($A36,'[10]1004'!$A$4:$O$150,12,FALSE),VLOOKUP($A36,'[10]1004'!$A$4:$O$150,8,FALSE))</f>
        <v/>
      </c>
      <c r="K36" s="4" t="str">
        <f>IF(VLOOKUP($A36,'[11]1003'!$A$4:$O$150,8,FALSE)="",VLOOKUP($A36,'[11]1003'!$A$4:$O$150,12,FALSE),VLOOKUP($A36,'[11]1003'!$A$4:$O$150,8,FALSE))</f>
        <v/>
      </c>
      <c r="L36" s="4" t="str">
        <f>IF(VLOOKUP($A36,'[12]1002'!$A$4:$O$150,8,FALSE)="",VLOOKUP($A36,'[12]1002'!$A$4:$O$150,12,FALSE),VLOOKUP($A36,'[12]1002'!$A$4:$O$150,8,FALSE))</f>
        <v/>
      </c>
      <c r="M36" s="106"/>
      <c r="N36" s="4" t="str">
        <f>IF(VLOOKUP($A36,'[13]0927'!$A$4:$O$150,8,FALSE)="",VLOOKUP($A36,'[13]0927'!$A$4:$O$150,12,FALSE),VLOOKUP($A36,'[13]0927'!$A$4:$O$150,8,FALSE))</f>
        <v/>
      </c>
      <c r="O36" s="5"/>
      <c r="P36" s="4" t="str">
        <f>IF(VLOOKUP($A36,'[14]0925'!$A$4:$O$150,8,FALSE)="",VLOOKUP($A36,'[14]0925'!$A$4:$O$150,12,FALSE),VLOOKUP($A36,'[14]0925'!$A$4:$O$150,8,FALSE))</f>
        <v/>
      </c>
      <c r="Q36" s="4" t="str">
        <f>IF(VLOOKUP($A36,'[15]0922'!$A$4:$O$150,8,FALSE)="",VLOOKUP($A36,'[15]0922'!$A$4:$O$150,12,FALSE),VLOOKUP($A36,'[15]0922'!$A$4:$O$150,8,FALSE))</f>
        <v/>
      </c>
      <c r="R36" s="4" t="str">
        <f>IF(VLOOKUP($A36,'[16]0921'!$A$4:$O$150,8,FALSE)="",VLOOKUP($A36,'[16]0921'!$A$4:$O$150,12,FALSE),VLOOKUP($A36,'[16]0921'!$A$4:$O$150,8,FALSE))</f>
        <v/>
      </c>
      <c r="S36" s="4" t="str">
        <f>IF(VLOOKUP($A36,'[17]0920'!$A$4:$O$150,8,FALSE)="",VLOOKUP($A36,'[17]0920'!$A$4:$O$150,12,FALSE),VLOOKUP($A36,'[17]0920'!$A$4:$O$150,8,FALSE))</f>
        <v/>
      </c>
      <c r="T36" s="4" t="s">
        <v>0</v>
      </c>
      <c r="U36" s="4" t="s">
        <v>0</v>
      </c>
      <c r="W36" s="4" t="s">
        <v>0</v>
      </c>
      <c r="X36" s="4" t="s">
        <v>0</v>
      </c>
      <c r="Y36" s="4" t="s">
        <v>0</v>
      </c>
      <c r="Z36" s="4" t="s">
        <v>0</v>
      </c>
      <c r="AA36" s="4" t="s">
        <v>0</v>
      </c>
      <c r="AB36" s="4" t="s">
        <v>0</v>
      </c>
      <c r="AC36" s="4" t="s">
        <v>0</v>
      </c>
      <c r="AD36" s="4" t="s">
        <v>0</v>
      </c>
      <c r="AE36" s="4" t="s">
        <v>0</v>
      </c>
      <c r="AF36" s="4" t="s">
        <v>0</v>
      </c>
      <c r="AG36" s="4" t="s">
        <v>0</v>
      </c>
      <c r="AH36" s="4" t="s">
        <v>0</v>
      </c>
      <c r="AI36" s="4" t="s">
        <v>0</v>
      </c>
      <c r="AJ36" s="4" t="s">
        <v>0</v>
      </c>
      <c r="AK36" s="4" t="s">
        <v>0</v>
      </c>
      <c r="AL36" s="4" t="s">
        <v>0</v>
      </c>
      <c r="AM36" s="4" t="s">
        <v>0</v>
      </c>
      <c r="AN36" s="4" t="s">
        <v>0</v>
      </c>
      <c r="AP36" s="4" t="s">
        <v>0</v>
      </c>
      <c r="AQ36" s="4" t="s">
        <v>0</v>
      </c>
      <c r="AR36" s="4" t="s">
        <v>0</v>
      </c>
      <c r="AU36" s="4" t="s">
        <v>0</v>
      </c>
    </row>
    <row r="37" spans="1:47">
      <c r="A37" s="3" t="s">
        <v>15</v>
      </c>
      <c r="B37" s="5">
        <f>VLOOKUP($A37,'[21]1013'!$A$4:$O$321,4,FALSE)</f>
        <v>4.53</v>
      </c>
      <c r="C37" s="5">
        <v>5.01</v>
      </c>
      <c r="D37" s="5">
        <f>VLOOKUP($A37,'[21]1013'!$A$4:$O$321,15,FALSE)</f>
        <v>1.2292000000000001</v>
      </c>
      <c r="E37" s="4" t="str">
        <f>IF(VLOOKUP($A37,'[21]1013'!$A$4:$O$150,8,FALSE)="",VLOOKUP($A37,'[21]1013'!$A$4:$O$150,12,FALSE),VLOOKUP($A37,'[21]1013'!$A$4:$O$150,8,FALSE))</f>
        <v/>
      </c>
      <c r="F37" s="4" t="str">
        <f>IF(VLOOKUP($A37,'[7]1012'!$A$4:$O$150,8,FALSE)="",VLOOKUP($A37,'[7]1012'!$A$4:$O$150,12,FALSE),VLOOKUP($A37,'[7]1012'!$A$4:$O$150,8,FALSE))</f>
        <v/>
      </c>
      <c r="G37" s="4" t="str">
        <f>IF(VLOOKUP($A37,'[8]1011'!$A$4:$O$150,8,FALSE)="",VLOOKUP($A37,'[8]1011'!$A$4:$O$150,12,FALSE),VLOOKUP($A37,'[8]1011'!$A$4:$O$150,8,FALSE))</f>
        <v/>
      </c>
      <c r="H37" s="106"/>
      <c r="I37" s="4" t="str">
        <f>IF(VLOOKUP($A37,'[9]1005'!$A$4:$O$150,8,FALSE)="",VLOOKUP($A37,'[9]1005'!$A$4:$O$150,12,FALSE),VLOOKUP($A37,'[9]1005'!$A$4:$O$150,8,FALSE))</f>
        <v/>
      </c>
      <c r="J37" s="4" t="str">
        <f>IF(VLOOKUP($A37,'[10]1004'!$A$4:$O$150,8,FALSE)="",VLOOKUP($A37,'[10]1004'!$A$4:$O$150,12,FALSE),VLOOKUP($A37,'[10]1004'!$A$4:$O$150,8,FALSE))</f>
        <v/>
      </c>
      <c r="K37" s="4" t="str">
        <f>IF(VLOOKUP($A37,'[11]1003'!$A$4:$O$150,8,FALSE)="",VLOOKUP($A37,'[11]1003'!$A$4:$O$150,12,FALSE),VLOOKUP($A37,'[11]1003'!$A$4:$O$150,8,FALSE))</f>
        <v/>
      </c>
      <c r="L37" s="4" t="str">
        <f>IF(VLOOKUP($A37,'[12]1002'!$A$4:$O$150,8,FALSE)="",VLOOKUP($A37,'[12]1002'!$A$4:$O$150,12,FALSE),VLOOKUP($A37,'[12]1002'!$A$4:$O$150,8,FALSE))</f>
        <v/>
      </c>
      <c r="M37" s="106"/>
      <c r="N37" s="4" t="str">
        <f>IF(VLOOKUP($A37,'[13]0927'!$A$4:$O$150,8,FALSE)="",VLOOKUP($A37,'[13]0927'!$A$4:$O$150,12,FALSE),VLOOKUP($A37,'[13]0927'!$A$4:$O$150,8,FALSE))</f>
        <v/>
      </c>
      <c r="O37" s="5"/>
      <c r="P37" s="4" t="str">
        <f>IF(VLOOKUP($A37,'[14]0925'!$A$4:$O$150,8,FALSE)="",VLOOKUP($A37,'[14]0925'!$A$4:$O$150,12,FALSE),VLOOKUP($A37,'[14]0925'!$A$4:$O$150,8,FALSE))</f>
        <v/>
      </c>
      <c r="Q37" s="4" t="str">
        <f>IF(VLOOKUP($A37,'[15]0922'!$A$4:$O$150,8,FALSE)="",VLOOKUP($A37,'[15]0922'!$A$4:$O$150,12,FALSE),VLOOKUP($A37,'[15]0922'!$A$4:$O$150,8,FALSE))</f>
        <v/>
      </c>
      <c r="R37" s="4" t="str">
        <f>IF(VLOOKUP($A37,'[16]0921'!$A$4:$O$150,8,FALSE)="",VLOOKUP($A37,'[16]0921'!$A$4:$O$150,12,FALSE),VLOOKUP($A37,'[16]0921'!$A$4:$O$150,8,FALSE))</f>
        <v/>
      </c>
      <c r="S37" s="4" t="str">
        <f>IF(VLOOKUP($A37,'[17]0920'!$A$4:$O$150,8,FALSE)="",VLOOKUP($A37,'[17]0920'!$A$4:$O$150,12,FALSE),VLOOKUP($A37,'[17]0920'!$A$4:$O$150,8,FALSE))</f>
        <v/>
      </c>
      <c r="T37" s="4" t="s">
        <v>0</v>
      </c>
      <c r="U37" s="4" t="s">
        <v>0</v>
      </c>
      <c r="W37" s="4" t="s">
        <v>0</v>
      </c>
      <c r="X37" s="4" t="s">
        <v>0</v>
      </c>
      <c r="Y37" s="4" t="s">
        <v>0</v>
      </c>
      <c r="Z37" s="4" t="s">
        <v>0</v>
      </c>
      <c r="AA37" s="4" t="s">
        <v>0</v>
      </c>
      <c r="AB37" s="4" t="s">
        <v>0</v>
      </c>
      <c r="AC37" s="4" t="s">
        <v>0</v>
      </c>
      <c r="AD37" s="4" t="s">
        <v>0</v>
      </c>
      <c r="AE37" s="4" t="s">
        <v>0</v>
      </c>
      <c r="AF37" s="4" t="s">
        <v>0</v>
      </c>
      <c r="AG37" s="4" t="s">
        <v>0</v>
      </c>
      <c r="AH37" s="4" t="s">
        <v>0</v>
      </c>
      <c r="AI37" s="4" t="s">
        <v>0</v>
      </c>
      <c r="AJ37" s="4" t="s">
        <v>0</v>
      </c>
      <c r="AK37" s="4" t="s">
        <v>0</v>
      </c>
      <c r="AL37" s="4" t="s">
        <v>0</v>
      </c>
      <c r="AM37" s="4" t="s">
        <v>0</v>
      </c>
      <c r="AN37" s="4" t="s">
        <v>0</v>
      </c>
      <c r="AP37" s="4" t="s">
        <v>0</v>
      </c>
      <c r="AQ37" s="4" t="s">
        <v>0</v>
      </c>
      <c r="AR37" s="4" t="s">
        <v>0</v>
      </c>
      <c r="AU37" s="4" t="s">
        <v>0</v>
      </c>
    </row>
    <row r="38" spans="1:47">
      <c r="A38" s="3" t="s">
        <v>290</v>
      </c>
      <c r="B38" s="5">
        <f>VLOOKUP($A38,'[21]1013'!$A$4:$O$321,4,FALSE)</f>
        <v>4.45</v>
      </c>
      <c r="C38" s="5">
        <v>4.79</v>
      </c>
      <c r="D38" s="5">
        <f>VLOOKUP($A38,'[21]1013'!$A$4:$O$321,15,FALSE)</f>
        <v>1.2229000000000001</v>
      </c>
      <c r="E38" s="4" t="str">
        <f>IF(VLOOKUP($A38,'[21]1013'!$A$4:$O$150,8,FALSE)="",VLOOKUP($A38,'[21]1013'!$A$4:$O$150,12,FALSE),VLOOKUP($A38,'[21]1013'!$A$4:$O$150,8,FALSE))</f>
        <v/>
      </c>
      <c r="F38" s="4">
        <f>IF(VLOOKUP($A38,'[7]1012'!$A$4:$O$150,8,FALSE)="",VLOOKUP($A38,'[7]1012'!$A$4:$O$150,12,FALSE),VLOOKUP($A38,'[7]1012'!$A$4:$O$150,8,FALSE))</f>
        <v>1.2004999999999999</v>
      </c>
      <c r="G38" s="4" t="str">
        <f>IF(VLOOKUP($A38,'[8]1011'!$A$4:$O$150,8,FALSE)="",VLOOKUP($A38,'[8]1011'!$A$4:$O$150,12,FALSE),VLOOKUP($A38,'[8]1011'!$A$4:$O$150,8,FALSE))</f>
        <v/>
      </c>
      <c r="H38" s="106">
        <f>VLOOKUP($A38,'[18]1006'!$A$5:$P$270,12,FALSE)</f>
        <v>1.2204999999999999</v>
      </c>
      <c r="I38" s="4">
        <f>IF(VLOOKUP($A38,'[9]1005'!$A$4:$O$150,8,FALSE)="",VLOOKUP($A38,'[9]1005'!$A$4:$O$150,12,FALSE),VLOOKUP($A38,'[9]1005'!$A$4:$O$150,8,FALSE))</f>
        <v>1.1899</v>
      </c>
      <c r="J38" s="4">
        <f>IF(VLOOKUP($A38,'[10]1004'!$A$4:$O$150,8,FALSE)="",VLOOKUP($A38,'[10]1004'!$A$4:$O$150,12,FALSE),VLOOKUP($A38,'[10]1004'!$A$4:$O$150,8,FALSE))</f>
        <v>1.1968000000000001</v>
      </c>
      <c r="K38" s="4" t="str">
        <f>IF(VLOOKUP($A38,'[11]1003'!$A$4:$O$150,8,FALSE)="",VLOOKUP($A38,'[11]1003'!$A$4:$O$150,12,FALSE),VLOOKUP($A38,'[11]1003'!$A$4:$O$150,8,FALSE))</f>
        <v/>
      </c>
      <c r="L38" s="4">
        <f>IF(VLOOKUP($A38,'[12]1002'!$A$4:$O$150,8,FALSE)="",VLOOKUP($A38,'[12]1002'!$A$4:$O$150,12,FALSE),VLOOKUP($A38,'[12]1002'!$A$4:$O$150,8,FALSE))</f>
        <v>1.1697</v>
      </c>
      <c r="M38" s="106"/>
      <c r="N38" s="4" t="str">
        <f>IF(VLOOKUP($A38,'[13]0927'!$A$4:$O$150,8,FALSE)="",VLOOKUP($A38,'[13]0927'!$A$4:$O$150,12,FALSE),VLOOKUP($A38,'[13]0927'!$A$4:$O$150,8,FALSE))</f>
        <v/>
      </c>
      <c r="O38" s="5">
        <f>VLOOKUP(A38,'[20]0926'!$A$5:$P$27,12,FALSE)</f>
        <v>1.1535</v>
      </c>
      <c r="P38" s="4">
        <f>IF(VLOOKUP($A38,'[14]0925'!$A$4:$O$150,8,FALSE)="",VLOOKUP($A38,'[14]0925'!$A$4:$O$150,12,FALSE),VLOOKUP($A38,'[14]0925'!$A$4:$O$150,8,FALSE))</f>
        <v>1.149</v>
      </c>
      <c r="Q38" s="4" t="str">
        <f>IF(VLOOKUP($A38,'[15]0922'!$A$4:$O$150,8,FALSE)="",VLOOKUP($A38,'[15]0922'!$A$4:$O$150,12,FALSE),VLOOKUP($A38,'[15]0922'!$A$4:$O$150,8,FALSE))</f>
        <v/>
      </c>
      <c r="R38" s="4" t="str">
        <f>IF(VLOOKUP($A38,'[16]0921'!$A$4:$O$150,8,FALSE)="",VLOOKUP($A38,'[16]0921'!$A$4:$O$150,12,FALSE),VLOOKUP($A38,'[16]0921'!$A$4:$O$150,8,FALSE))</f>
        <v/>
      </c>
      <c r="S38" s="4" t="str">
        <f>IF(VLOOKUP($A38,'[17]0920'!$A$4:$O$150,8,FALSE)="",VLOOKUP($A38,'[17]0920'!$A$4:$O$150,12,FALSE),VLOOKUP($A38,'[17]0920'!$A$4:$O$150,8,FALSE))</f>
        <v/>
      </c>
      <c r="T38" s="4">
        <v>1.1565000000000001</v>
      </c>
      <c r="U38" s="4">
        <v>1.1555</v>
      </c>
      <c r="W38" s="4" t="s">
        <v>0</v>
      </c>
      <c r="X38" s="4" t="s">
        <v>0</v>
      </c>
      <c r="Y38" s="4">
        <v>1.1298999999999999</v>
      </c>
      <c r="Z38" s="4" t="s">
        <v>0</v>
      </c>
      <c r="AA38" s="4">
        <v>1.1045</v>
      </c>
      <c r="AB38" s="4" t="s">
        <v>0</v>
      </c>
      <c r="AC38" s="4" t="s">
        <v>0</v>
      </c>
      <c r="AD38" s="4" t="s">
        <v>0</v>
      </c>
      <c r="AE38" s="4" t="s">
        <v>0</v>
      </c>
      <c r="AF38" s="4" t="s">
        <v>0</v>
      </c>
      <c r="AG38" s="4">
        <v>1.0940000000000001</v>
      </c>
      <c r="AH38" s="4" t="s">
        <v>0</v>
      </c>
      <c r="AI38" s="4" t="s">
        <v>0</v>
      </c>
      <c r="AJ38" s="4" t="s">
        <v>0</v>
      </c>
      <c r="AK38" s="4">
        <v>1.115</v>
      </c>
      <c r="AL38" s="4">
        <v>1.095</v>
      </c>
      <c r="AM38" s="4">
        <v>1.1200000000000001</v>
      </c>
      <c r="AN38" s="4">
        <v>1.1094999999999999</v>
      </c>
      <c r="AP38" s="4" t="s">
        <v>0</v>
      </c>
      <c r="AQ38" s="4">
        <v>1.0974999999999999</v>
      </c>
      <c r="AR38" s="4" t="s">
        <v>0</v>
      </c>
      <c r="AT38" s="5">
        <v>1.091</v>
      </c>
      <c r="AU38" s="4" t="s">
        <v>0</v>
      </c>
    </row>
    <row r="39" spans="1:47">
      <c r="A39" s="3" t="s">
        <v>2</v>
      </c>
      <c r="B39" s="5">
        <f>VLOOKUP($A39,'[21]1013'!$A$4:$O$321,4,FALSE)</f>
        <v>4.5</v>
      </c>
      <c r="C39" s="5">
        <v>4.83</v>
      </c>
      <c r="D39" s="5">
        <f>VLOOKUP($A39,'[21]1013'!$A$4:$O$321,15,FALSE)</f>
        <v>1.2249000000000001</v>
      </c>
      <c r="E39" s="4" t="str">
        <f>IF(VLOOKUP($A39,'[21]1013'!$A$4:$O$150,8,FALSE)="",VLOOKUP($A39,'[21]1013'!$A$4:$O$150,12,FALSE),VLOOKUP($A39,'[21]1013'!$A$4:$O$150,8,FALSE))</f>
        <v/>
      </c>
      <c r="F39" s="4" t="str">
        <f>IF(VLOOKUP($A39,'[7]1012'!$A$4:$O$150,8,FALSE)="",VLOOKUP($A39,'[7]1012'!$A$4:$O$150,12,FALSE),VLOOKUP($A39,'[7]1012'!$A$4:$O$150,8,FALSE))</f>
        <v/>
      </c>
      <c r="G39" s="4" t="str">
        <f>IF(VLOOKUP($A39,'[8]1011'!$A$4:$O$150,8,FALSE)="",VLOOKUP($A39,'[8]1011'!$A$4:$O$150,12,FALSE),VLOOKUP($A39,'[8]1011'!$A$4:$O$150,8,FALSE))</f>
        <v/>
      </c>
      <c r="H39" s="106"/>
      <c r="I39" s="4" t="str">
        <f>IF(VLOOKUP($A39,'[9]1005'!$A$4:$O$150,8,FALSE)="",VLOOKUP($A39,'[9]1005'!$A$4:$O$150,12,FALSE),VLOOKUP($A39,'[9]1005'!$A$4:$O$150,8,FALSE))</f>
        <v/>
      </c>
      <c r="J39" s="4" t="str">
        <f>IF(VLOOKUP($A39,'[10]1004'!$A$4:$O$150,8,FALSE)="",VLOOKUP($A39,'[10]1004'!$A$4:$O$150,12,FALSE),VLOOKUP($A39,'[10]1004'!$A$4:$O$150,8,FALSE))</f>
        <v/>
      </c>
      <c r="K39" s="4" t="str">
        <f>IF(VLOOKUP($A39,'[11]1003'!$A$4:$O$150,8,FALSE)="",VLOOKUP($A39,'[11]1003'!$A$4:$O$150,12,FALSE),VLOOKUP($A39,'[11]1003'!$A$4:$O$150,8,FALSE))</f>
        <v/>
      </c>
      <c r="L39" s="4" t="str">
        <f>IF(VLOOKUP($A39,'[12]1002'!$A$4:$O$150,8,FALSE)="",VLOOKUP($A39,'[12]1002'!$A$4:$O$150,12,FALSE),VLOOKUP($A39,'[12]1002'!$A$4:$O$150,8,FALSE))</f>
        <v/>
      </c>
      <c r="M39" s="106"/>
      <c r="N39" s="4" t="str">
        <f>IF(VLOOKUP($A39,'[13]0927'!$A$4:$O$150,8,FALSE)="",VLOOKUP($A39,'[13]0927'!$A$4:$O$150,12,FALSE),VLOOKUP($A39,'[13]0927'!$A$4:$O$150,8,FALSE))</f>
        <v/>
      </c>
      <c r="O39" s="5"/>
      <c r="P39" s="4" t="str">
        <f>IF(VLOOKUP($A39,'[14]0925'!$A$4:$O$150,8,FALSE)="",VLOOKUP($A39,'[14]0925'!$A$4:$O$150,12,FALSE),VLOOKUP($A39,'[14]0925'!$A$4:$O$150,8,FALSE))</f>
        <v/>
      </c>
      <c r="Q39" s="4" t="str">
        <f>IF(VLOOKUP($A39,'[15]0922'!$A$4:$O$150,8,FALSE)="",VLOOKUP($A39,'[15]0922'!$A$4:$O$150,12,FALSE),VLOOKUP($A39,'[15]0922'!$A$4:$O$150,8,FALSE))</f>
        <v/>
      </c>
      <c r="R39" s="4" t="str">
        <f>IF(VLOOKUP($A39,'[16]0921'!$A$4:$O$150,8,FALSE)="",VLOOKUP($A39,'[16]0921'!$A$4:$O$150,12,FALSE),VLOOKUP($A39,'[16]0921'!$A$4:$O$150,8,FALSE))</f>
        <v/>
      </c>
      <c r="S39" s="4" t="str">
        <f>IF(VLOOKUP($A39,'[17]0920'!$A$4:$O$150,8,FALSE)="",VLOOKUP($A39,'[17]0920'!$A$4:$O$150,12,FALSE),VLOOKUP($A39,'[17]0920'!$A$4:$O$150,8,FALSE))</f>
        <v/>
      </c>
      <c r="T39" s="4" t="s">
        <v>0</v>
      </c>
      <c r="U39" s="4" t="s">
        <v>0</v>
      </c>
      <c r="W39" s="4" t="s">
        <v>0</v>
      </c>
      <c r="X39" s="4" t="s">
        <v>0</v>
      </c>
      <c r="Y39" s="4" t="s">
        <v>0</v>
      </c>
      <c r="Z39" s="4" t="s">
        <v>0</v>
      </c>
      <c r="AA39" s="4" t="s">
        <v>0</v>
      </c>
      <c r="AB39" s="4" t="s">
        <v>0</v>
      </c>
      <c r="AC39" s="4" t="s">
        <v>0</v>
      </c>
      <c r="AD39" s="4" t="s">
        <v>0</v>
      </c>
      <c r="AE39" s="4" t="s">
        <v>0</v>
      </c>
      <c r="AF39" s="4" t="s">
        <v>0</v>
      </c>
      <c r="AG39" s="4" t="s">
        <v>0</v>
      </c>
      <c r="AH39" s="4" t="s">
        <v>0</v>
      </c>
      <c r="AI39" s="4" t="s">
        <v>0</v>
      </c>
      <c r="AJ39" s="4" t="s">
        <v>0</v>
      </c>
      <c r="AK39" s="4" t="s">
        <v>0</v>
      </c>
      <c r="AL39" s="4" t="s">
        <v>0</v>
      </c>
      <c r="AM39" s="4" t="s">
        <v>0</v>
      </c>
      <c r="AN39" s="4" t="s">
        <v>0</v>
      </c>
      <c r="AP39" s="4" t="s">
        <v>0</v>
      </c>
      <c r="AQ39" s="4" t="s">
        <v>0</v>
      </c>
      <c r="AR39" s="4" t="s">
        <v>0</v>
      </c>
      <c r="AU39" s="4" t="s">
        <v>0</v>
      </c>
    </row>
    <row r="40" spans="1:47">
      <c r="A40" s="3" t="s">
        <v>296</v>
      </c>
      <c r="B40" s="5">
        <f>VLOOKUP($A40,'[21]1013'!$A$4:$O$321,4,FALSE)</f>
        <v>4.74</v>
      </c>
      <c r="C40" s="5">
        <v>5</v>
      </c>
      <c r="D40" s="5">
        <f>VLOOKUP($A40,'[21]1013'!$A$4:$O$321,15,FALSE)</f>
        <v>1.2357</v>
      </c>
      <c r="E40" s="4" t="str">
        <f>IF(VLOOKUP($A40,'[21]1013'!$A$4:$O$150,8,FALSE)="",VLOOKUP($A40,'[21]1013'!$A$4:$O$150,12,FALSE),VLOOKUP($A40,'[21]1013'!$A$4:$O$150,8,FALSE))</f>
        <v/>
      </c>
      <c r="F40" s="4">
        <f>IF(VLOOKUP($A40,'[7]1012'!$A$4:$O$150,8,FALSE)="",VLOOKUP($A40,'[7]1012'!$A$4:$O$150,12,FALSE),VLOOKUP($A40,'[7]1012'!$A$4:$O$150,8,FALSE))</f>
        <v>1.2055</v>
      </c>
      <c r="G40" s="4" t="str">
        <f>IF(VLOOKUP($A40,'[8]1011'!$A$4:$O$150,8,FALSE)="",VLOOKUP($A40,'[8]1011'!$A$4:$O$150,12,FALSE),VLOOKUP($A40,'[8]1011'!$A$4:$O$150,8,FALSE))</f>
        <v/>
      </c>
      <c r="H40" s="106">
        <f>VLOOKUP($A40,'[18]1006'!$A$5:$P$270,12,FALSE)</f>
        <v>1.2176</v>
      </c>
      <c r="I40" s="4" t="str">
        <f>IF(VLOOKUP($A40,'[9]1005'!$A$4:$O$150,8,FALSE)="",VLOOKUP($A40,'[9]1005'!$A$4:$O$150,12,FALSE),VLOOKUP($A40,'[9]1005'!$A$4:$O$150,8,FALSE))</f>
        <v/>
      </c>
      <c r="J40" s="4" t="str">
        <f>IF(VLOOKUP($A40,'[10]1004'!$A$4:$O$150,8,FALSE)="",VLOOKUP($A40,'[10]1004'!$A$4:$O$150,12,FALSE),VLOOKUP($A40,'[10]1004'!$A$4:$O$150,8,FALSE))</f>
        <v/>
      </c>
      <c r="K40" s="4" t="str">
        <f>IF(VLOOKUP($A40,'[11]1003'!$A$4:$O$150,8,FALSE)="",VLOOKUP($A40,'[11]1003'!$A$4:$O$150,12,FALSE),VLOOKUP($A40,'[11]1003'!$A$4:$O$150,8,FALSE))</f>
        <v/>
      </c>
      <c r="L40" s="4" t="str">
        <f>IF(VLOOKUP($A40,'[12]1002'!$A$4:$O$150,8,FALSE)="",VLOOKUP($A40,'[12]1002'!$A$4:$O$150,12,FALSE),VLOOKUP($A40,'[12]1002'!$A$4:$O$150,8,FALSE))</f>
        <v/>
      </c>
      <c r="M40" s="106"/>
      <c r="N40" s="4" t="str">
        <f>IF(VLOOKUP($A40,'[13]0927'!$A$4:$O$150,8,FALSE)="",VLOOKUP($A40,'[13]0927'!$A$4:$O$150,12,FALSE),VLOOKUP($A40,'[13]0927'!$A$4:$O$150,8,FALSE))</f>
        <v/>
      </c>
      <c r="O40" s="5"/>
      <c r="P40" s="4" t="str">
        <f>IF(VLOOKUP($A40,'[14]0925'!$A$4:$O$150,8,FALSE)="",VLOOKUP($A40,'[14]0925'!$A$4:$O$150,12,FALSE),VLOOKUP($A40,'[14]0925'!$A$4:$O$150,8,FALSE))</f>
        <v/>
      </c>
      <c r="Q40" s="4" t="str">
        <f>IF(VLOOKUP($A40,'[15]0922'!$A$4:$O$150,8,FALSE)="",VLOOKUP($A40,'[15]0922'!$A$4:$O$150,12,FALSE),VLOOKUP($A40,'[15]0922'!$A$4:$O$150,8,FALSE))</f>
        <v/>
      </c>
      <c r="R40" s="4">
        <f>IF(VLOOKUP($A40,'[16]0921'!$A$4:$O$150,8,FALSE)="",VLOOKUP($A40,'[16]0921'!$A$4:$O$150,12,FALSE),VLOOKUP($A40,'[16]0921'!$A$4:$O$150,8,FALSE))</f>
        <v>1.165</v>
      </c>
      <c r="S40" s="4">
        <f>IF(VLOOKUP($A40,'[17]0920'!$A$4:$O$150,8,FALSE)="",VLOOKUP($A40,'[17]0920'!$A$4:$O$150,12,FALSE),VLOOKUP($A40,'[17]0920'!$A$4:$O$150,8,FALSE))</f>
        <v>1.1472</v>
      </c>
      <c r="T40" s="4">
        <v>1.1375999999999999</v>
      </c>
      <c r="U40" s="4">
        <v>1.1598999999999999</v>
      </c>
      <c r="V40" s="5">
        <v>1.1476</v>
      </c>
      <c r="W40" s="4">
        <v>1.1439999999999999</v>
      </c>
      <c r="X40" s="4">
        <v>1.1499999999999999</v>
      </c>
      <c r="Y40" s="4">
        <v>1.1415</v>
      </c>
      <c r="Z40" s="4" t="s">
        <v>0</v>
      </c>
      <c r="AA40" s="4">
        <v>1.1100000000000001</v>
      </c>
      <c r="AB40" s="4" t="s">
        <v>0</v>
      </c>
      <c r="AC40" s="4" t="s">
        <v>0</v>
      </c>
      <c r="AD40" s="4">
        <v>1.1112</v>
      </c>
      <c r="AE40" s="4" t="s">
        <v>0</v>
      </c>
      <c r="AF40" s="4" t="s">
        <v>0</v>
      </c>
      <c r="AG40" s="4">
        <v>1.1000000000000001</v>
      </c>
      <c r="AH40" s="4" t="s">
        <v>0</v>
      </c>
      <c r="AI40" s="4" t="s">
        <v>0</v>
      </c>
      <c r="AJ40" s="4">
        <v>1.123</v>
      </c>
      <c r="AK40" s="4">
        <v>1.1100000000000001</v>
      </c>
      <c r="AL40" s="4" t="s">
        <v>0</v>
      </c>
      <c r="AM40" s="4">
        <v>1.1202000000000001</v>
      </c>
      <c r="AN40" s="4">
        <v>1.1200000000000001</v>
      </c>
      <c r="AO40" s="5">
        <v>1.1032</v>
      </c>
      <c r="AP40" s="4" t="s">
        <v>0</v>
      </c>
      <c r="AQ40" s="4">
        <v>1.1000000000000001</v>
      </c>
      <c r="AR40" s="4">
        <v>1.0934999999999999</v>
      </c>
      <c r="AU40" s="4" t="s">
        <v>0</v>
      </c>
    </row>
    <row r="41" spans="1:47">
      <c r="A41" s="3" t="s">
        <v>197</v>
      </c>
      <c r="B41" s="5">
        <f>VLOOKUP($A41,'[21]1013'!$A$4:$O$321,4,FALSE)</f>
        <v>4.76</v>
      </c>
      <c r="C41" s="5">
        <v>5.03</v>
      </c>
      <c r="D41" s="5">
        <f>VLOOKUP($A41,'[21]1013'!$A$4:$O$321,15,FALSE)</f>
        <v>1.2354000000000001</v>
      </c>
      <c r="E41" s="4" t="str">
        <f>IF(VLOOKUP($A41,'[21]1013'!$A$4:$O$150,8,FALSE)="",VLOOKUP($A41,'[21]1013'!$A$4:$O$150,12,FALSE),VLOOKUP($A41,'[21]1013'!$A$4:$O$150,8,FALSE))</f>
        <v/>
      </c>
      <c r="F41" s="4" t="str">
        <f>IF(VLOOKUP($A41,'[7]1012'!$A$4:$O$150,8,FALSE)="",VLOOKUP($A41,'[7]1012'!$A$4:$O$150,12,FALSE),VLOOKUP($A41,'[7]1012'!$A$4:$O$150,8,FALSE))</f>
        <v/>
      </c>
      <c r="G41" s="4" t="str">
        <f>IF(VLOOKUP($A41,'[8]1011'!$A$4:$O$150,8,FALSE)="",VLOOKUP($A41,'[8]1011'!$A$4:$O$150,12,FALSE),VLOOKUP($A41,'[8]1011'!$A$4:$O$150,8,FALSE))</f>
        <v/>
      </c>
      <c r="H41" s="106"/>
      <c r="I41" s="4" t="str">
        <f>IF(VLOOKUP($A41,'[9]1005'!$A$4:$O$150,8,FALSE)="",VLOOKUP($A41,'[9]1005'!$A$4:$O$150,12,FALSE),VLOOKUP($A41,'[9]1005'!$A$4:$O$150,8,FALSE))</f>
        <v/>
      </c>
      <c r="J41" s="4" t="str">
        <f>IF(VLOOKUP($A41,'[10]1004'!$A$4:$O$150,8,FALSE)="",VLOOKUP($A41,'[10]1004'!$A$4:$O$150,12,FALSE),VLOOKUP($A41,'[10]1004'!$A$4:$O$150,8,FALSE))</f>
        <v/>
      </c>
      <c r="K41" s="4" t="str">
        <f>IF(VLOOKUP($A41,'[11]1003'!$A$4:$O$150,8,FALSE)="",VLOOKUP($A41,'[11]1003'!$A$4:$O$150,12,FALSE),VLOOKUP($A41,'[11]1003'!$A$4:$O$150,8,FALSE))</f>
        <v/>
      </c>
      <c r="L41" s="4" t="str">
        <f>IF(VLOOKUP($A41,'[12]1002'!$A$4:$O$150,8,FALSE)="",VLOOKUP($A41,'[12]1002'!$A$4:$O$150,12,FALSE),VLOOKUP($A41,'[12]1002'!$A$4:$O$150,8,FALSE))</f>
        <v/>
      </c>
      <c r="M41" s="106"/>
      <c r="N41" s="4" t="str">
        <f>IF(VLOOKUP($A41,'[13]0927'!$A$4:$O$150,8,FALSE)="",VLOOKUP($A41,'[13]0927'!$A$4:$O$150,12,FALSE),VLOOKUP($A41,'[13]0927'!$A$4:$O$150,8,FALSE))</f>
        <v/>
      </c>
      <c r="O41" s="5"/>
      <c r="P41" s="4" t="str">
        <f>IF(VLOOKUP($A41,'[14]0925'!$A$4:$O$150,8,FALSE)="",VLOOKUP($A41,'[14]0925'!$A$4:$O$150,12,FALSE),VLOOKUP($A41,'[14]0925'!$A$4:$O$150,8,FALSE))</f>
        <v/>
      </c>
      <c r="Q41" s="4" t="str">
        <f>IF(VLOOKUP($A41,'[15]0922'!$A$4:$O$150,8,FALSE)="",VLOOKUP($A41,'[15]0922'!$A$4:$O$150,12,FALSE),VLOOKUP($A41,'[15]0922'!$A$4:$O$150,8,FALSE))</f>
        <v/>
      </c>
      <c r="R41" s="4" t="str">
        <f>IF(VLOOKUP($A41,'[16]0921'!$A$4:$O$150,8,FALSE)="",VLOOKUP($A41,'[16]0921'!$A$4:$O$150,12,FALSE),VLOOKUP($A41,'[16]0921'!$A$4:$O$150,8,FALSE))</f>
        <v/>
      </c>
      <c r="S41" s="4" t="str">
        <f>IF(VLOOKUP($A41,'[17]0920'!$A$4:$O$150,8,FALSE)="",VLOOKUP($A41,'[17]0920'!$A$4:$O$150,12,FALSE),VLOOKUP($A41,'[17]0920'!$A$4:$O$150,8,FALSE))</f>
        <v/>
      </c>
      <c r="T41" s="4">
        <v>1.1599999999999999</v>
      </c>
      <c r="U41" s="4" t="s">
        <v>0</v>
      </c>
      <c r="W41" s="4" t="s">
        <v>0</v>
      </c>
      <c r="X41" s="4" t="s">
        <v>0</v>
      </c>
      <c r="Y41" s="4" t="s">
        <v>0</v>
      </c>
      <c r="Z41" s="4" t="s">
        <v>0</v>
      </c>
      <c r="AA41" s="4" t="s">
        <v>0</v>
      </c>
      <c r="AB41" s="4" t="s">
        <v>0</v>
      </c>
      <c r="AC41" s="4" t="s">
        <v>0</v>
      </c>
      <c r="AD41" s="4" t="s">
        <v>0</v>
      </c>
      <c r="AE41" s="4" t="s">
        <v>0</v>
      </c>
      <c r="AF41" s="4" t="s">
        <v>0</v>
      </c>
      <c r="AG41" s="4" t="s">
        <v>0</v>
      </c>
      <c r="AH41" s="4" t="s">
        <v>0</v>
      </c>
      <c r="AI41" s="4" t="s">
        <v>0</v>
      </c>
      <c r="AJ41" s="4" t="s">
        <v>0</v>
      </c>
      <c r="AK41" s="4" t="s">
        <v>0</v>
      </c>
      <c r="AL41" s="4" t="s">
        <v>0</v>
      </c>
      <c r="AM41" s="4" t="s">
        <v>0</v>
      </c>
      <c r="AN41" s="4" t="s">
        <v>0</v>
      </c>
      <c r="AP41" s="4" t="s">
        <v>0</v>
      </c>
      <c r="AQ41" s="4" t="s">
        <v>0</v>
      </c>
      <c r="AR41" s="4" t="s">
        <v>0</v>
      </c>
      <c r="AU41" s="4" t="s">
        <v>0</v>
      </c>
    </row>
    <row r="42" spans="1:47">
      <c r="A42" s="3" t="s">
        <v>28</v>
      </c>
      <c r="B42" s="5">
        <f>VLOOKUP($A42,'[21]1013'!$A$4:$O$321,4,FALSE)</f>
        <v>4.8499999999999996</v>
      </c>
      <c r="C42" s="5">
        <v>5.19</v>
      </c>
      <c r="D42" s="5">
        <f>VLOOKUP($A42,'[21]1013'!$A$4:$O$321,15,FALSE)</f>
        <v>1.2387999999999999</v>
      </c>
      <c r="E42" s="4" t="str">
        <f>IF(VLOOKUP($A42,'[21]1013'!$A$4:$O$150,8,FALSE)="",VLOOKUP($A42,'[21]1013'!$A$4:$O$150,12,FALSE),VLOOKUP($A42,'[21]1013'!$A$4:$O$150,8,FALSE))</f>
        <v/>
      </c>
      <c r="F42" s="4" t="str">
        <f>IF(VLOOKUP($A42,'[7]1012'!$A$4:$O$150,8,FALSE)="",VLOOKUP($A42,'[7]1012'!$A$4:$O$150,12,FALSE),VLOOKUP($A42,'[7]1012'!$A$4:$O$150,8,FALSE))</f>
        <v/>
      </c>
      <c r="G42" s="4" t="str">
        <f>IF(VLOOKUP($A42,'[8]1011'!$A$4:$O$150,8,FALSE)="",VLOOKUP($A42,'[8]1011'!$A$4:$O$150,12,FALSE),VLOOKUP($A42,'[8]1011'!$A$4:$O$150,8,FALSE))</f>
        <v/>
      </c>
      <c r="H42" s="106"/>
      <c r="I42" s="4" t="str">
        <f>IF(VLOOKUP($A42,'[9]1005'!$A$4:$O$150,8,FALSE)="",VLOOKUP($A42,'[9]1005'!$A$4:$O$150,12,FALSE),VLOOKUP($A42,'[9]1005'!$A$4:$O$150,8,FALSE))</f>
        <v/>
      </c>
      <c r="J42" s="4" t="str">
        <f>IF(VLOOKUP($A42,'[10]1004'!$A$4:$O$150,8,FALSE)="",VLOOKUP($A42,'[10]1004'!$A$4:$O$150,12,FALSE),VLOOKUP($A42,'[10]1004'!$A$4:$O$150,8,FALSE))</f>
        <v/>
      </c>
      <c r="K42" s="4" t="str">
        <f>IF(VLOOKUP($A42,'[11]1003'!$A$4:$O$150,8,FALSE)="",VLOOKUP($A42,'[11]1003'!$A$4:$O$150,12,FALSE),VLOOKUP($A42,'[11]1003'!$A$4:$O$150,8,FALSE))</f>
        <v/>
      </c>
      <c r="L42" s="4" t="str">
        <f>IF(VLOOKUP($A42,'[12]1002'!$A$4:$O$150,8,FALSE)="",VLOOKUP($A42,'[12]1002'!$A$4:$O$150,12,FALSE),VLOOKUP($A42,'[12]1002'!$A$4:$O$150,8,FALSE))</f>
        <v/>
      </c>
      <c r="M42" s="106"/>
      <c r="N42" s="4" t="str">
        <f>IF(VLOOKUP($A42,'[13]0927'!$A$4:$O$150,8,FALSE)="",VLOOKUP($A42,'[13]0927'!$A$4:$O$150,12,FALSE),VLOOKUP($A42,'[13]0927'!$A$4:$O$150,8,FALSE))</f>
        <v/>
      </c>
      <c r="O42" s="5"/>
      <c r="P42" s="4" t="str">
        <f>IF(VLOOKUP($A42,'[14]0925'!$A$4:$O$150,8,FALSE)="",VLOOKUP($A42,'[14]0925'!$A$4:$O$150,12,FALSE),VLOOKUP($A42,'[14]0925'!$A$4:$O$150,8,FALSE))</f>
        <v/>
      </c>
      <c r="Q42" s="4" t="str">
        <f>IF(VLOOKUP($A42,'[15]0922'!$A$4:$O$150,8,FALSE)="",VLOOKUP($A42,'[15]0922'!$A$4:$O$150,12,FALSE),VLOOKUP($A42,'[15]0922'!$A$4:$O$150,8,FALSE))</f>
        <v/>
      </c>
      <c r="R42" s="4" t="str">
        <f>IF(VLOOKUP($A42,'[16]0921'!$A$4:$O$150,8,FALSE)="",VLOOKUP($A42,'[16]0921'!$A$4:$O$150,12,FALSE),VLOOKUP($A42,'[16]0921'!$A$4:$O$150,8,FALSE))</f>
        <v/>
      </c>
      <c r="S42" s="4" t="str">
        <f>IF(VLOOKUP($A42,'[17]0920'!$A$4:$O$150,8,FALSE)="",VLOOKUP($A42,'[17]0920'!$A$4:$O$150,12,FALSE),VLOOKUP($A42,'[17]0920'!$A$4:$O$150,8,FALSE))</f>
        <v/>
      </c>
      <c r="T42" s="4" t="s">
        <v>0</v>
      </c>
      <c r="U42" s="4" t="s">
        <v>0</v>
      </c>
      <c r="W42" s="4" t="s">
        <v>0</v>
      </c>
      <c r="X42" s="4" t="s">
        <v>0</v>
      </c>
      <c r="Y42" s="4" t="s">
        <v>0</v>
      </c>
      <c r="Z42" s="4" t="s">
        <v>0</v>
      </c>
      <c r="AA42" s="4" t="s">
        <v>0</v>
      </c>
      <c r="AB42" s="4" t="s">
        <v>0</v>
      </c>
      <c r="AC42" s="4" t="s">
        <v>0</v>
      </c>
      <c r="AD42" s="4" t="s">
        <v>0</v>
      </c>
      <c r="AE42" s="4" t="s">
        <v>0</v>
      </c>
      <c r="AF42" s="4" t="s">
        <v>0</v>
      </c>
      <c r="AG42" s="4" t="s">
        <v>0</v>
      </c>
      <c r="AH42" s="4" t="s">
        <v>0</v>
      </c>
      <c r="AI42" s="4" t="s">
        <v>0</v>
      </c>
      <c r="AJ42" s="4" t="s">
        <v>0</v>
      </c>
      <c r="AK42" s="4" t="s">
        <v>0</v>
      </c>
      <c r="AL42" s="4" t="s">
        <v>0</v>
      </c>
      <c r="AM42" s="4" t="s">
        <v>0</v>
      </c>
      <c r="AN42" s="4" t="s">
        <v>0</v>
      </c>
      <c r="AP42" s="4" t="s">
        <v>0</v>
      </c>
      <c r="AQ42" s="4" t="s">
        <v>0</v>
      </c>
      <c r="AR42" s="4" t="s">
        <v>0</v>
      </c>
      <c r="AU42" s="4" t="s">
        <v>0</v>
      </c>
    </row>
    <row r="43" spans="1:47">
      <c r="A43" s="3" t="s">
        <v>16</v>
      </c>
      <c r="B43" s="5">
        <f>VLOOKUP($A43,'[21]1013'!$A$4:$O$321,4,FALSE)</f>
        <v>4.9800000000000004</v>
      </c>
      <c r="C43" s="5">
        <v>5.52</v>
      </c>
      <c r="D43" s="5">
        <f>VLOOKUP($A43,'[21]1013'!$A$4:$O$321,15,FALSE)</f>
        <v>1.2404999999999999</v>
      </c>
      <c r="E43" s="4" t="str">
        <f>IF(VLOOKUP($A43,'[21]1013'!$A$4:$O$150,8,FALSE)="",VLOOKUP($A43,'[21]1013'!$A$4:$O$150,12,FALSE),VLOOKUP($A43,'[21]1013'!$A$4:$O$150,8,FALSE))</f>
        <v/>
      </c>
      <c r="F43" s="4" t="str">
        <f>IF(VLOOKUP($A43,'[7]1012'!$A$4:$O$150,8,FALSE)="",VLOOKUP($A43,'[7]1012'!$A$4:$O$150,12,FALSE),VLOOKUP($A43,'[7]1012'!$A$4:$O$150,8,FALSE))</f>
        <v/>
      </c>
      <c r="G43" s="4" t="str">
        <f>IF(VLOOKUP($A43,'[8]1011'!$A$4:$O$150,8,FALSE)="",VLOOKUP($A43,'[8]1011'!$A$4:$O$150,12,FALSE),VLOOKUP($A43,'[8]1011'!$A$4:$O$150,8,FALSE))</f>
        <v/>
      </c>
      <c r="H43" s="106"/>
      <c r="I43" s="4" t="str">
        <f>IF(VLOOKUP($A43,'[9]1005'!$A$4:$O$150,8,FALSE)="",VLOOKUP($A43,'[9]1005'!$A$4:$O$150,12,FALSE),VLOOKUP($A43,'[9]1005'!$A$4:$O$150,8,FALSE))</f>
        <v/>
      </c>
      <c r="J43" s="4" t="str">
        <f>IF(VLOOKUP($A43,'[10]1004'!$A$4:$O$150,8,FALSE)="",VLOOKUP($A43,'[10]1004'!$A$4:$O$150,12,FALSE),VLOOKUP($A43,'[10]1004'!$A$4:$O$150,8,FALSE))</f>
        <v/>
      </c>
      <c r="K43" s="4" t="str">
        <f>IF(VLOOKUP($A43,'[11]1003'!$A$4:$O$150,8,FALSE)="",VLOOKUP($A43,'[11]1003'!$A$4:$O$150,12,FALSE),VLOOKUP($A43,'[11]1003'!$A$4:$O$150,8,FALSE))</f>
        <v/>
      </c>
      <c r="L43" s="4" t="str">
        <f>IF(VLOOKUP($A43,'[12]1002'!$A$4:$O$150,8,FALSE)="",VLOOKUP($A43,'[12]1002'!$A$4:$O$150,12,FALSE),VLOOKUP($A43,'[12]1002'!$A$4:$O$150,8,FALSE))</f>
        <v/>
      </c>
      <c r="M43" s="106"/>
      <c r="N43" s="4" t="str">
        <f>IF(VLOOKUP($A43,'[13]0927'!$A$4:$O$150,8,FALSE)="",VLOOKUP($A43,'[13]0927'!$A$4:$O$150,12,FALSE),VLOOKUP($A43,'[13]0927'!$A$4:$O$150,8,FALSE))</f>
        <v/>
      </c>
      <c r="O43" s="5"/>
      <c r="P43" s="4" t="str">
        <f>IF(VLOOKUP($A43,'[14]0925'!$A$4:$O$150,8,FALSE)="",VLOOKUP($A43,'[14]0925'!$A$4:$O$150,12,FALSE),VLOOKUP($A43,'[14]0925'!$A$4:$O$150,8,FALSE))</f>
        <v/>
      </c>
      <c r="Q43" s="4" t="str">
        <f>IF(VLOOKUP($A43,'[15]0922'!$A$4:$O$150,8,FALSE)="",VLOOKUP($A43,'[15]0922'!$A$4:$O$150,12,FALSE),VLOOKUP($A43,'[15]0922'!$A$4:$O$150,8,FALSE))</f>
        <v/>
      </c>
      <c r="R43" s="4" t="str">
        <f>IF(VLOOKUP($A43,'[16]0921'!$A$4:$O$150,8,FALSE)="",VLOOKUP($A43,'[16]0921'!$A$4:$O$150,12,FALSE),VLOOKUP($A43,'[16]0921'!$A$4:$O$150,8,FALSE))</f>
        <v/>
      </c>
      <c r="S43" s="4" t="str">
        <f>IF(VLOOKUP($A43,'[17]0920'!$A$4:$O$150,8,FALSE)="",VLOOKUP($A43,'[17]0920'!$A$4:$O$150,12,FALSE),VLOOKUP($A43,'[17]0920'!$A$4:$O$150,8,FALSE))</f>
        <v/>
      </c>
      <c r="T43" s="4" t="s">
        <v>0</v>
      </c>
      <c r="U43" s="4" t="s">
        <v>0</v>
      </c>
      <c r="W43" s="4" t="s">
        <v>0</v>
      </c>
      <c r="X43" s="4" t="s">
        <v>0</v>
      </c>
      <c r="Y43" s="4" t="s">
        <v>0</v>
      </c>
      <c r="Z43" s="4" t="s">
        <v>0</v>
      </c>
      <c r="AA43" s="4" t="s">
        <v>0</v>
      </c>
      <c r="AB43" s="4" t="s">
        <v>0</v>
      </c>
      <c r="AC43" s="4" t="s">
        <v>0</v>
      </c>
      <c r="AD43" s="4" t="s">
        <v>0</v>
      </c>
      <c r="AE43" s="4" t="s">
        <v>0</v>
      </c>
      <c r="AF43" s="4" t="s">
        <v>0</v>
      </c>
      <c r="AG43" s="4" t="s">
        <v>0</v>
      </c>
      <c r="AH43" s="4" t="s">
        <v>0</v>
      </c>
      <c r="AI43" s="4" t="s">
        <v>0</v>
      </c>
      <c r="AJ43" s="4" t="s">
        <v>0</v>
      </c>
      <c r="AK43" s="4" t="s">
        <v>0</v>
      </c>
      <c r="AL43" s="4" t="s">
        <v>0</v>
      </c>
      <c r="AM43" s="4" t="s">
        <v>0</v>
      </c>
      <c r="AN43" s="4" t="s">
        <v>0</v>
      </c>
      <c r="AP43" s="4" t="s">
        <v>0</v>
      </c>
      <c r="AQ43" s="4" t="s">
        <v>0</v>
      </c>
      <c r="AR43" s="4" t="s">
        <v>0</v>
      </c>
      <c r="AU43" s="4" t="s">
        <v>0</v>
      </c>
    </row>
    <row r="44" spans="1:47">
      <c r="A44" s="3" t="s">
        <v>3</v>
      </c>
      <c r="B44" s="5">
        <f>VLOOKUP($A44,'[21]1013'!$A$4:$O$321,4,FALSE)</f>
        <v>5.15</v>
      </c>
      <c r="C44" s="5">
        <v>5.51</v>
      </c>
      <c r="D44" s="5">
        <f>VLOOKUP($A44,'[21]1013'!$A$4:$O$321,15,FALSE)</f>
        <v>1.2438</v>
      </c>
      <c r="E44" s="4" t="str">
        <f>IF(VLOOKUP($A44,'[21]1013'!$A$4:$O$150,8,FALSE)="",VLOOKUP($A44,'[21]1013'!$A$4:$O$150,12,FALSE),VLOOKUP($A44,'[21]1013'!$A$4:$O$150,8,FALSE))</f>
        <v/>
      </c>
      <c r="F44" s="4" t="str">
        <f>IF(VLOOKUP($A44,'[7]1012'!$A$4:$O$150,8,FALSE)="",VLOOKUP($A44,'[7]1012'!$A$4:$O$150,12,FALSE),VLOOKUP($A44,'[7]1012'!$A$4:$O$150,8,FALSE))</f>
        <v/>
      </c>
      <c r="G44" s="4" t="str">
        <f>IF(VLOOKUP($A44,'[8]1011'!$A$4:$O$150,8,FALSE)="",VLOOKUP($A44,'[8]1011'!$A$4:$O$150,12,FALSE),VLOOKUP($A44,'[8]1011'!$A$4:$O$150,8,FALSE))</f>
        <v/>
      </c>
      <c r="H44" s="106"/>
      <c r="I44" s="4" t="str">
        <f>IF(VLOOKUP($A44,'[9]1005'!$A$4:$O$150,8,FALSE)="",VLOOKUP($A44,'[9]1005'!$A$4:$O$150,12,FALSE),VLOOKUP($A44,'[9]1005'!$A$4:$O$150,8,FALSE))</f>
        <v/>
      </c>
      <c r="J44" s="4" t="str">
        <f>IF(VLOOKUP($A44,'[10]1004'!$A$4:$O$150,8,FALSE)="",VLOOKUP($A44,'[10]1004'!$A$4:$O$150,12,FALSE),VLOOKUP($A44,'[10]1004'!$A$4:$O$150,8,FALSE))</f>
        <v/>
      </c>
      <c r="K44" s="4" t="str">
        <f>IF(VLOOKUP($A44,'[11]1003'!$A$4:$O$150,8,FALSE)="",VLOOKUP($A44,'[11]1003'!$A$4:$O$150,12,FALSE),VLOOKUP($A44,'[11]1003'!$A$4:$O$150,8,FALSE))</f>
        <v/>
      </c>
      <c r="L44" s="4" t="str">
        <f>IF(VLOOKUP($A44,'[12]1002'!$A$4:$O$150,8,FALSE)="",VLOOKUP($A44,'[12]1002'!$A$4:$O$150,12,FALSE),VLOOKUP($A44,'[12]1002'!$A$4:$O$150,8,FALSE))</f>
        <v/>
      </c>
      <c r="M44" s="106"/>
      <c r="N44" s="4" t="str">
        <f>IF(VLOOKUP($A44,'[13]0927'!$A$4:$O$150,8,FALSE)="",VLOOKUP($A44,'[13]0927'!$A$4:$O$150,12,FALSE),VLOOKUP($A44,'[13]0927'!$A$4:$O$150,8,FALSE))</f>
        <v/>
      </c>
      <c r="O44" s="5"/>
      <c r="P44" s="4" t="str">
        <f>IF(VLOOKUP($A44,'[14]0925'!$A$4:$O$150,8,FALSE)="",VLOOKUP($A44,'[14]0925'!$A$4:$O$150,12,FALSE),VLOOKUP($A44,'[14]0925'!$A$4:$O$150,8,FALSE))</f>
        <v/>
      </c>
      <c r="Q44" s="4" t="str">
        <f>IF(VLOOKUP($A44,'[15]0922'!$A$4:$O$150,8,FALSE)="",VLOOKUP($A44,'[15]0922'!$A$4:$O$150,12,FALSE),VLOOKUP($A44,'[15]0922'!$A$4:$O$150,8,FALSE))</f>
        <v/>
      </c>
      <c r="R44" s="4" t="str">
        <f>IF(VLOOKUP($A44,'[16]0921'!$A$4:$O$150,8,FALSE)="",VLOOKUP($A44,'[16]0921'!$A$4:$O$150,12,FALSE),VLOOKUP($A44,'[16]0921'!$A$4:$O$150,8,FALSE))</f>
        <v/>
      </c>
      <c r="S44" s="4" t="str">
        <f>IF(VLOOKUP($A44,'[17]0920'!$A$4:$O$150,8,FALSE)="",VLOOKUP($A44,'[17]0920'!$A$4:$O$150,12,FALSE),VLOOKUP($A44,'[17]0920'!$A$4:$O$150,8,FALSE))</f>
        <v/>
      </c>
      <c r="T44" s="4" t="s">
        <v>0</v>
      </c>
      <c r="U44" s="4" t="s">
        <v>0</v>
      </c>
      <c r="W44" s="4" t="s">
        <v>0</v>
      </c>
      <c r="X44" s="4">
        <v>1.1668000000000001</v>
      </c>
      <c r="Y44" s="4">
        <v>1.1328</v>
      </c>
      <c r="Z44" s="4">
        <v>1.1359999999999999</v>
      </c>
      <c r="AA44" s="4" t="s">
        <v>0</v>
      </c>
      <c r="AB44" s="4" t="s">
        <v>0</v>
      </c>
      <c r="AC44" s="4" t="s">
        <v>0</v>
      </c>
      <c r="AD44" s="4" t="s">
        <v>0</v>
      </c>
      <c r="AE44" s="4">
        <v>1.1105</v>
      </c>
      <c r="AF44" s="4" t="s">
        <v>0</v>
      </c>
      <c r="AG44" s="4" t="s">
        <v>0</v>
      </c>
      <c r="AH44" s="4">
        <v>1.1205000000000001</v>
      </c>
      <c r="AI44" s="4">
        <v>1.1305000000000001</v>
      </c>
      <c r="AJ44" s="4" t="s">
        <v>0</v>
      </c>
      <c r="AK44" s="4" t="s">
        <v>0</v>
      </c>
      <c r="AL44" s="4" t="s">
        <v>0</v>
      </c>
      <c r="AM44" s="4" t="s">
        <v>0</v>
      </c>
      <c r="AN44" s="4" t="s">
        <v>0</v>
      </c>
      <c r="AP44" s="4" t="s">
        <v>0</v>
      </c>
      <c r="AQ44" s="4" t="s">
        <v>0</v>
      </c>
      <c r="AR44" s="4" t="s">
        <v>0</v>
      </c>
      <c r="AU44" s="4" t="s">
        <v>0</v>
      </c>
    </row>
    <row r="45" spans="1:47">
      <c r="A45" s="3" t="s">
        <v>17</v>
      </c>
      <c r="B45" s="5">
        <f>VLOOKUP($A45,'[21]1013'!$A$4:$O$321,4,FALSE)</f>
        <v>5.46</v>
      </c>
      <c r="C45" s="5">
        <v>6.01</v>
      </c>
      <c r="D45" s="5">
        <f>VLOOKUP($A45,'[21]1013'!$A$4:$O$321,15,FALSE)</f>
        <v>1.2395</v>
      </c>
      <c r="E45" s="4" t="str">
        <f>IF(VLOOKUP($A45,'[21]1013'!$A$4:$O$150,8,FALSE)="",VLOOKUP($A45,'[21]1013'!$A$4:$O$150,12,FALSE),VLOOKUP($A45,'[21]1013'!$A$4:$O$150,8,FALSE))</f>
        <v/>
      </c>
      <c r="F45" s="4" t="str">
        <f>IF(VLOOKUP($A45,'[7]1012'!$A$4:$O$150,8,FALSE)="",VLOOKUP($A45,'[7]1012'!$A$4:$O$150,12,FALSE),VLOOKUP($A45,'[7]1012'!$A$4:$O$150,8,FALSE))</f>
        <v/>
      </c>
      <c r="G45" s="4" t="str">
        <f>IF(VLOOKUP($A45,'[8]1011'!$A$4:$O$150,8,FALSE)="",VLOOKUP($A45,'[8]1011'!$A$4:$O$150,12,FALSE),VLOOKUP($A45,'[8]1011'!$A$4:$O$150,8,FALSE))</f>
        <v/>
      </c>
      <c r="H45" s="106"/>
      <c r="I45" s="4" t="str">
        <f>IF(VLOOKUP($A45,'[9]1005'!$A$4:$O$150,8,FALSE)="",VLOOKUP($A45,'[9]1005'!$A$4:$O$150,12,FALSE),VLOOKUP($A45,'[9]1005'!$A$4:$O$150,8,FALSE))</f>
        <v/>
      </c>
      <c r="J45" s="4" t="str">
        <f>IF(VLOOKUP($A45,'[10]1004'!$A$4:$O$150,8,FALSE)="",VLOOKUP($A45,'[10]1004'!$A$4:$O$150,12,FALSE),VLOOKUP($A45,'[10]1004'!$A$4:$O$150,8,FALSE))</f>
        <v/>
      </c>
      <c r="K45" s="4" t="str">
        <f>IF(VLOOKUP($A45,'[11]1003'!$A$4:$O$150,8,FALSE)="",VLOOKUP($A45,'[11]1003'!$A$4:$O$150,12,FALSE),VLOOKUP($A45,'[11]1003'!$A$4:$O$150,8,FALSE))</f>
        <v/>
      </c>
      <c r="L45" s="4" t="str">
        <f>IF(VLOOKUP($A45,'[12]1002'!$A$4:$O$150,8,FALSE)="",VLOOKUP($A45,'[12]1002'!$A$4:$O$150,12,FALSE),VLOOKUP($A45,'[12]1002'!$A$4:$O$150,8,FALSE))</f>
        <v/>
      </c>
      <c r="M45" s="106"/>
      <c r="N45" s="4" t="str">
        <f>IF(VLOOKUP($A45,'[13]0927'!$A$4:$O$150,8,FALSE)="",VLOOKUP($A45,'[13]0927'!$A$4:$O$150,12,FALSE),VLOOKUP($A45,'[13]0927'!$A$4:$O$150,8,FALSE))</f>
        <v/>
      </c>
      <c r="O45" s="5"/>
      <c r="P45" s="4" t="str">
        <f>IF(VLOOKUP($A45,'[14]0925'!$A$4:$O$150,8,FALSE)="",VLOOKUP($A45,'[14]0925'!$A$4:$O$150,12,FALSE),VLOOKUP($A45,'[14]0925'!$A$4:$O$150,8,FALSE))</f>
        <v/>
      </c>
      <c r="Q45" s="4" t="str">
        <f>IF(VLOOKUP($A45,'[15]0922'!$A$4:$O$150,8,FALSE)="",VLOOKUP($A45,'[15]0922'!$A$4:$O$150,12,FALSE),VLOOKUP($A45,'[15]0922'!$A$4:$O$150,8,FALSE))</f>
        <v/>
      </c>
      <c r="R45" s="4" t="str">
        <f>IF(VLOOKUP($A45,'[16]0921'!$A$4:$O$150,8,FALSE)="",VLOOKUP($A45,'[16]0921'!$A$4:$O$150,12,FALSE),VLOOKUP($A45,'[16]0921'!$A$4:$O$150,8,FALSE))</f>
        <v/>
      </c>
      <c r="S45" s="4" t="str">
        <f>IF(VLOOKUP($A45,'[17]0920'!$A$4:$O$150,8,FALSE)="",VLOOKUP($A45,'[17]0920'!$A$4:$O$150,12,FALSE),VLOOKUP($A45,'[17]0920'!$A$4:$O$150,8,FALSE))</f>
        <v/>
      </c>
      <c r="T45" s="4" t="s">
        <v>0</v>
      </c>
      <c r="U45" s="4" t="s">
        <v>0</v>
      </c>
      <c r="W45" s="4" t="s">
        <v>0</v>
      </c>
      <c r="X45" s="4" t="s">
        <v>0</v>
      </c>
      <c r="Y45" s="4" t="s">
        <v>0</v>
      </c>
      <c r="Z45" s="4" t="s">
        <v>0</v>
      </c>
      <c r="AA45" s="4" t="s">
        <v>0</v>
      </c>
      <c r="AB45" s="4" t="s">
        <v>0</v>
      </c>
      <c r="AC45" s="4" t="s">
        <v>0</v>
      </c>
      <c r="AD45" s="4" t="s">
        <v>0</v>
      </c>
      <c r="AE45" s="4" t="s">
        <v>0</v>
      </c>
      <c r="AF45" s="4">
        <v>1.1120000000000001</v>
      </c>
      <c r="AG45" s="4" t="s">
        <v>0</v>
      </c>
      <c r="AH45" s="4" t="s">
        <v>0</v>
      </c>
      <c r="AI45" s="4" t="s">
        <v>0</v>
      </c>
      <c r="AJ45" s="4" t="s">
        <v>0</v>
      </c>
      <c r="AK45" s="4" t="s">
        <v>0</v>
      </c>
      <c r="AL45" s="4" t="s">
        <v>0</v>
      </c>
      <c r="AM45" s="4" t="s">
        <v>0</v>
      </c>
      <c r="AN45" s="4" t="s">
        <v>0</v>
      </c>
      <c r="AP45" s="4" t="s">
        <v>0</v>
      </c>
      <c r="AQ45" s="4" t="s">
        <v>0</v>
      </c>
      <c r="AR45" s="4" t="s">
        <v>0</v>
      </c>
      <c r="AU45" s="4" t="s">
        <v>0</v>
      </c>
    </row>
    <row r="46" spans="1:47">
      <c r="A46" s="3" t="s">
        <v>4</v>
      </c>
      <c r="B46" s="5">
        <f>VLOOKUP($A46,'[21]1013'!$A$4:$O$321,4,FALSE)</f>
        <v>5.53</v>
      </c>
      <c r="C46" s="5">
        <v>5.88</v>
      </c>
      <c r="D46" s="5">
        <f>VLOOKUP($A46,'[21]1013'!$A$4:$O$321,15,FALSE)</f>
        <v>1.2436</v>
      </c>
      <c r="E46" s="4" t="str">
        <f>IF(VLOOKUP($A46,'[21]1013'!$A$4:$O$150,8,FALSE)="",VLOOKUP($A46,'[21]1013'!$A$4:$O$150,12,FALSE),VLOOKUP($A46,'[21]1013'!$A$4:$O$150,8,FALSE))</f>
        <v/>
      </c>
      <c r="F46" s="4" t="str">
        <f>IF(VLOOKUP($A46,'[7]1012'!$A$4:$O$150,8,FALSE)="",VLOOKUP($A46,'[7]1012'!$A$4:$O$150,12,FALSE),VLOOKUP($A46,'[7]1012'!$A$4:$O$150,8,FALSE))</f>
        <v/>
      </c>
      <c r="G46" s="4" t="str">
        <f>IF(VLOOKUP($A46,'[8]1011'!$A$4:$O$150,8,FALSE)="",VLOOKUP($A46,'[8]1011'!$A$4:$O$150,12,FALSE),VLOOKUP($A46,'[8]1011'!$A$4:$O$150,8,FALSE))</f>
        <v/>
      </c>
      <c r="H46" s="106"/>
      <c r="I46" s="4" t="str">
        <f>IF(VLOOKUP($A46,'[9]1005'!$A$4:$O$150,8,FALSE)="",VLOOKUP($A46,'[9]1005'!$A$4:$O$150,12,FALSE),VLOOKUP($A46,'[9]1005'!$A$4:$O$150,8,FALSE))</f>
        <v/>
      </c>
      <c r="J46" s="4" t="str">
        <f>IF(VLOOKUP($A46,'[10]1004'!$A$4:$O$150,8,FALSE)="",VLOOKUP($A46,'[10]1004'!$A$4:$O$150,12,FALSE),VLOOKUP($A46,'[10]1004'!$A$4:$O$150,8,FALSE))</f>
        <v/>
      </c>
      <c r="K46" s="4" t="str">
        <f>IF(VLOOKUP($A46,'[11]1003'!$A$4:$O$150,8,FALSE)="",VLOOKUP($A46,'[11]1003'!$A$4:$O$150,12,FALSE),VLOOKUP($A46,'[11]1003'!$A$4:$O$150,8,FALSE))</f>
        <v/>
      </c>
      <c r="L46" s="4" t="str">
        <f>IF(VLOOKUP($A46,'[12]1002'!$A$4:$O$150,8,FALSE)="",VLOOKUP($A46,'[12]1002'!$A$4:$O$150,12,FALSE),VLOOKUP($A46,'[12]1002'!$A$4:$O$150,8,FALSE))</f>
        <v/>
      </c>
      <c r="M46" s="106"/>
      <c r="N46" s="4" t="str">
        <f>IF(VLOOKUP($A46,'[13]0927'!$A$4:$O$150,8,FALSE)="",VLOOKUP($A46,'[13]0927'!$A$4:$O$150,12,FALSE),VLOOKUP($A46,'[13]0927'!$A$4:$O$150,8,FALSE))</f>
        <v/>
      </c>
      <c r="O46" s="5"/>
      <c r="P46" s="4" t="str">
        <f>IF(VLOOKUP($A46,'[14]0925'!$A$4:$O$150,8,FALSE)="",VLOOKUP($A46,'[14]0925'!$A$4:$O$150,12,FALSE),VLOOKUP($A46,'[14]0925'!$A$4:$O$150,8,FALSE))</f>
        <v/>
      </c>
      <c r="Q46" s="4" t="str">
        <f>IF(VLOOKUP($A46,'[15]0922'!$A$4:$O$150,8,FALSE)="",VLOOKUP($A46,'[15]0922'!$A$4:$O$150,12,FALSE),VLOOKUP($A46,'[15]0922'!$A$4:$O$150,8,FALSE))</f>
        <v/>
      </c>
      <c r="R46" s="4" t="str">
        <f>IF(VLOOKUP($A46,'[16]0921'!$A$4:$O$150,8,FALSE)="",VLOOKUP($A46,'[16]0921'!$A$4:$O$150,12,FALSE),VLOOKUP($A46,'[16]0921'!$A$4:$O$150,8,FALSE))</f>
        <v/>
      </c>
      <c r="S46" s="4" t="str">
        <f>IF(VLOOKUP($A46,'[17]0920'!$A$4:$O$150,8,FALSE)="",VLOOKUP($A46,'[17]0920'!$A$4:$O$150,12,FALSE),VLOOKUP($A46,'[17]0920'!$A$4:$O$150,8,FALSE))</f>
        <v/>
      </c>
      <c r="T46" s="4" t="s">
        <v>0</v>
      </c>
      <c r="U46" s="4">
        <v>1.1705000000000001</v>
      </c>
      <c r="W46" s="4" t="s">
        <v>0</v>
      </c>
      <c r="X46" s="4" t="s">
        <v>0</v>
      </c>
      <c r="Y46" s="4" t="s">
        <v>0</v>
      </c>
      <c r="Z46" s="4" t="s">
        <v>0</v>
      </c>
      <c r="AA46" s="4" t="s">
        <v>0</v>
      </c>
      <c r="AB46" s="4" t="s">
        <v>0</v>
      </c>
      <c r="AC46" s="4" t="s">
        <v>0</v>
      </c>
      <c r="AD46" s="4" t="s">
        <v>0</v>
      </c>
      <c r="AE46" s="4" t="s">
        <v>0</v>
      </c>
      <c r="AF46" s="4" t="s">
        <v>0</v>
      </c>
      <c r="AG46" s="4" t="s">
        <v>0</v>
      </c>
      <c r="AH46" s="4" t="s">
        <v>0</v>
      </c>
      <c r="AI46" s="4" t="s">
        <v>0</v>
      </c>
      <c r="AJ46" s="4" t="s">
        <v>0</v>
      </c>
      <c r="AK46" s="4" t="s">
        <v>0</v>
      </c>
      <c r="AL46" s="4" t="s">
        <v>0</v>
      </c>
      <c r="AM46" s="4" t="s">
        <v>0</v>
      </c>
      <c r="AN46" s="4" t="s">
        <v>0</v>
      </c>
      <c r="AP46" s="4" t="s">
        <v>0</v>
      </c>
      <c r="AQ46" s="4" t="s">
        <v>0</v>
      </c>
      <c r="AR46" s="4" t="s">
        <v>0</v>
      </c>
      <c r="AU46" s="4" t="s">
        <v>0</v>
      </c>
    </row>
    <row r="47" spans="1:47">
      <c r="A47" s="3" t="s">
        <v>6</v>
      </c>
      <c r="B47" s="5">
        <f>VLOOKUP($A47,'[21]1013'!$A$4:$O$321,4,FALSE)</f>
        <v>5.83</v>
      </c>
      <c r="C47" s="5">
        <v>6.18</v>
      </c>
      <c r="D47" s="5">
        <f>VLOOKUP($A47,'[21]1013'!$A$4:$O$321,15,FALSE)</f>
        <v>1.2413000000000001</v>
      </c>
      <c r="E47" s="4" t="str">
        <f>IF(VLOOKUP($A47,'[21]1013'!$A$4:$O$150,8,FALSE)="",VLOOKUP($A47,'[21]1013'!$A$4:$O$150,12,FALSE),VLOOKUP($A47,'[21]1013'!$A$4:$O$150,8,FALSE))</f>
        <v/>
      </c>
      <c r="F47" s="4" t="str">
        <f>IF(VLOOKUP($A47,'[7]1012'!$A$4:$O$150,8,FALSE)="",VLOOKUP($A47,'[7]1012'!$A$4:$O$150,12,FALSE),VLOOKUP($A47,'[7]1012'!$A$4:$O$150,8,FALSE))</f>
        <v/>
      </c>
      <c r="G47" s="4" t="str">
        <f>IF(VLOOKUP($A47,'[8]1011'!$A$4:$O$150,8,FALSE)="",VLOOKUP($A47,'[8]1011'!$A$4:$O$150,12,FALSE),VLOOKUP($A47,'[8]1011'!$A$4:$O$150,8,FALSE))</f>
        <v/>
      </c>
      <c r="H47" s="106"/>
      <c r="I47" s="4" t="str">
        <f>IF(VLOOKUP($A47,'[9]1005'!$A$4:$O$150,8,FALSE)="",VLOOKUP($A47,'[9]1005'!$A$4:$O$150,12,FALSE),VLOOKUP($A47,'[9]1005'!$A$4:$O$150,8,FALSE))</f>
        <v/>
      </c>
      <c r="J47" s="4" t="str">
        <f>IF(VLOOKUP($A47,'[10]1004'!$A$4:$O$150,8,FALSE)="",VLOOKUP($A47,'[10]1004'!$A$4:$O$150,12,FALSE),VLOOKUP($A47,'[10]1004'!$A$4:$O$150,8,FALSE))</f>
        <v/>
      </c>
      <c r="K47" s="4" t="str">
        <f>IF(VLOOKUP($A47,'[11]1003'!$A$4:$O$150,8,FALSE)="",VLOOKUP($A47,'[11]1003'!$A$4:$O$150,12,FALSE),VLOOKUP($A47,'[11]1003'!$A$4:$O$150,8,FALSE))</f>
        <v/>
      </c>
      <c r="L47" s="4" t="str">
        <f>IF(VLOOKUP($A47,'[12]1002'!$A$4:$O$150,8,FALSE)="",VLOOKUP($A47,'[12]1002'!$A$4:$O$150,12,FALSE),VLOOKUP($A47,'[12]1002'!$A$4:$O$150,8,FALSE))</f>
        <v/>
      </c>
      <c r="M47" s="106"/>
      <c r="N47" s="4" t="str">
        <f>IF(VLOOKUP($A47,'[13]0927'!$A$4:$O$150,8,FALSE)="",VLOOKUP($A47,'[13]0927'!$A$4:$O$150,12,FALSE),VLOOKUP($A47,'[13]0927'!$A$4:$O$150,8,FALSE))</f>
        <v/>
      </c>
      <c r="O47" s="5"/>
      <c r="P47" s="4" t="str">
        <f>IF(VLOOKUP($A47,'[14]0925'!$A$4:$O$150,8,FALSE)="",VLOOKUP($A47,'[14]0925'!$A$4:$O$150,12,FALSE),VLOOKUP($A47,'[14]0925'!$A$4:$O$150,8,FALSE))</f>
        <v/>
      </c>
      <c r="Q47" s="4" t="str">
        <f>IF(VLOOKUP($A47,'[15]0922'!$A$4:$O$150,8,FALSE)="",VLOOKUP($A47,'[15]0922'!$A$4:$O$150,12,FALSE),VLOOKUP($A47,'[15]0922'!$A$4:$O$150,8,FALSE))</f>
        <v/>
      </c>
      <c r="R47" s="4" t="str">
        <f>IF(VLOOKUP($A47,'[16]0921'!$A$4:$O$150,8,FALSE)="",VLOOKUP($A47,'[16]0921'!$A$4:$O$150,12,FALSE),VLOOKUP($A47,'[16]0921'!$A$4:$O$150,8,FALSE))</f>
        <v/>
      </c>
      <c r="S47" s="4" t="str">
        <f>IF(VLOOKUP($A47,'[17]0920'!$A$4:$O$150,8,FALSE)="",VLOOKUP($A47,'[17]0920'!$A$4:$O$150,12,FALSE),VLOOKUP($A47,'[17]0920'!$A$4:$O$150,8,FALSE))</f>
        <v/>
      </c>
      <c r="T47" s="4" t="s">
        <v>0</v>
      </c>
      <c r="U47" s="4" t="s">
        <v>0</v>
      </c>
      <c r="W47" s="4" t="s">
        <v>0</v>
      </c>
      <c r="X47" s="4" t="s">
        <v>0</v>
      </c>
      <c r="Y47" s="4" t="s">
        <v>0</v>
      </c>
      <c r="Z47" s="4" t="s">
        <v>0</v>
      </c>
      <c r="AA47" s="4" t="s">
        <v>0</v>
      </c>
      <c r="AB47" s="4" t="s">
        <v>0</v>
      </c>
      <c r="AC47" s="4" t="s">
        <v>0</v>
      </c>
      <c r="AD47" s="4" t="s">
        <v>0</v>
      </c>
      <c r="AE47" s="4" t="s">
        <v>0</v>
      </c>
      <c r="AF47" s="4" t="s">
        <v>0</v>
      </c>
      <c r="AG47" s="4" t="s">
        <v>0</v>
      </c>
      <c r="AH47" s="4" t="s">
        <v>0</v>
      </c>
      <c r="AI47" s="4" t="s">
        <v>0</v>
      </c>
      <c r="AJ47" s="4" t="s">
        <v>0</v>
      </c>
      <c r="AK47" s="4" t="s">
        <v>0</v>
      </c>
      <c r="AL47" s="4" t="s">
        <v>0</v>
      </c>
      <c r="AM47" s="4" t="s">
        <v>0</v>
      </c>
      <c r="AN47" s="4" t="s">
        <v>0</v>
      </c>
      <c r="AP47" s="4" t="s">
        <v>0</v>
      </c>
      <c r="AQ47" s="4" t="s">
        <v>0</v>
      </c>
      <c r="AR47" s="4" t="s">
        <v>0</v>
      </c>
      <c r="AU47" s="4" t="s">
        <v>0</v>
      </c>
    </row>
    <row r="48" spans="1:47">
      <c r="A48" s="3" t="s">
        <v>18</v>
      </c>
      <c r="B48" s="5">
        <f>VLOOKUP($A48,'[21]1013'!$A$4:$O$321,4,FALSE)</f>
        <v>5.91</v>
      </c>
      <c r="C48" s="5">
        <v>6.54</v>
      </c>
      <c r="D48" s="5">
        <f>VLOOKUP($A48,'[21]1013'!$A$4:$O$321,15,FALSE)</f>
        <v>1.2363</v>
      </c>
      <c r="E48" s="4" t="str">
        <f>IF(VLOOKUP($A48,'[21]1013'!$A$4:$O$150,8,FALSE)="",VLOOKUP($A48,'[21]1013'!$A$4:$O$150,12,FALSE),VLOOKUP($A48,'[21]1013'!$A$4:$O$150,8,FALSE))</f>
        <v/>
      </c>
      <c r="F48" s="4" t="str">
        <f>IF(VLOOKUP($A48,'[7]1012'!$A$4:$O$150,8,FALSE)="",VLOOKUP($A48,'[7]1012'!$A$4:$O$150,12,FALSE),VLOOKUP($A48,'[7]1012'!$A$4:$O$150,8,FALSE))</f>
        <v/>
      </c>
      <c r="G48" s="4" t="str">
        <f>IF(VLOOKUP($A48,'[8]1011'!$A$4:$O$150,8,FALSE)="",VLOOKUP($A48,'[8]1011'!$A$4:$O$150,12,FALSE),VLOOKUP($A48,'[8]1011'!$A$4:$O$150,8,FALSE))</f>
        <v/>
      </c>
      <c r="H48" s="106"/>
      <c r="I48" s="4" t="str">
        <f>IF(VLOOKUP($A48,'[9]1005'!$A$4:$O$150,8,FALSE)="",VLOOKUP($A48,'[9]1005'!$A$4:$O$150,12,FALSE),VLOOKUP($A48,'[9]1005'!$A$4:$O$150,8,FALSE))</f>
        <v/>
      </c>
      <c r="J48" s="4" t="str">
        <f>IF(VLOOKUP($A48,'[10]1004'!$A$4:$O$150,8,FALSE)="",VLOOKUP($A48,'[10]1004'!$A$4:$O$150,12,FALSE),VLOOKUP($A48,'[10]1004'!$A$4:$O$150,8,FALSE))</f>
        <v/>
      </c>
      <c r="K48" s="4" t="str">
        <f>IF(VLOOKUP($A48,'[11]1003'!$A$4:$O$150,8,FALSE)="",VLOOKUP($A48,'[11]1003'!$A$4:$O$150,12,FALSE),VLOOKUP($A48,'[11]1003'!$A$4:$O$150,8,FALSE))</f>
        <v/>
      </c>
      <c r="L48" s="4" t="str">
        <f>IF(VLOOKUP($A48,'[12]1002'!$A$4:$O$150,8,FALSE)="",VLOOKUP($A48,'[12]1002'!$A$4:$O$150,12,FALSE),VLOOKUP($A48,'[12]1002'!$A$4:$O$150,8,FALSE))</f>
        <v/>
      </c>
      <c r="M48" s="106"/>
      <c r="N48" s="4" t="str">
        <f>IF(VLOOKUP($A48,'[13]0927'!$A$4:$O$150,8,FALSE)="",VLOOKUP($A48,'[13]0927'!$A$4:$O$150,12,FALSE),VLOOKUP($A48,'[13]0927'!$A$4:$O$150,8,FALSE))</f>
        <v/>
      </c>
      <c r="O48" s="5"/>
      <c r="P48" s="4" t="str">
        <f>IF(VLOOKUP($A48,'[14]0925'!$A$4:$O$150,8,FALSE)="",VLOOKUP($A48,'[14]0925'!$A$4:$O$150,12,FALSE),VLOOKUP($A48,'[14]0925'!$A$4:$O$150,8,FALSE))</f>
        <v/>
      </c>
      <c r="Q48" s="4" t="str">
        <f>IF(VLOOKUP($A48,'[15]0922'!$A$4:$O$150,8,FALSE)="",VLOOKUP($A48,'[15]0922'!$A$4:$O$150,12,FALSE),VLOOKUP($A48,'[15]0922'!$A$4:$O$150,8,FALSE))</f>
        <v/>
      </c>
      <c r="R48" s="4" t="str">
        <f>IF(VLOOKUP($A48,'[16]0921'!$A$4:$O$150,8,FALSE)="",VLOOKUP($A48,'[16]0921'!$A$4:$O$150,12,FALSE),VLOOKUP($A48,'[16]0921'!$A$4:$O$150,8,FALSE))</f>
        <v/>
      </c>
      <c r="S48" s="4" t="str">
        <f>IF(VLOOKUP($A48,'[17]0920'!$A$4:$O$150,8,FALSE)="",VLOOKUP($A48,'[17]0920'!$A$4:$O$150,12,FALSE),VLOOKUP($A48,'[17]0920'!$A$4:$O$150,8,FALSE))</f>
        <v/>
      </c>
      <c r="T48" s="4" t="s">
        <v>0</v>
      </c>
      <c r="U48" s="4" t="s">
        <v>0</v>
      </c>
      <c r="W48" s="4" t="s">
        <v>0</v>
      </c>
      <c r="X48" s="4" t="s">
        <v>0</v>
      </c>
      <c r="Y48" s="4" t="s">
        <v>0</v>
      </c>
      <c r="Z48" s="4" t="s">
        <v>0</v>
      </c>
      <c r="AA48" s="4" t="s">
        <v>0</v>
      </c>
      <c r="AB48" s="4" t="s">
        <v>0</v>
      </c>
      <c r="AC48" s="4" t="s">
        <v>0</v>
      </c>
      <c r="AD48" s="4" t="s">
        <v>0</v>
      </c>
      <c r="AE48" s="4" t="s">
        <v>0</v>
      </c>
      <c r="AF48" s="4">
        <v>1.1299999999999999</v>
      </c>
      <c r="AG48" s="4" t="s">
        <v>0</v>
      </c>
      <c r="AH48" s="4" t="s">
        <v>0</v>
      </c>
      <c r="AI48" s="4" t="s">
        <v>0</v>
      </c>
      <c r="AJ48" s="4" t="s">
        <v>0</v>
      </c>
      <c r="AK48" s="4" t="s">
        <v>0</v>
      </c>
      <c r="AL48" s="4" t="s">
        <v>0</v>
      </c>
      <c r="AM48" s="4" t="s">
        <v>0</v>
      </c>
      <c r="AN48" s="4" t="s">
        <v>0</v>
      </c>
      <c r="AP48" s="4" t="s">
        <v>0</v>
      </c>
      <c r="AQ48" s="4" t="s">
        <v>0</v>
      </c>
      <c r="AR48" s="4" t="s">
        <v>0</v>
      </c>
      <c r="AU48" s="4" t="s">
        <v>0</v>
      </c>
    </row>
    <row r="49" spans="1:47">
      <c r="A49" s="3" t="s">
        <v>85</v>
      </c>
      <c r="B49" s="5">
        <f>VLOOKUP($A49,'[21]1013'!$A$4:$O$321,4,FALSE)</f>
        <v>6.16</v>
      </c>
      <c r="C49" s="5">
        <v>6.54</v>
      </c>
      <c r="D49" s="5">
        <f>VLOOKUP($A49,'[21]1013'!$A$4:$O$321,15,FALSE)</f>
        <v>1.2390000000000001</v>
      </c>
      <c r="E49" s="4" t="str">
        <f>IF(VLOOKUP($A49,'[21]1013'!$A$4:$O$150,8,FALSE)="",VLOOKUP($A49,'[21]1013'!$A$4:$O$150,12,FALSE),VLOOKUP($A49,'[21]1013'!$A$4:$O$150,8,FALSE))</f>
        <v/>
      </c>
      <c r="F49" s="4" t="str">
        <f>IF(VLOOKUP($A49,'[7]1012'!$A$4:$O$150,8,FALSE)="",VLOOKUP($A49,'[7]1012'!$A$4:$O$150,12,FALSE),VLOOKUP($A49,'[7]1012'!$A$4:$O$150,8,FALSE))</f>
        <v/>
      </c>
      <c r="G49" s="4" t="str">
        <f>IF(VLOOKUP($A49,'[8]1011'!$A$4:$O$150,8,FALSE)="",VLOOKUP($A49,'[8]1011'!$A$4:$O$150,12,FALSE),VLOOKUP($A49,'[8]1011'!$A$4:$O$150,8,FALSE))</f>
        <v/>
      </c>
      <c r="H49" s="106"/>
      <c r="I49" s="4" t="str">
        <f>IF(VLOOKUP($A49,'[9]1005'!$A$4:$O$150,8,FALSE)="",VLOOKUP($A49,'[9]1005'!$A$4:$O$150,12,FALSE),VLOOKUP($A49,'[9]1005'!$A$4:$O$150,8,FALSE))</f>
        <v/>
      </c>
      <c r="J49" s="4" t="str">
        <f>IF(VLOOKUP($A49,'[10]1004'!$A$4:$O$150,8,FALSE)="",VLOOKUP($A49,'[10]1004'!$A$4:$O$150,12,FALSE),VLOOKUP($A49,'[10]1004'!$A$4:$O$150,8,FALSE))</f>
        <v/>
      </c>
      <c r="K49" s="4" t="str">
        <f>IF(VLOOKUP($A49,'[11]1003'!$A$4:$O$150,8,FALSE)="",VLOOKUP($A49,'[11]1003'!$A$4:$O$150,12,FALSE),VLOOKUP($A49,'[11]1003'!$A$4:$O$150,8,FALSE))</f>
        <v/>
      </c>
      <c r="L49" s="4" t="str">
        <f>IF(VLOOKUP($A49,'[12]1002'!$A$4:$O$150,8,FALSE)="",VLOOKUP($A49,'[12]1002'!$A$4:$O$150,12,FALSE),VLOOKUP($A49,'[12]1002'!$A$4:$O$150,8,FALSE))</f>
        <v/>
      </c>
      <c r="M49" s="106"/>
      <c r="N49" s="4" t="str">
        <f>IF(VLOOKUP($A49,'[13]0927'!$A$4:$O$150,8,FALSE)="",VLOOKUP($A49,'[13]0927'!$A$4:$O$150,12,FALSE),VLOOKUP($A49,'[13]0927'!$A$4:$O$150,8,FALSE))</f>
        <v/>
      </c>
      <c r="O49" s="5"/>
      <c r="P49" s="4" t="str">
        <f>IF(VLOOKUP($A49,'[14]0925'!$A$4:$O$150,8,FALSE)="",VLOOKUP($A49,'[14]0925'!$A$4:$O$150,12,FALSE),VLOOKUP($A49,'[14]0925'!$A$4:$O$150,8,FALSE))</f>
        <v/>
      </c>
      <c r="Q49" s="4" t="str">
        <f>IF(VLOOKUP($A49,'[15]0922'!$A$4:$O$150,8,FALSE)="",VLOOKUP($A49,'[15]0922'!$A$4:$O$150,12,FALSE),VLOOKUP($A49,'[15]0922'!$A$4:$O$150,8,FALSE))</f>
        <v/>
      </c>
      <c r="R49" s="4" t="str">
        <f>IF(VLOOKUP($A49,'[16]0921'!$A$4:$O$150,8,FALSE)="",VLOOKUP($A49,'[16]0921'!$A$4:$O$150,12,FALSE),VLOOKUP($A49,'[16]0921'!$A$4:$O$150,8,FALSE))</f>
        <v/>
      </c>
      <c r="S49" s="4" t="str">
        <f>IF(VLOOKUP($A49,'[17]0920'!$A$4:$O$150,8,FALSE)="",VLOOKUP($A49,'[17]0920'!$A$4:$O$150,12,FALSE),VLOOKUP($A49,'[17]0920'!$A$4:$O$150,8,FALSE))</f>
        <v/>
      </c>
      <c r="T49" s="4" t="s">
        <v>0</v>
      </c>
      <c r="U49" s="4" t="s">
        <v>0</v>
      </c>
      <c r="W49" s="4" t="s">
        <v>0</v>
      </c>
      <c r="X49" s="4" t="s">
        <v>0</v>
      </c>
      <c r="Y49" s="4" t="s">
        <v>0</v>
      </c>
      <c r="Z49" s="4" t="s">
        <v>0</v>
      </c>
      <c r="AA49" s="4" t="s">
        <v>0</v>
      </c>
      <c r="AB49" s="4" t="s">
        <v>0</v>
      </c>
      <c r="AC49" s="4" t="s">
        <v>0</v>
      </c>
      <c r="AD49" s="4" t="s">
        <v>0</v>
      </c>
      <c r="AE49" s="4" t="s">
        <v>0</v>
      </c>
      <c r="AF49" s="4" t="s">
        <v>0</v>
      </c>
      <c r="AG49" s="4" t="s">
        <v>0</v>
      </c>
      <c r="AH49" s="4" t="s">
        <v>0</v>
      </c>
      <c r="AI49" s="4" t="s">
        <v>0</v>
      </c>
      <c r="AJ49" s="4" t="s">
        <v>0</v>
      </c>
      <c r="AK49" s="4" t="s">
        <v>0</v>
      </c>
      <c r="AL49" s="4" t="s">
        <v>0</v>
      </c>
      <c r="AM49" s="4" t="s">
        <v>0</v>
      </c>
      <c r="AN49" s="4" t="s">
        <v>0</v>
      </c>
      <c r="AP49" s="4" t="s">
        <v>0</v>
      </c>
      <c r="AQ49" s="4" t="s">
        <v>0</v>
      </c>
      <c r="AR49" s="4" t="s">
        <v>0</v>
      </c>
      <c r="AU49" s="4" t="s">
        <v>0</v>
      </c>
    </row>
    <row r="50" spans="1:47">
      <c r="A50" s="3" t="s">
        <v>19</v>
      </c>
      <c r="B50" s="5">
        <f>VLOOKUP($A50,'[21]1013'!$A$4:$O$321,4,FALSE)</f>
        <v>6.4</v>
      </c>
      <c r="C50" s="5">
        <v>7.01</v>
      </c>
      <c r="D50" s="5">
        <f>VLOOKUP($A50,'[21]1013'!$A$4:$O$321,15,FALSE)</f>
        <v>1.2375</v>
      </c>
      <c r="E50" s="4">
        <f>IF(VLOOKUP($A50,'[21]1013'!$A$4:$O$150,8,FALSE)="",VLOOKUP($A50,'[21]1013'!$A$4:$O$150,12,FALSE),VLOOKUP($A50,'[21]1013'!$A$4:$O$150,8,FALSE))</f>
        <v>1.2574000000000001</v>
      </c>
      <c r="F50" s="4" t="str">
        <f>IF(VLOOKUP($A50,'[7]1012'!$A$4:$O$150,8,FALSE)="",VLOOKUP($A50,'[7]1012'!$A$4:$O$150,12,FALSE),VLOOKUP($A50,'[7]1012'!$A$4:$O$150,8,FALSE))</f>
        <v/>
      </c>
      <c r="G50" s="4" t="str">
        <f>IF(VLOOKUP($A50,'[8]1011'!$A$4:$O$150,8,FALSE)="",VLOOKUP($A50,'[8]1011'!$A$4:$O$150,12,FALSE),VLOOKUP($A50,'[8]1011'!$A$4:$O$150,8,FALSE))</f>
        <v/>
      </c>
      <c r="H50" s="106">
        <f>VLOOKUP($A50,'[18]1006'!$A$5:$P$270,12,FALSE)</f>
        <v>1.2605</v>
      </c>
      <c r="I50" s="4" t="str">
        <f>IF(VLOOKUP($A50,'[9]1005'!$A$4:$O$150,8,FALSE)="",VLOOKUP($A50,'[9]1005'!$A$4:$O$150,12,FALSE),VLOOKUP($A50,'[9]1005'!$A$4:$O$150,8,FALSE))</f>
        <v/>
      </c>
      <c r="J50" s="4" t="str">
        <f>IF(VLOOKUP($A50,'[10]1004'!$A$4:$O$150,8,FALSE)="",VLOOKUP($A50,'[10]1004'!$A$4:$O$150,12,FALSE),VLOOKUP($A50,'[10]1004'!$A$4:$O$150,8,FALSE))</f>
        <v/>
      </c>
      <c r="K50" s="4" t="str">
        <f>IF(VLOOKUP($A50,'[11]1003'!$A$4:$O$150,8,FALSE)="",VLOOKUP($A50,'[11]1003'!$A$4:$O$150,12,FALSE),VLOOKUP($A50,'[11]1003'!$A$4:$O$150,8,FALSE))</f>
        <v/>
      </c>
      <c r="L50" s="4" t="str">
        <f>IF(VLOOKUP($A50,'[12]1002'!$A$4:$O$150,8,FALSE)="",VLOOKUP($A50,'[12]1002'!$A$4:$O$150,12,FALSE),VLOOKUP($A50,'[12]1002'!$A$4:$O$150,8,FALSE))</f>
        <v/>
      </c>
      <c r="M50" s="106"/>
      <c r="N50" s="4" t="str">
        <f>IF(VLOOKUP($A50,'[13]0927'!$A$4:$O$150,8,FALSE)="",VLOOKUP($A50,'[13]0927'!$A$4:$O$150,12,FALSE),VLOOKUP($A50,'[13]0927'!$A$4:$O$150,8,FALSE))</f>
        <v/>
      </c>
      <c r="O50" s="5"/>
      <c r="P50" s="4" t="str">
        <f>IF(VLOOKUP($A50,'[14]0925'!$A$4:$O$150,8,FALSE)="",VLOOKUP($A50,'[14]0925'!$A$4:$O$150,12,FALSE),VLOOKUP($A50,'[14]0925'!$A$4:$O$150,8,FALSE))</f>
        <v/>
      </c>
      <c r="Q50" s="4" t="str">
        <f>IF(VLOOKUP($A50,'[15]0922'!$A$4:$O$150,8,FALSE)="",VLOOKUP($A50,'[15]0922'!$A$4:$O$150,12,FALSE),VLOOKUP($A50,'[15]0922'!$A$4:$O$150,8,FALSE))</f>
        <v/>
      </c>
      <c r="R50" s="4" t="str">
        <f>IF(VLOOKUP($A50,'[16]0921'!$A$4:$O$150,8,FALSE)="",VLOOKUP($A50,'[16]0921'!$A$4:$O$150,12,FALSE),VLOOKUP($A50,'[16]0921'!$A$4:$O$150,8,FALSE))</f>
        <v/>
      </c>
      <c r="S50" s="4" t="str">
        <f>IF(VLOOKUP($A50,'[17]0920'!$A$4:$O$150,8,FALSE)="",VLOOKUP($A50,'[17]0920'!$A$4:$O$150,12,FALSE),VLOOKUP($A50,'[17]0920'!$A$4:$O$150,8,FALSE))</f>
        <v/>
      </c>
      <c r="T50" s="4" t="s">
        <v>0</v>
      </c>
      <c r="U50" s="4" t="s">
        <v>0</v>
      </c>
      <c r="W50" s="4" t="s">
        <v>0</v>
      </c>
      <c r="X50" s="4" t="s">
        <v>0</v>
      </c>
      <c r="Y50" s="4" t="s">
        <v>0</v>
      </c>
      <c r="Z50" s="4" t="s">
        <v>0</v>
      </c>
      <c r="AA50" s="4" t="s">
        <v>0</v>
      </c>
      <c r="AB50" s="4" t="s">
        <v>0</v>
      </c>
      <c r="AC50" s="4" t="s">
        <v>0</v>
      </c>
      <c r="AD50" s="4" t="s">
        <v>0</v>
      </c>
      <c r="AE50" s="4" t="s">
        <v>0</v>
      </c>
      <c r="AF50" s="4">
        <v>1.1405000000000001</v>
      </c>
      <c r="AG50" s="4" t="s">
        <v>0</v>
      </c>
      <c r="AH50" s="4" t="s">
        <v>0</v>
      </c>
      <c r="AI50" s="4" t="s">
        <v>0</v>
      </c>
      <c r="AJ50" s="4">
        <v>1.1599999999999999</v>
      </c>
      <c r="AK50" s="4">
        <v>1.1499999999999999</v>
      </c>
      <c r="AL50" s="4" t="s">
        <v>0</v>
      </c>
      <c r="AM50" s="4" t="s">
        <v>0</v>
      </c>
      <c r="AN50" s="4" t="s">
        <v>0</v>
      </c>
      <c r="AO50" s="5">
        <v>1.1259999999999999</v>
      </c>
      <c r="AP50" s="4" t="s">
        <v>0</v>
      </c>
      <c r="AQ50" s="4" t="s">
        <v>0</v>
      </c>
      <c r="AR50" s="4" t="s">
        <v>0</v>
      </c>
      <c r="AU50" s="4" t="s">
        <v>0</v>
      </c>
    </row>
    <row r="51" spans="1:47">
      <c r="A51" s="3" t="s">
        <v>88</v>
      </c>
      <c r="B51" s="5">
        <f>VLOOKUP($A51,'[21]1013'!$A$4:$O$321,4,FALSE)</f>
        <v>6.49</v>
      </c>
      <c r="C51" s="5">
        <v>6.84</v>
      </c>
      <c r="D51" s="5">
        <f>VLOOKUP($A51,'[21]1013'!$A$4:$O$321,15,FALSE)</f>
        <v>1.2388999999999999</v>
      </c>
      <c r="E51" s="4" t="str">
        <f>IF(VLOOKUP($A51,'[21]1013'!$A$4:$O$150,8,FALSE)="",VLOOKUP($A51,'[21]1013'!$A$4:$O$150,12,FALSE),VLOOKUP($A51,'[21]1013'!$A$4:$O$150,8,FALSE))</f>
        <v/>
      </c>
      <c r="F51" s="4" t="str">
        <f>IF(VLOOKUP($A51,'[7]1012'!$A$4:$O$150,8,FALSE)="",VLOOKUP($A51,'[7]1012'!$A$4:$O$150,12,FALSE),VLOOKUP($A51,'[7]1012'!$A$4:$O$150,8,FALSE))</f>
        <v/>
      </c>
      <c r="G51" s="4" t="str">
        <f>IF(VLOOKUP($A51,'[8]1011'!$A$4:$O$150,8,FALSE)="",VLOOKUP($A51,'[8]1011'!$A$4:$O$150,12,FALSE),VLOOKUP($A51,'[8]1011'!$A$4:$O$150,8,FALSE))</f>
        <v/>
      </c>
      <c r="H51" s="106"/>
      <c r="I51" s="4" t="str">
        <f>IF(VLOOKUP($A51,'[9]1005'!$A$4:$O$150,8,FALSE)="",VLOOKUP($A51,'[9]1005'!$A$4:$O$150,12,FALSE),VLOOKUP($A51,'[9]1005'!$A$4:$O$150,8,FALSE))</f>
        <v/>
      </c>
      <c r="J51" s="4" t="str">
        <f>IF(VLOOKUP($A51,'[10]1004'!$A$4:$O$150,8,FALSE)="",VLOOKUP($A51,'[10]1004'!$A$4:$O$150,12,FALSE),VLOOKUP($A51,'[10]1004'!$A$4:$O$150,8,FALSE))</f>
        <v/>
      </c>
      <c r="K51" s="4" t="str">
        <f>IF(VLOOKUP($A51,'[11]1003'!$A$4:$O$150,8,FALSE)="",VLOOKUP($A51,'[11]1003'!$A$4:$O$150,12,FALSE),VLOOKUP($A51,'[11]1003'!$A$4:$O$150,8,FALSE))</f>
        <v/>
      </c>
      <c r="L51" s="4" t="str">
        <f>IF(VLOOKUP($A51,'[12]1002'!$A$4:$O$150,8,FALSE)="",VLOOKUP($A51,'[12]1002'!$A$4:$O$150,12,FALSE),VLOOKUP($A51,'[12]1002'!$A$4:$O$150,8,FALSE))</f>
        <v/>
      </c>
      <c r="M51" s="106"/>
      <c r="N51" s="4" t="str">
        <f>IF(VLOOKUP($A51,'[13]0927'!$A$4:$O$150,8,FALSE)="",VLOOKUP($A51,'[13]0927'!$A$4:$O$150,12,FALSE),VLOOKUP($A51,'[13]0927'!$A$4:$O$150,8,FALSE))</f>
        <v/>
      </c>
      <c r="O51" s="5"/>
      <c r="P51" s="4" t="str">
        <f>IF(VLOOKUP($A51,'[14]0925'!$A$4:$O$150,8,FALSE)="",VLOOKUP($A51,'[14]0925'!$A$4:$O$150,12,FALSE),VLOOKUP($A51,'[14]0925'!$A$4:$O$150,8,FALSE))</f>
        <v/>
      </c>
      <c r="Q51" s="4" t="str">
        <f>IF(VLOOKUP($A51,'[15]0922'!$A$4:$O$150,8,FALSE)="",VLOOKUP($A51,'[15]0922'!$A$4:$O$150,12,FALSE),VLOOKUP($A51,'[15]0922'!$A$4:$O$150,8,FALSE))</f>
        <v/>
      </c>
      <c r="R51" s="4" t="str">
        <f>IF(VLOOKUP($A51,'[16]0921'!$A$4:$O$150,8,FALSE)="",VLOOKUP($A51,'[16]0921'!$A$4:$O$150,12,FALSE),VLOOKUP($A51,'[16]0921'!$A$4:$O$150,8,FALSE))</f>
        <v/>
      </c>
      <c r="S51" s="4" t="str">
        <f>IF(VLOOKUP($A51,'[17]0920'!$A$4:$O$150,8,FALSE)="",VLOOKUP($A51,'[17]0920'!$A$4:$O$150,12,FALSE),VLOOKUP($A51,'[17]0920'!$A$4:$O$150,8,FALSE))</f>
        <v/>
      </c>
      <c r="T51" s="4" t="s">
        <v>0</v>
      </c>
      <c r="U51" s="4" t="s">
        <v>0</v>
      </c>
      <c r="W51" s="4" t="s">
        <v>0</v>
      </c>
      <c r="X51" s="4" t="s">
        <v>0</v>
      </c>
      <c r="Y51" s="4" t="s">
        <v>0</v>
      </c>
      <c r="Z51" s="4" t="s">
        <v>0</v>
      </c>
      <c r="AA51" s="4" t="s">
        <v>0</v>
      </c>
      <c r="AB51" s="4" t="s">
        <v>0</v>
      </c>
      <c r="AC51" s="4" t="s">
        <v>0</v>
      </c>
      <c r="AD51" s="4" t="s">
        <v>0</v>
      </c>
      <c r="AE51" s="4" t="s">
        <v>0</v>
      </c>
      <c r="AF51" s="4" t="s">
        <v>0</v>
      </c>
      <c r="AG51" s="4" t="s">
        <v>0</v>
      </c>
      <c r="AH51" s="4" t="s">
        <v>0</v>
      </c>
      <c r="AI51" s="4" t="s">
        <v>0</v>
      </c>
      <c r="AJ51" s="4" t="s">
        <v>0</v>
      </c>
      <c r="AK51" s="4" t="s">
        <v>0</v>
      </c>
      <c r="AL51" s="4" t="s">
        <v>0</v>
      </c>
      <c r="AM51" s="4" t="s">
        <v>0</v>
      </c>
      <c r="AN51" s="4" t="s">
        <v>0</v>
      </c>
      <c r="AP51" s="4" t="s">
        <v>0</v>
      </c>
      <c r="AQ51" s="4" t="s">
        <v>0</v>
      </c>
      <c r="AR51" s="4" t="s">
        <v>0</v>
      </c>
      <c r="AU51" s="4" t="s">
        <v>0</v>
      </c>
    </row>
    <row r="52" spans="1:47">
      <c r="A52" s="3" t="s">
        <v>49</v>
      </c>
      <c r="B52" s="5">
        <f>VLOOKUP($A52,'[21]1013'!$A$4:$O$321,4,FALSE)</f>
        <v>6.62</v>
      </c>
      <c r="C52" s="5">
        <v>7.43</v>
      </c>
      <c r="D52" s="5">
        <f>VLOOKUP($A52,'[21]1013'!$A$4:$O$321,15,FALSE)</f>
        <v>1.2442</v>
      </c>
      <c r="E52" s="4" t="str">
        <f>IF(VLOOKUP($A52,'[21]1013'!$A$4:$O$150,8,FALSE)="",VLOOKUP($A52,'[21]1013'!$A$4:$O$150,12,FALSE),VLOOKUP($A52,'[21]1013'!$A$4:$O$150,8,FALSE))</f>
        <v/>
      </c>
      <c r="F52" s="4" t="str">
        <f>IF(VLOOKUP($A52,'[7]1012'!$A$4:$O$150,8,FALSE)="",VLOOKUP($A52,'[7]1012'!$A$4:$O$150,12,FALSE),VLOOKUP($A52,'[7]1012'!$A$4:$O$150,8,FALSE))</f>
        <v/>
      </c>
      <c r="G52" s="4" t="str">
        <f>IF(VLOOKUP($A52,'[8]1011'!$A$4:$O$150,8,FALSE)="",VLOOKUP($A52,'[8]1011'!$A$4:$O$150,12,FALSE),VLOOKUP($A52,'[8]1011'!$A$4:$O$150,8,FALSE))</f>
        <v/>
      </c>
      <c r="H52" s="106"/>
      <c r="I52" s="4" t="str">
        <f>IF(VLOOKUP($A52,'[9]1005'!$A$4:$O$150,8,FALSE)="",VLOOKUP($A52,'[9]1005'!$A$4:$O$150,12,FALSE),VLOOKUP($A52,'[9]1005'!$A$4:$O$150,8,FALSE))</f>
        <v/>
      </c>
      <c r="J52" s="4" t="str">
        <f>IF(VLOOKUP($A52,'[10]1004'!$A$4:$O$150,8,FALSE)="",VLOOKUP($A52,'[10]1004'!$A$4:$O$150,12,FALSE),VLOOKUP($A52,'[10]1004'!$A$4:$O$150,8,FALSE))</f>
        <v/>
      </c>
      <c r="K52" s="4" t="str">
        <f>IF(VLOOKUP($A52,'[11]1003'!$A$4:$O$150,8,FALSE)="",VLOOKUP($A52,'[11]1003'!$A$4:$O$150,12,FALSE),VLOOKUP($A52,'[11]1003'!$A$4:$O$150,8,FALSE))</f>
        <v/>
      </c>
      <c r="L52" s="4" t="str">
        <f>IF(VLOOKUP($A52,'[12]1002'!$A$4:$O$150,8,FALSE)="",VLOOKUP($A52,'[12]1002'!$A$4:$O$150,12,FALSE),VLOOKUP($A52,'[12]1002'!$A$4:$O$150,8,FALSE))</f>
        <v/>
      </c>
      <c r="M52" s="106"/>
      <c r="N52" s="4" t="str">
        <f>IF(VLOOKUP($A52,'[13]0927'!$A$4:$O$150,8,FALSE)="",VLOOKUP($A52,'[13]0927'!$A$4:$O$150,12,FALSE),VLOOKUP($A52,'[13]0927'!$A$4:$O$150,8,FALSE))</f>
        <v/>
      </c>
      <c r="O52" s="5"/>
      <c r="P52" s="4" t="str">
        <f>IF(VLOOKUP($A52,'[14]0925'!$A$4:$O$150,8,FALSE)="",VLOOKUP($A52,'[14]0925'!$A$4:$O$150,12,FALSE),VLOOKUP($A52,'[14]0925'!$A$4:$O$150,8,FALSE))</f>
        <v/>
      </c>
      <c r="Q52" s="4" t="str">
        <f>IF(VLOOKUP($A52,'[15]0922'!$A$4:$O$150,8,FALSE)="",VLOOKUP($A52,'[15]0922'!$A$4:$O$150,12,FALSE),VLOOKUP($A52,'[15]0922'!$A$4:$O$150,8,FALSE))</f>
        <v/>
      </c>
      <c r="R52" s="4" t="str">
        <f>IF(VLOOKUP($A52,'[16]0921'!$A$4:$O$150,8,FALSE)="",VLOOKUP($A52,'[16]0921'!$A$4:$O$150,12,FALSE),VLOOKUP($A52,'[16]0921'!$A$4:$O$150,8,FALSE))</f>
        <v/>
      </c>
      <c r="S52" s="4" t="str">
        <f>IF(VLOOKUP($A52,'[17]0920'!$A$4:$O$150,8,FALSE)="",VLOOKUP($A52,'[17]0920'!$A$4:$O$150,12,FALSE),VLOOKUP($A52,'[17]0920'!$A$4:$O$150,8,FALSE))</f>
        <v/>
      </c>
      <c r="T52" s="4" t="s">
        <v>0</v>
      </c>
      <c r="U52" s="4" t="s">
        <v>0</v>
      </c>
      <c r="W52" s="4" t="s">
        <v>0</v>
      </c>
      <c r="X52" s="4" t="s">
        <v>0</v>
      </c>
      <c r="Y52" s="4" t="s">
        <v>0</v>
      </c>
      <c r="Z52" s="4" t="s">
        <v>0</v>
      </c>
      <c r="AA52" s="4" t="s">
        <v>0</v>
      </c>
      <c r="AB52" s="4" t="s">
        <v>0</v>
      </c>
      <c r="AC52" s="4" t="s">
        <v>0</v>
      </c>
      <c r="AD52" s="4" t="s">
        <v>0</v>
      </c>
      <c r="AE52" s="4" t="s">
        <v>0</v>
      </c>
      <c r="AF52" s="4" t="s">
        <v>0</v>
      </c>
      <c r="AG52" s="4" t="s">
        <v>0</v>
      </c>
      <c r="AH52" s="4" t="s">
        <v>0</v>
      </c>
      <c r="AI52" s="4" t="s">
        <v>0</v>
      </c>
      <c r="AJ52" s="4" t="s">
        <v>0</v>
      </c>
      <c r="AK52" s="4" t="s">
        <v>0</v>
      </c>
      <c r="AL52" s="4" t="s">
        <v>0</v>
      </c>
      <c r="AM52" s="4" t="s">
        <v>0</v>
      </c>
      <c r="AN52" s="4" t="s">
        <v>0</v>
      </c>
      <c r="AP52" s="4" t="s">
        <v>0</v>
      </c>
      <c r="AQ52" s="4" t="s">
        <v>0</v>
      </c>
      <c r="AR52" s="4" t="s">
        <v>0</v>
      </c>
      <c r="AU52" s="4" t="s">
        <v>0</v>
      </c>
    </row>
    <row r="53" spans="1:47">
      <c r="A53" s="3" t="s">
        <v>91</v>
      </c>
      <c r="B53" s="5">
        <f>VLOOKUP($A53,'[21]1013'!$A$4:$O$321,4,FALSE)</f>
        <v>6.85</v>
      </c>
      <c r="C53" s="5">
        <v>7.18</v>
      </c>
      <c r="D53" s="5">
        <f>VLOOKUP($A53,'[21]1013'!$A$4:$O$321,15,FALSE)</f>
        <v>1.2423999999999999</v>
      </c>
      <c r="E53" s="4" t="str">
        <f>IF(VLOOKUP($A53,'[21]1013'!$A$4:$O$150,8,FALSE)="",VLOOKUP($A53,'[21]1013'!$A$4:$O$150,12,FALSE),VLOOKUP($A53,'[21]1013'!$A$4:$O$150,8,FALSE))</f>
        <v/>
      </c>
      <c r="F53" s="4" t="str">
        <f>IF(VLOOKUP($A53,'[7]1012'!$A$4:$O$150,8,FALSE)="",VLOOKUP($A53,'[7]1012'!$A$4:$O$150,12,FALSE),VLOOKUP($A53,'[7]1012'!$A$4:$O$150,8,FALSE))</f>
        <v/>
      </c>
      <c r="G53" s="4" t="str">
        <f>IF(VLOOKUP($A53,'[8]1011'!$A$4:$O$150,8,FALSE)="",VLOOKUP($A53,'[8]1011'!$A$4:$O$150,12,FALSE),VLOOKUP($A53,'[8]1011'!$A$4:$O$150,8,FALSE))</f>
        <v/>
      </c>
      <c r="H53" s="106"/>
      <c r="I53" s="4" t="str">
        <f>IF(VLOOKUP($A53,'[9]1005'!$A$4:$O$150,8,FALSE)="",VLOOKUP($A53,'[9]1005'!$A$4:$O$150,12,FALSE),VLOOKUP($A53,'[9]1005'!$A$4:$O$150,8,FALSE))</f>
        <v/>
      </c>
      <c r="J53" s="4" t="str">
        <f>IF(VLOOKUP($A53,'[10]1004'!$A$4:$O$150,8,FALSE)="",VLOOKUP($A53,'[10]1004'!$A$4:$O$150,12,FALSE),VLOOKUP($A53,'[10]1004'!$A$4:$O$150,8,FALSE))</f>
        <v/>
      </c>
      <c r="K53" s="4" t="str">
        <f>IF(VLOOKUP($A53,'[11]1003'!$A$4:$O$150,8,FALSE)="",VLOOKUP($A53,'[11]1003'!$A$4:$O$150,12,FALSE),VLOOKUP($A53,'[11]1003'!$A$4:$O$150,8,FALSE))</f>
        <v/>
      </c>
      <c r="L53" s="4" t="str">
        <f>IF(VLOOKUP($A53,'[12]1002'!$A$4:$O$150,8,FALSE)="",VLOOKUP($A53,'[12]1002'!$A$4:$O$150,12,FALSE),VLOOKUP($A53,'[12]1002'!$A$4:$O$150,8,FALSE))</f>
        <v/>
      </c>
      <c r="M53" s="106"/>
      <c r="N53" s="4" t="str">
        <f>IF(VLOOKUP($A53,'[13]0927'!$A$4:$O$150,8,FALSE)="",VLOOKUP($A53,'[13]0927'!$A$4:$O$150,12,FALSE),VLOOKUP($A53,'[13]0927'!$A$4:$O$150,8,FALSE))</f>
        <v/>
      </c>
      <c r="O53" s="5"/>
      <c r="P53" s="4" t="str">
        <f>IF(VLOOKUP($A53,'[14]0925'!$A$4:$O$150,8,FALSE)="",VLOOKUP($A53,'[14]0925'!$A$4:$O$150,12,FALSE),VLOOKUP($A53,'[14]0925'!$A$4:$O$150,8,FALSE))</f>
        <v/>
      </c>
      <c r="Q53" s="4" t="str">
        <f>IF(VLOOKUP($A53,'[15]0922'!$A$4:$O$150,8,FALSE)="",VLOOKUP($A53,'[15]0922'!$A$4:$O$150,12,FALSE),VLOOKUP($A53,'[15]0922'!$A$4:$O$150,8,FALSE))</f>
        <v/>
      </c>
      <c r="R53" s="4" t="str">
        <f>IF(VLOOKUP($A53,'[16]0921'!$A$4:$O$150,8,FALSE)="",VLOOKUP($A53,'[16]0921'!$A$4:$O$150,12,FALSE),VLOOKUP($A53,'[16]0921'!$A$4:$O$150,8,FALSE))</f>
        <v/>
      </c>
      <c r="S53" s="4" t="str">
        <f>IF(VLOOKUP($A53,'[17]0920'!$A$4:$O$150,8,FALSE)="",VLOOKUP($A53,'[17]0920'!$A$4:$O$150,12,FALSE),VLOOKUP($A53,'[17]0920'!$A$4:$O$150,8,FALSE))</f>
        <v/>
      </c>
      <c r="T53" s="4" t="s">
        <v>0</v>
      </c>
      <c r="U53" s="4" t="s">
        <v>0</v>
      </c>
      <c r="W53" s="4" t="s">
        <v>0</v>
      </c>
      <c r="X53" s="4" t="s">
        <v>0</v>
      </c>
      <c r="Y53" s="4" t="s">
        <v>0</v>
      </c>
      <c r="Z53" s="4" t="s">
        <v>0</v>
      </c>
      <c r="AA53" s="4" t="s">
        <v>0</v>
      </c>
      <c r="AB53" s="4" t="s">
        <v>0</v>
      </c>
      <c r="AC53" s="4" t="s">
        <v>0</v>
      </c>
      <c r="AD53" s="4" t="s">
        <v>0</v>
      </c>
      <c r="AE53" s="4" t="s">
        <v>0</v>
      </c>
      <c r="AF53" s="4" t="s">
        <v>0</v>
      </c>
      <c r="AG53" s="4" t="s">
        <v>0</v>
      </c>
      <c r="AH53" s="4" t="s">
        <v>0</v>
      </c>
      <c r="AI53" s="4" t="s">
        <v>0</v>
      </c>
      <c r="AJ53" s="4" t="s">
        <v>0</v>
      </c>
      <c r="AK53" s="4" t="s">
        <v>0</v>
      </c>
      <c r="AL53" s="4" t="s">
        <v>0</v>
      </c>
      <c r="AM53" s="4" t="s">
        <v>0</v>
      </c>
      <c r="AN53" s="4" t="s">
        <v>0</v>
      </c>
      <c r="AP53" s="4" t="s">
        <v>0</v>
      </c>
      <c r="AQ53" s="4" t="s">
        <v>0</v>
      </c>
      <c r="AR53" s="4" t="s">
        <v>0</v>
      </c>
      <c r="AU53" s="4" t="s">
        <v>0</v>
      </c>
    </row>
    <row r="54" spans="1:47">
      <c r="A54" s="3" t="s">
        <v>20</v>
      </c>
      <c r="B54" s="5">
        <f>VLOOKUP($A54,'[21]1013'!$A$4:$O$321,4,FALSE)</f>
        <v>6.83</v>
      </c>
      <c r="C54" s="5">
        <v>7.93</v>
      </c>
      <c r="D54" s="5">
        <f>VLOOKUP($A54,'[21]1013'!$A$4:$O$321,15,FALSE)</f>
        <v>1.2559</v>
      </c>
      <c r="E54" s="4" t="str">
        <f>IF(VLOOKUP($A54,'[21]1013'!$A$4:$O$150,8,FALSE)="",VLOOKUP($A54,'[21]1013'!$A$4:$O$150,12,FALSE),VLOOKUP($A54,'[21]1013'!$A$4:$O$150,8,FALSE))</f>
        <v/>
      </c>
      <c r="F54" s="4" t="str">
        <f>IF(VLOOKUP($A54,'[7]1012'!$A$4:$O$150,8,FALSE)="",VLOOKUP($A54,'[7]1012'!$A$4:$O$150,12,FALSE),VLOOKUP($A54,'[7]1012'!$A$4:$O$150,8,FALSE))</f>
        <v/>
      </c>
      <c r="G54" s="4" t="str">
        <f>IF(VLOOKUP($A54,'[8]1011'!$A$4:$O$150,8,FALSE)="",VLOOKUP($A54,'[8]1011'!$A$4:$O$150,12,FALSE),VLOOKUP($A54,'[8]1011'!$A$4:$O$150,8,FALSE))</f>
        <v/>
      </c>
      <c r="H54" s="106"/>
      <c r="I54" s="4" t="str">
        <f>IF(VLOOKUP($A54,'[9]1005'!$A$4:$O$150,8,FALSE)="",VLOOKUP($A54,'[9]1005'!$A$4:$O$150,12,FALSE),VLOOKUP($A54,'[9]1005'!$A$4:$O$150,8,FALSE))</f>
        <v/>
      </c>
      <c r="J54" s="4" t="str">
        <f>IF(VLOOKUP($A54,'[10]1004'!$A$4:$O$150,8,FALSE)="",VLOOKUP($A54,'[10]1004'!$A$4:$O$150,12,FALSE),VLOOKUP($A54,'[10]1004'!$A$4:$O$150,8,FALSE))</f>
        <v/>
      </c>
      <c r="K54" s="4" t="str">
        <f>IF(VLOOKUP($A54,'[11]1003'!$A$4:$O$150,8,FALSE)="",VLOOKUP($A54,'[11]1003'!$A$4:$O$150,12,FALSE),VLOOKUP($A54,'[11]1003'!$A$4:$O$150,8,FALSE))</f>
        <v/>
      </c>
      <c r="L54" s="4" t="str">
        <f>IF(VLOOKUP($A54,'[12]1002'!$A$4:$O$150,8,FALSE)="",VLOOKUP($A54,'[12]1002'!$A$4:$O$150,12,FALSE),VLOOKUP($A54,'[12]1002'!$A$4:$O$150,8,FALSE))</f>
        <v/>
      </c>
      <c r="M54" s="106"/>
      <c r="N54" s="4" t="str">
        <f>IF(VLOOKUP($A54,'[13]0927'!$A$4:$O$150,8,FALSE)="",VLOOKUP($A54,'[13]0927'!$A$4:$O$150,12,FALSE),VLOOKUP($A54,'[13]0927'!$A$4:$O$150,8,FALSE))</f>
        <v/>
      </c>
      <c r="O54" s="5"/>
      <c r="P54" s="4" t="str">
        <f>IF(VLOOKUP($A54,'[14]0925'!$A$4:$O$150,8,FALSE)="",VLOOKUP($A54,'[14]0925'!$A$4:$O$150,12,FALSE),VLOOKUP($A54,'[14]0925'!$A$4:$O$150,8,FALSE))</f>
        <v/>
      </c>
      <c r="Q54" s="4" t="str">
        <f>IF(VLOOKUP($A54,'[15]0922'!$A$4:$O$150,8,FALSE)="",VLOOKUP($A54,'[15]0922'!$A$4:$O$150,12,FALSE),VLOOKUP($A54,'[15]0922'!$A$4:$O$150,8,FALSE))</f>
        <v/>
      </c>
      <c r="R54" s="4" t="str">
        <f>IF(VLOOKUP($A54,'[16]0921'!$A$4:$O$150,8,FALSE)="",VLOOKUP($A54,'[16]0921'!$A$4:$O$150,12,FALSE),VLOOKUP($A54,'[16]0921'!$A$4:$O$150,8,FALSE))</f>
        <v/>
      </c>
      <c r="S54" s="4" t="str">
        <f>IF(VLOOKUP($A54,'[17]0920'!$A$4:$O$150,8,FALSE)="",VLOOKUP($A54,'[17]0920'!$A$4:$O$150,12,FALSE),VLOOKUP($A54,'[17]0920'!$A$4:$O$150,8,FALSE))</f>
        <v/>
      </c>
      <c r="T54" s="4" t="s">
        <v>0</v>
      </c>
      <c r="U54" s="4" t="s">
        <v>0</v>
      </c>
      <c r="W54" s="4" t="s">
        <v>0</v>
      </c>
      <c r="X54" s="4" t="s">
        <v>0</v>
      </c>
      <c r="Y54" s="4" t="s">
        <v>0</v>
      </c>
      <c r="Z54" s="4" t="s">
        <v>0</v>
      </c>
      <c r="AA54" s="4" t="s">
        <v>0</v>
      </c>
      <c r="AB54" s="4" t="s">
        <v>0</v>
      </c>
      <c r="AC54" s="4" t="s">
        <v>0</v>
      </c>
      <c r="AD54" s="4" t="s">
        <v>0</v>
      </c>
      <c r="AE54" s="4" t="s">
        <v>0</v>
      </c>
      <c r="AF54" s="4" t="s">
        <v>0</v>
      </c>
      <c r="AG54" s="4" t="s">
        <v>0</v>
      </c>
      <c r="AH54" s="4" t="s">
        <v>0</v>
      </c>
      <c r="AI54" s="4" t="s">
        <v>0</v>
      </c>
      <c r="AJ54" s="4" t="s">
        <v>0</v>
      </c>
      <c r="AK54" s="4" t="s">
        <v>0</v>
      </c>
      <c r="AL54" s="4" t="s">
        <v>0</v>
      </c>
      <c r="AM54" s="4" t="s">
        <v>0</v>
      </c>
      <c r="AN54" s="4" t="s">
        <v>0</v>
      </c>
      <c r="AP54" s="4" t="s">
        <v>0</v>
      </c>
      <c r="AQ54" s="4" t="s">
        <v>0</v>
      </c>
      <c r="AR54" s="4" t="s">
        <v>0</v>
      </c>
      <c r="AU54" s="4" t="s">
        <v>0</v>
      </c>
    </row>
    <row r="55" spans="1:47">
      <c r="A55" s="3" t="s">
        <v>57</v>
      </c>
      <c r="B55" s="5">
        <f>VLOOKUP($A55,'[21]1013'!$A$4:$O$321,4,FALSE)</f>
        <v>7.06</v>
      </c>
      <c r="C55" s="5">
        <v>7.79</v>
      </c>
      <c r="D55" s="5">
        <f>VLOOKUP($A55,'[21]1013'!$A$4:$O$321,15,FALSE)</f>
        <v>1.2553000000000001</v>
      </c>
      <c r="E55" s="4" t="str">
        <f>IF(VLOOKUP($A55,'[21]1013'!$A$4:$O$150,8,FALSE)="",VLOOKUP($A55,'[21]1013'!$A$4:$O$150,12,FALSE),VLOOKUP($A55,'[21]1013'!$A$4:$O$150,8,FALSE))</f>
        <v/>
      </c>
      <c r="F55" s="4" t="str">
        <f>IF(VLOOKUP($A55,'[7]1012'!$A$4:$O$150,8,FALSE)="",VLOOKUP($A55,'[7]1012'!$A$4:$O$150,12,FALSE),VLOOKUP($A55,'[7]1012'!$A$4:$O$150,8,FALSE))</f>
        <v/>
      </c>
      <c r="G55" s="4" t="str">
        <f>IF(VLOOKUP($A55,'[8]1011'!$A$4:$O$150,8,FALSE)="",VLOOKUP($A55,'[8]1011'!$A$4:$O$150,12,FALSE),VLOOKUP($A55,'[8]1011'!$A$4:$O$150,8,FALSE))</f>
        <v/>
      </c>
      <c r="H55" s="106"/>
      <c r="I55" s="4" t="str">
        <f>IF(VLOOKUP($A55,'[9]1005'!$A$4:$O$150,8,FALSE)="",VLOOKUP($A55,'[9]1005'!$A$4:$O$150,12,FALSE),VLOOKUP($A55,'[9]1005'!$A$4:$O$150,8,FALSE))</f>
        <v/>
      </c>
      <c r="J55" s="4" t="str">
        <f>IF(VLOOKUP($A55,'[10]1004'!$A$4:$O$150,8,FALSE)="",VLOOKUP($A55,'[10]1004'!$A$4:$O$150,12,FALSE),VLOOKUP($A55,'[10]1004'!$A$4:$O$150,8,FALSE))</f>
        <v/>
      </c>
      <c r="K55" s="4" t="str">
        <f>IF(VLOOKUP($A55,'[11]1003'!$A$4:$O$150,8,FALSE)="",VLOOKUP($A55,'[11]1003'!$A$4:$O$150,12,FALSE),VLOOKUP($A55,'[11]1003'!$A$4:$O$150,8,FALSE))</f>
        <v/>
      </c>
      <c r="L55" s="4" t="str">
        <f>IF(VLOOKUP($A55,'[12]1002'!$A$4:$O$150,8,FALSE)="",VLOOKUP($A55,'[12]1002'!$A$4:$O$150,12,FALSE),VLOOKUP($A55,'[12]1002'!$A$4:$O$150,8,FALSE))</f>
        <v/>
      </c>
      <c r="M55" s="106"/>
      <c r="N55" s="4" t="str">
        <f>IF(VLOOKUP($A55,'[13]0927'!$A$4:$O$150,8,FALSE)="",VLOOKUP($A55,'[13]0927'!$A$4:$O$150,12,FALSE),VLOOKUP($A55,'[13]0927'!$A$4:$O$150,8,FALSE))</f>
        <v/>
      </c>
      <c r="O55" s="5"/>
      <c r="P55" s="4" t="str">
        <f>IF(VLOOKUP($A55,'[14]0925'!$A$4:$O$150,8,FALSE)="",VLOOKUP($A55,'[14]0925'!$A$4:$O$150,12,FALSE),VLOOKUP($A55,'[14]0925'!$A$4:$O$150,8,FALSE))</f>
        <v/>
      </c>
      <c r="Q55" s="4" t="str">
        <f>IF(VLOOKUP($A55,'[15]0922'!$A$4:$O$150,8,FALSE)="",VLOOKUP($A55,'[15]0922'!$A$4:$O$150,12,FALSE),VLOOKUP($A55,'[15]0922'!$A$4:$O$150,8,FALSE))</f>
        <v/>
      </c>
      <c r="R55" s="4" t="str">
        <f>IF(VLOOKUP($A55,'[16]0921'!$A$4:$O$150,8,FALSE)="",VLOOKUP($A55,'[16]0921'!$A$4:$O$150,12,FALSE),VLOOKUP($A55,'[16]0921'!$A$4:$O$150,8,FALSE))</f>
        <v/>
      </c>
      <c r="S55" s="4" t="str">
        <f>IF(VLOOKUP($A55,'[17]0920'!$A$4:$O$150,8,FALSE)="",VLOOKUP($A55,'[17]0920'!$A$4:$O$150,12,FALSE),VLOOKUP($A55,'[17]0920'!$A$4:$O$150,8,FALSE))</f>
        <v/>
      </c>
      <c r="T55" s="4" t="s">
        <v>0</v>
      </c>
      <c r="U55" s="4" t="s">
        <v>0</v>
      </c>
      <c r="W55" s="4" t="s">
        <v>0</v>
      </c>
      <c r="X55" s="4" t="s">
        <v>0</v>
      </c>
      <c r="Y55" s="4" t="s">
        <v>0</v>
      </c>
      <c r="Z55" s="4" t="s">
        <v>0</v>
      </c>
      <c r="AA55" s="4" t="s">
        <v>0</v>
      </c>
      <c r="AB55" s="4" t="s">
        <v>0</v>
      </c>
      <c r="AC55" s="4" t="s">
        <v>0</v>
      </c>
      <c r="AD55" s="4" t="s">
        <v>0</v>
      </c>
      <c r="AE55" s="4" t="s">
        <v>0</v>
      </c>
      <c r="AF55" s="4" t="s">
        <v>0</v>
      </c>
      <c r="AG55" s="4" t="s">
        <v>0</v>
      </c>
      <c r="AH55" s="4" t="s">
        <v>0</v>
      </c>
      <c r="AI55" s="4" t="s">
        <v>0</v>
      </c>
      <c r="AJ55" s="4" t="s">
        <v>0</v>
      </c>
      <c r="AK55" s="4" t="s">
        <v>0</v>
      </c>
      <c r="AL55" s="4" t="s">
        <v>0</v>
      </c>
      <c r="AM55" s="4" t="s">
        <v>0</v>
      </c>
      <c r="AN55" s="4" t="s">
        <v>0</v>
      </c>
      <c r="AP55" s="4" t="s">
        <v>0</v>
      </c>
      <c r="AQ55" s="4" t="s">
        <v>0</v>
      </c>
      <c r="AR55" s="4" t="s">
        <v>0</v>
      </c>
      <c r="AU55" s="4" t="s">
        <v>0</v>
      </c>
    </row>
    <row r="56" spans="1:47">
      <c r="A56" s="3" t="s">
        <v>60</v>
      </c>
      <c r="B56" s="5">
        <f>VLOOKUP($A56,'[21]1013'!$A$4:$O$321,4,FALSE)</f>
        <v>7.22</v>
      </c>
      <c r="C56" s="5">
        <v>7.98</v>
      </c>
      <c r="D56" s="5">
        <f>VLOOKUP($A56,'[21]1013'!$A$4:$O$321,15,FALSE)</f>
        <v>1.2606999999999999</v>
      </c>
      <c r="E56" s="4" t="str">
        <f>IF(VLOOKUP($A56,'[21]1013'!$A$4:$O$150,8,FALSE)="",VLOOKUP($A56,'[21]1013'!$A$4:$O$150,12,FALSE),VLOOKUP($A56,'[21]1013'!$A$4:$O$150,8,FALSE))</f>
        <v/>
      </c>
      <c r="F56" s="4" t="str">
        <f>IF(VLOOKUP($A56,'[7]1012'!$A$4:$O$150,8,FALSE)="",VLOOKUP($A56,'[7]1012'!$A$4:$O$150,12,FALSE),VLOOKUP($A56,'[7]1012'!$A$4:$O$150,8,FALSE))</f>
        <v/>
      </c>
      <c r="G56" s="4" t="str">
        <f>IF(VLOOKUP($A56,'[8]1011'!$A$4:$O$150,8,FALSE)="",VLOOKUP($A56,'[8]1011'!$A$4:$O$150,12,FALSE),VLOOKUP($A56,'[8]1011'!$A$4:$O$150,8,FALSE))</f>
        <v/>
      </c>
      <c r="H56" s="106"/>
      <c r="I56" s="4" t="str">
        <f>IF(VLOOKUP($A56,'[9]1005'!$A$4:$O$150,8,FALSE)="",VLOOKUP($A56,'[9]1005'!$A$4:$O$150,12,FALSE),VLOOKUP($A56,'[9]1005'!$A$4:$O$150,8,FALSE))</f>
        <v/>
      </c>
      <c r="J56" s="4" t="str">
        <f>IF(VLOOKUP($A56,'[10]1004'!$A$4:$O$150,8,FALSE)="",VLOOKUP($A56,'[10]1004'!$A$4:$O$150,12,FALSE),VLOOKUP($A56,'[10]1004'!$A$4:$O$150,8,FALSE))</f>
        <v/>
      </c>
      <c r="K56" s="4" t="str">
        <f>IF(VLOOKUP($A56,'[11]1003'!$A$4:$O$150,8,FALSE)="",VLOOKUP($A56,'[11]1003'!$A$4:$O$150,12,FALSE),VLOOKUP($A56,'[11]1003'!$A$4:$O$150,8,FALSE))</f>
        <v/>
      </c>
      <c r="L56" s="4" t="str">
        <f>IF(VLOOKUP($A56,'[12]1002'!$A$4:$O$150,8,FALSE)="",VLOOKUP($A56,'[12]1002'!$A$4:$O$150,12,FALSE),VLOOKUP($A56,'[12]1002'!$A$4:$O$150,8,FALSE))</f>
        <v/>
      </c>
      <c r="M56" s="106"/>
      <c r="N56" s="4" t="str">
        <f>IF(VLOOKUP($A56,'[13]0927'!$A$4:$O$150,8,FALSE)="",VLOOKUP($A56,'[13]0927'!$A$4:$O$150,12,FALSE),VLOOKUP($A56,'[13]0927'!$A$4:$O$150,8,FALSE))</f>
        <v/>
      </c>
      <c r="O56" s="5"/>
      <c r="P56" s="4" t="str">
        <f>IF(VLOOKUP($A56,'[14]0925'!$A$4:$O$150,8,FALSE)="",VLOOKUP($A56,'[14]0925'!$A$4:$O$150,12,FALSE),VLOOKUP($A56,'[14]0925'!$A$4:$O$150,8,FALSE))</f>
        <v/>
      </c>
      <c r="Q56" s="4" t="str">
        <f>IF(VLOOKUP($A56,'[15]0922'!$A$4:$O$150,8,FALSE)="",VLOOKUP($A56,'[15]0922'!$A$4:$O$150,12,FALSE),VLOOKUP($A56,'[15]0922'!$A$4:$O$150,8,FALSE))</f>
        <v/>
      </c>
      <c r="R56" s="4" t="str">
        <f>IF(VLOOKUP($A56,'[16]0921'!$A$4:$O$150,8,FALSE)="",VLOOKUP($A56,'[16]0921'!$A$4:$O$150,12,FALSE),VLOOKUP($A56,'[16]0921'!$A$4:$O$150,8,FALSE))</f>
        <v/>
      </c>
      <c r="S56" s="4" t="str">
        <f>IF(VLOOKUP($A56,'[17]0920'!$A$4:$O$150,8,FALSE)="",VLOOKUP($A56,'[17]0920'!$A$4:$O$150,12,FALSE),VLOOKUP($A56,'[17]0920'!$A$4:$O$150,8,FALSE))</f>
        <v/>
      </c>
      <c r="T56" s="4" t="s">
        <v>0</v>
      </c>
      <c r="U56" s="4" t="s">
        <v>0</v>
      </c>
      <c r="W56" s="4" t="s">
        <v>0</v>
      </c>
      <c r="X56" s="4" t="s">
        <v>0</v>
      </c>
      <c r="Y56" s="4" t="s">
        <v>0</v>
      </c>
      <c r="Z56" s="4" t="s">
        <v>0</v>
      </c>
      <c r="AA56" s="4" t="s">
        <v>0</v>
      </c>
      <c r="AB56" s="4" t="s">
        <v>0</v>
      </c>
      <c r="AC56" s="4" t="s">
        <v>0</v>
      </c>
      <c r="AD56" s="4" t="s">
        <v>0</v>
      </c>
      <c r="AE56" s="4" t="s">
        <v>0</v>
      </c>
      <c r="AF56" s="4" t="s">
        <v>0</v>
      </c>
      <c r="AG56" s="4" t="s">
        <v>0</v>
      </c>
      <c r="AH56" s="4" t="s">
        <v>0</v>
      </c>
      <c r="AI56" s="4" t="s">
        <v>0</v>
      </c>
      <c r="AJ56" s="4" t="s">
        <v>0</v>
      </c>
      <c r="AK56" s="4" t="s">
        <v>0</v>
      </c>
      <c r="AL56" s="4" t="s">
        <v>0</v>
      </c>
      <c r="AM56" s="4" t="s">
        <v>0</v>
      </c>
      <c r="AN56" s="4" t="s">
        <v>0</v>
      </c>
      <c r="AP56" s="4" t="s">
        <v>0</v>
      </c>
      <c r="AQ56" s="4" t="s">
        <v>0</v>
      </c>
      <c r="AR56" s="4" t="s">
        <v>0</v>
      </c>
      <c r="AU56" s="4" t="s">
        <v>0</v>
      </c>
    </row>
    <row r="57" spans="1:47">
      <c r="A57" s="3" t="s">
        <v>97</v>
      </c>
      <c r="B57" s="5">
        <f>VLOOKUP($A57,'[21]1013'!$A$4:$O$321,4,FALSE)</f>
        <v>7.19</v>
      </c>
      <c r="C57" s="5">
        <v>7.54</v>
      </c>
      <c r="D57" s="5">
        <f>VLOOKUP($A57,'[21]1013'!$A$4:$O$321,15,FALSE)</f>
        <v>1.2507999999999999</v>
      </c>
      <c r="E57" s="4" t="str">
        <f>IF(VLOOKUP($A57,'[21]1013'!$A$4:$O$150,8,FALSE)="",VLOOKUP($A57,'[21]1013'!$A$4:$O$150,12,FALSE),VLOOKUP($A57,'[21]1013'!$A$4:$O$150,8,FALSE))</f>
        <v/>
      </c>
      <c r="F57" s="4" t="str">
        <f>IF(VLOOKUP($A57,'[7]1012'!$A$4:$O$150,8,FALSE)="",VLOOKUP($A57,'[7]1012'!$A$4:$O$150,12,FALSE),VLOOKUP($A57,'[7]1012'!$A$4:$O$150,8,FALSE))</f>
        <v/>
      </c>
      <c r="G57" s="4" t="str">
        <f>IF(VLOOKUP($A57,'[8]1011'!$A$4:$O$150,8,FALSE)="",VLOOKUP($A57,'[8]1011'!$A$4:$O$150,12,FALSE),VLOOKUP($A57,'[8]1011'!$A$4:$O$150,8,FALSE))</f>
        <v/>
      </c>
      <c r="H57" s="106"/>
      <c r="I57" s="4" t="str">
        <f>IF(VLOOKUP($A57,'[9]1005'!$A$4:$O$150,8,FALSE)="",VLOOKUP($A57,'[9]1005'!$A$4:$O$150,12,FALSE),VLOOKUP($A57,'[9]1005'!$A$4:$O$150,8,FALSE))</f>
        <v/>
      </c>
      <c r="J57" s="4" t="str">
        <f>IF(VLOOKUP($A57,'[10]1004'!$A$4:$O$150,8,FALSE)="",VLOOKUP($A57,'[10]1004'!$A$4:$O$150,12,FALSE),VLOOKUP($A57,'[10]1004'!$A$4:$O$150,8,FALSE))</f>
        <v/>
      </c>
      <c r="K57" s="4" t="str">
        <f>IF(VLOOKUP($A57,'[11]1003'!$A$4:$O$150,8,FALSE)="",VLOOKUP($A57,'[11]1003'!$A$4:$O$150,12,FALSE),VLOOKUP($A57,'[11]1003'!$A$4:$O$150,8,FALSE))</f>
        <v/>
      </c>
      <c r="L57" s="4" t="str">
        <f>IF(VLOOKUP($A57,'[12]1002'!$A$4:$O$150,8,FALSE)="",VLOOKUP($A57,'[12]1002'!$A$4:$O$150,12,FALSE),VLOOKUP($A57,'[12]1002'!$A$4:$O$150,8,FALSE))</f>
        <v/>
      </c>
      <c r="M57" s="106"/>
      <c r="N57" s="4" t="str">
        <f>IF(VLOOKUP($A57,'[13]0927'!$A$4:$O$150,8,FALSE)="",VLOOKUP($A57,'[13]0927'!$A$4:$O$150,12,FALSE),VLOOKUP($A57,'[13]0927'!$A$4:$O$150,8,FALSE))</f>
        <v/>
      </c>
      <c r="O57" s="5"/>
      <c r="P57" s="4" t="str">
        <f>IF(VLOOKUP($A57,'[14]0925'!$A$4:$O$150,8,FALSE)="",VLOOKUP($A57,'[14]0925'!$A$4:$O$150,12,FALSE),VLOOKUP($A57,'[14]0925'!$A$4:$O$150,8,FALSE))</f>
        <v/>
      </c>
      <c r="Q57" s="4" t="str">
        <f>IF(VLOOKUP($A57,'[15]0922'!$A$4:$O$150,8,FALSE)="",VLOOKUP($A57,'[15]0922'!$A$4:$O$150,12,FALSE),VLOOKUP($A57,'[15]0922'!$A$4:$O$150,8,FALSE))</f>
        <v/>
      </c>
      <c r="R57" s="4" t="str">
        <f>IF(VLOOKUP($A57,'[16]0921'!$A$4:$O$150,8,FALSE)="",VLOOKUP($A57,'[16]0921'!$A$4:$O$150,12,FALSE),VLOOKUP($A57,'[16]0921'!$A$4:$O$150,8,FALSE))</f>
        <v/>
      </c>
      <c r="S57" s="4" t="str">
        <f>IF(VLOOKUP($A57,'[17]0920'!$A$4:$O$150,8,FALSE)="",VLOOKUP($A57,'[17]0920'!$A$4:$O$150,12,FALSE),VLOOKUP($A57,'[17]0920'!$A$4:$O$150,8,FALSE))</f>
        <v/>
      </c>
      <c r="T57" s="4" t="s">
        <v>0</v>
      </c>
      <c r="U57" s="4" t="s">
        <v>0</v>
      </c>
      <c r="W57" s="4" t="s">
        <v>0</v>
      </c>
      <c r="X57" s="4" t="s">
        <v>0</v>
      </c>
      <c r="Y57" s="4" t="s">
        <v>0</v>
      </c>
      <c r="Z57" s="4" t="s">
        <v>0</v>
      </c>
      <c r="AA57" s="4" t="s">
        <v>0</v>
      </c>
      <c r="AB57" s="4" t="s">
        <v>0</v>
      </c>
      <c r="AC57" s="4" t="s">
        <v>0</v>
      </c>
      <c r="AD57" s="4" t="s">
        <v>0</v>
      </c>
      <c r="AE57" s="4" t="s">
        <v>0</v>
      </c>
      <c r="AF57" s="4" t="s">
        <v>0</v>
      </c>
      <c r="AG57" s="4" t="s">
        <v>0</v>
      </c>
      <c r="AH57" s="4" t="s">
        <v>0</v>
      </c>
      <c r="AI57" s="4" t="s">
        <v>0</v>
      </c>
      <c r="AJ57" s="4" t="s">
        <v>0</v>
      </c>
      <c r="AK57" s="4" t="s">
        <v>0</v>
      </c>
      <c r="AL57" s="4" t="s">
        <v>0</v>
      </c>
      <c r="AM57" s="4" t="s">
        <v>0</v>
      </c>
      <c r="AN57" s="4" t="s">
        <v>0</v>
      </c>
      <c r="AP57" s="4" t="s">
        <v>0</v>
      </c>
      <c r="AQ57" s="4" t="s">
        <v>0</v>
      </c>
      <c r="AR57" s="4" t="s">
        <v>0</v>
      </c>
      <c r="AU57" s="4" t="s">
        <v>0</v>
      </c>
    </row>
    <row r="58" spans="1:47">
      <c r="A58" s="3" t="s">
        <v>190</v>
      </c>
      <c r="B58" s="5">
        <f>VLOOKUP($A58,'[21]1013'!$A$4:$O$321,4,FALSE)</f>
        <v>7.35</v>
      </c>
      <c r="C58" s="5">
        <v>7.74</v>
      </c>
      <c r="D58" s="5">
        <f>VLOOKUP($A58,'[21]1013'!$A$4:$O$321,15,FALSE)</f>
        <v>1.2565999999999999</v>
      </c>
      <c r="E58" s="4" t="str">
        <f>IF(VLOOKUP($A58,'[21]1013'!$A$4:$O$150,8,FALSE)="",VLOOKUP($A58,'[21]1013'!$A$4:$O$150,12,FALSE),VLOOKUP($A58,'[21]1013'!$A$4:$O$150,8,FALSE))</f>
        <v/>
      </c>
      <c r="F58" s="4" t="str">
        <f>IF(VLOOKUP($A58,'[7]1012'!$A$4:$O$150,8,FALSE)="",VLOOKUP($A58,'[7]1012'!$A$4:$O$150,12,FALSE),VLOOKUP($A58,'[7]1012'!$A$4:$O$150,8,FALSE))</f>
        <v/>
      </c>
      <c r="G58" s="4" t="str">
        <f>IF(VLOOKUP($A58,'[8]1011'!$A$4:$O$150,8,FALSE)="",VLOOKUP($A58,'[8]1011'!$A$4:$O$150,12,FALSE),VLOOKUP($A58,'[8]1011'!$A$4:$O$150,8,FALSE))</f>
        <v/>
      </c>
      <c r="H58" s="106"/>
      <c r="I58" s="4" t="str">
        <f>IF(VLOOKUP($A58,'[9]1005'!$A$4:$O$150,8,FALSE)="",VLOOKUP($A58,'[9]1005'!$A$4:$O$150,12,FALSE),VLOOKUP($A58,'[9]1005'!$A$4:$O$150,8,FALSE))</f>
        <v/>
      </c>
      <c r="J58" s="4" t="str">
        <f>IF(VLOOKUP($A58,'[10]1004'!$A$4:$O$150,8,FALSE)="",VLOOKUP($A58,'[10]1004'!$A$4:$O$150,12,FALSE),VLOOKUP($A58,'[10]1004'!$A$4:$O$150,8,FALSE))</f>
        <v/>
      </c>
      <c r="K58" s="4" t="str">
        <f>IF(VLOOKUP($A58,'[11]1003'!$A$4:$O$150,8,FALSE)="",VLOOKUP($A58,'[11]1003'!$A$4:$O$150,12,FALSE),VLOOKUP($A58,'[11]1003'!$A$4:$O$150,8,FALSE))</f>
        <v/>
      </c>
      <c r="L58" s="4" t="str">
        <f>IF(VLOOKUP($A58,'[12]1002'!$A$4:$O$150,8,FALSE)="",VLOOKUP($A58,'[12]1002'!$A$4:$O$150,12,FALSE),VLOOKUP($A58,'[12]1002'!$A$4:$O$150,8,FALSE))</f>
        <v/>
      </c>
      <c r="M58" s="106"/>
      <c r="N58" s="4" t="str">
        <f>IF(VLOOKUP($A58,'[13]0927'!$A$4:$O$150,8,FALSE)="",VLOOKUP($A58,'[13]0927'!$A$4:$O$150,12,FALSE),VLOOKUP($A58,'[13]0927'!$A$4:$O$150,8,FALSE))</f>
        <v/>
      </c>
      <c r="O58" s="5"/>
      <c r="P58" s="4" t="str">
        <f>IF(VLOOKUP($A58,'[14]0925'!$A$4:$O$150,8,FALSE)="",VLOOKUP($A58,'[14]0925'!$A$4:$O$150,12,FALSE),VLOOKUP($A58,'[14]0925'!$A$4:$O$150,8,FALSE))</f>
        <v/>
      </c>
      <c r="Q58" s="4" t="str">
        <f>IF(VLOOKUP($A58,'[15]0922'!$A$4:$O$150,8,FALSE)="",VLOOKUP($A58,'[15]0922'!$A$4:$O$150,12,FALSE),VLOOKUP($A58,'[15]0922'!$A$4:$O$150,8,FALSE))</f>
        <v/>
      </c>
      <c r="R58" s="4" t="str">
        <f>IF(VLOOKUP($A58,'[16]0921'!$A$4:$O$150,8,FALSE)="",VLOOKUP($A58,'[16]0921'!$A$4:$O$150,12,FALSE),VLOOKUP($A58,'[16]0921'!$A$4:$O$150,8,FALSE))</f>
        <v/>
      </c>
      <c r="S58" s="4" t="str">
        <f>IF(VLOOKUP($A58,'[17]0920'!$A$4:$O$150,8,FALSE)="",VLOOKUP($A58,'[17]0920'!$A$4:$O$150,12,FALSE),VLOOKUP($A58,'[17]0920'!$A$4:$O$150,8,FALSE))</f>
        <v/>
      </c>
      <c r="T58" s="4" t="s">
        <v>0</v>
      </c>
      <c r="U58" s="4" t="s">
        <v>0</v>
      </c>
      <c r="W58" s="4" t="s">
        <v>0</v>
      </c>
      <c r="X58" s="4" t="s">
        <v>0</v>
      </c>
      <c r="Y58" s="4" t="s">
        <v>0</v>
      </c>
      <c r="Z58" s="4" t="s">
        <v>0</v>
      </c>
      <c r="AA58" s="4" t="s">
        <v>0</v>
      </c>
      <c r="AB58" s="4" t="s">
        <v>0</v>
      </c>
      <c r="AC58" s="4" t="s">
        <v>0</v>
      </c>
      <c r="AD58" s="4" t="s">
        <v>0</v>
      </c>
      <c r="AE58" s="4" t="s">
        <v>0</v>
      </c>
      <c r="AF58" s="4" t="s">
        <v>0</v>
      </c>
      <c r="AG58" s="4" t="s">
        <v>0</v>
      </c>
      <c r="AH58" s="4" t="s">
        <v>0</v>
      </c>
      <c r="AI58" s="4" t="s">
        <v>0</v>
      </c>
      <c r="AJ58" s="4" t="s">
        <v>0</v>
      </c>
      <c r="AK58" s="4" t="s">
        <v>0</v>
      </c>
      <c r="AL58" s="4" t="s">
        <v>0</v>
      </c>
      <c r="AM58" s="4" t="s">
        <v>0</v>
      </c>
      <c r="AN58" s="4" t="s">
        <v>0</v>
      </c>
      <c r="AP58" s="4" t="s">
        <v>0</v>
      </c>
      <c r="AQ58" s="4" t="s">
        <v>0</v>
      </c>
      <c r="AR58" s="4" t="s">
        <v>0</v>
      </c>
      <c r="AU58" s="4" t="s">
        <v>0</v>
      </c>
    </row>
    <row r="59" spans="1:47">
      <c r="A59" s="3" t="s">
        <v>191</v>
      </c>
      <c r="B59" s="5">
        <f>VLOOKUP($A59,'[21]1013'!$A$4:$O$321,4,FALSE)</f>
        <v>7.48</v>
      </c>
      <c r="C59" s="5">
        <v>7.87</v>
      </c>
      <c r="D59" s="5">
        <f>VLOOKUP($A59,'[21]1013'!$A$4:$O$321,15,FALSE)</f>
        <v>1.2607999999999999</v>
      </c>
      <c r="E59" s="4" t="str">
        <f>IF(VLOOKUP($A59,'[21]1013'!$A$4:$O$150,8,FALSE)="",VLOOKUP($A59,'[21]1013'!$A$4:$O$150,12,FALSE),VLOOKUP($A59,'[21]1013'!$A$4:$O$150,8,FALSE))</f>
        <v/>
      </c>
      <c r="F59" s="4" t="str">
        <f>IF(VLOOKUP($A59,'[7]1012'!$A$4:$O$150,8,FALSE)="",VLOOKUP($A59,'[7]1012'!$A$4:$O$150,12,FALSE),VLOOKUP($A59,'[7]1012'!$A$4:$O$150,8,FALSE))</f>
        <v/>
      </c>
      <c r="G59" s="4" t="str">
        <f>IF(VLOOKUP($A59,'[8]1011'!$A$4:$O$150,8,FALSE)="",VLOOKUP($A59,'[8]1011'!$A$4:$O$150,12,FALSE),VLOOKUP($A59,'[8]1011'!$A$4:$O$150,8,FALSE))</f>
        <v/>
      </c>
      <c r="H59" s="106"/>
      <c r="I59" s="4">
        <f>IF(VLOOKUP($A59,'[9]1005'!$A$4:$O$150,8,FALSE)="",VLOOKUP($A59,'[9]1005'!$A$4:$O$150,12,FALSE),VLOOKUP($A59,'[9]1005'!$A$4:$O$150,8,FALSE))</f>
        <v>1.27</v>
      </c>
      <c r="J59" s="4">
        <f>IF(VLOOKUP($A59,'[10]1004'!$A$4:$O$150,8,FALSE)="",VLOOKUP($A59,'[10]1004'!$A$4:$O$150,12,FALSE),VLOOKUP($A59,'[10]1004'!$A$4:$O$150,8,FALSE))</f>
        <v>1.2555000000000001</v>
      </c>
      <c r="K59" s="4" t="str">
        <f>IF(VLOOKUP($A59,'[11]1003'!$A$4:$O$150,8,FALSE)="",VLOOKUP($A59,'[11]1003'!$A$4:$O$150,12,FALSE),VLOOKUP($A59,'[11]1003'!$A$4:$O$150,8,FALSE))</f>
        <v/>
      </c>
      <c r="L59" s="4" t="str">
        <f>IF(VLOOKUP($A59,'[12]1002'!$A$4:$O$150,8,FALSE)="",VLOOKUP($A59,'[12]1002'!$A$4:$O$150,12,FALSE),VLOOKUP($A59,'[12]1002'!$A$4:$O$150,8,FALSE))</f>
        <v/>
      </c>
      <c r="M59" s="106"/>
      <c r="N59" s="4" t="str">
        <f>IF(VLOOKUP($A59,'[13]0927'!$A$4:$O$150,8,FALSE)="",VLOOKUP($A59,'[13]0927'!$A$4:$O$150,12,FALSE),VLOOKUP($A59,'[13]0927'!$A$4:$O$150,8,FALSE))</f>
        <v/>
      </c>
      <c r="O59" s="5"/>
      <c r="P59" s="4" t="str">
        <f>IF(VLOOKUP($A59,'[14]0925'!$A$4:$O$150,8,FALSE)="",VLOOKUP($A59,'[14]0925'!$A$4:$O$150,12,FALSE),VLOOKUP($A59,'[14]0925'!$A$4:$O$150,8,FALSE))</f>
        <v/>
      </c>
      <c r="Q59" s="4" t="str">
        <f>IF(VLOOKUP($A59,'[15]0922'!$A$4:$O$150,8,FALSE)="",VLOOKUP($A59,'[15]0922'!$A$4:$O$150,12,FALSE),VLOOKUP($A59,'[15]0922'!$A$4:$O$150,8,FALSE))</f>
        <v/>
      </c>
      <c r="R59" s="4" t="str">
        <f>IF(VLOOKUP($A59,'[16]0921'!$A$4:$O$150,8,FALSE)="",VLOOKUP($A59,'[16]0921'!$A$4:$O$150,12,FALSE),VLOOKUP($A59,'[16]0921'!$A$4:$O$150,8,FALSE))</f>
        <v/>
      </c>
      <c r="S59" s="4" t="str">
        <f>IF(VLOOKUP($A59,'[17]0920'!$A$4:$O$150,8,FALSE)="",VLOOKUP($A59,'[17]0920'!$A$4:$O$150,12,FALSE),VLOOKUP($A59,'[17]0920'!$A$4:$O$150,8,FALSE))</f>
        <v/>
      </c>
      <c r="T59" s="4" t="s">
        <v>0</v>
      </c>
      <c r="U59" s="4" t="s">
        <v>0</v>
      </c>
      <c r="W59" s="4" t="s">
        <v>0</v>
      </c>
      <c r="X59" s="4" t="s">
        <v>0</v>
      </c>
      <c r="Y59" s="4" t="s">
        <v>0</v>
      </c>
      <c r="Z59" s="4" t="s">
        <v>0</v>
      </c>
      <c r="AA59" s="4" t="s">
        <v>0</v>
      </c>
      <c r="AB59" s="4" t="s">
        <v>0</v>
      </c>
      <c r="AC59" s="4" t="s">
        <v>0</v>
      </c>
      <c r="AD59" s="4" t="s">
        <v>0</v>
      </c>
      <c r="AE59" s="4" t="s">
        <v>0</v>
      </c>
      <c r="AF59" s="4" t="s">
        <v>0</v>
      </c>
      <c r="AG59" s="4" t="s">
        <v>0</v>
      </c>
      <c r="AH59" s="4" t="s">
        <v>0</v>
      </c>
      <c r="AI59" s="4" t="s">
        <v>0</v>
      </c>
      <c r="AJ59" s="4" t="s">
        <v>0</v>
      </c>
      <c r="AK59" s="4">
        <v>1.1801999999999999</v>
      </c>
      <c r="AL59" s="4" t="s">
        <v>0</v>
      </c>
      <c r="AM59" s="4" t="s">
        <v>0</v>
      </c>
      <c r="AN59" s="4" t="s">
        <v>0</v>
      </c>
      <c r="AP59" s="4" t="s">
        <v>0</v>
      </c>
      <c r="AQ59" s="4" t="s">
        <v>0</v>
      </c>
      <c r="AR59" s="4" t="s">
        <v>0</v>
      </c>
      <c r="AU59" s="4" t="s">
        <v>0</v>
      </c>
    </row>
    <row r="60" spans="1:47">
      <c r="A60" s="3" t="s">
        <v>42</v>
      </c>
      <c r="B60" s="5">
        <f>VLOOKUP($A60,'[21]1013'!$A$4:$O$321,4,FALSE)</f>
        <v>7.62</v>
      </c>
      <c r="C60" s="5">
        <v>8.4499999999999993</v>
      </c>
      <c r="D60" s="5">
        <f>VLOOKUP($A60,'[21]1013'!$A$4:$O$321,15,FALSE)</f>
        <v>1.2745</v>
      </c>
      <c r="E60" s="4" t="str">
        <f>IF(VLOOKUP($A60,'[21]1013'!$A$4:$O$150,8,FALSE)="",VLOOKUP($A60,'[21]1013'!$A$4:$O$150,12,FALSE),VLOOKUP($A60,'[21]1013'!$A$4:$O$150,8,FALSE))</f>
        <v/>
      </c>
      <c r="F60" s="4" t="str">
        <f>IF(VLOOKUP($A60,'[7]1012'!$A$4:$O$150,8,FALSE)="",VLOOKUP($A60,'[7]1012'!$A$4:$O$150,12,FALSE),VLOOKUP($A60,'[7]1012'!$A$4:$O$150,8,FALSE))</f>
        <v/>
      </c>
      <c r="G60" s="4" t="str">
        <f>IF(VLOOKUP($A60,'[8]1011'!$A$4:$O$150,8,FALSE)="",VLOOKUP($A60,'[8]1011'!$A$4:$O$150,12,FALSE),VLOOKUP($A60,'[8]1011'!$A$4:$O$150,8,FALSE))</f>
        <v/>
      </c>
      <c r="H60" s="106"/>
      <c r="I60" s="4" t="str">
        <f>IF(VLOOKUP($A60,'[9]1005'!$A$4:$O$150,8,FALSE)="",VLOOKUP($A60,'[9]1005'!$A$4:$O$150,12,FALSE),VLOOKUP($A60,'[9]1005'!$A$4:$O$150,8,FALSE))</f>
        <v/>
      </c>
      <c r="J60" s="4" t="str">
        <f>IF(VLOOKUP($A60,'[10]1004'!$A$4:$O$150,8,FALSE)="",VLOOKUP($A60,'[10]1004'!$A$4:$O$150,12,FALSE),VLOOKUP($A60,'[10]1004'!$A$4:$O$150,8,FALSE))</f>
        <v/>
      </c>
      <c r="K60" s="4" t="str">
        <f>IF(VLOOKUP($A60,'[11]1003'!$A$4:$O$150,8,FALSE)="",VLOOKUP($A60,'[11]1003'!$A$4:$O$150,12,FALSE),VLOOKUP($A60,'[11]1003'!$A$4:$O$150,8,FALSE))</f>
        <v/>
      </c>
      <c r="L60" s="4" t="str">
        <f>IF(VLOOKUP($A60,'[12]1002'!$A$4:$O$150,8,FALSE)="",VLOOKUP($A60,'[12]1002'!$A$4:$O$150,12,FALSE),VLOOKUP($A60,'[12]1002'!$A$4:$O$150,8,FALSE))</f>
        <v/>
      </c>
      <c r="M60" s="106"/>
      <c r="N60" s="4" t="str">
        <f>IF(VLOOKUP($A60,'[13]0927'!$A$4:$O$150,8,FALSE)="",VLOOKUP($A60,'[13]0927'!$A$4:$O$150,12,FALSE),VLOOKUP($A60,'[13]0927'!$A$4:$O$150,8,FALSE))</f>
        <v/>
      </c>
      <c r="O60" s="5"/>
      <c r="P60" s="4" t="str">
        <f>IF(VLOOKUP($A60,'[14]0925'!$A$4:$O$150,8,FALSE)="",VLOOKUP($A60,'[14]0925'!$A$4:$O$150,12,FALSE),VLOOKUP($A60,'[14]0925'!$A$4:$O$150,8,FALSE))</f>
        <v/>
      </c>
      <c r="Q60" s="4" t="str">
        <f>IF(VLOOKUP($A60,'[15]0922'!$A$4:$O$150,8,FALSE)="",VLOOKUP($A60,'[15]0922'!$A$4:$O$150,12,FALSE),VLOOKUP($A60,'[15]0922'!$A$4:$O$150,8,FALSE))</f>
        <v/>
      </c>
      <c r="R60" s="4" t="str">
        <f>IF(VLOOKUP($A60,'[16]0921'!$A$4:$O$150,8,FALSE)="",VLOOKUP($A60,'[16]0921'!$A$4:$O$150,12,FALSE),VLOOKUP($A60,'[16]0921'!$A$4:$O$150,8,FALSE))</f>
        <v/>
      </c>
      <c r="S60" s="4" t="str">
        <f>IF(VLOOKUP($A60,'[17]0920'!$A$4:$O$150,8,FALSE)="",VLOOKUP($A60,'[17]0920'!$A$4:$O$150,12,FALSE),VLOOKUP($A60,'[17]0920'!$A$4:$O$150,8,FALSE))</f>
        <v/>
      </c>
      <c r="T60" s="4" t="s">
        <v>0</v>
      </c>
      <c r="U60" s="4" t="s">
        <v>0</v>
      </c>
      <c r="W60" s="4" t="s">
        <v>0</v>
      </c>
      <c r="X60" s="4" t="s">
        <v>0</v>
      </c>
      <c r="Y60" s="4" t="s">
        <v>0</v>
      </c>
      <c r="Z60" s="4" t="s">
        <v>0</v>
      </c>
      <c r="AA60" s="4" t="s">
        <v>0</v>
      </c>
      <c r="AB60" s="4" t="s">
        <v>0</v>
      </c>
      <c r="AC60" s="4" t="s">
        <v>0</v>
      </c>
      <c r="AD60" s="4" t="s">
        <v>0</v>
      </c>
      <c r="AE60" s="4" t="s">
        <v>0</v>
      </c>
      <c r="AF60" s="4" t="s">
        <v>0</v>
      </c>
      <c r="AG60" s="4" t="s">
        <v>0</v>
      </c>
      <c r="AH60" s="4" t="s">
        <v>0</v>
      </c>
      <c r="AI60" s="4" t="s">
        <v>0</v>
      </c>
      <c r="AJ60" s="4" t="s">
        <v>0</v>
      </c>
      <c r="AK60" s="4" t="s">
        <v>0</v>
      </c>
      <c r="AL60" s="4">
        <v>1.1897</v>
      </c>
      <c r="AM60" s="4" t="s">
        <v>0</v>
      </c>
      <c r="AN60" s="4" t="s">
        <v>0</v>
      </c>
      <c r="AP60" s="4" t="s">
        <v>0</v>
      </c>
      <c r="AQ60" s="4" t="s">
        <v>0</v>
      </c>
      <c r="AR60" s="4" t="s">
        <v>0</v>
      </c>
      <c r="AU60" s="4" t="s">
        <v>0</v>
      </c>
    </row>
    <row r="61" spans="1:47">
      <c r="A61" s="3" t="s">
        <v>200</v>
      </c>
      <c r="B61" s="5">
        <f>VLOOKUP($A61,'[21]1013'!$A$4:$O$321,4,FALSE)</f>
        <v>7.73</v>
      </c>
      <c r="C61" s="5">
        <v>8.1999999999999993</v>
      </c>
      <c r="D61" s="5">
        <f>VLOOKUP($A61,'[21]1013'!$A$4:$O$321,15,FALSE)</f>
        <v>1.2708999999999999</v>
      </c>
      <c r="E61" s="4" t="str">
        <f>IF(VLOOKUP($A61,'[21]1013'!$A$4:$O$150,8,FALSE)="",VLOOKUP($A61,'[21]1013'!$A$4:$O$150,12,FALSE),VLOOKUP($A61,'[21]1013'!$A$4:$O$150,8,FALSE))</f>
        <v/>
      </c>
      <c r="F61" s="4" t="str">
        <f>IF(VLOOKUP($A61,'[7]1012'!$A$4:$O$150,8,FALSE)="",VLOOKUP($A61,'[7]1012'!$A$4:$O$150,12,FALSE),VLOOKUP($A61,'[7]1012'!$A$4:$O$150,8,FALSE))</f>
        <v/>
      </c>
      <c r="G61" s="4" t="str">
        <f>IF(VLOOKUP($A61,'[8]1011'!$A$4:$O$150,8,FALSE)="",VLOOKUP($A61,'[8]1011'!$A$4:$O$150,12,FALSE),VLOOKUP($A61,'[8]1011'!$A$4:$O$150,8,FALSE))</f>
        <v/>
      </c>
      <c r="H61" s="106"/>
      <c r="I61" s="4" t="str">
        <f>IF(VLOOKUP($A61,'[9]1005'!$A$4:$O$150,8,FALSE)="",VLOOKUP($A61,'[9]1005'!$A$4:$O$150,12,FALSE),VLOOKUP($A61,'[9]1005'!$A$4:$O$150,8,FALSE))</f>
        <v/>
      </c>
      <c r="J61" s="4" t="str">
        <f>IF(VLOOKUP($A61,'[10]1004'!$A$4:$O$150,8,FALSE)="",VLOOKUP($A61,'[10]1004'!$A$4:$O$150,12,FALSE),VLOOKUP($A61,'[10]1004'!$A$4:$O$150,8,FALSE))</f>
        <v/>
      </c>
      <c r="K61" s="4" t="str">
        <f>IF(VLOOKUP($A61,'[11]1003'!$A$4:$O$150,8,FALSE)="",VLOOKUP($A61,'[11]1003'!$A$4:$O$150,12,FALSE),VLOOKUP($A61,'[11]1003'!$A$4:$O$150,8,FALSE))</f>
        <v/>
      </c>
      <c r="L61" s="4" t="str">
        <f>IF(VLOOKUP($A61,'[12]1002'!$A$4:$O$150,8,FALSE)="",VLOOKUP($A61,'[12]1002'!$A$4:$O$150,12,FALSE),VLOOKUP($A61,'[12]1002'!$A$4:$O$150,8,FALSE))</f>
        <v/>
      </c>
      <c r="M61" s="106"/>
      <c r="N61" s="4" t="str">
        <f>IF(VLOOKUP($A61,'[13]0927'!$A$4:$O$150,8,FALSE)="",VLOOKUP($A61,'[13]0927'!$A$4:$O$150,12,FALSE),VLOOKUP($A61,'[13]0927'!$A$4:$O$150,8,FALSE))</f>
        <v/>
      </c>
      <c r="O61" s="5">
        <f>VLOOKUP(A61,'[20]0926'!$A$5:$P$27,12,FALSE)</f>
        <v>1.22</v>
      </c>
      <c r="P61" s="4" t="str">
        <f>IF(VLOOKUP($A61,'[14]0925'!$A$4:$O$150,8,FALSE)="",VLOOKUP($A61,'[14]0925'!$A$4:$O$150,12,FALSE),VLOOKUP($A61,'[14]0925'!$A$4:$O$150,8,FALSE))</f>
        <v/>
      </c>
      <c r="Q61" s="4" t="str">
        <f>IF(VLOOKUP($A61,'[15]0922'!$A$4:$O$150,8,FALSE)="",VLOOKUP($A61,'[15]0922'!$A$4:$O$150,12,FALSE),VLOOKUP($A61,'[15]0922'!$A$4:$O$150,8,FALSE))</f>
        <v/>
      </c>
      <c r="R61" s="4" t="str">
        <f>IF(VLOOKUP($A61,'[16]0921'!$A$4:$O$150,8,FALSE)="",VLOOKUP($A61,'[16]0921'!$A$4:$O$150,12,FALSE),VLOOKUP($A61,'[16]0921'!$A$4:$O$150,8,FALSE))</f>
        <v/>
      </c>
      <c r="S61" s="4" t="str">
        <f>IF(VLOOKUP($A61,'[17]0920'!$A$4:$O$150,8,FALSE)="",VLOOKUP($A61,'[17]0920'!$A$4:$O$150,12,FALSE),VLOOKUP($A61,'[17]0920'!$A$4:$O$150,8,FALSE))</f>
        <v/>
      </c>
      <c r="T61" s="4" t="s">
        <v>0</v>
      </c>
      <c r="U61" s="4" t="s">
        <v>0</v>
      </c>
      <c r="W61" s="4" t="s">
        <v>0</v>
      </c>
      <c r="X61" s="4" t="s">
        <v>0</v>
      </c>
      <c r="Y61" s="4" t="s">
        <v>0</v>
      </c>
      <c r="Z61" s="4" t="s">
        <v>0</v>
      </c>
      <c r="AA61" s="4" t="s">
        <v>0</v>
      </c>
      <c r="AB61" s="4" t="s">
        <v>0</v>
      </c>
      <c r="AC61" s="4" t="s">
        <v>0</v>
      </c>
      <c r="AD61" s="4" t="s">
        <v>0</v>
      </c>
      <c r="AE61" s="4" t="s">
        <v>0</v>
      </c>
      <c r="AF61" s="4" t="s">
        <v>0</v>
      </c>
      <c r="AG61" s="4" t="s">
        <v>0</v>
      </c>
      <c r="AH61" s="4" t="s">
        <v>0</v>
      </c>
      <c r="AI61" s="4" t="s">
        <v>0</v>
      </c>
      <c r="AJ61" s="4" t="s">
        <v>0</v>
      </c>
      <c r="AK61" s="4" t="s">
        <v>0</v>
      </c>
      <c r="AL61" s="4" t="s">
        <v>0</v>
      </c>
      <c r="AM61" s="4" t="s">
        <v>0</v>
      </c>
      <c r="AN61" s="4" t="s">
        <v>0</v>
      </c>
      <c r="AP61" s="4" t="s">
        <v>0</v>
      </c>
      <c r="AQ61" s="4" t="s">
        <v>0</v>
      </c>
      <c r="AR61" s="4" t="s">
        <v>0</v>
      </c>
      <c r="AU61" s="4" t="s">
        <v>0</v>
      </c>
    </row>
    <row r="62" spans="1:47">
      <c r="A62" s="3" t="s">
        <v>25</v>
      </c>
      <c r="B62" s="5">
        <f>VLOOKUP($A62,'[21]1013'!$A$4:$O$321,4,FALSE)</f>
        <v>7.77</v>
      </c>
      <c r="C62" s="5">
        <v>8.6</v>
      </c>
      <c r="D62" s="5">
        <f>VLOOKUP($A62,'[21]1013'!$A$4:$O$321,15,FALSE)</f>
        <v>1.278</v>
      </c>
      <c r="E62" s="4" t="str">
        <f>IF(VLOOKUP($A62,'[21]1013'!$A$4:$O$150,8,FALSE)="",VLOOKUP($A62,'[21]1013'!$A$4:$O$150,12,FALSE),VLOOKUP($A62,'[21]1013'!$A$4:$O$150,8,FALSE))</f>
        <v/>
      </c>
      <c r="F62" s="4" t="str">
        <f>IF(VLOOKUP($A62,'[7]1012'!$A$4:$O$150,8,FALSE)="",VLOOKUP($A62,'[7]1012'!$A$4:$O$150,12,FALSE),VLOOKUP($A62,'[7]1012'!$A$4:$O$150,8,FALSE))</f>
        <v/>
      </c>
      <c r="G62" s="4" t="str">
        <f>IF(VLOOKUP($A62,'[8]1011'!$A$4:$O$150,8,FALSE)="",VLOOKUP($A62,'[8]1011'!$A$4:$O$150,12,FALSE),VLOOKUP($A62,'[8]1011'!$A$4:$O$150,8,FALSE))</f>
        <v/>
      </c>
      <c r="H62" s="106"/>
      <c r="I62" s="4" t="str">
        <f>IF(VLOOKUP($A62,'[9]1005'!$A$4:$O$150,8,FALSE)="",VLOOKUP($A62,'[9]1005'!$A$4:$O$150,12,FALSE),VLOOKUP($A62,'[9]1005'!$A$4:$O$150,8,FALSE))</f>
        <v/>
      </c>
      <c r="J62" s="4" t="str">
        <f>IF(VLOOKUP($A62,'[10]1004'!$A$4:$O$150,8,FALSE)="",VLOOKUP($A62,'[10]1004'!$A$4:$O$150,12,FALSE),VLOOKUP($A62,'[10]1004'!$A$4:$O$150,8,FALSE))</f>
        <v/>
      </c>
      <c r="K62" s="4" t="str">
        <f>IF(VLOOKUP($A62,'[11]1003'!$A$4:$O$150,8,FALSE)="",VLOOKUP($A62,'[11]1003'!$A$4:$O$150,12,FALSE),VLOOKUP($A62,'[11]1003'!$A$4:$O$150,8,FALSE))</f>
        <v/>
      </c>
      <c r="L62" s="4" t="str">
        <f>IF(VLOOKUP($A62,'[12]1002'!$A$4:$O$150,8,FALSE)="",VLOOKUP($A62,'[12]1002'!$A$4:$O$150,12,FALSE),VLOOKUP($A62,'[12]1002'!$A$4:$O$150,8,FALSE))</f>
        <v/>
      </c>
      <c r="M62" s="106"/>
      <c r="N62" s="4" t="str">
        <f>IF(VLOOKUP($A62,'[13]0927'!$A$4:$O$150,8,FALSE)="",VLOOKUP($A62,'[13]0927'!$A$4:$O$150,12,FALSE),VLOOKUP($A62,'[13]0927'!$A$4:$O$150,8,FALSE))</f>
        <v/>
      </c>
      <c r="O62" s="5"/>
      <c r="P62" s="4" t="str">
        <f>IF(VLOOKUP($A62,'[14]0925'!$A$4:$O$150,8,FALSE)="",VLOOKUP($A62,'[14]0925'!$A$4:$O$150,12,FALSE),VLOOKUP($A62,'[14]0925'!$A$4:$O$150,8,FALSE))</f>
        <v/>
      </c>
      <c r="Q62" s="4" t="str">
        <f>IF(VLOOKUP($A62,'[15]0922'!$A$4:$O$150,8,FALSE)="",VLOOKUP($A62,'[15]0922'!$A$4:$O$150,12,FALSE),VLOOKUP($A62,'[15]0922'!$A$4:$O$150,8,FALSE))</f>
        <v/>
      </c>
      <c r="R62" s="4" t="str">
        <f>IF(VLOOKUP($A62,'[16]0921'!$A$4:$O$150,8,FALSE)="",VLOOKUP($A62,'[16]0921'!$A$4:$O$150,12,FALSE),VLOOKUP($A62,'[16]0921'!$A$4:$O$150,8,FALSE))</f>
        <v/>
      </c>
      <c r="S62" s="4" t="str">
        <f>IF(VLOOKUP($A62,'[17]0920'!$A$4:$O$150,8,FALSE)="",VLOOKUP($A62,'[17]0920'!$A$4:$O$150,12,FALSE),VLOOKUP($A62,'[17]0920'!$A$4:$O$150,8,FALSE))</f>
        <v/>
      </c>
      <c r="T62" s="4" t="s">
        <v>0</v>
      </c>
      <c r="U62" s="4" t="s">
        <v>0</v>
      </c>
      <c r="W62" s="4" t="s">
        <v>0</v>
      </c>
      <c r="X62" s="4" t="s">
        <v>0</v>
      </c>
      <c r="Y62" s="4" t="s">
        <v>0</v>
      </c>
      <c r="Z62" s="4" t="s">
        <v>0</v>
      </c>
      <c r="AA62" s="4" t="s">
        <v>0</v>
      </c>
      <c r="AB62" s="4" t="s">
        <v>0</v>
      </c>
      <c r="AC62" s="4" t="s">
        <v>0</v>
      </c>
      <c r="AD62" s="4" t="s">
        <v>0</v>
      </c>
      <c r="AE62" s="4" t="s">
        <v>0</v>
      </c>
      <c r="AF62" s="4" t="s">
        <v>0</v>
      </c>
      <c r="AG62" s="4" t="s">
        <v>0</v>
      </c>
      <c r="AH62" s="4" t="s">
        <v>0</v>
      </c>
      <c r="AI62" s="4" t="s">
        <v>0</v>
      </c>
      <c r="AJ62" s="4" t="s">
        <v>0</v>
      </c>
      <c r="AK62" s="4" t="s">
        <v>0</v>
      </c>
      <c r="AL62" s="4" t="s">
        <v>0</v>
      </c>
      <c r="AM62" s="4" t="s">
        <v>0</v>
      </c>
      <c r="AN62" s="4" t="s">
        <v>0</v>
      </c>
      <c r="AP62" s="4" t="s">
        <v>0</v>
      </c>
      <c r="AQ62" s="4" t="s">
        <v>0</v>
      </c>
      <c r="AR62" s="4" t="s">
        <v>0</v>
      </c>
      <c r="AU62" s="4" t="s">
        <v>0</v>
      </c>
    </row>
    <row r="63" spans="1:47">
      <c r="A63" s="3" t="s">
        <v>211</v>
      </c>
      <c r="B63" s="5">
        <f>VLOOKUP($A63,'[21]1013'!$A$4:$O$321,4,FALSE)</f>
        <v>7.86</v>
      </c>
      <c r="C63" s="5">
        <v>8.42</v>
      </c>
      <c r="D63" s="5">
        <f>VLOOKUP($A63,'[21]1013'!$A$4:$O$321,15,FALSE)</f>
        <v>1.2762</v>
      </c>
      <c r="E63" s="4" t="str">
        <f>IF(VLOOKUP($A63,'[21]1013'!$A$4:$O$150,8,FALSE)="",VLOOKUP($A63,'[21]1013'!$A$4:$O$150,12,FALSE),VLOOKUP($A63,'[21]1013'!$A$4:$O$150,8,FALSE))</f>
        <v/>
      </c>
      <c r="F63" s="4" t="str">
        <f>IF(VLOOKUP($A63,'[7]1012'!$A$4:$O$150,8,FALSE)="",VLOOKUP($A63,'[7]1012'!$A$4:$O$150,12,FALSE),VLOOKUP($A63,'[7]1012'!$A$4:$O$150,8,FALSE))</f>
        <v/>
      </c>
      <c r="G63" s="4" t="str">
        <f>IF(VLOOKUP($A63,'[8]1011'!$A$4:$O$150,8,FALSE)="",VLOOKUP($A63,'[8]1011'!$A$4:$O$150,12,FALSE),VLOOKUP($A63,'[8]1011'!$A$4:$O$150,8,FALSE))</f>
        <v/>
      </c>
      <c r="H63" s="106"/>
      <c r="I63" s="4" t="str">
        <f>IF(VLOOKUP($A63,'[9]1005'!$A$4:$O$150,8,FALSE)="",VLOOKUP($A63,'[9]1005'!$A$4:$O$150,12,FALSE),VLOOKUP($A63,'[9]1005'!$A$4:$O$150,8,FALSE))</f>
        <v/>
      </c>
      <c r="J63" s="4" t="str">
        <f>IF(VLOOKUP($A63,'[10]1004'!$A$4:$O$150,8,FALSE)="",VLOOKUP($A63,'[10]1004'!$A$4:$O$150,12,FALSE),VLOOKUP($A63,'[10]1004'!$A$4:$O$150,8,FALSE))</f>
        <v/>
      </c>
      <c r="K63" s="4" t="str">
        <f>IF(VLOOKUP($A63,'[11]1003'!$A$4:$O$150,8,FALSE)="",VLOOKUP($A63,'[11]1003'!$A$4:$O$150,12,FALSE),VLOOKUP($A63,'[11]1003'!$A$4:$O$150,8,FALSE))</f>
        <v/>
      </c>
      <c r="L63" s="4" t="str">
        <f>IF(VLOOKUP($A63,'[12]1002'!$A$4:$O$150,8,FALSE)="",VLOOKUP($A63,'[12]1002'!$A$4:$O$150,12,FALSE),VLOOKUP($A63,'[12]1002'!$A$4:$O$150,8,FALSE))</f>
        <v/>
      </c>
      <c r="M63" s="106"/>
      <c r="N63" s="4" t="str">
        <f>IF(VLOOKUP($A63,'[13]0927'!$A$4:$O$150,8,FALSE)="",VLOOKUP($A63,'[13]0927'!$A$4:$O$150,12,FALSE),VLOOKUP($A63,'[13]0927'!$A$4:$O$150,8,FALSE))</f>
        <v/>
      </c>
      <c r="O63" s="5"/>
      <c r="P63" s="4" t="str">
        <f>IF(VLOOKUP($A63,'[14]0925'!$A$4:$O$150,8,FALSE)="",VLOOKUP($A63,'[14]0925'!$A$4:$O$150,12,FALSE),VLOOKUP($A63,'[14]0925'!$A$4:$O$150,8,FALSE))</f>
        <v/>
      </c>
      <c r="Q63" s="4" t="str">
        <f>IF(VLOOKUP($A63,'[15]0922'!$A$4:$O$150,8,FALSE)="",VLOOKUP($A63,'[15]0922'!$A$4:$O$150,12,FALSE),VLOOKUP($A63,'[15]0922'!$A$4:$O$150,8,FALSE))</f>
        <v/>
      </c>
      <c r="R63" s="4" t="str">
        <f>IF(VLOOKUP($A63,'[16]0921'!$A$4:$O$150,8,FALSE)="",VLOOKUP($A63,'[16]0921'!$A$4:$O$150,12,FALSE),VLOOKUP($A63,'[16]0921'!$A$4:$O$150,8,FALSE))</f>
        <v/>
      </c>
      <c r="S63" s="4" t="str">
        <f>IF(VLOOKUP($A63,'[17]0920'!$A$4:$O$150,8,FALSE)="",VLOOKUP($A63,'[17]0920'!$A$4:$O$150,12,FALSE),VLOOKUP($A63,'[17]0920'!$A$4:$O$150,8,FALSE))</f>
        <v/>
      </c>
      <c r="T63" s="4" t="s">
        <v>0</v>
      </c>
      <c r="U63" s="4" t="s">
        <v>0</v>
      </c>
      <c r="W63" s="4" t="s">
        <v>0</v>
      </c>
      <c r="X63" s="4" t="s">
        <v>0</v>
      </c>
      <c r="Y63" s="4" t="s">
        <v>0</v>
      </c>
      <c r="Z63" s="4" t="s">
        <v>0</v>
      </c>
      <c r="AA63" s="4" t="s">
        <v>0</v>
      </c>
      <c r="AB63" s="4" t="s">
        <v>0</v>
      </c>
      <c r="AC63" s="4" t="s">
        <v>0</v>
      </c>
      <c r="AD63" s="4" t="s">
        <v>0</v>
      </c>
      <c r="AE63" s="4" t="s">
        <v>0</v>
      </c>
      <c r="AF63" s="4" t="s">
        <v>0</v>
      </c>
      <c r="AG63" s="4" t="s">
        <v>0</v>
      </c>
      <c r="AH63" s="4" t="s">
        <v>0</v>
      </c>
      <c r="AI63" s="4" t="s">
        <v>0</v>
      </c>
      <c r="AJ63" s="4" t="s">
        <v>0</v>
      </c>
      <c r="AK63" s="4" t="s">
        <v>0</v>
      </c>
      <c r="AL63" s="4" t="s">
        <v>0</v>
      </c>
      <c r="AM63" s="4" t="s">
        <v>0</v>
      </c>
      <c r="AN63" s="4" t="s">
        <v>0</v>
      </c>
      <c r="AP63" s="4" t="s">
        <v>0</v>
      </c>
      <c r="AQ63" s="4" t="s">
        <v>0</v>
      </c>
      <c r="AR63" s="4" t="s">
        <v>0</v>
      </c>
      <c r="AU63" s="4" t="s">
        <v>0</v>
      </c>
    </row>
    <row r="64" spans="1:47">
      <c r="A64" s="3" t="s">
        <v>212</v>
      </c>
      <c r="B64" s="5">
        <f>VLOOKUP($A64,'[21]1013'!$A$4:$O$321,4,FALSE)</f>
        <v>8.01</v>
      </c>
      <c r="C64" s="5">
        <v>8.5299999999999994</v>
      </c>
      <c r="D64" s="5">
        <f>VLOOKUP($A64,'[21]1013'!$A$4:$O$321,15,FALSE)</f>
        <v>1.2790999999999999</v>
      </c>
      <c r="E64" s="4" t="str">
        <f>IF(VLOOKUP($A64,'[21]1013'!$A$4:$O$150,8,FALSE)="",VLOOKUP($A64,'[21]1013'!$A$4:$O$150,12,FALSE),VLOOKUP($A64,'[21]1013'!$A$4:$O$150,8,FALSE))</f>
        <v/>
      </c>
      <c r="F64" s="4" t="str">
        <f>IF(VLOOKUP($A64,'[7]1012'!$A$4:$O$150,8,FALSE)="",VLOOKUP($A64,'[7]1012'!$A$4:$O$150,12,FALSE),VLOOKUP($A64,'[7]1012'!$A$4:$O$150,8,FALSE))</f>
        <v/>
      </c>
      <c r="G64" s="4" t="str">
        <f>IF(VLOOKUP($A64,'[8]1011'!$A$4:$O$150,8,FALSE)="",VLOOKUP($A64,'[8]1011'!$A$4:$O$150,12,FALSE),VLOOKUP($A64,'[8]1011'!$A$4:$O$150,8,FALSE))</f>
        <v/>
      </c>
      <c r="H64" s="106">
        <f>VLOOKUP($A64,'[18]1006'!$A$5:$P$270,12,FALSE)</f>
        <v>1.2855000000000001</v>
      </c>
      <c r="I64" s="4" t="str">
        <f>IF(VLOOKUP($A64,'[9]1005'!$A$4:$O$150,8,FALSE)="",VLOOKUP($A64,'[9]1005'!$A$4:$O$150,12,FALSE),VLOOKUP($A64,'[9]1005'!$A$4:$O$150,8,FALSE))</f>
        <v/>
      </c>
      <c r="J64" s="4" t="str">
        <f>IF(VLOOKUP($A64,'[10]1004'!$A$4:$O$150,8,FALSE)="",VLOOKUP($A64,'[10]1004'!$A$4:$O$150,12,FALSE),VLOOKUP($A64,'[10]1004'!$A$4:$O$150,8,FALSE))</f>
        <v/>
      </c>
      <c r="K64" s="4" t="str">
        <f>IF(VLOOKUP($A64,'[11]1003'!$A$4:$O$150,8,FALSE)="",VLOOKUP($A64,'[11]1003'!$A$4:$O$150,12,FALSE),VLOOKUP($A64,'[11]1003'!$A$4:$O$150,8,FALSE))</f>
        <v/>
      </c>
      <c r="L64" s="4" t="str">
        <f>IF(VLOOKUP($A64,'[12]1002'!$A$4:$O$150,8,FALSE)="",VLOOKUP($A64,'[12]1002'!$A$4:$O$150,12,FALSE),VLOOKUP($A64,'[12]1002'!$A$4:$O$150,8,FALSE))</f>
        <v/>
      </c>
      <c r="M64" s="106"/>
      <c r="N64" s="4" t="str">
        <f>IF(VLOOKUP($A64,'[13]0927'!$A$4:$O$150,8,FALSE)="",VLOOKUP($A64,'[13]0927'!$A$4:$O$150,12,FALSE),VLOOKUP($A64,'[13]0927'!$A$4:$O$150,8,FALSE))</f>
        <v/>
      </c>
      <c r="O64" s="5"/>
      <c r="P64" s="4" t="str">
        <f>IF(VLOOKUP($A64,'[14]0925'!$A$4:$O$150,8,FALSE)="",VLOOKUP($A64,'[14]0925'!$A$4:$O$150,12,FALSE),VLOOKUP($A64,'[14]0925'!$A$4:$O$150,8,FALSE))</f>
        <v/>
      </c>
      <c r="Q64" s="4" t="str">
        <f>IF(VLOOKUP($A64,'[15]0922'!$A$4:$O$150,8,FALSE)="",VLOOKUP($A64,'[15]0922'!$A$4:$O$150,12,FALSE),VLOOKUP($A64,'[15]0922'!$A$4:$O$150,8,FALSE))</f>
        <v/>
      </c>
      <c r="R64" s="4" t="str">
        <f>IF(VLOOKUP($A64,'[16]0921'!$A$4:$O$150,8,FALSE)="",VLOOKUP($A64,'[16]0921'!$A$4:$O$150,12,FALSE),VLOOKUP($A64,'[16]0921'!$A$4:$O$150,8,FALSE))</f>
        <v/>
      </c>
      <c r="S64" s="4" t="str">
        <f>IF(VLOOKUP($A64,'[17]0920'!$A$4:$O$150,8,FALSE)="",VLOOKUP($A64,'[17]0920'!$A$4:$O$150,12,FALSE),VLOOKUP($A64,'[17]0920'!$A$4:$O$150,8,FALSE))</f>
        <v/>
      </c>
      <c r="T64" s="4" t="s">
        <v>0</v>
      </c>
      <c r="U64" s="4" t="s">
        <v>0</v>
      </c>
      <c r="W64" s="4" t="s">
        <v>0</v>
      </c>
      <c r="X64" s="4" t="s">
        <v>0</v>
      </c>
      <c r="Y64" s="4" t="s">
        <v>0</v>
      </c>
      <c r="Z64" s="4" t="s">
        <v>0</v>
      </c>
      <c r="AA64" s="4" t="s">
        <v>0</v>
      </c>
      <c r="AB64" s="4" t="s">
        <v>0</v>
      </c>
      <c r="AC64" s="4" t="s">
        <v>0</v>
      </c>
      <c r="AD64" s="4" t="s">
        <v>0</v>
      </c>
      <c r="AE64" s="4" t="s">
        <v>0</v>
      </c>
      <c r="AF64" s="4" t="s">
        <v>0</v>
      </c>
      <c r="AG64" s="4" t="s">
        <v>0</v>
      </c>
      <c r="AH64" s="4" t="s">
        <v>0</v>
      </c>
      <c r="AI64" s="4" t="s">
        <v>0</v>
      </c>
      <c r="AJ64" s="4" t="s">
        <v>0</v>
      </c>
      <c r="AK64" s="4" t="s">
        <v>0</v>
      </c>
      <c r="AL64" s="4" t="s">
        <v>0</v>
      </c>
      <c r="AM64" s="4">
        <v>1.1955</v>
      </c>
      <c r="AN64" s="4" t="s">
        <v>0</v>
      </c>
      <c r="AP64" s="4" t="s">
        <v>0</v>
      </c>
      <c r="AQ64" s="4" t="s">
        <v>0</v>
      </c>
      <c r="AR64" s="4" t="s">
        <v>0</v>
      </c>
      <c r="AU64" s="4" t="s">
        <v>0</v>
      </c>
    </row>
    <row r="65" spans="1:47">
      <c r="A65" s="3" t="s">
        <v>29</v>
      </c>
      <c r="B65" s="5">
        <f>VLOOKUP($A65,'[21]1013'!$A$4:$O$321,4,FALSE)</f>
        <v>8.1999999999999993</v>
      </c>
      <c r="C65" s="5">
        <v>9</v>
      </c>
      <c r="D65" s="5">
        <f>VLOOKUP($A65,'[21]1013'!$A$4:$O$321,15,FALSE)</f>
        <v>1.2849999999999999</v>
      </c>
      <c r="E65" s="4" t="str">
        <f>IF(VLOOKUP($A65,'[21]1013'!$A$4:$O$150,8,FALSE)="",VLOOKUP($A65,'[21]1013'!$A$4:$O$150,12,FALSE),VLOOKUP($A65,'[21]1013'!$A$4:$O$150,8,FALSE))</f>
        <v/>
      </c>
      <c r="F65" s="4" t="str">
        <f>IF(VLOOKUP($A65,'[7]1012'!$A$4:$O$150,8,FALSE)="",VLOOKUP($A65,'[7]1012'!$A$4:$O$150,12,FALSE),VLOOKUP($A65,'[7]1012'!$A$4:$O$150,8,FALSE))</f>
        <v/>
      </c>
      <c r="G65" s="4" t="str">
        <f>IF(VLOOKUP($A65,'[8]1011'!$A$4:$O$150,8,FALSE)="",VLOOKUP($A65,'[8]1011'!$A$4:$O$150,12,FALSE),VLOOKUP($A65,'[8]1011'!$A$4:$O$150,8,FALSE))</f>
        <v/>
      </c>
      <c r="H65" s="106"/>
      <c r="I65" s="4" t="str">
        <f>IF(VLOOKUP($A65,'[9]1005'!$A$4:$O$150,8,FALSE)="",VLOOKUP($A65,'[9]1005'!$A$4:$O$150,12,FALSE),VLOOKUP($A65,'[9]1005'!$A$4:$O$150,8,FALSE))</f>
        <v/>
      </c>
      <c r="J65" s="4" t="str">
        <f>IF(VLOOKUP($A65,'[10]1004'!$A$4:$O$150,8,FALSE)="",VLOOKUP($A65,'[10]1004'!$A$4:$O$150,12,FALSE),VLOOKUP($A65,'[10]1004'!$A$4:$O$150,8,FALSE))</f>
        <v/>
      </c>
      <c r="K65" s="4" t="str">
        <f>IF(VLOOKUP($A65,'[11]1003'!$A$4:$O$150,8,FALSE)="",VLOOKUP($A65,'[11]1003'!$A$4:$O$150,12,FALSE),VLOOKUP($A65,'[11]1003'!$A$4:$O$150,8,FALSE))</f>
        <v/>
      </c>
      <c r="L65" s="4" t="str">
        <f>IF(VLOOKUP($A65,'[12]1002'!$A$4:$O$150,8,FALSE)="",VLOOKUP($A65,'[12]1002'!$A$4:$O$150,12,FALSE),VLOOKUP($A65,'[12]1002'!$A$4:$O$150,8,FALSE))</f>
        <v/>
      </c>
      <c r="M65" s="106"/>
      <c r="N65" s="4" t="str">
        <f>IF(VLOOKUP($A65,'[13]0927'!$A$4:$O$150,8,FALSE)="",VLOOKUP($A65,'[13]0927'!$A$4:$O$150,12,FALSE),VLOOKUP($A65,'[13]0927'!$A$4:$O$150,8,FALSE))</f>
        <v/>
      </c>
      <c r="O65" s="5"/>
      <c r="P65" s="4" t="str">
        <f>IF(VLOOKUP($A65,'[14]0925'!$A$4:$O$150,8,FALSE)="",VLOOKUP($A65,'[14]0925'!$A$4:$O$150,12,FALSE),VLOOKUP($A65,'[14]0925'!$A$4:$O$150,8,FALSE))</f>
        <v/>
      </c>
      <c r="Q65" s="4" t="str">
        <f>IF(VLOOKUP($A65,'[15]0922'!$A$4:$O$150,8,FALSE)="",VLOOKUP($A65,'[15]0922'!$A$4:$O$150,12,FALSE),VLOOKUP($A65,'[15]0922'!$A$4:$O$150,8,FALSE))</f>
        <v/>
      </c>
      <c r="R65" s="4" t="str">
        <f>IF(VLOOKUP($A65,'[16]0921'!$A$4:$O$150,8,FALSE)="",VLOOKUP($A65,'[16]0921'!$A$4:$O$150,12,FALSE),VLOOKUP($A65,'[16]0921'!$A$4:$O$150,8,FALSE))</f>
        <v/>
      </c>
      <c r="S65" s="4">
        <f>IF(VLOOKUP($A65,'[17]0920'!$A$4:$O$150,8,FALSE)="",VLOOKUP($A65,'[17]0920'!$A$4:$O$150,12,FALSE),VLOOKUP($A65,'[17]0920'!$A$4:$O$150,8,FALSE))</f>
        <v>1.23</v>
      </c>
      <c r="T65" s="4" t="s">
        <v>0</v>
      </c>
      <c r="U65" s="4" t="s">
        <v>0</v>
      </c>
      <c r="W65" s="4" t="s">
        <v>0</v>
      </c>
      <c r="X65" s="4" t="s">
        <v>0</v>
      </c>
      <c r="Y65" s="4" t="s">
        <v>0</v>
      </c>
      <c r="Z65" s="4" t="s">
        <v>0</v>
      </c>
      <c r="AA65" s="4" t="s">
        <v>0</v>
      </c>
      <c r="AB65" s="4" t="s">
        <v>0</v>
      </c>
      <c r="AC65" s="4" t="s">
        <v>0</v>
      </c>
      <c r="AD65" s="4" t="s">
        <v>0</v>
      </c>
      <c r="AE65" s="4" t="s">
        <v>0</v>
      </c>
      <c r="AF65" s="4" t="s">
        <v>0</v>
      </c>
      <c r="AG65" s="4" t="s">
        <v>0</v>
      </c>
      <c r="AH65" s="4" t="s">
        <v>0</v>
      </c>
      <c r="AI65" s="4" t="s">
        <v>0</v>
      </c>
      <c r="AJ65" s="4">
        <v>1.2052</v>
      </c>
      <c r="AK65" s="4">
        <v>1.2001999999999999</v>
      </c>
      <c r="AL65" s="4" t="s">
        <v>0</v>
      </c>
      <c r="AM65" s="4" t="s">
        <v>0</v>
      </c>
      <c r="AN65" s="4" t="s">
        <v>0</v>
      </c>
      <c r="AP65" s="4" t="s">
        <v>0</v>
      </c>
      <c r="AQ65" s="4" t="s">
        <v>0</v>
      </c>
      <c r="AR65" s="4" t="s">
        <v>0</v>
      </c>
      <c r="AU65" s="4" t="s">
        <v>0</v>
      </c>
    </row>
    <row r="66" spans="1:47">
      <c r="A66" s="3" t="s">
        <v>225</v>
      </c>
      <c r="B66" s="5">
        <f>VLOOKUP($A66,'[21]1013'!$A$4:$O$321,4,FALSE)</f>
        <v>8.16</v>
      </c>
      <c r="C66" s="5">
        <v>10.8</v>
      </c>
      <c r="D66" s="5">
        <f>VLOOKUP($A66,'[21]1013'!$A$4:$O$321,15,FALSE)</f>
        <v>1.2841</v>
      </c>
      <c r="E66" s="4">
        <f>IF(VLOOKUP($A66,'[21]1013'!$A$4:$O$150,8,FALSE)="",VLOOKUP($A66,'[21]1013'!$A$4:$O$150,12,FALSE),VLOOKUP($A66,'[21]1013'!$A$4:$O$150,8,FALSE))</f>
        <v>1.28</v>
      </c>
      <c r="F66" s="4" t="str">
        <f>IF(VLOOKUP($A66,'[7]1012'!$A$4:$O$150,8,FALSE)="",VLOOKUP($A66,'[7]1012'!$A$4:$O$150,12,FALSE),VLOOKUP($A66,'[7]1012'!$A$4:$O$150,8,FALSE))</f>
        <v/>
      </c>
      <c r="G66" s="4" t="str">
        <f>IF(VLOOKUP($A66,'[8]1011'!$A$4:$O$150,8,FALSE)="",VLOOKUP($A66,'[8]1011'!$A$4:$O$150,12,FALSE),VLOOKUP($A66,'[8]1011'!$A$4:$O$150,8,FALSE))</f>
        <v/>
      </c>
      <c r="H66" s="106">
        <f>VLOOKUP($A66,'[18]1006'!$A$5:$P$270,12,FALSE)</f>
        <v>1.2905</v>
      </c>
      <c r="I66" s="4" t="str">
        <f>IF(VLOOKUP($A66,'[9]1005'!$A$4:$O$150,8,FALSE)="",VLOOKUP($A66,'[9]1005'!$A$4:$O$150,12,FALSE),VLOOKUP($A66,'[9]1005'!$A$4:$O$150,8,FALSE))</f>
        <v/>
      </c>
      <c r="J66" s="4">
        <f>IF(VLOOKUP($A66,'[10]1004'!$A$4:$O$150,8,FALSE)="",VLOOKUP($A66,'[10]1004'!$A$4:$O$150,12,FALSE),VLOOKUP($A66,'[10]1004'!$A$4:$O$150,8,FALSE))</f>
        <v>1.2675000000000001</v>
      </c>
      <c r="K66" s="4">
        <f>IF(VLOOKUP($A66,'[11]1003'!$A$4:$O$150,8,FALSE)="",VLOOKUP($A66,'[11]1003'!$A$4:$O$150,12,FALSE),VLOOKUP($A66,'[11]1003'!$A$4:$O$150,8,FALSE))</f>
        <v>1.2495000000000001</v>
      </c>
      <c r="L66" s="4" t="str">
        <f>IF(VLOOKUP($A66,'[12]1002'!$A$4:$O$150,8,FALSE)="",VLOOKUP($A66,'[12]1002'!$A$4:$O$150,12,FALSE),VLOOKUP($A66,'[12]1002'!$A$4:$O$150,8,FALSE))</f>
        <v/>
      </c>
      <c r="M66" s="106"/>
      <c r="N66" s="4">
        <f>IF(VLOOKUP($A66,'[13]0927'!$A$4:$O$150,8,FALSE)="",VLOOKUP($A66,'[13]0927'!$A$4:$O$150,12,FALSE),VLOOKUP($A66,'[13]0927'!$A$4:$O$150,8,FALSE))</f>
        <v>1.2304999999999999</v>
      </c>
      <c r="O66" s="5">
        <f>VLOOKUP(A66,'[20]0926'!$A$5:$P$27,12,FALSE)</f>
        <v>1.2255</v>
      </c>
      <c r="P66" s="4" t="str">
        <f>IF(VLOOKUP($A66,'[14]0925'!$A$4:$O$150,8,FALSE)="",VLOOKUP($A66,'[14]0925'!$A$4:$O$150,12,FALSE),VLOOKUP($A66,'[14]0925'!$A$4:$O$150,8,FALSE))</f>
        <v/>
      </c>
      <c r="Q66" s="4" t="str">
        <f>IF(VLOOKUP($A66,'[15]0922'!$A$4:$O$150,8,FALSE)="",VLOOKUP($A66,'[15]0922'!$A$4:$O$150,12,FALSE),VLOOKUP($A66,'[15]0922'!$A$4:$O$150,8,FALSE))</f>
        <v/>
      </c>
      <c r="R66" s="4" t="str">
        <f>IF(VLOOKUP($A66,'[16]0921'!$A$4:$O$150,8,FALSE)="",VLOOKUP($A66,'[16]0921'!$A$4:$O$150,12,FALSE),VLOOKUP($A66,'[16]0921'!$A$4:$O$150,8,FALSE))</f>
        <v/>
      </c>
      <c r="S66" s="4" t="str">
        <f>IF(VLOOKUP($A66,'[17]0920'!$A$4:$O$150,8,FALSE)="",VLOOKUP($A66,'[17]0920'!$A$4:$O$150,12,FALSE),VLOOKUP($A66,'[17]0920'!$A$4:$O$150,8,FALSE))</f>
        <v/>
      </c>
      <c r="T66" s="4" t="s">
        <v>0</v>
      </c>
      <c r="U66" s="4" t="s">
        <v>0</v>
      </c>
      <c r="W66" s="4" t="s">
        <v>0</v>
      </c>
      <c r="X66" s="4">
        <v>1.2273000000000001</v>
      </c>
      <c r="Y66" s="4" t="s">
        <v>0</v>
      </c>
      <c r="Z66" s="4" t="s">
        <v>0</v>
      </c>
      <c r="AA66" s="4">
        <v>1.1995</v>
      </c>
      <c r="AB66" s="4">
        <v>1.204</v>
      </c>
      <c r="AC66" s="4">
        <v>1.2004999999999999</v>
      </c>
      <c r="AD66" s="4">
        <v>1.1923999999999999</v>
      </c>
      <c r="AE66" s="4">
        <v>1.1904999999999999</v>
      </c>
      <c r="AF66" s="4" t="s">
        <v>0</v>
      </c>
      <c r="AG66" s="4" t="s">
        <v>0</v>
      </c>
      <c r="AH66" s="4">
        <v>1.2004999999999999</v>
      </c>
      <c r="AI66" s="4">
        <v>1.2055</v>
      </c>
      <c r="AJ66" s="4">
        <v>1.2056</v>
      </c>
      <c r="AK66" s="4" t="s">
        <v>0</v>
      </c>
      <c r="AL66" s="4" t="s">
        <v>0</v>
      </c>
      <c r="AM66" s="4">
        <v>1.2004999999999999</v>
      </c>
      <c r="AN66" s="4">
        <v>1.2010000000000001</v>
      </c>
      <c r="AP66" s="4">
        <v>1.19</v>
      </c>
      <c r="AQ66" s="4" t="s">
        <v>0</v>
      </c>
      <c r="AR66" s="4" t="s">
        <v>0</v>
      </c>
      <c r="AU66" s="4" t="s">
        <v>0</v>
      </c>
    </row>
    <row r="67" spans="1:47">
      <c r="A67" s="3" t="s">
        <v>265</v>
      </c>
      <c r="B67" s="5">
        <f>VLOOKUP($A67,'[21]1013'!$A$4:$O$321,4,FALSE)</f>
        <v>8.31</v>
      </c>
      <c r="C67" s="5">
        <v>8.89</v>
      </c>
      <c r="D67" s="5">
        <f>VLOOKUP($A67,'[21]1013'!$A$4:$O$321,15,FALSE)</f>
        <v>1.2867999999999999</v>
      </c>
      <c r="E67" s="4" t="str">
        <f>IF(VLOOKUP($A67,'[21]1013'!$A$4:$O$150,8,FALSE)="",VLOOKUP($A67,'[21]1013'!$A$4:$O$150,12,FALSE),VLOOKUP($A67,'[21]1013'!$A$4:$O$150,8,FALSE))</f>
        <v/>
      </c>
      <c r="F67" s="4">
        <f>IF(VLOOKUP($A67,'[7]1012'!$A$4:$O$150,8,FALSE)="",VLOOKUP($A67,'[7]1012'!$A$4:$O$150,12,FALSE),VLOOKUP($A67,'[7]1012'!$A$4:$O$150,8,FALSE))</f>
        <v>1.2705</v>
      </c>
      <c r="G67" s="4" t="str">
        <f>IF(VLOOKUP($A67,'[8]1011'!$A$4:$O$150,8,FALSE)="",VLOOKUP($A67,'[8]1011'!$A$4:$O$150,12,FALSE),VLOOKUP($A67,'[8]1011'!$A$4:$O$150,8,FALSE))</f>
        <v/>
      </c>
      <c r="H67" s="106">
        <f>VLOOKUP($A67,'[18]1006'!$A$5:$P$270,12,FALSE)</f>
        <v>1.294</v>
      </c>
      <c r="I67" s="4">
        <f>IF(VLOOKUP($A67,'[9]1005'!$A$4:$O$150,8,FALSE)="",VLOOKUP($A67,'[9]1005'!$A$4:$O$150,12,FALSE),VLOOKUP($A67,'[9]1005'!$A$4:$O$150,8,FALSE))</f>
        <v>1.2794000000000001</v>
      </c>
      <c r="J67" s="4" t="str">
        <f>IF(VLOOKUP($A67,'[10]1004'!$A$4:$O$150,8,FALSE)="",VLOOKUP($A67,'[10]1004'!$A$4:$O$150,12,FALSE),VLOOKUP($A67,'[10]1004'!$A$4:$O$150,8,FALSE))</f>
        <v/>
      </c>
      <c r="K67" s="4" t="str">
        <f>IF(VLOOKUP($A67,'[11]1003'!$A$4:$O$150,8,FALSE)="",VLOOKUP($A67,'[11]1003'!$A$4:$O$150,12,FALSE),VLOOKUP($A67,'[11]1003'!$A$4:$O$150,8,FALSE))</f>
        <v/>
      </c>
      <c r="L67" s="4" t="str">
        <f>IF(VLOOKUP($A67,'[12]1002'!$A$4:$O$150,8,FALSE)="",VLOOKUP($A67,'[12]1002'!$A$4:$O$150,12,FALSE),VLOOKUP($A67,'[12]1002'!$A$4:$O$150,8,FALSE))</f>
        <v/>
      </c>
      <c r="M67" s="106">
        <f>VLOOKUP($A67,'[19]0928'!$A$5:$P$27,12,FALSE)</f>
        <v>1.2404999999999999</v>
      </c>
      <c r="N67" s="4" t="str">
        <f>IF(VLOOKUP($A67,'[13]0927'!$A$4:$O$150,8,FALSE)="",VLOOKUP($A67,'[13]0927'!$A$4:$O$150,12,FALSE),VLOOKUP($A67,'[13]0927'!$A$4:$O$150,8,FALSE))</f>
        <v/>
      </c>
      <c r="O67" s="5">
        <f>VLOOKUP(A67,'[20]0926'!$A$5:$P$27,12,FALSE)</f>
        <v>1.23</v>
      </c>
      <c r="P67" s="4" t="str">
        <f>IF(VLOOKUP($A67,'[14]0925'!$A$4:$O$150,8,FALSE)="",VLOOKUP($A67,'[14]0925'!$A$4:$O$150,12,FALSE),VLOOKUP($A67,'[14]0925'!$A$4:$O$150,8,FALSE))</f>
        <v/>
      </c>
      <c r="Q67" s="4" t="str">
        <f>IF(VLOOKUP($A67,'[15]0922'!$A$4:$O$150,8,FALSE)="",VLOOKUP($A67,'[15]0922'!$A$4:$O$150,12,FALSE),VLOOKUP($A67,'[15]0922'!$A$4:$O$150,8,FALSE))</f>
        <v/>
      </c>
      <c r="R67" s="4" t="str">
        <f>IF(VLOOKUP($A67,'[16]0921'!$A$4:$O$150,8,FALSE)="",VLOOKUP($A67,'[16]0921'!$A$4:$O$150,12,FALSE),VLOOKUP($A67,'[16]0921'!$A$4:$O$150,8,FALSE))</f>
        <v/>
      </c>
      <c r="S67" s="4" t="str">
        <f>IF(VLOOKUP($A67,'[17]0920'!$A$4:$O$150,8,FALSE)="",VLOOKUP($A67,'[17]0920'!$A$4:$O$150,12,FALSE),VLOOKUP($A67,'[17]0920'!$A$4:$O$150,8,FALSE))</f>
        <v/>
      </c>
      <c r="T67" s="4">
        <v>1.2350000000000001</v>
      </c>
      <c r="U67" s="4" t="s">
        <v>0</v>
      </c>
      <c r="W67" s="4" t="s">
        <v>0</v>
      </c>
      <c r="X67" s="4" t="s">
        <v>0</v>
      </c>
      <c r="Y67" s="4" t="s">
        <v>0</v>
      </c>
      <c r="Z67" s="4" t="s">
        <v>0</v>
      </c>
      <c r="AA67" s="4" t="s">
        <v>0</v>
      </c>
      <c r="AB67" s="4" t="s">
        <v>0</v>
      </c>
      <c r="AC67" s="4" t="s">
        <v>0</v>
      </c>
      <c r="AD67" s="4" t="s">
        <v>0</v>
      </c>
      <c r="AE67" s="4" t="s">
        <v>0</v>
      </c>
      <c r="AF67" s="4" t="s">
        <v>0</v>
      </c>
      <c r="AG67" s="4" t="s">
        <v>0</v>
      </c>
      <c r="AH67" s="4" t="s">
        <v>0</v>
      </c>
      <c r="AI67" s="4" t="s">
        <v>0</v>
      </c>
      <c r="AJ67" s="4" t="s">
        <v>0</v>
      </c>
      <c r="AK67" s="4" t="s">
        <v>0</v>
      </c>
      <c r="AL67" s="4" t="s">
        <v>0</v>
      </c>
      <c r="AM67" s="4">
        <v>1.2004999999999999</v>
      </c>
      <c r="AN67" s="4" t="s">
        <v>0</v>
      </c>
      <c r="AP67" s="4" t="s">
        <v>0</v>
      </c>
      <c r="AQ67" s="4" t="s">
        <v>0</v>
      </c>
      <c r="AR67" s="4" t="s">
        <v>0</v>
      </c>
      <c r="AS67" s="5">
        <v>1.1830000000000001</v>
      </c>
      <c r="AU67" s="4" t="s">
        <v>0</v>
      </c>
    </row>
    <row r="68" spans="1:47">
      <c r="A68" s="3" t="s">
        <v>52</v>
      </c>
      <c r="B68" s="5">
        <f>VLOOKUP($A68,'[21]1013'!$A$4:$O$321,4,FALSE)</f>
        <v>8.5399999999999991</v>
      </c>
      <c r="C68" s="5">
        <v>9.19</v>
      </c>
      <c r="D68" s="5">
        <f>VLOOKUP($A68,'[21]1013'!$A$4:$O$321,15,FALSE)</f>
        <v>1.2905</v>
      </c>
      <c r="E68" s="4" t="str">
        <f>IF(VLOOKUP($A68,'[21]1013'!$A$4:$O$150,8,FALSE)="",VLOOKUP($A68,'[21]1013'!$A$4:$O$150,12,FALSE),VLOOKUP($A68,'[21]1013'!$A$4:$O$150,8,FALSE))</f>
        <v/>
      </c>
      <c r="F68" s="4" t="str">
        <f>IF(VLOOKUP($A68,'[7]1012'!$A$4:$O$150,8,FALSE)="",VLOOKUP($A68,'[7]1012'!$A$4:$O$150,12,FALSE),VLOOKUP($A68,'[7]1012'!$A$4:$O$150,8,FALSE))</f>
        <v/>
      </c>
      <c r="G68" s="4" t="str">
        <f>IF(VLOOKUP($A68,'[8]1011'!$A$4:$O$150,8,FALSE)="",VLOOKUP($A68,'[8]1011'!$A$4:$O$150,12,FALSE),VLOOKUP($A68,'[8]1011'!$A$4:$O$150,8,FALSE))</f>
        <v/>
      </c>
      <c r="H68" s="106"/>
      <c r="I68" s="4" t="str">
        <f>IF(VLOOKUP($A68,'[9]1005'!$A$4:$O$150,8,FALSE)="",VLOOKUP($A68,'[9]1005'!$A$4:$O$150,12,FALSE),VLOOKUP($A68,'[9]1005'!$A$4:$O$150,8,FALSE))</f>
        <v/>
      </c>
      <c r="J68" s="4" t="str">
        <f>IF(VLOOKUP($A68,'[10]1004'!$A$4:$O$150,8,FALSE)="",VLOOKUP($A68,'[10]1004'!$A$4:$O$150,12,FALSE),VLOOKUP($A68,'[10]1004'!$A$4:$O$150,8,FALSE))</f>
        <v/>
      </c>
      <c r="K68" s="4" t="str">
        <f>IF(VLOOKUP($A68,'[11]1003'!$A$4:$O$150,8,FALSE)="",VLOOKUP($A68,'[11]1003'!$A$4:$O$150,12,FALSE),VLOOKUP($A68,'[11]1003'!$A$4:$O$150,8,FALSE))</f>
        <v/>
      </c>
      <c r="L68" s="4" t="str">
        <f>IF(VLOOKUP($A68,'[12]1002'!$A$4:$O$150,8,FALSE)="",VLOOKUP($A68,'[12]1002'!$A$4:$O$150,12,FALSE),VLOOKUP($A68,'[12]1002'!$A$4:$O$150,8,FALSE))</f>
        <v/>
      </c>
      <c r="M68" s="106"/>
      <c r="N68" s="4" t="str">
        <f>IF(VLOOKUP($A68,'[13]0927'!$A$4:$O$150,8,FALSE)="",VLOOKUP($A68,'[13]0927'!$A$4:$O$150,12,FALSE),VLOOKUP($A68,'[13]0927'!$A$4:$O$150,8,FALSE))</f>
        <v/>
      </c>
      <c r="O68" s="5"/>
      <c r="P68" s="4" t="str">
        <f>IF(VLOOKUP($A68,'[14]0925'!$A$4:$O$150,8,FALSE)="",VLOOKUP($A68,'[14]0925'!$A$4:$O$150,12,FALSE),VLOOKUP($A68,'[14]0925'!$A$4:$O$150,8,FALSE))</f>
        <v/>
      </c>
      <c r="Q68" s="4" t="str">
        <f>IF(VLOOKUP($A68,'[15]0922'!$A$4:$O$150,8,FALSE)="",VLOOKUP($A68,'[15]0922'!$A$4:$O$150,12,FALSE),VLOOKUP($A68,'[15]0922'!$A$4:$O$150,8,FALSE))</f>
        <v/>
      </c>
      <c r="R68" s="4" t="str">
        <f>IF(VLOOKUP($A68,'[16]0921'!$A$4:$O$150,8,FALSE)="",VLOOKUP($A68,'[16]0921'!$A$4:$O$150,12,FALSE),VLOOKUP($A68,'[16]0921'!$A$4:$O$150,8,FALSE))</f>
        <v/>
      </c>
      <c r="S68" s="4">
        <f>IF(VLOOKUP($A68,'[17]0920'!$A$4:$O$150,8,FALSE)="",VLOOKUP($A68,'[17]0920'!$A$4:$O$150,12,FALSE),VLOOKUP($A68,'[17]0920'!$A$4:$O$150,8,FALSE))</f>
        <v>1.2344999999999999</v>
      </c>
      <c r="T68" s="4" t="s">
        <v>0</v>
      </c>
      <c r="U68" s="4" t="s">
        <v>0</v>
      </c>
      <c r="W68" s="4" t="s">
        <v>0</v>
      </c>
      <c r="X68" s="4" t="s">
        <v>0</v>
      </c>
      <c r="Y68" s="4" t="s">
        <v>0</v>
      </c>
      <c r="Z68" s="4" t="s">
        <v>0</v>
      </c>
      <c r="AA68" s="4" t="s">
        <v>0</v>
      </c>
      <c r="AB68" s="4" t="s">
        <v>0</v>
      </c>
      <c r="AC68" s="4" t="s">
        <v>0</v>
      </c>
      <c r="AD68" s="4" t="s">
        <v>0</v>
      </c>
      <c r="AE68" s="4" t="s">
        <v>0</v>
      </c>
      <c r="AF68" s="4">
        <v>1.2055</v>
      </c>
      <c r="AG68" s="4" t="s">
        <v>0</v>
      </c>
      <c r="AH68" s="4" t="s">
        <v>0</v>
      </c>
      <c r="AI68" s="4" t="s">
        <v>0</v>
      </c>
      <c r="AJ68" s="4" t="s">
        <v>0</v>
      </c>
      <c r="AK68" s="4">
        <v>1.2047000000000001</v>
      </c>
      <c r="AL68" s="4" t="s">
        <v>0</v>
      </c>
      <c r="AM68" s="4" t="s">
        <v>0</v>
      </c>
      <c r="AN68" s="4" t="s">
        <v>0</v>
      </c>
      <c r="AP68" s="4" t="s">
        <v>0</v>
      </c>
      <c r="AQ68" s="4" t="s">
        <v>0</v>
      </c>
      <c r="AR68" s="4" t="s">
        <v>0</v>
      </c>
      <c r="AU68" s="4" t="s">
        <v>0</v>
      </c>
    </row>
    <row r="69" spans="1:47">
      <c r="A69" s="3" t="s">
        <v>281</v>
      </c>
      <c r="B69" s="5">
        <f>VLOOKUP($A69,'[21]1013'!$A$4:$O$321,4,FALSE)</f>
        <v>8.58</v>
      </c>
      <c r="C69" s="5">
        <v>9.42</v>
      </c>
      <c r="D69" s="5">
        <f>VLOOKUP($A69,'[21]1013'!$A$4:$O$321,15,FALSE)</f>
        <v>1.2907999999999999</v>
      </c>
      <c r="E69" s="4" t="str">
        <f>IF(VLOOKUP($A69,'[21]1013'!$A$4:$O$150,8,FALSE)="",VLOOKUP($A69,'[21]1013'!$A$4:$O$150,12,FALSE),VLOOKUP($A69,'[21]1013'!$A$4:$O$150,8,FALSE))</f>
        <v/>
      </c>
      <c r="F69" s="4" t="str">
        <f>IF(VLOOKUP($A69,'[7]1012'!$A$4:$O$150,8,FALSE)="",VLOOKUP($A69,'[7]1012'!$A$4:$O$150,12,FALSE),VLOOKUP($A69,'[7]1012'!$A$4:$O$150,8,FALSE))</f>
        <v/>
      </c>
      <c r="G69" s="4" t="str">
        <f>IF(VLOOKUP($A69,'[8]1011'!$A$4:$O$150,8,FALSE)="",VLOOKUP($A69,'[8]1011'!$A$4:$O$150,12,FALSE),VLOOKUP($A69,'[8]1011'!$A$4:$O$150,8,FALSE))</f>
        <v/>
      </c>
      <c r="H69" s="106"/>
      <c r="I69" s="4" t="str">
        <f>IF(VLOOKUP($A69,'[9]1005'!$A$4:$O$150,8,FALSE)="",VLOOKUP($A69,'[9]1005'!$A$4:$O$150,12,FALSE),VLOOKUP($A69,'[9]1005'!$A$4:$O$150,8,FALSE))</f>
        <v/>
      </c>
      <c r="J69" s="4" t="str">
        <f>IF(VLOOKUP($A69,'[10]1004'!$A$4:$O$150,8,FALSE)="",VLOOKUP($A69,'[10]1004'!$A$4:$O$150,12,FALSE),VLOOKUP($A69,'[10]1004'!$A$4:$O$150,8,FALSE))</f>
        <v/>
      </c>
      <c r="K69" s="4" t="str">
        <f>IF(VLOOKUP($A69,'[11]1003'!$A$4:$O$150,8,FALSE)="",VLOOKUP($A69,'[11]1003'!$A$4:$O$150,12,FALSE),VLOOKUP($A69,'[11]1003'!$A$4:$O$150,8,FALSE))</f>
        <v/>
      </c>
      <c r="L69" s="4" t="str">
        <f>IF(VLOOKUP($A69,'[12]1002'!$A$4:$O$150,8,FALSE)="",VLOOKUP($A69,'[12]1002'!$A$4:$O$150,12,FALSE),VLOOKUP($A69,'[12]1002'!$A$4:$O$150,8,FALSE))</f>
        <v/>
      </c>
      <c r="M69" s="106"/>
      <c r="N69" s="4" t="str">
        <f>IF(VLOOKUP($A69,'[13]0927'!$A$4:$O$150,8,FALSE)="",VLOOKUP($A69,'[13]0927'!$A$4:$O$150,12,FALSE),VLOOKUP($A69,'[13]0927'!$A$4:$O$150,8,FALSE))</f>
        <v/>
      </c>
      <c r="O69" s="5"/>
      <c r="P69" s="4" t="str">
        <f>IF(VLOOKUP($A69,'[14]0925'!$A$4:$O$150,8,FALSE)="",VLOOKUP($A69,'[14]0925'!$A$4:$O$150,12,FALSE),VLOOKUP($A69,'[14]0925'!$A$4:$O$150,8,FALSE))</f>
        <v/>
      </c>
      <c r="Q69" s="4" t="str">
        <f>IF(VLOOKUP($A69,'[15]0922'!$A$4:$O$150,8,FALSE)="",VLOOKUP($A69,'[15]0922'!$A$4:$O$150,12,FALSE),VLOOKUP($A69,'[15]0922'!$A$4:$O$150,8,FALSE))</f>
        <v/>
      </c>
      <c r="R69" s="4" t="str">
        <f>IF(VLOOKUP($A69,'[16]0921'!$A$4:$O$150,8,FALSE)="",VLOOKUP($A69,'[16]0921'!$A$4:$O$150,12,FALSE),VLOOKUP($A69,'[16]0921'!$A$4:$O$150,8,FALSE))</f>
        <v/>
      </c>
      <c r="S69" s="4" t="str">
        <f>IF(VLOOKUP($A69,'[17]0920'!$A$4:$O$150,8,FALSE)="",VLOOKUP($A69,'[17]0920'!$A$4:$O$150,12,FALSE),VLOOKUP($A69,'[17]0920'!$A$4:$O$150,8,FALSE))</f>
        <v/>
      </c>
      <c r="T69" s="4" t="s">
        <v>0</v>
      </c>
      <c r="U69" s="4" t="s">
        <v>0</v>
      </c>
      <c r="W69" s="4" t="s">
        <v>0</v>
      </c>
      <c r="X69" s="4" t="s">
        <v>0</v>
      </c>
      <c r="Y69" s="4" t="s">
        <v>0</v>
      </c>
      <c r="Z69" s="4" t="s">
        <v>0</v>
      </c>
      <c r="AA69" s="4" t="s">
        <v>0</v>
      </c>
      <c r="AB69" s="4" t="s">
        <v>0</v>
      </c>
      <c r="AC69" s="4" t="s">
        <v>0</v>
      </c>
      <c r="AD69" s="4" t="s">
        <v>0</v>
      </c>
      <c r="AE69" s="4" t="s">
        <v>0</v>
      </c>
      <c r="AF69" s="4" t="s">
        <v>0</v>
      </c>
      <c r="AG69" s="4" t="s">
        <v>0</v>
      </c>
      <c r="AH69" s="4" t="s">
        <v>0</v>
      </c>
      <c r="AI69" s="4">
        <v>1.2190000000000001</v>
      </c>
      <c r="AJ69" s="4" t="s">
        <v>0</v>
      </c>
      <c r="AK69" s="4" t="s">
        <v>0</v>
      </c>
      <c r="AL69" s="4" t="s">
        <v>0</v>
      </c>
      <c r="AM69" s="4">
        <v>1.2055</v>
      </c>
      <c r="AN69" s="4" t="s">
        <v>0</v>
      </c>
      <c r="AP69" s="4" t="s">
        <v>0</v>
      </c>
      <c r="AQ69" s="4" t="s">
        <v>0</v>
      </c>
      <c r="AR69" s="4" t="s">
        <v>0</v>
      </c>
      <c r="AU69" s="4" t="s">
        <v>0</v>
      </c>
    </row>
    <row r="70" spans="1:47">
      <c r="A70" s="3" t="s">
        <v>61</v>
      </c>
      <c r="B70" s="5">
        <f>VLOOKUP($A70,'[21]1013'!$A$4:$O$321,4,FALSE)</f>
        <v>8.59</v>
      </c>
      <c r="C70" s="5">
        <v>9.61</v>
      </c>
      <c r="D70" s="5">
        <f>VLOOKUP($A70,'[21]1013'!$A$4:$O$321,15,FALSE)</f>
        <v>1.2912999999999999</v>
      </c>
      <c r="E70" s="4" t="str">
        <f>IF(VLOOKUP($A70,'[21]1013'!$A$4:$O$150,8,FALSE)="",VLOOKUP($A70,'[21]1013'!$A$4:$O$150,12,FALSE),VLOOKUP($A70,'[21]1013'!$A$4:$O$150,8,FALSE))</f>
        <v/>
      </c>
      <c r="F70" s="4" t="str">
        <f>IF(VLOOKUP($A70,'[7]1012'!$A$4:$O$150,8,FALSE)="",VLOOKUP($A70,'[7]1012'!$A$4:$O$150,12,FALSE),VLOOKUP($A70,'[7]1012'!$A$4:$O$150,8,FALSE))</f>
        <v/>
      </c>
      <c r="G70" s="4" t="str">
        <f>IF(VLOOKUP($A70,'[8]1011'!$A$4:$O$150,8,FALSE)="",VLOOKUP($A70,'[8]1011'!$A$4:$O$150,12,FALSE),VLOOKUP($A70,'[8]1011'!$A$4:$O$150,8,FALSE))</f>
        <v/>
      </c>
      <c r="H70" s="106"/>
      <c r="I70" s="4" t="str">
        <f>IF(VLOOKUP($A70,'[9]1005'!$A$4:$O$150,8,FALSE)="",VLOOKUP($A70,'[9]1005'!$A$4:$O$150,12,FALSE),VLOOKUP($A70,'[9]1005'!$A$4:$O$150,8,FALSE))</f>
        <v/>
      </c>
      <c r="J70" s="4" t="str">
        <f>IF(VLOOKUP($A70,'[10]1004'!$A$4:$O$150,8,FALSE)="",VLOOKUP($A70,'[10]1004'!$A$4:$O$150,12,FALSE),VLOOKUP($A70,'[10]1004'!$A$4:$O$150,8,FALSE))</f>
        <v/>
      </c>
      <c r="K70" s="4" t="str">
        <f>IF(VLOOKUP($A70,'[11]1003'!$A$4:$O$150,8,FALSE)="",VLOOKUP($A70,'[11]1003'!$A$4:$O$150,12,FALSE),VLOOKUP($A70,'[11]1003'!$A$4:$O$150,8,FALSE))</f>
        <v/>
      </c>
      <c r="L70" s="4" t="str">
        <f>IF(VLOOKUP($A70,'[12]1002'!$A$4:$O$150,8,FALSE)="",VLOOKUP($A70,'[12]1002'!$A$4:$O$150,12,FALSE),VLOOKUP($A70,'[12]1002'!$A$4:$O$150,8,FALSE))</f>
        <v/>
      </c>
      <c r="M70" s="106"/>
      <c r="N70" s="4" t="str">
        <f>IF(VLOOKUP($A70,'[13]0927'!$A$4:$O$150,8,FALSE)="",VLOOKUP($A70,'[13]0927'!$A$4:$O$150,12,FALSE),VLOOKUP($A70,'[13]0927'!$A$4:$O$150,8,FALSE))</f>
        <v/>
      </c>
      <c r="O70" s="5"/>
      <c r="P70" s="4" t="str">
        <f>IF(VLOOKUP($A70,'[14]0925'!$A$4:$O$150,8,FALSE)="",VLOOKUP($A70,'[14]0925'!$A$4:$O$150,12,FALSE),VLOOKUP($A70,'[14]0925'!$A$4:$O$150,8,FALSE))</f>
        <v/>
      </c>
      <c r="Q70" s="4" t="str">
        <f>IF(VLOOKUP($A70,'[15]0922'!$A$4:$O$150,8,FALSE)="",VLOOKUP($A70,'[15]0922'!$A$4:$O$150,12,FALSE),VLOOKUP($A70,'[15]0922'!$A$4:$O$150,8,FALSE))</f>
        <v/>
      </c>
      <c r="R70" s="4" t="str">
        <f>IF(VLOOKUP($A70,'[16]0921'!$A$4:$O$150,8,FALSE)="",VLOOKUP($A70,'[16]0921'!$A$4:$O$150,12,FALSE),VLOOKUP($A70,'[16]0921'!$A$4:$O$150,8,FALSE))</f>
        <v/>
      </c>
      <c r="S70" s="4" t="str">
        <f>IF(VLOOKUP($A70,'[17]0920'!$A$4:$O$150,8,FALSE)="",VLOOKUP($A70,'[17]0920'!$A$4:$O$150,12,FALSE),VLOOKUP($A70,'[17]0920'!$A$4:$O$150,8,FALSE))</f>
        <v/>
      </c>
      <c r="T70" s="4" t="s">
        <v>0</v>
      </c>
      <c r="U70" s="4" t="s">
        <v>0</v>
      </c>
      <c r="W70" s="4" t="s">
        <v>0</v>
      </c>
      <c r="X70" s="4" t="s">
        <v>0</v>
      </c>
      <c r="Y70" s="4" t="s">
        <v>0</v>
      </c>
      <c r="Z70" s="4" t="s">
        <v>0</v>
      </c>
      <c r="AA70" s="4" t="s">
        <v>0</v>
      </c>
      <c r="AB70" s="4" t="s">
        <v>0</v>
      </c>
      <c r="AC70" s="4" t="s">
        <v>0</v>
      </c>
      <c r="AD70" s="4" t="s">
        <v>0</v>
      </c>
      <c r="AE70" s="4" t="s">
        <v>0</v>
      </c>
      <c r="AF70" s="4" t="s">
        <v>0</v>
      </c>
      <c r="AG70" s="4" t="s">
        <v>0</v>
      </c>
      <c r="AH70" s="4" t="s">
        <v>0</v>
      </c>
      <c r="AI70" s="4" t="s">
        <v>0</v>
      </c>
      <c r="AJ70" s="4" t="s">
        <v>0</v>
      </c>
      <c r="AK70" s="4" t="s">
        <v>0</v>
      </c>
      <c r="AL70" s="4" t="s">
        <v>0</v>
      </c>
      <c r="AM70" s="4" t="s">
        <v>0</v>
      </c>
      <c r="AN70" s="4" t="s">
        <v>0</v>
      </c>
      <c r="AP70" s="4" t="s">
        <v>0</v>
      </c>
      <c r="AQ70" s="4" t="s">
        <v>0</v>
      </c>
      <c r="AR70" s="4" t="s">
        <v>0</v>
      </c>
      <c r="AU70" s="4" t="s">
        <v>0</v>
      </c>
    </row>
    <row r="71" spans="1:47">
      <c r="A71" s="3" t="s">
        <v>30</v>
      </c>
      <c r="B71" s="5">
        <f>VLOOKUP($A71,'[21]1013'!$A$4:$O$321,4,FALSE)</f>
        <v>8.85</v>
      </c>
      <c r="C71" s="5">
        <v>9.9600000000000009</v>
      </c>
      <c r="D71" s="5">
        <f>VLOOKUP($A71,'[21]1013'!$A$4:$O$321,15,FALSE)</f>
        <v>1.2944</v>
      </c>
      <c r="E71" s="4" t="str">
        <f>IF(VLOOKUP($A71,'[21]1013'!$A$4:$O$150,8,FALSE)="",VLOOKUP($A71,'[21]1013'!$A$4:$O$150,12,FALSE),VLOOKUP($A71,'[21]1013'!$A$4:$O$150,8,FALSE))</f>
        <v/>
      </c>
      <c r="F71" s="4" t="str">
        <f>IF(VLOOKUP($A71,'[7]1012'!$A$4:$O$150,8,FALSE)="",VLOOKUP($A71,'[7]1012'!$A$4:$O$150,12,FALSE),VLOOKUP($A71,'[7]1012'!$A$4:$O$150,8,FALSE))</f>
        <v/>
      </c>
      <c r="G71" s="4" t="str">
        <f>IF(VLOOKUP($A71,'[8]1011'!$A$4:$O$150,8,FALSE)="",VLOOKUP($A71,'[8]1011'!$A$4:$O$150,12,FALSE),VLOOKUP($A71,'[8]1011'!$A$4:$O$150,8,FALSE))</f>
        <v/>
      </c>
      <c r="H71" s="106"/>
      <c r="I71" s="4" t="str">
        <f>IF(VLOOKUP($A71,'[9]1005'!$A$4:$O$150,8,FALSE)="",VLOOKUP($A71,'[9]1005'!$A$4:$O$150,12,FALSE),VLOOKUP($A71,'[9]1005'!$A$4:$O$150,8,FALSE))</f>
        <v/>
      </c>
      <c r="J71" s="4" t="str">
        <f>IF(VLOOKUP($A71,'[10]1004'!$A$4:$O$150,8,FALSE)="",VLOOKUP($A71,'[10]1004'!$A$4:$O$150,12,FALSE),VLOOKUP($A71,'[10]1004'!$A$4:$O$150,8,FALSE))</f>
        <v/>
      </c>
      <c r="K71" s="4" t="str">
        <f>IF(VLOOKUP($A71,'[11]1003'!$A$4:$O$150,8,FALSE)="",VLOOKUP($A71,'[11]1003'!$A$4:$O$150,12,FALSE),VLOOKUP($A71,'[11]1003'!$A$4:$O$150,8,FALSE))</f>
        <v/>
      </c>
      <c r="L71" s="4" t="str">
        <f>IF(VLOOKUP($A71,'[12]1002'!$A$4:$O$150,8,FALSE)="",VLOOKUP($A71,'[12]1002'!$A$4:$O$150,12,FALSE),VLOOKUP($A71,'[12]1002'!$A$4:$O$150,8,FALSE))</f>
        <v/>
      </c>
      <c r="M71" s="106"/>
      <c r="N71" s="4" t="str">
        <f>IF(VLOOKUP($A71,'[13]0927'!$A$4:$O$150,8,FALSE)="",VLOOKUP($A71,'[13]0927'!$A$4:$O$150,12,FALSE),VLOOKUP($A71,'[13]0927'!$A$4:$O$150,8,FALSE))</f>
        <v/>
      </c>
      <c r="O71" s="5"/>
      <c r="P71" s="4" t="str">
        <f>IF(VLOOKUP($A71,'[14]0925'!$A$4:$O$150,8,FALSE)="",VLOOKUP($A71,'[14]0925'!$A$4:$O$150,12,FALSE),VLOOKUP($A71,'[14]0925'!$A$4:$O$150,8,FALSE))</f>
        <v/>
      </c>
      <c r="Q71" s="4" t="str">
        <f>IF(VLOOKUP($A71,'[15]0922'!$A$4:$O$150,8,FALSE)="",VLOOKUP($A71,'[15]0922'!$A$4:$O$150,12,FALSE),VLOOKUP($A71,'[15]0922'!$A$4:$O$150,8,FALSE))</f>
        <v/>
      </c>
      <c r="R71" s="4" t="str">
        <f>IF(VLOOKUP($A71,'[16]0921'!$A$4:$O$150,8,FALSE)="",VLOOKUP($A71,'[16]0921'!$A$4:$O$150,12,FALSE),VLOOKUP($A71,'[16]0921'!$A$4:$O$150,8,FALSE))</f>
        <v/>
      </c>
      <c r="S71" s="4" t="str">
        <f>IF(VLOOKUP($A71,'[17]0920'!$A$4:$O$150,8,FALSE)="",VLOOKUP($A71,'[17]0920'!$A$4:$O$150,12,FALSE),VLOOKUP($A71,'[17]0920'!$A$4:$O$150,8,FALSE))</f>
        <v/>
      </c>
      <c r="T71" s="4" t="s">
        <v>0</v>
      </c>
      <c r="U71" s="4" t="s">
        <v>0</v>
      </c>
      <c r="W71" s="4" t="s">
        <v>0</v>
      </c>
      <c r="X71" s="4" t="s">
        <v>0</v>
      </c>
      <c r="Y71" s="4" t="s">
        <v>0</v>
      </c>
      <c r="Z71" s="4" t="s">
        <v>0</v>
      </c>
      <c r="AA71" s="4" t="s">
        <v>0</v>
      </c>
      <c r="AB71" s="4" t="s">
        <v>0</v>
      </c>
      <c r="AC71" s="4" t="s">
        <v>0</v>
      </c>
      <c r="AD71" s="4" t="s">
        <v>0</v>
      </c>
      <c r="AE71" s="4" t="s">
        <v>0</v>
      </c>
      <c r="AF71" s="4" t="s">
        <v>0</v>
      </c>
      <c r="AG71" s="4" t="s">
        <v>0</v>
      </c>
      <c r="AH71" s="4" t="s">
        <v>0</v>
      </c>
      <c r="AI71" s="4" t="s">
        <v>0</v>
      </c>
      <c r="AJ71" s="4" t="s">
        <v>0</v>
      </c>
      <c r="AK71" s="4" t="s">
        <v>0</v>
      </c>
      <c r="AL71" s="4" t="s">
        <v>0</v>
      </c>
      <c r="AM71" s="4" t="s">
        <v>0</v>
      </c>
      <c r="AN71" s="4" t="s">
        <v>0</v>
      </c>
      <c r="AP71" s="4" t="s">
        <v>0</v>
      </c>
      <c r="AQ71" s="4" t="s">
        <v>0</v>
      </c>
      <c r="AR71" s="4" t="s">
        <v>0</v>
      </c>
      <c r="AU71" s="4" t="s">
        <v>0</v>
      </c>
    </row>
    <row r="72" spans="1:47">
      <c r="A72" s="3" t="s">
        <v>282</v>
      </c>
      <c r="B72" s="5">
        <f>VLOOKUP($A72,'[21]1013'!$A$4:$O$321,4,FALSE)</f>
        <v>8.73</v>
      </c>
      <c r="C72" s="5">
        <v>9.5299999999999994</v>
      </c>
      <c r="D72" s="5">
        <f>VLOOKUP($A72,'[21]1013'!$A$4:$O$321,15,FALSE)</f>
        <v>1.2922</v>
      </c>
      <c r="E72" s="4">
        <f>IF(VLOOKUP($A72,'[21]1013'!$A$4:$O$150,8,FALSE)="",VLOOKUP($A72,'[21]1013'!$A$4:$O$150,12,FALSE),VLOOKUP($A72,'[21]1013'!$A$4:$O$150,8,FALSE))</f>
        <v>1.2855000000000001</v>
      </c>
      <c r="F72" s="4">
        <f>IF(VLOOKUP($A72,'[7]1012'!$A$4:$O$150,8,FALSE)="",VLOOKUP($A72,'[7]1012'!$A$4:$O$150,12,FALSE),VLOOKUP($A72,'[7]1012'!$A$4:$O$150,8,FALSE))</f>
        <v>1.2715000000000001</v>
      </c>
      <c r="G72" s="4" t="str">
        <f>IF(VLOOKUP($A72,'[8]1011'!$A$4:$O$150,8,FALSE)="",VLOOKUP($A72,'[8]1011'!$A$4:$O$150,12,FALSE),VLOOKUP($A72,'[8]1011'!$A$4:$O$150,8,FALSE))</f>
        <v/>
      </c>
      <c r="H72" s="106"/>
      <c r="I72" s="4" t="str">
        <f>IF(VLOOKUP($A72,'[9]1005'!$A$4:$O$150,8,FALSE)="",VLOOKUP($A72,'[9]1005'!$A$4:$O$150,12,FALSE),VLOOKUP($A72,'[9]1005'!$A$4:$O$150,8,FALSE))</f>
        <v/>
      </c>
      <c r="J72" s="4" t="str">
        <f>IF(VLOOKUP($A72,'[10]1004'!$A$4:$O$150,8,FALSE)="",VLOOKUP($A72,'[10]1004'!$A$4:$O$150,12,FALSE),VLOOKUP($A72,'[10]1004'!$A$4:$O$150,8,FALSE))</f>
        <v/>
      </c>
      <c r="K72" s="4" t="str">
        <f>IF(VLOOKUP($A72,'[11]1003'!$A$4:$O$150,8,FALSE)="",VLOOKUP($A72,'[11]1003'!$A$4:$O$150,12,FALSE),VLOOKUP($A72,'[11]1003'!$A$4:$O$150,8,FALSE))</f>
        <v/>
      </c>
      <c r="L72" s="4" t="str">
        <f>IF(VLOOKUP($A72,'[12]1002'!$A$4:$O$150,8,FALSE)="",VLOOKUP($A72,'[12]1002'!$A$4:$O$150,12,FALSE),VLOOKUP($A72,'[12]1002'!$A$4:$O$150,8,FALSE))</f>
        <v/>
      </c>
      <c r="M72" s="106">
        <f>VLOOKUP($A72,'[19]0928'!$A$5:$P$27,12,FALSE)</f>
        <v>1.2455000000000001</v>
      </c>
      <c r="N72" s="4" t="str">
        <f>IF(VLOOKUP($A72,'[13]0927'!$A$4:$O$150,8,FALSE)="",VLOOKUP($A72,'[13]0927'!$A$4:$O$150,12,FALSE),VLOOKUP($A72,'[13]0927'!$A$4:$O$150,8,FALSE))</f>
        <v/>
      </c>
      <c r="O72" s="5"/>
      <c r="P72" s="4" t="str">
        <f>IF(VLOOKUP($A72,'[14]0925'!$A$4:$O$150,8,FALSE)="",VLOOKUP($A72,'[14]0925'!$A$4:$O$150,12,FALSE),VLOOKUP($A72,'[14]0925'!$A$4:$O$150,8,FALSE))</f>
        <v/>
      </c>
      <c r="Q72" s="4">
        <f>IF(VLOOKUP($A72,'[15]0922'!$A$4:$O$150,8,FALSE)="",VLOOKUP($A72,'[15]0922'!$A$4:$O$150,12,FALSE),VLOOKUP($A72,'[15]0922'!$A$4:$O$150,8,FALSE))</f>
        <v>1.2370000000000001</v>
      </c>
      <c r="R72" s="4">
        <f>IF(VLOOKUP($A72,'[16]0921'!$A$4:$O$150,8,FALSE)="",VLOOKUP($A72,'[16]0921'!$A$4:$O$150,12,FALSE),VLOOKUP($A72,'[16]0921'!$A$4:$O$150,8,FALSE))</f>
        <v>1.2355</v>
      </c>
      <c r="S72" s="4" t="str">
        <f>IF(VLOOKUP($A72,'[17]0920'!$A$4:$O$150,8,FALSE)="",VLOOKUP($A72,'[17]0920'!$A$4:$O$150,12,FALSE),VLOOKUP($A72,'[17]0920'!$A$4:$O$150,8,FALSE))</f>
        <v/>
      </c>
      <c r="T72" s="4" t="s">
        <v>0</v>
      </c>
      <c r="U72" s="4">
        <v>1.2404999999999999</v>
      </c>
      <c r="W72" s="4">
        <v>1.2301</v>
      </c>
      <c r="X72" s="4" t="s">
        <v>0</v>
      </c>
      <c r="Y72" s="4" t="s">
        <v>0</v>
      </c>
      <c r="Z72" s="4" t="s">
        <v>0</v>
      </c>
      <c r="AA72" s="4" t="s">
        <v>0</v>
      </c>
      <c r="AB72" s="4" t="s">
        <v>0</v>
      </c>
      <c r="AC72" s="4" t="s">
        <v>0</v>
      </c>
      <c r="AD72" s="4">
        <v>1.1958</v>
      </c>
      <c r="AE72" s="4" t="s">
        <v>0</v>
      </c>
      <c r="AF72" s="4">
        <v>1.2012</v>
      </c>
      <c r="AG72" s="4" t="s">
        <v>0</v>
      </c>
      <c r="AH72" s="4" t="s">
        <v>0</v>
      </c>
      <c r="AI72" s="4">
        <v>1.22</v>
      </c>
      <c r="AJ72" s="4" t="s">
        <v>0</v>
      </c>
      <c r="AK72" s="4">
        <v>1.2052</v>
      </c>
      <c r="AL72" s="4" t="s">
        <v>0</v>
      </c>
      <c r="AM72" s="4">
        <v>1.2055</v>
      </c>
      <c r="AN72" s="4">
        <v>1.2054</v>
      </c>
      <c r="AP72" s="4" t="s">
        <v>0</v>
      </c>
      <c r="AQ72" s="4">
        <v>1.1906000000000001</v>
      </c>
      <c r="AR72" s="4" t="s">
        <v>0</v>
      </c>
      <c r="AU72" s="4">
        <v>1.1845000000000001</v>
      </c>
    </row>
    <row r="73" spans="1:47">
      <c r="A73" s="3" t="s">
        <v>21</v>
      </c>
      <c r="B73" s="5">
        <f>VLOOKUP($A73,'[21]1013'!$A$4:$O$321,4,FALSE)</f>
        <v>8.89</v>
      </c>
      <c r="C73" s="5">
        <v>9.4700000000000006</v>
      </c>
      <c r="D73" s="5">
        <f>VLOOKUP($A73,'[21]1013'!$A$4:$O$321,15,FALSE)</f>
        <v>1.2994000000000001</v>
      </c>
      <c r="E73" s="4" t="str">
        <f>IF(VLOOKUP($A73,'[21]1013'!$A$4:$O$150,8,FALSE)="",VLOOKUP($A73,'[21]1013'!$A$4:$O$150,12,FALSE),VLOOKUP($A73,'[21]1013'!$A$4:$O$150,8,FALSE))</f>
        <v/>
      </c>
      <c r="F73" s="4" t="str">
        <f>IF(VLOOKUP($A73,'[7]1012'!$A$4:$O$150,8,FALSE)="",VLOOKUP($A73,'[7]1012'!$A$4:$O$150,12,FALSE),VLOOKUP($A73,'[7]1012'!$A$4:$O$150,8,FALSE))</f>
        <v/>
      </c>
      <c r="G73" s="4" t="str">
        <f>IF(VLOOKUP($A73,'[8]1011'!$A$4:$O$150,8,FALSE)="",VLOOKUP($A73,'[8]1011'!$A$4:$O$150,12,FALSE),VLOOKUP($A73,'[8]1011'!$A$4:$O$150,8,FALSE))</f>
        <v/>
      </c>
      <c r="H73" s="106"/>
      <c r="I73" s="4" t="str">
        <f>IF(VLOOKUP($A73,'[9]1005'!$A$4:$O$150,8,FALSE)="",VLOOKUP($A73,'[9]1005'!$A$4:$O$150,12,FALSE),VLOOKUP($A73,'[9]1005'!$A$4:$O$150,8,FALSE))</f>
        <v/>
      </c>
      <c r="J73" s="4" t="str">
        <f>IF(VLOOKUP($A73,'[10]1004'!$A$4:$O$150,8,FALSE)="",VLOOKUP($A73,'[10]1004'!$A$4:$O$150,12,FALSE),VLOOKUP($A73,'[10]1004'!$A$4:$O$150,8,FALSE))</f>
        <v/>
      </c>
      <c r="K73" s="4" t="str">
        <f>IF(VLOOKUP($A73,'[11]1003'!$A$4:$O$150,8,FALSE)="",VLOOKUP($A73,'[11]1003'!$A$4:$O$150,12,FALSE),VLOOKUP($A73,'[11]1003'!$A$4:$O$150,8,FALSE))</f>
        <v/>
      </c>
      <c r="L73" s="4" t="str">
        <f>IF(VLOOKUP($A73,'[12]1002'!$A$4:$O$150,8,FALSE)="",VLOOKUP($A73,'[12]1002'!$A$4:$O$150,12,FALSE),VLOOKUP($A73,'[12]1002'!$A$4:$O$150,8,FALSE))</f>
        <v/>
      </c>
      <c r="M73" s="106"/>
      <c r="N73" s="4" t="str">
        <f>IF(VLOOKUP($A73,'[13]0927'!$A$4:$O$150,8,FALSE)="",VLOOKUP($A73,'[13]0927'!$A$4:$O$150,12,FALSE),VLOOKUP($A73,'[13]0927'!$A$4:$O$150,8,FALSE))</f>
        <v/>
      </c>
      <c r="O73" s="5"/>
      <c r="P73" s="4" t="str">
        <f>IF(VLOOKUP($A73,'[14]0925'!$A$4:$O$150,8,FALSE)="",VLOOKUP($A73,'[14]0925'!$A$4:$O$150,12,FALSE),VLOOKUP($A73,'[14]0925'!$A$4:$O$150,8,FALSE))</f>
        <v/>
      </c>
      <c r="Q73" s="4" t="str">
        <f>IF(VLOOKUP($A73,'[15]0922'!$A$4:$O$150,8,FALSE)="",VLOOKUP($A73,'[15]0922'!$A$4:$O$150,12,FALSE),VLOOKUP($A73,'[15]0922'!$A$4:$O$150,8,FALSE))</f>
        <v/>
      </c>
      <c r="R73" s="4" t="str">
        <f>IF(VLOOKUP($A73,'[16]0921'!$A$4:$O$150,8,FALSE)="",VLOOKUP($A73,'[16]0921'!$A$4:$O$150,12,FALSE),VLOOKUP($A73,'[16]0921'!$A$4:$O$150,8,FALSE))</f>
        <v/>
      </c>
      <c r="S73" s="4" t="str">
        <f>IF(VLOOKUP($A73,'[17]0920'!$A$4:$O$150,8,FALSE)="",VLOOKUP($A73,'[17]0920'!$A$4:$O$150,12,FALSE),VLOOKUP($A73,'[17]0920'!$A$4:$O$150,8,FALSE))</f>
        <v/>
      </c>
      <c r="T73" s="4" t="s">
        <v>0</v>
      </c>
      <c r="U73" s="4" t="s">
        <v>0</v>
      </c>
      <c r="W73" s="4" t="s">
        <v>0</v>
      </c>
      <c r="X73" s="4" t="s">
        <v>0</v>
      </c>
      <c r="Y73" s="4" t="s">
        <v>0</v>
      </c>
      <c r="Z73" s="4" t="s">
        <v>0</v>
      </c>
      <c r="AA73" s="4" t="s">
        <v>0</v>
      </c>
      <c r="AB73" s="4" t="s">
        <v>0</v>
      </c>
      <c r="AC73" s="4" t="s">
        <v>0</v>
      </c>
      <c r="AD73" s="4" t="s">
        <v>0</v>
      </c>
      <c r="AE73" s="4" t="s">
        <v>0</v>
      </c>
      <c r="AF73" s="4" t="s">
        <v>0</v>
      </c>
      <c r="AG73" s="4" t="s">
        <v>0</v>
      </c>
      <c r="AH73" s="4" t="s">
        <v>0</v>
      </c>
      <c r="AI73" s="4" t="s">
        <v>0</v>
      </c>
      <c r="AJ73" s="4" t="s">
        <v>0</v>
      </c>
      <c r="AK73" s="4" t="s">
        <v>0</v>
      </c>
      <c r="AL73" s="4" t="s">
        <v>0</v>
      </c>
      <c r="AM73" s="4" t="s">
        <v>0</v>
      </c>
      <c r="AN73" s="4" t="s">
        <v>0</v>
      </c>
      <c r="AP73" s="4" t="s">
        <v>0</v>
      </c>
      <c r="AQ73" s="4" t="s">
        <v>0</v>
      </c>
      <c r="AR73" s="4" t="s">
        <v>0</v>
      </c>
      <c r="AU73" s="4" t="s">
        <v>0</v>
      </c>
    </row>
    <row r="74" spans="1:47">
      <c r="A74" s="3" t="s">
        <v>292</v>
      </c>
      <c r="B74" s="5">
        <f>VLOOKUP($A74,'[21]1013'!$A$4:$O$321,4,FALSE)</f>
        <v>9.0399999999999991</v>
      </c>
      <c r="C74" s="5">
        <v>9.83</v>
      </c>
      <c r="D74" s="5">
        <f>VLOOKUP($A74,'[21]1013'!$A$4:$O$321,15,FALSE)</f>
        <v>1.2956000000000001</v>
      </c>
      <c r="E74" s="4" t="str">
        <f>IF(VLOOKUP($A74,'[21]1013'!$A$4:$O$150,8,FALSE)="",VLOOKUP($A74,'[21]1013'!$A$4:$O$150,12,FALSE),VLOOKUP($A74,'[21]1013'!$A$4:$O$150,8,FALSE))</f>
        <v/>
      </c>
      <c r="F74" s="4">
        <f>IF(VLOOKUP($A74,'[7]1012'!$A$4:$O$150,8,FALSE)="",VLOOKUP($A74,'[7]1012'!$A$4:$O$150,12,FALSE),VLOOKUP($A74,'[7]1012'!$A$4:$O$150,8,FALSE))</f>
        <v>1.2709999999999999</v>
      </c>
      <c r="G74" s="4" t="str">
        <f>IF(VLOOKUP($A74,'[8]1011'!$A$4:$O$150,8,FALSE)="",VLOOKUP($A74,'[8]1011'!$A$4:$O$150,12,FALSE),VLOOKUP($A74,'[8]1011'!$A$4:$O$150,8,FALSE))</f>
        <v/>
      </c>
      <c r="H74" s="106"/>
      <c r="I74" s="4" t="str">
        <f>IF(VLOOKUP($A74,'[9]1005'!$A$4:$O$150,8,FALSE)="",VLOOKUP($A74,'[9]1005'!$A$4:$O$150,12,FALSE),VLOOKUP($A74,'[9]1005'!$A$4:$O$150,8,FALSE))</f>
        <v/>
      </c>
      <c r="J74" s="4" t="str">
        <f>IF(VLOOKUP($A74,'[10]1004'!$A$4:$O$150,8,FALSE)="",VLOOKUP($A74,'[10]1004'!$A$4:$O$150,12,FALSE),VLOOKUP($A74,'[10]1004'!$A$4:$O$150,8,FALSE))</f>
        <v/>
      </c>
      <c r="K74" s="4" t="str">
        <f>IF(VLOOKUP($A74,'[11]1003'!$A$4:$O$150,8,FALSE)="",VLOOKUP($A74,'[11]1003'!$A$4:$O$150,12,FALSE),VLOOKUP($A74,'[11]1003'!$A$4:$O$150,8,FALSE))</f>
        <v/>
      </c>
      <c r="L74" s="4" t="str">
        <f>IF(VLOOKUP($A74,'[12]1002'!$A$4:$O$150,8,FALSE)="",VLOOKUP($A74,'[12]1002'!$A$4:$O$150,12,FALSE),VLOOKUP($A74,'[12]1002'!$A$4:$O$150,8,FALSE))</f>
        <v/>
      </c>
      <c r="M74" s="106">
        <f>VLOOKUP($A74,'[19]0928'!$A$5:$P$27,12,FALSE)</f>
        <v>1.2470000000000001</v>
      </c>
      <c r="N74" s="4">
        <f>IF(VLOOKUP($A74,'[13]0927'!$A$4:$O$150,8,FALSE)="",VLOOKUP($A74,'[13]0927'!$A$4:$O$150,12,FALSE),VLOOKUP($A74,'[13]0927'!$A$4:$O$150,8,FALSE))</f>
        <v>1.2406999999999999</v>
      </c>
      <c r="O74" s="5"/>
      <c r="P74" s="4">
        <f>IF(VLOOKUP($A74,'[14]0925'!$A$4:$O$150,8,FALSE)="",VLOOKUP($A74,'[14]0925'!$A$4:$O$150,12,FALSE),VLOOKUP($A74,'[14]0925'!$A$4:$O$150,8,FALSE))</f>
        <v>1.2350000000000001</v>
      </c>
      <c r="Q74" s="4">
        <f>IF(VLOOKUP($A74,'[15]0922'!$A$4:$O$150,8,FALSE)="",VLOOKUP($A74,'[15]0922'!$A$4:$O$150,12,FALSE),VLOOKUP($A74,'[15]0922'!$A$4:$O$150,8,FALSE))</f>
        <v>1.2396</v>
      </c>
      <c r="R74" s="4" t="str">
        <f>IF(VLOOKUP($A74,'[16]0921'!$A$4:$O$150,8,FALSE)="",VLOOKUP($A74,'[16]0921'!$A$4:$O$150,12,FALSE),VLOOKUP($A74,'[16]0921'!$A$4:$O$150,8,FALSE))</f>
        <v/>
      </c>
      <c r="S74" s="4" t="str">
        <f>IF(VLOOKUP($A74,'[17]0920'!$A$4:$O$150,8,FALSE)="",VLOOKUP($A74,'[17]0920'!$A$4:$O$150,12,FALSE),VLOOKUP($A74,'[17]0920'!$A$4:$O$150,8,FALSE))</f>
        <v/>
      </c>
      <c r="T74" s="4">
        <v>1.2430000000000001</v>
      </c>
      <c r="U74" s="4">
        <v>1.236</v>
      </c>
      <c r="V74" s="5">
        <v>1.2355</v>
      </c>
      <c r="W74" s="4" t="s">
        <v>0</v>
      </c>
      <c r="X74" s="4">
        <v>1.2405999999999999</v>
      </c>
      <c r="Y74" s="4">
        <v>1.2199</v>
      </c>
      <c r="Z74" s="4" t="s">
        <v>0</v>
      </c>
      <c r="AA74" s="4" t="s">
        <v>0</v>
      </c>
      <c r="AB74" s="4" t="s">
        <v>0</v>
      </c>
      <c r="AC74" s="4" t="s">
        <v>0</v>
      </c>
      <c r="AD74" s="4" t="s">
        <v>0</v>
      </c>
      <c r="AE74" s="4" t="s">
        <v>0</v>
      </c>
      <c r="AF74" s="4" t="s">
        <v>0</v>
      </c>
      <c r="AG74" s="4" t="s">
        <v>0</v>
      </c>
      <c r="AH74" s="4" t="s">
        <v>0</v>
      </c>
      <c r="AI74" s="4" t="s">
        <v>0</v>
      </c>
      <c r="AJ74" s="4" t="s">
        <v>0</v>
      </c>
      <c r="AK74" s="4" t="s">
        <v>0</v>
      </c>
      <c r="AL74" s="4" t="s">
        <v>0</v>
      </c>
      <c r="AM74" s="4">
        <v>1.1930000000000001</v>
      </c>
      <c r="AN74" s="4" t="s">
        <v>0</v>
      </c>
      <c r="AO74" s="5">
        <v>1.1990000000000001</v>
      </c>
      <c r="AP74" s="4" t="s">
        <v>0</v>
      </c>
      <c r="AQ74" s="4" t="s">
        <v>0</v>
      </c>
      <c r="AR74" s="4" t="s">
        <v>0</v>
      </c>
      <c r="AU74" s="4" t="s">
        <v>0</v>
      </c>
    </row>
    <row r="75" spans="1:47" s="2" customFormat="1">
      <c r="A75" s="3" t="s">
        <v>821</v>
      </c>
      <c r="B75" s="5">
        <f>VLOOKUP($A75,'[21]1013'!$A$4:$O$321,4,FALSE)</f>
        <v>9.31</v>
      </c>
      <c r="C75" s="5">
        <v>10.83</v>
      </c>
      <c r="D75" s="5">
        <f>VLOOKUP($A75,'[21]1013'!$A$4:$O$321,15,FALSE)</f>
        <v>1.2988999999999999</v>
      </c>
      <c r="E75" s="4" t="str">
        <f>IF(VLOOKUP($A75,'[21]1013'!$A$4:$O$150,8,FALSE)="",VLOOKUP($A75,'[21]1013'!$A$4:$O$150,12,FALSE),VLOOKUP($A75,'[21]1013'!$A$4:$O$150,8,FALSE))</f>
        <v/>
      </c>
      <c r="F75" s="4">
        <f>IF(VLOOKUP($A75,'[7]1012'!$A$4:$O$150,8,FALSE)="",VLOOKUP($A75,'[7]1012'!$A$4:$O$150,12,FALSE),VLOOKUP($A75,'[7]1012'!$A$4:$O$150,8,FALSE))</f>
        <v>1.2733000000000001</v>
      </c>
      <c r="G75" s="4" t="str">
        <f>IF(VLOOKUP($A75,'[8]1011'!$A$4:$O$150,8,FALSE)="",VLOOKUP($A75,'[8]1011'!$A$4:$O$150,12,FALSE),VLOOKUP($A75,'[8]1011'!$A$4:$O$150,8,FALSE))</f>
        <v/>
      </c>
      <c r="H75" s="106">
        <f>VLOOKUP($A75,'[18]1006'!$A$5:$P$270,12,FALSE)</f>
        <v>1.3025</v>
      </c>
      <c r="I75" s="4" t="str">
        <f>IF(VLOOKUP($A75,'[9]1005'!$A$4:$O$150,8,FALSE)="",VLOOKUP($A75,'[9]1005'!$A$4:$O$150,12,FALSE),VLOOKUP($A75,'[9]1005'!$A$4:$O$150,8,FALSE))</f>
        <v/>
      </c>
      <c r="J75" s="4">
        <f>IF(VLOOKUP($A75,'[10]1004'!$A$4:$O$150,8,FALSE)="",VLOOKUP($A75,'[10]1004'!$A$4:$O$150,12,FALSE),VLOOKUP($A75,'[10]1004'!$A$4:$O$150,8,FALSE))</f>
        <v>1.29</v>
      </c>
      <c r="K75" s="4" t="str">
        <f>IF(VLOOKUP($A75,'[11]1003'!$A$4:$O$150,8,FALSE)="",VLOOKUP($A75,'[11]1003'!$A$4:$O$150,12,FALSE),VLOOKUP($A75,'[11]1003'!$A$4:$O$150,8,FALSE))</f>
        <v/>
      </c>
      <c r="L75" s="4">
        <f>IF(VLOOKUP($A75,'[12]1002'!$A$4:$O$150,8,FALSE)="",VLOOKUP($A75,'[12]1002'!$A$4:$O$150,12,FALSE),VLOOKUP($A75,'[12]1002'!$A$4:$O$150,8,FALSE))</f>
        <v>1.2569999999999999</v>
      </c>
      <c r="M75" s="106"/>
      <c r="N75" s="4"/>
      <c r="O75" s="5"/>
      <c r="P75" s="4"/>
      <c r="Q75" s="4"/>
      <c r="R75" s="4"/>
      <c r="S75" s="4"/>
      <c r="T75" s="4"/>
      <c r="U75" s="4"/>
      <c r="V75" s="5"/>
      <c r="W75" s="4"/>
      <c r="X75" s="4"/>
      <c r="Y75" s="4"/>
      <c r="Z75" s="4"/>
      <c r="AA75" s="4"/>
      <c r="AB75" s="4"/>
      <c r="AC75" s="4"/>
      <c r="AD75" s="4"/>
      <c r="AE75" s="4"/>
      <c r="AF75" s="4"/>
      <c r="AG75" s="4"/>
      <c r="AH75" s="4"/>
      <c r="AI75" s="4"/>
      <c r="AJ75" s="4"/>
      <c r="AK75" s="4"/>
      <c r="AL75" s="4"/>
      <c r="AM75" s="4"/>
      <c r="AN75" s="4"/>
      <c r="AO75" s="5"/>
      <c r="AP75" s="4"/>
      <c r="AQ75" s="4"/>
      <c r="AR75" s="4"/>
      <c r="AU75" s="4"/>
    </row>
    <row r="76" spans="1:47" s="2" customFormat="1">
      <c r="A76" s="3" t="s">
        <v>822</v>
      </c>
      <c r="B76" s="5">
        <f>VLOOKUP($A76,'[21]1013'!$A$4:$O$321,4,FALSE)</f>
        <v>9.16</v>
      </c>
      <c r="C76" s="5">
        <v>11.83</v>
      </c>
      <c r="D76" s="5">
        <f>VLOOKUP($A76,'[21]1013'!$A$4:$O$321,15,FALSE)</f>
        <v>1.2971999999999999</v>
      </c>
      <c r="E76" s="4">
        <f>IF(VLOOKUP($A76,'[21]1013'!$A$4:$O$150,8,FALSE)="",VLOOKUP($A76,'[21]1013'!$A$4:$O$150,12,FALSE),VLOOKUP($A76,'[21]1013'!$A$4:$O$150,8,FALSE))</f>
        <v>1.29</v>
      </c>
      <c r="F76" s="4">
        <f>IF(VLOOKUP($A76,'[7]1012'!$A$4:$O$150,8,FALSE)="",VLOOKUP($A76,'[7]1012'!$A$4:$O$150,12,FALSE),VLOOKUP($A76,'[7]1012'!$A$4:$O$150,8,FALSE))</f>
        <v>1.2733000000000001</v>
      </c>
      <c r="G76" s="4" t="str">
        <f>IF(VLOOKUP($A76,'[8]1011'!$A$4:$O$150,8,FALSE)="",VLOOKUP($A76,'[8]1011'!$A$4:$O$150,12,FALSE),VLOOKUP($A76,'[8]1011'!$A$4:$O$150,8,FALSE))</f>
        <v/>
      </c>
      <c r="H76" s="106">
        <f>VLOOKUP($A76,'[18]1006'!$A$5:$P$270,12,FALSE)</f>
        <v>1.3083</v>
      </c>
      <c r="I76" s="4">
        <f>IF(VLOOKUP($A76,'[9]1005'!$A$4:$O$150,8,FALSE)="",VLOOKUP($A76,'[9]1005'!$A$4:$O$150,12,FALSE),VLOOKUP($A76,'[9]1005'!$A$4:$O$150,8,FALSE))</f>
        <v>1.282</v>
      </c>
      <c r="J76" s="4">
        <f>IF(VLOOKUP($A76,'[10]1004'!$A$4:$O$150,8,FALSE)="",VLOOKUP($A76,'[10]1004'!$A$4:$O$150,12,FALSE),VLOOKUP($A76,'[10]1004'!$A$4:$O$150,8,FALSE))</f>
        <v>1.2928999999999999</v>
      </c>
      <c r="K76" s="4" t="str">
        <f>IF(VLOOKUP($A76,'[11]1003'!$A$4:$O$150,8,FALSE)="",VLOOKUP($A76,'[11]1003'!$A$4:$O$150,12,FALSE),VLOOKUP($A76,'[11]1003'!$A$4:$O$150,8,FALSE))</f>
        <v/>
      </c>
      <c r="L76" s="4" t="str">
        <f>IF(VLOOKUP($A76,'[12]1002'!$A$4:$O$150,8,FALSE)="",VLOOKUP($A76,'[12]1002'!$A$4:$O$150,12,FALSE),VLOOKUP($A76,'[12]1002'!$A$4:$O$150,8,FALSE))</f>
        <v/>
      </c>
      <c r="M76" s="106">
        <f>VLOOKUP($A76,'[19]0928'!$A$5:$P$27,12,FALSE)</f>
        <v>1.2491000000000001</v>
      </c>
      <c r="N76" s="4"/>
      <c r="O76" s="5"/>
      <c r="P76" s="4"/>
      <c r="Q76" s="4"/>
      <c r="R76" s="4"/>
      <c r="S76" s="4"/>
      <c r="T76" s="4"/>
      <c r="U76" s="4"/>
      <c r="V76" s="5"/>
      <c r="W76" s="4"/>
      <c r="X76" s="4"/>
      <c r="Y76" s="4"/>
      <c r="Z76" s="4"/>
      <c r="AA76" s="4"/>
      <c r="AB76" s="4"/>
      <c r="AC76" s="4"/>
      <c r="AD76" s="4"/>
      <c r="AE76" s="4"/>
      <c r="AF76" s="4"/>
      <c r="AG76" s="4"/>
      <c r="AH76" s="4"/>
      <c r="AI76" s="4"/>
      <c r="AJ76" s="4"/>
      <c r="AK76" s="4"/>
      <c r="AL76" s="4"/>
      <c r="AM76" s="4"/>
      <c r="AN76" s="4"/>
      <c r="AO76" s="5"/>
      <c r="AP76" s="4"/>
      <c r="AQ76" s="4"/>
      <c r="AR76" s="4"/>
      <c r="AU76" s="4"/>
    </row>
    <row r="77" spans="1:47">
      <c r="A77" s="3" t="s">
        <v>62</v>
      </c>
      <c r="B77" s="5">
        <f>VLOOKUP($A77,'[21]1013'!$A$4:$O$321,4,FALSE)</f>
        <v>9.19</v>
      </c>
      <c r="C77" s="5">
        <v>10.47</v>
      </c>
      <c r="D77" s="5">
        <f>VLOOKUP($A77,'[21]1013'!$A$4:$O$321,15,FALSE)</f>
        <v>1.3004</v>
      </c>
      <c r="E77" s="4" t="str">
        <f>IF(VLOOKUP($A77,'[21]1013'!$A$4:$O$150,8,FALSE)="",VLOOKUP($A77,'[21]1013'!$A$4:$O$150,12,FALSE),VLOOKUP($A77,'[21]1013'!$A$4:$O$150,8,FALSE))</f>
        <v/>
      </c>
      <c r="F77" s="4" t="str">
        <f>IF(VLOOKUP($A77,'[7]1012'!$A$4:$O$150,8,FALSE)="",VLOOKUP($A77,'[7]1012'!$A$4:$O$150,12,FALSE),VLOOKUP($A77,'[7]1012'!$A$4:$O$150,8,FALSE))</f>
        <v/>
      </c>
      <c r="G77" s="4" t="str">
        <f>IF(VLOOKUP($A77,'[8]1011'!$A$4:$O$150,8,FALSE)="",VLOOKUP($A77,'[8]1011'!$A$4:$O$150,12,FALSE),VLOOKUP($A77,'[8]1011'!$A$4:$O$150,8,FALSE))</f>
        <v/>
      </c>
      <c r="H77" s="106"/>
      <c r="I77" s="4" t="str">
        <f>IF(VLOOKUP($A77,'[9]1005'!$A$4:$O$150,8,FALSE)="",VLOOKUP($A77,'[9]1005'!$A$4:$O$150,12,FALSE),VLOOKUP($A77,'[9]1005'!$A$4:$O$150,8,FALSE))</f>
        <v/>
      </c>
      <c r="J77" s="4" t="str">
        <f>IF(VLOOKUP($A77,'[10]1004'!$A$4:$O$150,8,FALSE)="",VLOOKUP($A77,'[10]1004'!$A$4:$O$150,12,FALSE),VLOOKUP($A77,'[10]1004'!$A$4:$O$150,8,FALSE))</f>
        <v/>
      </c>
      <c r="K77" s="4" t="str">
        <f>IF(VLOOKUP($A77,'[11]1003'!$A$4:$O$150,8,FALSE)="",VLOOKUP($A77,'[11]1003'!$A$4:$O$150,12,FALSE),VLOOKUP($A77,'[11]1003'!$A$4:$O$150,8,FALSE))</f>
        <v/>
      </c>
      <c r="L77" s="4" t="str">
        <f>IF(VLOOKUP($A77,'[12]1002'!$A$4:$O$150,8,FALSE)="",VLOOKUP($A77,'[12]1002'!$A$4:$O$150,12,FALSE),VLOOKUP($A77,'[12]1002'!$A$4:$O$150,8,FALSE))</f>
        <v/>
      </c>
      <c r="M77" s="106"/>
      <c r="N77" s="4" t="str">
        <f>IF(VLOOKUP($A77,'[13]0927'!$A$4:$O$150,8,FALSE)="",VLOOKUP($A77,'[13]0927'!$A$4:$O$150,12,FALSE),VLOOKUP($A77,'[13]0927'!$A$4:$O$150,8,FALSE))</f>
        <v/>
      </c>
      <c r="O77" s="5"/>
      <c r="P77" s="4" t="str">
        <f>IF(VLOOKUP($A77,'[14]0925'!$A$4:$O$150,8,FALSE)="",VLOOKUP($A77,'[14]0925'!$A$4:$O$150,12,FALSE),VLOOKUP($A77,'[14]0925'!$A$4:$O$150,8,FALSE))</f>
        <v/>
      </c>
      <c r="Q77" s="4" t="str">
        <f>IF(VLOOKUP($A77,'[15]0922'!$A$4:$O$150,8,FALSE)="",VLOOKUP($A77,'[15]0922'!$A$4:$O$150,12,FALSE),VLOOKUP($A77,'[15]0922'!$A$4:$O$150,8,FALSE))</f>
        <v/>
      </c>
      <c r="R77" s="4" t="str">
        <f>IF(VLOOKUP($A77,'[16]0921'!$A$4:$O$150,8,FALSE)="",VLOOKUP($A77,'[16]0921'!$A$4:$O$150,12,FALSE),VLOOKUP($A77,'[16]0921'!$A$4:$O$150,8,FALSE))</f>
        <v/>
      </c>
      <c r="S77" s="4" t="str">
        <f>IF(VLOOKUP($A77,'[17]0920'!$A$4:$O$150,8,FALSE)="",VLOOKUP($A77,'[17]0920'!$A$4:$O$150,12,FALSE),VLOOKUP($A77,'[17]0920'!$A$4:$O$150,8,FALSE))</f>
        <v/>
      </c>
      <c r="T77" s="4" t="s">
        <v>0</v>
      </c>
      <c r="U77" s="4" t="s">
        <v>0</v>
      </c>
      <c r="W77" s="4" t="s">
        <v>0</v>
      </c>
      <c r="X77" s="4" t="s">
        <v>0</v>
      </c>
      <c r="Y77" s="4" t="s">
        <v>0</v>
      </c>
      <c r="Z77" s="4" t="s">
        <v>0</v>
      </c>
      <c r="AA77" s="4" t="s">
        <v>0</v>
      </c>
      <c r="AB77" s="4" t="s">
        <v>0</v>
      </c>
      <c r="AC77" s="4" t="s">
        <v>0</v>
      </c>
      <c r="AD77" s="4" t="s">
        <v>0</v>
      </c>
      <c r="AE77" s="4" t="s">
        <v>0</v>
      </c>
      <c r="AF77" s="4" t="s">
        <v>0</v>
      </c>
      <c r="AG77" s="4" t="s">
        <v>0</v>
      </c>
      <c r="AH77" s="4" t="s">
        <v>0</v>
      </c>
      <c r="AI77" s="4" t="s">
        <v>0</v>
      </c>
      <c r="AJ77" s="4" t="s">
        <v>0</v>
      </c>
      <c r="AK77" s="4" t="s">
        <v>0</v>
      </c>
      <c r="AL77" s="4" t="s">
        <v>0</v>
      </c>
      <c r="AM77" s="4" t="s">
        <v>0</v>
      </c>
      <c r="AN77" s="4" t="s">
        <v>0</v>
      </c>
      <c r="AP77" s="4" t="s">
        <v>0</v>
      </c>
      <c r="AQ77" s="4" t="s">
        <v>0</v>
      </c>
      <c r="AR77" s="4" t="s">
        <v>0</v>
      </c>
      <c r="AU77" s="4" t="s">
        <v>0</v>
      </c>
    </row>
    <row r="78" spans="1:47">
      <c r="A78" s="3" t="s">
        <v>64</v>
      </c>
      <c r="B78" s="5">
        <f>VLOOKUP($A78,'[21]1013'!$A$4:$O$321,4,FALSE)</f>
        <v>9.64</v>
      </c>
      <c r="C78" s="5">
        <v>10.97</v>
      </c>
      <c r="D78" s="5">
        <f>VLOOKUP($A78,'[21]1013'!$A$4:$O$321,15,FALSE)</f>
        <v>1.3066</v>
      </c>
      <c r="E78" s="4" t="str">
        <f>IF(VLOOKUP($A78,'[21]1013'!$A$4:$O$150,8,FALSE)="",VLOOKUP($A78,'[21]1013'!$A$4:$O$150,12,FALSE),VLOOKUP($A78,'[21]1013'!$A$4:$O$150,8,FALSE))</f>
        <v/>
      </c>
      <c r="F78" s="4" t="str">
        <f>IF(VLOOKUP($A78,'[7]1012'!$A$4:$O$150,8,FALSE)="",VLOOKUP($A78,'[7]1012'!$A$4:$O$150,12,FALSE),VLOOKUP($A78,'[7]1012'!$A$4:$O$150,8,FALSE))</f>
        <v/>
      </c>
      <c r="G78" s="4" t="str">
        <f>IF(VLOOKUP($A78,'[8]1011'!$A$4:$O$150,8,FALSE)="",VLOOKUP($A78,'[8]1011'!$A$4:$O$150,12,FALSE),VLOOKUP($A78,'[8]1011'!$A$4:$O$150,8,FALSE))</f>
        <v/>
      </c>
      <c r="H78" s="106"/>
      <c r="I78" s="4" t="str">
        <f>IF(VLOOKUP($A78,'[9]1005'!$A$4:$O$150,8,FALSE)="",VLOOKUP($A78,'[9]1005'!$A$4:$O$150,12,FALSE),VLOOKUP($A78,'[9]1005'!$A$4:$O$150,8,FALSE))</f>
        <v/>
      </c>
      <c r="J78" s="4" t="str">
        <f>IF(VLOOKUP($A78,'[10]1004'!$A$4:$O$150,8,FALSE)="",VLOOKUP($A78,'[10]1004'!$A$4:$O$150,12,FALSE),VLOOKUP($A78,'[10]1004'!$A$4:$O$150,8,FALSE))</f>
        <v/>
      </c>
      <c r="K78" s="4" t="str">
        <f>IF(VLOOKUP($A78,'[11]1003'!$A$4:$O$150,8,FALSE)="",VLOOKUP($A78,'[11]1003'!$A$4:$O$150,12,FALSE),VLOOKUP($A78,'[11]1003'!$A$4:$O$150,8,FALSE))</f>
        <v/>
      </c>
      <c r="L78" s="4" t="str">
        <f>IF(VLOOKUP($A78,'[12]1002'!$A$4:$O$150,8,FALSE)="",VLOOKUP($A78,'[12]1002'!$A$4:$O$150,12,FALSE),VLOOKUP($A78,'[12]1002'!$A$4:$O$150,8,FALSE))</f>
        <v/>
      </c>
      <c r="M78" s="106"/>
      <c r="N78" s="4" t="str">
        <f>IF(VLOOKUP($A78,'[13]0927'!$A$4:$O$150,8,FALSE)="",VLOOKUP($A78,'[13]0927'!$A$4:$O$150,12,FALSE),VLOOKUP($A78,'[13]0927'!$A$4:$O$150,8,FALSE))</f>
        <v/>
      </c>
      <c r="O78" s="5"/>
      <c r="P78" s="4" t="str">
        <f>IF(VLOOKUP($A78,'[14]0925'!$A$4:$O$150,8,FALSE)="",VLOOKUP($A78,'[14]0925'!$A$4:$O$150,12,FALSE),VLOOKUP($A78,'[14]0925'!$A$4:$O$150,8,FALSE))</f>
        <v/>
      </c>
      <c r="Q78" s="4" t="str">
        <f>IF(VLOOKUP($A78,'[15]0922'!$A$4:$O$150,8,FALSE)="",VLOOKUP($A78,'[15]0922'!$A$4:$O$150,12,FALSE),VLOOKUP($A78,'[15]0922'!$A$4:$O$150,8,FALSE))</f>
        <v/>
      </c>
      <c r="R78" s="4" t="str">
        <f>IF(VLOOKUP($A78,'[16]0921'!$A$4:$O$150,8,FALSE)="",VLOOKUP($A78,'[16]0921'!$A$4:$O$150,12,FALSE),VLOOKUP($A78,'[16]0921'!$A$4:$O$150,8,FALSE))</f>
        <v/>
      </c>
      <c r="S78" s="4" t="str">
        <f>IF(VLOOKUP($A78,'[17]0920'!$A$4:$O$150,8,FALSE)="",VLOOKUP($A78,'[17]0920'!$A$4:$O$150,12,FALSE),VLOOKUP($A78,'[17]0920'!$A$4:$O$150,8,FALSE))</f>
        <v/>
      </c>
      <c r="T78" s="4" t="s">
        <v>0</v>
      </c>
      <c r="U78" s="4" t="s">
        <v>0</v>
      </c>
      <c r="W78" s="4" t="s">
        <v>0</v>
      </c>
      <c r="X78" s="4" t="s">
        <v>0</v>
      </c>
      <c r="Y78" s="4" t="s">
        <v>0</v>
      </c>
      <c r="Z78" s="4" t="s">
        <v>0</v>
      </c>
      <c r="AA78" s="4" t="s">
        <v>0</v>
      </c>
      <c r="AB78" s="4" t="s">
        <v>0</v>
      </c>
      <c r="AC78" s="4" t="s">
        <v>0</v>
      </c>
      <c r="AD78" s="4">
        <v>1.2250000000000001</v>
      </c>
      <c r="AE78" s="4" t="s">
        <v>0</v>
      </c>
      <c r="AF78" s="4" t="s">
        <v>0</v>
      </c>
      <c r="AG78" s="4" t="s">
        <v>0</v>
      </c>
      <c r="AH78" s="4" t="s">
        <v>0</v>
      </c>
      <c r="AI78" s="4" t="s">
        <v>0</v>
      </c>
      <c r="AJ78" s="4" t="s">
        <v>0</v>
      </c>
      <c r="AK78" s="4" t="s">
        <v>0</v>
      </c>
      <c r="AL78" s="4" t="s">
        <v>0</v>
      </c>
      <c r="AM78" s="4" t="s">
        <v>0</v>
      </c>
      <c r="AN78" s="4" t="s">
        <v>0</v>
      </c>
      <c r="AP78" s="4" t="s">
        <v>0</v>
      </c>
      <c r="AQ78" s="4" t="s">
        <v>0</v>
      </c>
      <c r="AR78" s="4" t="s">
        <v>0</v>
      </c>
      <c r="AU78" s="4" t="s">
        <v>0</v>
      </c>
    </row>
    <row r="79" spans="1:47">
      <c r="A79" s="3" t="s">
        <v>43</v>
      </c>
      <c r="B79" s="5">
        <f>VLOOKUP($A79,'[21]1013'!$A$4:$O$321,4,FALSE)</f>
        <v>9.4700000000000006</v>
      </c>
      <c r="C79" s="5">
        <v>10.71</v>
      </c>
      <c r="D79" s="5">
        <f>VLOOKUP($A79,'[21]1013'!$A$4:$O$321,15,FALSE)</f>
        <v>1.3038000000000001</v>
      </c>
      <c r="E79" s="4" t="str">
        <f>IF(VLOOKUP($A79,'[21]1013'!$A$4:$O$150,8,FALSE)="",VLOOKUP($A79,'[21]1013'!$A$4:$O$150,12,FALSE),VLOOKUP($A79,'[21]1013'!$A$4:$O$150,8,FALSE))</f>
        <v/>
      </c>
      <c r="F79" s="4" t="str">
        <f>IF(VLOOKUP($A79,'[7]1012'!$A$4:$O$150,8,FALSE)="",VLOOKUP($A79,'[7]1012'!$A$4:$O$150,12,FALSE),VLOOKUP($A79,'[7]1012'!$A$4:$O$150,8,FALSE))</f>
        <v/>
      </c>
      <c r="G79" s="4" t="str">
        <f>IF(VLOOKUP($A79,'[8]1011'!$A$4:$O$150,8,FALSE)="",VLOOKUP($A79,'[8]1011'!$A$4:$O$150,12,FALSE),VLOOKUP($A79,'[8]1011'!$A$4:$O$150,8,FALSE))</f>
        <v/>
      </c>
      <c r="H79" s="106"/>
      <c r="I79" s="4" t="str">
        <f>IF(VLOOKUP($A79,'[9]1005'!$A$4:$O$150,8,FALSE)="",VLOOKUP($A79,'[9]1005'!$A$4:$O$150,12,FALSE),VLOOKUP($A79,'[9]1005'!$A$4:$O$150,8,FALSE))</f>
        <v/>
      </c>
      <c r="J79" s="4" t="str">
        <f>IF(VLOOKUP($A79,'[10]1004'!$A$4:$O$150,8,FALSE)="",VLOOKUP($A79,'[10]1004'!$A$4:$O$150,12,FALSE),VLOOKUP($A79,'[10]1004'!$A$4:$O$150,8,FALSE))</f>
        <v/>
      </c>
      <c r="K79" s="4" t="str">
        <f>IF(VLOOKUP($A79,'[11]1003'!$A$4:$O$150,8,FALSE)="",VLOOKUP($A79,'[11]1003'!$A$4:$O$150,12,FALSE),VLOOKUP($A79,'[11]1003'!$A$4:$O$150,8,FALSE))</f>
        <v/>
      </c>
      <c r="L79" s="4" t="str">
        <f>IF(VLOOKUP($A79,'[12]1002'!$A$4:$O$150,8,FALSE)="",VLOOKUP($A79,'[12]1002'!$A$4:$O$150,12,FALSE),VLOOKUP($A79,'[12]1002'!$A$4:$O$150,8,FALSE))</f>
        <v/>
      </c>
      <c r="M79" s="106"/>
      <c r="N79" s="4" t="str">
        <f>IF(VLOOKUP($A79,'[13]0927'!$A$4:$O$150,8,FALSE)="",VLOOKUP($A79,'[13]0927'!$A$4:$O$150,12,FALSE),VLOOKUP($A79,'[13]0927'!$A$4:$O$150,8,FALSE))</f>
        <v/>
      </c>
      <c r="O79" s="5"/>
      <c r="P79" s="4" t="str">
        <f>IF(VLOOKUP($A79,'[14]0925'!$A$4:$O$150,8,FALSE)="",VLOOKUP($A79,'[14]0925'!$A$4:$O$150,12,FALSE),VLOOKUP($A79,'[14]0925'!$A$4:$O$150,8,FALSE))</f>
        <v/>
      </c>
      <c r="Q79" s="4" t="str">
        <f>IF(VLOOKUP($A79,'[15]0922'!$A$4:$O$150,8,FALSE)="",VLOOKUP($A79,'[15]0922'!$A$4:$O$150,12,FALSE),VLOOKUP($A79,'[15]0922'!$A$4:$O$150,8,FALSE))</f>
        <v/>
      </c>
      <c r="R79" s="4" t="str">
        <f>IF(VLOOKUP($A79,'[16]0921'!$A$4:$O$150,8,FALSE)="",VLOOKUP($A79,'[16]0921'!$A$4:$O$150,12,FALSE),VLOOKUP($A79,'[16]0921'!$A$4:$O$150,8,FALSE))</f>
        <v/>
      </c>
      <c r="S79" s="4" t="str">
        <f>IF(VLOOKUP($A79,'[17]0920'!$A$4:$O$150,8,FALSE)="",VLOOKUP($A79,'[17]0920'!$A$4:$O$150,12,FALSE),VLOOKUP($A79,'[17]0920'!$A$4:$O$150,8,FALSE))</f>
        <v/>
      </c>
      <c r="T79" s="4" t="s">
        <v>0</v>
      </c>
      <c r="U79" s="4" t="s">
        <v>0</v>
      </c>
      <c r="W79" s="4" t="s">
        <v>0</v>
      </c>
      <c r="X79" s="4" t="s">
        <v>0</v>
      </c>
      <c r="Y79" s="4" t="s">
        <v>0</v>
      </c>
      <c r="Z79" s="4" t="s">
        <v>0</v>
      </c>
      <c r="AA79" s="4" t="s">
        <v>0</v>
      </c>
      <c r="AB79" s="4" t="s">
        <v>0</v>
      </c>
      <c r="AC79" s="4" t="s">
        <v>0</v>
      </c>
      <c r="AD79" s="4" t="s">
        <v>0</v>
      </c>
      <c r="AE79" s="4" t="s">
        <v>0</v>
      </c>
      <c r="AF79" s="4">
        <v>1.2155</v>
      </c>
      <c r="AG79" s="4" t="s">
        <v>0</v>
      </c>
      <c r="AH79" s="4" t="s">
        <v>0</v>
      </c>
      <c r="AI79" s="4">
        <v>1.2301</v>
      </c>
      <c r="AJ79" s="4" t="s">
        <v>0</v>
      </c>
      <c r="AK79" s="4">
        <v>1.22</v>
      </c>
      <c r="AL79" s="4" t="s">
        <v>0</v>
      </c>
      <c r="AM79" s="4" t="s">
        <v>0</v>
      </c>
      <c r="AN79" s="4" t="s">
        <v>0</v>
      </c>
      <c r="AP79" s="4" t="s">
        <v>0</v>
      </c>
      <c r="AQ79" s="4" t="s">
        <v>0</v>
      </c>
      <c r="AR79" s="4" t="s">
        <v>0</v>
      </c>
      <c r="AU79" s="4" t="s">
        <v>0</v>
      </c>
    </row>
    <row r="80" spans="1:47">
      <c r="A80" s="3" t="s">
        <v>63</v>
      </c>
      <c r="B80" s="5">
        <f>VLOOKUP($A80,'[21]1013'!$A$4:$O$321,4,FALSE)</f>
        <v>9.76</v>
      </c>
      <c r="C80" s="5">
        <v>11.15</v>
      </c>
      <c r="D80" s="5">
        <f>VLOOKUP($A80,'[21]1013'!$A$4:$O$321,15,FALSE)</f>
        <v>1.3086</v>
      </c>
      <c r="E80" s="4" t="str">
        <f>IF(VLOOKUP($A80,'[21]1013'!$A$4:$O$150,8,FALSE)="",VLOOKUP($A80,'[21]1013'!$A$4:$O$150,12,FALSE),VLOOKUP($A80,'[21]1013'!$A$4:$O$150,8,FALSE))</f>
        <v/>
      </c>
      <c r="F80" s="4" t="str">
        <f>IF(VLOOKUP($A80,'[7]1012'!$A$4:$O$150,8,FALSE)="",VLOOKUP($A80,'[7]1012'!$A$4:$O$150,12,FALSE),VLOOKUP($A80,'[7]1012'!$A$4:$O$150,8,FALSE))</f>
        <v/>
      </c>
      <c r="G80" s="4" t="str">
        <f>IF(VLOOKUP($A80,'[8]1011'!$A$4:$O$150,8,FALSE)="",VLOOKUP($A80,'[8]1011'!$A$4:$O$150,12,FALSE),VLOOKUP($A80,'[8]1011'!$A$4:$O$150,8,FALSE))</f>
        <v/>
      </c>
      <c r="H80" s="106"/>
      <c r="I80" s="4" t="str">
        <f>IF(VLOOKUP($A80,'[9]1005'!$A$4:$O$150,8,FALSE)="",VLOOKUP($A80,'[9]1005'!$A$4:$O$150,12,FALSE),VLOOKUP($A80,'[9]1005'!$A$4:$O$150,8,FALSE))</f>
        <v/>
      </c>
      <c r="J80" s="4" t="str">
        <f>IF(VLOOKUP($A80,'[10]1004'!$A$4:$O$150,8,FALSE)="",VLOOKUP($A80,'[10]1004'!$A$4:$O$150,12,FALSE),VLOOKUP($A80,'[10]1004'!$A$4:$O$150,8,FALSE))</f>
        <v/>
      </c>
      <c r="K80" s="4" t="str">
        <f>IF(VLOOKUP($A80,'[11]1003'!$A$4:$O$150,8,FALSE)="",VLOOKUP($A80,'[11]1003'!$A$4:$O$150,12,FALSE),VLOOKUP($A80,'[11]1003'!$A$4:$O$150,8,FALSE))</f>
        <v/>
      </c>
      <c r="L80" s="4" t="str">
        <f>IF(VLOOKUP($A80,'[12]1002'!$A$4:$O$150,8,FALSE)="",VLOOKUP($A80,'[12]1002'!$A$4:$O$150,12,FALSE),VLOOKUP($A80,'[12]1002'!$A$4:$O$150,8,FALSE))</f>
        <v/>
      </c>
      <c r="M80" s="106"/>
      <c r="N80" s="4" t="str">
        <f>IF(VLOOKUP($A80,'[13]0927'!$A$4:$O$150,8,FALSE)="",VLOOKUP($A80,'[13]0927'!$A$4:$O$150,12,FALSE),VLOOKUP($A80,'[13]0927'!$A$4:$O$150,8,FALSE))</f>
        <v/>
      </c>
      <c r="O80" s="5"/>
      <c r="P80" s="4" t="str">
        <f>IF(VLOOKUP($A80,'[14]0925'!$A$4:$O$150,8,FALSE)="",VLOOKUP($A80,'[14]0925'!$A$4:$O$150,12,FALSE),VLOOKUP($A80,'[14]0925'!$A$4:$O$150,8,FALSE))</f>
        <v/>
      </c>
      <c r="Q80" s="4" t="str">
        <f>IF(VLOOKUP($A80,'[15]0922'!$A$4:$O$150,8,FALSE)="",VLOOKUP($A80,'[15]0922'!$A$4:$O$150,12,FALSE),VLOOKUP($A80,'[15]0922'!$A$4:$O$150,8,FALSE))</f>
        <v/>
      </c>
      <c r="R80" s="4" t="str">
        <f>IF(VLOOKUP($A80,'[16]0921'!$A$4:$O$150,8,FALSE)="",VLOOKUP($A80,'[16]0921'!$A$4:$O$150,12,FALSE),VLOOKUP($A80,'[16]0921'!$A$4:$O$150,8,FALSE))</f>
        <v/>
      </c>
      <c r="S80" s="4" t="str">
        <f>IF(VLOOKUP($A80,'[17]0920'!$A$4:$O$150,8,FALSE)="",VLOOKUP($A80,'[17]0920'!$A$4:$O$150,12,FALSE),VLOOKUP($A80,'[17]0920'!$A$4:$O$150,8,FALSE))</f>
        <v/>
      </c>
      <c r="T80" s="4" t="s">
        <v>0</v>
      </c>
      <c r="U80" s="4" t="s">
        <v>0</v>
      </c>
      <c r="W80" s="4" t="s">
        <v>0</v>
      </c>
      <c r="X80" s="4" t="s">
        <v>0</v>
      </c>
      <c r="Y80" s="4" t="s">
        <v>0</v>
      </c>
      <c r="Z80" s="4" t="s">
        <v>0</v>
      </c>
      <c r="AA80" s="4" t="s">
        <v>0</v>
      </c>
      <c r="AB80" s="4" t="s">
        <v>0</v>
      </c>
      <c r="AC80" s="4" t="s">
        <v>0</v>
      </c>
      <c r="AD80" s="4" t="s">
        <v>0</v>
      </c>
      <c r="AE80" s="4" t="s">
        <v>0</v>
      </c>
      <c r="AF80" s="4" t="s">
        <v>0</v>
      </c>
      <c r="AG80" s="4" t="s">
        <v>0</v>
      </c>
      <c r="AH80" s="4" t="s">
        <v>0</v>
      </c>
      <c r="AI80" s="4" t="s">
        <v>0</v>
      </c>
      <c r="AJ80" s="4" t="s">
        <v>0</v>
      </c>
      <c r="AK80" s="4" t="s">
        <v>0</v>
      </c>
      <c r="AL80" s="4" t="s">
        <v>0</v>
      </c>
      <c r="AM80" s="4" t="s">
        <v>0</v>
      </c>
      <c r="AN80" s="4" t="s">
        <v>0</v>
      </c>
      <c r="AP80" s="4" t="s">
        <v>0</v>
      </c>
      <c r="AQ80" s="4" t="s">
        <v>0</v>
      </c>
      <c r="AR80" s="4" t="s">
        <v>0</v>
      </c>
      <c r="AU80" s="4" t="s">
        <v>0</v>
      </c>
    </row>
    <row r="81" spans="1:47">
      <c r="A81" s="3" t="s">
        <v>26</v>
      </c>
      <c r="B81" s="5">
        <f>VLOOKUP($A81,'[21]1013'!$A$4:$O$321,4,FALSE)</f>
        <v>9.98</v>
      </c>
      <c r="C81" s="5">
        <v>11.46</v>
      </c>
      <c r="D81" s="5">
        <f>VLOOKUP($A81,'[21]1013'!$A$4:$O$321,15,FALSE)</f>
        <v>1.3137000000000001</v>
      </c>
      <c r="E81" s="4" t="str">
        <f>IF(VLOOKUP($A81,'[21]1013'!$A$4:$O$150,8,FALSE)="",VLOOKUP($A81,'[21]1013'!$A$4:$O$150,12,FALSE),VLOOKUP($A81,'[21]1013'!$A$4:$O$150,8,FALSE))</f>
        <v/>
      </c>
      <c r="F81" s="4" t="str">
        <f>IF(VLOOKUP($A81,'[7]1012'!$A$4:$O$150,8,FALSE)="",VLOOKUP($A81,'[7]1012'!$A$4:$O$150,12,FALSE),VLOOKUP($A81,'[7]1012'!$A$4:$O$150,8,FALSE))</f>
        <v/>
      </c>
      <c r="G81" s="4" t="str">
        <f>IF(VLOOKUP($A81,'[8]1011'!$A$4:$O$150,8,FALSE)="",VLOOKUP($A81,'[8]1011'!$A$4:$O$150,12,FALSE),VLOOKUP($A81,'[8]1011'!$A$4:$O$150,8,FALSE))</f>
        <v/>
      </c>
      <c r="H81" s="106"/>
      <c r="I81" s="4" t="str">
        <f>IF(VLOOKUP($A81,'[9]1005'!$A$4:$O$150,8,FALSE)="",VLOOKUP($A81,'[9]1005'!$A$4:$O$150,12,FALSE),VLOOKUP($A81,'[9]1005'!$A$4:$O$150,8,FALSE))</f>
        <v/>
      </c>
      <c r="J81" s="4" t="str">
        <f>IF(VLOOKUP($A81,'[10]1004'!$A$4:$O$150,8,FALSE)="",VLOOKUP($A81,'[10]1004'!$A$4:$O$150,12,FALSE),VLOOKUP($A81,'[10]1004'!$A$4:$O$150,8,FALSE))</f>
        <v/>
      </c>
      <c r="K81" s="4" t="str">
        <f>IF(VLOOKUP($A81,'[11]1003'!$A$4:$O$150,8,FALSE)="",VLOOKUP($A81,'[11]1003'!$A$4:$O$150,12,FALSE),VLOOKUP($A81,'[11]1003'!$A$4:$O$150,8,FALSE))</f>
        <v/>
      </c>
      <c r="L81" s="4" t="str">
        <f>IF(VLOOKUP($A81,'[12]1002'!$A$4:$O$150,8,FALSE)="",VLOOKUP($A81,'[12]1002'!$A$4:$O$150,12,FALSE),VLOOKUP($A81,'[12]1002'!$A$4:$O$150,8,FALSE))</f>
        <v/>
      </c>
      <c r="M81" s="106"/>
      <c r="N81" s="4" t="str">
        <f>IF(VLOOKUP($A81,'[13]0927'!$A$4:$O$150,8,FALSE)="",VLOOKUP($A81,'[13]0927'!$A$4:$O$150,12,FALSE),VLOOKUP($A81,'[13]0927'!$A$4:$O$150,8,FALSE))</f>
        <v/>
      </c>
      <c r="O81" s="5"/>
      <c r="P81" s="4" t="str">
        <f>IF(VLOOKUP($A81,'[14]0925'!$A$4:$O$150,8,FALSE)="",VLOOKUP($A81,'[14]0925'!$A$4:$O$150,12,FALSE),VLOOKUP($A81,'[14]0925'!$A$4:$O$150,8,FALSE))</f>
        <v/>
      </c>
      <c r="Q81" s="4" t="str">
        <f>IF(VLOOKUP($A81,'[15]0922'!$A$4:$O$150,8,FALSE)="",VLOOKUP($A81,'[15]0922'!$A$4:$O$150,12,FALSE),VLOOKUP($A81,'[15]0922'!$A$4:$O$150,8,FALSE))</f>
        <v/>
      </c>
      <c r="R81" s="4" t="str">
        <f>IF(VLOOKUP($A81,'[16]0921'!$A$4:$O$150,8,FALSE)="",VLOOKUP($A81,'[16]0921'!$A$4:$O$150,12,FALSE),VLOOKUP($A81,'[16]0921'!$A$4:$O$150,8,FALSE))</f>
        <v/>
      </c>
      <c r="S81" s="4" t="str">
        <f>IF(VLOOKUP($A81,'[17]0920'!$A$4:$O$150,8,FALSE)="",VLOOKUP($A81,'[17]0920'!$A$4:$O$150,12,FALSE),VLOOKUP($A81,'[17]0920'!$A$4:$O$150,8,FALSE))</f>
        <v/>
      </c>
      <c r="T81" s="4" t="s">
        <v>0</v>
      </c>
      <c r="U81" s="4" t="s">
        <v>0</v>
      </c>
      <c r="W81" s="4" t="s">
        <v>0</v>
      </c>
      <c r="X81" s="4" t="s">
        <v>0</v>
      </c>
      <c r="Y81" s="4" t="s">
        <v>0</v>
      </c>
      <c r="Z81" s="4" t="s">
        <v>0</v>
      </c>
      <c r="AA81" s="4" t="s">
        <v>0</v>
      </c>
      <c r="AB81" s="4" t="s">
        <v>0</v>
      </c>
      <c r="AC81" s="4" t="s">
        <v>0</v>
      </c>
      <c r="AD81" s="4" t="s">
        <v>0</v>
      </c>
      <c r="AE81" s="4" t="s">
        <v>0</v>
      </c>
      <c r="AF81" s="4" t="s">
        <v>0</v>
      </c>
      <c r="AG81" s="4" t="s">
        <v>0</v>
      </c>
      <c r="AH81" s="4" t="s">
        <v>0</v>
      </c>
      <c r="AI81" s="4" t="s">
        <v>0</v>
      </c>
      <c r="AJ81" s="4" t="s">
        <v>0</v>
      </c>
      <c r="AK81" s="4" t="s">
        <v>0</v>
      </c>
      <c r="AL81" s="4" t="s">
        <v>0</v>
      </c>
      <c r="AM81" s="4" t="s">
        <v>0</v>
      </c>
      <c r="AN81" s="4" t="s">
        <v>0</v>
      </c>
      <c r="AP81" s="4" t="s">
        <v>0</v>
      </c>
      <c r="AQ81" s="4" t="s">
        <v>0</v>
      </c>
      <c r="AR81" s="4" t="s">
        <v>0</v>
      </c>
      <c r="AU81" s="4" t="s">
        <v>0</v>
      </c>
    </row>
    <row r="82" spans="1:47">
      <c r="A82" s="3" t="s">
        <v>48</v>
      </c>
      <c r="B82" s="5">
        <f>VLOOKUP($A82,'[21]1013'!$A$4:$O$321,4,FALSE)</f>
        <v>10.14</v>
      </c>
      <c r="C82" s="5">
        <v>11.68</v>
      </c>
      <c r="D82" s="5">
        <f>VLOOKUP($A82,'[21]1013'!$A$4:$O$321,15,FALSE)</f>
        <v>1.3166</v>
      </c>
      <c r="E82" s="4" t="str">
        <f>IF(VLOOKUP($A82,'[21]1013'!$A$4:$O$150,8,FALSE)="",VLOOKUP($A82,'[21]1013'!$A$4:$O$150,12,FALSE),VLOOKUP($A82,'[21]1013'!$A$4:$O$150,8,FALSE))</f>
        <v/>
      </c>
      <c r="F82" s="4" t="str">
        <f>IF(VLOOKUP($A82,'[7]1012'!$A$4:$O$150,8,FALSE)="",VLOOKUP($A82,'[7]1012'!$A$4:$O$150,12,FALSE),VLOOKUP($A82,'[7]1012'!$A$4:$O$150,8,FALSE))</f>
        <v/>
      </c>
      <c r="G82" s="4" t="str">
        <f>IF(VLOOKUP($A82,'[8]1011'!$A$4:$O$150,8,FALSE)="",VLOOKUP($A82,'[8]1011'!$A$4:$O$150,12,FALSE),VLOOKUP($A82,'[8]1011'!$A$4:$O$150,8,FALSE))</f>
        <v/>
      </c>
      <c r="H82" s="106"/>
      <c r="I82" s="4" t="str">
        <f>IF(VLOOKUP($A82,'[9]1005'!$A$4:$O$150,8,FALSE)="",VLOOKUP($A82,'[9]1005'!$A$4:$O$150,12,FALSE),VLOOKUP($A82,'[9]1005'!$A$4:$O$150,8,FALSE))</f>
        <v/>
      </c>
      <c r="J82" s="4" t="str">
        <f>IF(VLOOKUP($A82,'[10]1004'!$A$4:$O$150,8,FALSE)="",VLOOKUP($A82,'[10]1004'!$A$4:$O$150,12,FALSE),VLOOKUP($A82,'[10]1004'!$A$4:$O$150,8,FALSE))</f>
        <v/>
      </c>
      <c r="K82" s="4" t="str">
        <f>IF(VLOOKUP($A82,'[11]1003'!$A$4:$O$150,8,FALSE)="",VLOOKUP($A82,'[11]1003'!$A$4:$O$150,12,FALSE),VLOOKUP($A82,'[11]1003'!$A$4:$O$150,8,FALSE))</f>
        <v/>
      </c>
      <c r="L82" s="4" t="str">
        <f>IF(VLOOKUP($A82,'[12]1002'!$A$4:$O$150,8,FALSE)="",VLOOKUP($A82,'[12]1002'!$A$4:$O$150,12,FALSE),VLOOKUP($A82,'[12]1002'!$A$4:$O$150,8,FALSE))</f>
        <v/>
      </c>
      <c r="M82" s="106"/>
      <c r="N82" s="4" t="str">
        <f>IF(VLOOKUP($A82,'[13]0927'!$A$4:$O$150,8,FALSE)="",VLOOKUP($A82,'[13]0927'!$A$4:$O$150,12,FALSE),VLOOKUP($A82,'[13]0927'!$A$4:$O$150,8,FALSE))</f>
        <v/>
      </c>
      <c r="O82" s="5"/>
      <c r="P82" s="4" t="str">
        <f>IF(VLOOKUP($A82,'[14]0925'!$A$4:$O$150,8,FALSE)="",VLOOKUP($A82,'[14]0925'!$A$4:$O$150,12,FALSE),VLOOKUP($A82,'[14]0925'!$A$4:$O$150,8,FALSE))</f>
        <v/>
      </c>
      <c r="Q82" s="4" t="str">
        <f>IF(VLOOKUP($A82,'[15]0922'!$A$4:$O$150,8,FALSE)="",VLOOKUP($A82,'[15]0922'!$A$4:$O$150,12,FALSE),VLOOKUP($A82,'[15]0922'!$A$4:$O$150,8,FALSE))</f>
        <v/>
      </c>
      <c r="R82" s="4" t="str">
        <f>IF(VLOOKUP($A82,'[16]0921'!$A$4:$O$150,8,FALSE)="",VLOOKUP($A82,'[16]0921'!$A$4:$O$150,12,FALSE),VLOOKUP($A82,'[16]0921'!$A$4:$O$150,8,FALSE))</f>
        <v/>
      </c>
      <c r="S82" s="4" t="str">
        <f>IF(VLOOKUP($A82,'[17]0920'!$A$4:$O$150,8,FALSE)="",VLOOKUP($A82,'[17]0920'!$A$4:$O$150,12,FALSE),VLOOKUP($A82,'[17]0920'!$A$4:$O$150,8,FALSE))</f>
        <v/>
      </c>
      <c r="T82" s="4" t="s">
        <v>0</v>
      </c>
      <c r="U82" s="4" t="s">
        <v>0</v>
      </c>
      <c r="W82" s="4" t="s">
        <v>0</v>
      </c>
      <c r="X82" s="4" t="s">
        <v>0</v>
      </c>
      <c r="Y82" s="4" t="s">
        <v>0</v>
      </c>
      <c r="Z82" s="4" t="s">
        <v>0</v>
      </c>
      <c r="AA82" s="4" t="s">
        <v>0</v>
      </c>
      <c r="AB82" s="4" t="s">
        <v>0</v>
      </c>
      <c r="AC82" s="4" t="s">
        <v>0</v>
      </c>
      <c r="AD82" s="4" t="s">
        <v>0</v>
      </c>
      <c r="AE82" s="4" t="s">
        <v>0</v>
      </c>
      <c r="AF82" s="4" t="s">
        <v>0</v>
      </c>
      <c r="AG82" s="4" t="s">
        <v>0</v>
      </c>
      <c r="AH82" s="4" t="s">
        <v>0</v>
      </c>
      <c r="AI82" s="4" t="s">
        <v>0</v>
      </c>
      <c r="AJ82" s="4" t="s">
        <v>0</v>
      </c>
      <c r="AK82" s="4" t="s">
        <v>0</v>
      </c>
      <c r="AL82" s="4" t="s">
        <v>0</v>
      </c>
      <c r="AM82" s="4" t="s">
        <v>0</v>
      </c>
      <c r="AN82" s="4" t="s">
        <v>0</v>
      </c>
      <c r="AP82" s="4" t="s">
        <v>0</v>
      </c>
      <c r="AQ82" s="4" t="s">
        <v>0</v>
      </c>
      <c r="AR82" s="4" t="s">
        <v>0</v>
      </c>
      <c r="AU82" s="4" t="s">
        <v>0</v>
      </c>
    </row>
    <row r="83" spans="1:47">
      <c r="A83" s="3" t="s">
        <v>53</v>
      </c>
      <c r="B83" s="5">
        <f>VLOOKUP($A83,'[21]1013'!$A$4:$O$321,4,FALSE)</f>
        <v>10.66</v>
      </c>
      <c r="C83" s="5">
        <v>12.21</v>
      </c>
      <c r="D83" s="5">
        <f>VLOOKUP($A83,'[21]1013'!$A$4:$O$321,15,FALSE)</f>
        <v>1.3259000000000001</v>
      </c>
      <c r="E83" s="4" t="str">
        <f>IF(VLOOKUP($A83,'[21]1013'!$A$4:$O$150,8,FALSE)="",VLOOKUP($A83,'[21]1013'!$A$4:$O$150,12,FALSE),VLOOKUP($A83,'[21]1013'!$A$4:$O$150,8,FALSE))</f>
        <v/>
      </c>
      <c r="F83" s="4" t="str">
        <f>IF(VLOOKUP($A83,'[7]1012'!$A$4:$O$150,8,FALSE)="",VLOOKUP($A83,'[7]1012'!$A$4:$O$150,12,FALSE),VLOOKUP($A83,'[7]1012'!$A$4:$O$150,8,FALSE))</f>
        <v/>
      </c>
      <c r="G83" s="4" t="str">
        <f>IF(VLOOKUP($A83,'[8]1011'!$A$4:$O$150,8,FALSE)="",VLOOKUP($A83,'[8]1011'!$A$4:$O$150,12,FALSE),VLOOKUP($A83,'[8]1011'!$A$4:$O$150,8,FALSE))</f>
        <v/>
      </c>
      <c r="H83" s="106"/>
      <c r="I83" s="4" t="str">
        <f>IF(VLOOKUP($A83,'[9]1005'!$A$4:$O$150,8,FALSE)="",VLOOKUP($A83,'[9]1005'!$A$4:$O$150,12,FALSE),VLOOKUP($A83,'[9]1005'!$A$4:$O$150,8,FALSE))</f>
        <v/>
      </c>
      <c r="J83" s="4" t="str">
        <f>IF(VLOOKUP($A83,'[10]1004'!$A$4:$O$150,8,FALSE)="",VLOOKUP($A83,'[10]1004'!$A$4:$O$150,12,FALSE),VLOOKUP($A83,'[10]1004'!$A$4:$O$150,8,FALSE))</f>
        <v/>
      </c>
      <c r="K83" s="4" t="str">
        <f>IF(VLOOKUP($A83,'[11]1003'!$A$4:$O$150,8,FALSE)="",VLOOKUP($A83,'[11]1003'!$A$4:$O$150,12,FALSE),VLOOKUP($A83,'[11]1003'!$A$4:$O$150,8,FALSE))</f>
        <v/>
      </c>
      <c r="L83" s="4" t="str">
        <f>IF(VLOOKUP($A83,'[12]1002'!$A$4:$O$150,8,FALSE)="",VLOOKUP($A83,'[12]1002'!$A$4:$O$150,12,FALSE),VLOOKUP($A83,'[12]1002'!$A$4:$O$150,8,FALSE))</f>
        <v/>
      </c>
      <c r="M83" s="106"/>
      <c r="N83" s="4" t="str">
        <f>IF(VLOOKUP($A83,'[13]0927'!$A$4:$O$150,8,FALSE)="",VLOOKUP($A83,'[13]0927'!$A$4:$O$150,12,FALSE),VLOOKUP($A83,'[13]0927'!$A$4:$O$150,8,FALSE))</f>
        <v/>
      </c>
      <c r="O83" s="5"/>
      <c r="P83" s="4" t="str">
        <f>IF(VLOOKUP($A83,'[14]0925'!$A$4:$O$150,8,FALSE)="",VLOOKUP($A83,'[14]0925'!$A$4:$O$150,12,FALSE),VLOOKUP($A83,'[14]0925'!$A$4:$O$150,8,FALSE))</f>
        <v/>
      </c>
      <c r="Q83" s="4" t="str">
        <f>IF(VLOOKUP($A83,'[15]0922'!$A$4:$O$150,8,FALSE)="",VLOOKUP($A83,'[15]0922'!$A$4:$O$150,12,FALSE),VLOOKUP($A83,'[15]0922'!$A$4:$O$150,8,FALSE))</f>
        <v/>
      </c>
      <c r="R83" s="4" t="str">
        <f>IF(VLOOKUP($A83,'[16]0921'!$A$4:$O$150,8,FALSE)="",VLOOKUP($A83,'[16]0921'!$A$4:$O$150,12,FALSE),VLOOKUP($A83,'[16]0921'!$A$4:$O$150,8,FALSE))</f>
        <v/>
      </c>
      <c r="S83" s="4" t="str">
        <f>IF(VLOOKUP($A83,'[17]0920'!$A$4:$O$150,8,FALSE)="",VLOOKUP($A83,'[17]0920'!$A$4:$O$150,12,FALSE),VLOOKUP($A83,'[17]0920'!$A$4:$O$150,8,FALSE))</f>
        <v/>
      </c>
      <c r="T83" s="4" t="s">
        <v>0</v>
      </c>
      <c r="U83" s="4" t="s">
        <v>0</v>
      </c>
      <c r="W83" s="4" t="s">
        <v>0</v>
      </c>
      <c r="X83" s="4" t="s">
        <v>0</v>
      </c>
      <c r="Y83" s="4" t="s">
        <v>0</v>
      </c>
      <c r="Z83" s="4" t="s">
        <v>0</v>
      </c>
      <c r="AA83" s="4" t="s">
        <v>0</v>
      </c>
      <c r="AB83" s="4" t="s">
        <v>0</v>
      </c>
      <c r="AC83" s="4" t="s">
        <v>0</v>
      </c>
      <c r="AD83" s="4" t="s">
        <v>0</v>
      </c>
      <c r="AE83" s="4" t="s">
        <v>0</v>
      </c>
      <c r="AF83" s="4" t="s">
        <v>0</v>
      </c>
      <c r="AG83" s="4" t="s">
        <v>0</v>
      </c>
      <c r="AH83" s="4" t="s">
        <v>0</v>
      </c>
      <c r="AI83" s="4" t="s">
        <v>0</v>
      </c>
      <c r="AJ83" s="4" t="s">
        <v>0</v>
      </c>
      <c r="AK83" s="4" t="s">
        <v>0</v>
      </c>
      <c r="AL83" s="4" t="s">
        <v>0</v>
      </c>
      <c r="AM83" s="4" t="s">
        <v>0</v>
      </c>
      <c r="AN83" s="4" t="s">
        <v>0</v>
      </c>
      <c r="AP83" s="4" t="s">
        <v>0</v>
      </c>
      <c r="AQ83" s="4" t="s">
        <v>0</v>
      </c>
      <c r="AR83" s="4" t="s">
        <v>0</v>
      </c>
      <c r="AU83" s="4" t="s">
        <v>0</v>
      </c>
    </row>
    <row r="84" spans="1:47">
      <c r="A84" s="3" t="s">
        <v>38</v>
      </c>
      <c r="B84" s="5">
        <f>VLOOKUP($A84,'[21]1013'!$A$4:$O$321,4,FALSE)</f>
        <v>11.11</v>
      </c>
      <c r="C84" s="5">
        <v>12.45</v>
      </c>
      <c r="D84" s="5">
        <f>VLOOKUP($A84,'[21]1013'!$A$4:$O$321,15,FALSE)</f>
        <v>1.3310999999999999</v>
      </c>
      <c r="E84" s="4" t="str">
        <f>IF(VLOOKUP($A84,'[21]1013'!$A$4:$O$150,8,FALSE)="",VLOOKUP($A84,'[21]1013'!$A$4:$O$150,12,FALSE),VLOOKUP($A84,'[21]1013'!$A$4:$O$150,8,FALSE))</f>
        <v/>
      </c>
      <c r="F84" s="4" t="str">
        <f>IF(VLOOKUP($A84,'[7]1012'!$A$4:$O$150,8,FALSE)="",VLOOKUP($A84,'[7]1012'!$A$4:$O$150,12,FALSE),VLOOKUP($A84,'[7]1012'!$A$4:$O$150,8,FALSE))</f>
        <v/>
      </c>
      <c r="G84" s="4" t="str">
        <f>IF(VLOOKUP($A84,'[8]1011'!$A$4:$O$150,8,FALSE)="",VLOOKUP($A84,'[8]1011'!$A$4:$O$150,12,FALSE),VLOOKUP($A84,'[8]1011'!$A$4:$O$150,8,FALSE))</f>
        <v/>
      </c>
      <c r="H84" s="106"/>
      <c r="I84" s="4" t="str">
        <f>IF(VLOOKUP($A84,'[9]1005'!$A$4:$O$150,8,FALSE)="",VLOOKUP($A84,'[9]1005'!$A$4:$O$150,12,FALSE),VLOOKUP($A84,'[9]1005'!$A$4:$O$150,8,FALSE))</f>
        <v/>
      </c>
      <c r="J84" s="4" t="str">
        <f>IF(VLOOKUP($A84,'[10]1004'!$A$4:$O$150,8,FALSE)="",VLOOKUP($A84,'[10]1004'!$A$4:$O$150,12,FALSE),VLOOKUP($A84,'[10]1004'!$A$4:$O$150,8,FALSE))</f>
        <v/>
      </c>
      <c r="K84" s="4" t="str">
        <f>IF(VLOOKUP($A84,'[11]1003'!$A$4:$O$150,8,FALSE)="",VLOOKUP($A84,'[11]1003'!$A$4:$O$150,12,FALSE),VLOOKUP($A84,'[11]1003'!$A$4:$O$150,8,FALSE))</f>
        <v/>
      </c>
      <c r="L84" s="4" t="str">
        <f>IF(VLOOKUP($A84,'[12]1002'!$A$4:$O$150,8,FALSE)="",VLOOKUP($A84,'[12]1002'!$A$4:$O$150,12,FALSE),VLOOKUP($A84,'[12]1002'!$A$4:$O$150,8,FALSE))</f>
        <v/>
      </c>
      <c r="M84" s="106"/>
      <c r="N84" s="4" t="str">
        <f>IF(VLOOKUP($A84,'[13]0927'!$A$4:$O$150,8,FALSE)="",VLOOKUP($A84,'[13]0927'!$A$4:$O$150,12,FALSE),VLOOKUP($A84,'[13]0927'!$A$4:$O$150,8,FALSE))</f>
        <v/>
      </c>
      <c r="O84" s="5"/>
      <c r="P84" s="4" t="str">
        <f>IF(VLOOKUP($A84,'[14]0925'!$A$4:$O$150,8,FALSE)="",VLOOKUP($A84,'[14]0925'!$A$4:$O$150,12,FALSE),VLOOKUP($A84,'[14]0925'!$A$4:$O$150,8,FALSE))</f>
        <v/>
      </c>
      <c r="Q84" s="4" t="str">
        <f>IF(VLOOKUP($A84,'[15]0922'!$A$4:$O$150,8,FALSE)="",VLOOKUP($A84,'[15]0922'!$A$4:$O$150,12,FALSE),VLOOKUP($A84,'[15]0922'!$A$4:$O$150,8,FALSE))</f>
        <v/>
      </c>
      <c r="R84" s="4" t="str">
        <f>IF(VLOOKUP($A84,'[16]0921'!$A$4:$O$150,8,FALSE)="",VLOOKUP($A84,'[16]0921'!$A$4:$O$150,12,FALSE),VLOOKUP($A84,'[16]0921'!$A$4:$O$150,8,FALSE))</f>
        <v/>
      </c>
      <c r="S84" s="4" t="str">
        <f>IF(VLOOKUP($A84,'[17]0920'!$A$4:$O$150,8,FALSE)="",VLOOKUP($A84,'[17]0920'!$A$4:$O$150,12,FALSE),VLOOKUP($A84,'[17]0920'!$A$4:$O$150,8,FALSE))</f>
        <v/>
      </c>
      <c r="T84" s="4" t="s">
        <v>0</v>
      </c>
      <c r="U84" s="4" t="s">
        <v>0</v>
      </c>
      <c r="W84" s="4" t="s">
        <v>0</v>
      </c>
      <c r="X84" s="4" t="s">
        <v>0</v>
      </c>
      <c r="Y84" s="4" t="s">
        <v>0</v>
      </c>
      <c r="Z84" s="4" t="s">
        <v>0</v>
      </c>
      <c r="AA84" s="4" t="s">
        <v>0</v>
      </c>
      <c r="AB84" s="4" t="s">
        <v>0</v>
      </c>
      <c r="AC84" s="4" t="s">
        <v>0</v>
      </c>
      <c r="AD84" s="4" t="s">
        <v>0</v>
      </c>
      <c r="AE84" s="4" t="s">
        <v>0</v>
      </c>
      <c r="AF84" s="4" t="s">
        <v>0</v>
      </c>
      <c r="AG84" s="4" t="s">
        <v>0</v>
      </c>
      <c r="AH84" s="4" t="s">
        <v>0</v>
      </c>
      <c r="AI84" s="4" t="s">
        <v>0</v>
      </c>
      <c r="AJ84" s="4" t="s">
        <v>0</v>
      </c>
      <c r="AK84" s="4" t="s">
        <v>0</v>
      </c>
      <c r="AL84" s="4" t="s">
        <v>0</v>
      </c>
      <c r="AM84" s="4" t="s">
        <v>0</v>
      </c>
      <c r="AN84" s="4" t="s">
        <v>0</v>
      </c>
      <c r="AP84" s="4" t="s">
        <v>0</v>
      </c>
      <c r="AQ84" s="4" t="s">
        <v>0</v>
      </c>
      <c r="AR84" s="4" t="s">
        <v>0</v>
      </c>
      <c r="AU84" s="4" t="s">
        <v>0</v>
      </c>
    </row>
    <row r="85" spans="1:47">
      <c r="A85" s="3" t="s">
        <v>33</v>
      </c>
      <c r="B85" s="5">
        <f>VLOOKUP($A85,'[21]1013'!$A$4:$O$321,4,FALSE)</f>
        <v>11.4</v>
      </c>
      <c r="C85" s="5">
        <v>12.66</v>
      </c>
      <c r="D85" s="5">
        <f>VLOOKUP($A85,'[21]1013'!$A$4:$O$321,15,FALSE)</f>
        <v>1.335</v>
      </c>
      <c r="E85" s="4" t="str">
        <f>IF(VLOOKUP($A85,'[21]1013'!$A$4:$O$150,8,FALSE)="",VLOOKUP($A85,'[21]1013'!$A$4:$O$150,12,FALSE),VLOOKUP($A85,'[21]1013'!$A$4:$O$150,8,FALSE))</f>
        <v/>
      </c>
      <c r="F85" s="4" t="str">
        <f>IF(VLOOKUP($A85,'[7]1012'!$A$4:$O$150,8,FALSE)="",VLOOKUP($A85,'[7]1012'!$A$4:$O$150,12,FALSE),VLOOKUP($A85,'[7]1012'!$A$4:$O$150,8,FALSE))</f>
        <v/>
      </c>
      <c r="G85" s="4" t="str">
        <f>IF(VLOOKUP($A85,'[8]1011'!$A$4:$O$150,8,FALSE)="",VLOOKUP($A85,'[8]1011'!$A$4:$O$150,12,FALSE),VLOOKUP($A85,'[8]1011'!$A$4:$O$150,8,FALSE))</f>
        <v/>
      </c>
      <c r="H85" s="106"/>
      <c r="I85" s="4" t="str">
        <f>IF(VLOOKUP($A85,'[9]1005'!$A$4:$O$150,8,FALSE)="",VLOOKUP($A85,'[9]1005'!$A$4:$O$150,12,FALSE),VLOOKUP($A85,'[9]1005'!$A$4:$O$150,8,FALSE))</f>
        <v/>
      </c>
      <c r="J85" s="4" t="str">
        <f>IF(VLOOKUP($A85,'[10]1004'!$A$4:$O$150,8,FALSE)="",VLOOKUP($A85,'[10]1004'!$A$4:$O$150,12,FALSE),VLOOKUP($A85,'[10]1004'!$A$4:$O$150,8,FALSE))</f>
        <v/>
      </c>
      <c r="K85" s="4" t="str">
        <f>IF(VLOOKUP($A85,'[11]1003'!$A$4:$O$150,8,FALSE)="",VLOOKUP($A85,'[11]1003'!$A$4:$O$150,12,FALSE),VLOOKUP($A85,'[11]1003'!$A$4:$O$150,8,FALSE))</f>
        <v/>
      </c>
      <c r="L85" s="4" t="str">
        <f>IF(VLOOKUP($A85,'[12]1002'!$A$4:$O$150,8,FALSE)="",VLOOKUP($A85,'[12]1002'!$A$4:$O$150,12,FALSE),VLOOKUP($A85,'[12]1002'!$A$4:$O$150,8,FALSE))</f>
        <v/>
      </c>
      <c r="M85" s="106"/>
      <c r="N85" s="4" t="str">
        <f>IF(VLOOKUP($A85,'[13]0927'!$A$4:$O$150,8,FALSE)="",VLOOKUP($A85,'[13]0927'!$A$4:$O$150,12,FALSE),VLOOKUP($A85,'[13]0927'!$A$4:$O$150,8,FALSE))</f>
        <v/>
      </c>
      <c r="O85" s="5"/>
      <c r="P85" s="4" t="str">
        <f>IF(VLOOKUP($A85,'[14]0925'!$A$4:$O$150,8,FALSE)="",VLOOKUP($A85,'[14]0925'!$A$4:$O$150,12,FALSE),VLOOKUP($A85,'[14]0925'!$A$4:$O$150,8,FALSE))</f>
        <v/>
      </c>
      <c r="Q85" s="4" t="str">
        <f>IF(VLOOKUP($A85,'[15]0922'!$A$4:$O$150,8,FALSE)="",VLOOKUP($A85,'[15]0922'!$A$4:$O$150,12,FALSE),VLOOKUP($A85,'[15]0922'!$A$4:$O$150,8,FALSE))</f>
        <v/>
      </c>
      <c r="R85" s="4" t="str">
        <f>IF(VLOOKUP($A85,'[16]0921'!$A$4:$O$150,8,FALSE)="",VLOOKUP($A85,'[16]0921'!$A$4:$O$150,12,FALSE),VLOOKUP($A85,'[16]0921'!$A$4:$O$150,8,FALSE))</f>
        <v/>
      </c>
      <c r="S85" s="4" t="str">
        <f>IF(VLOOKUP($A85,'[17]0920'!$A$4:$O$150,8,FALSE)="",VLOOKUP($A85,'[17]0920'!$A$4:$O$150,12,FALSE),VLOOKUP($A85,'[17]0920'!$A$4:$O$150,8,FALSE))</f>
        <v/>
      </c>
      <c r="T85" s="4" t="s">
        <v>0</v>
      </c>
      <c r="U85" s="4" t="s">
        <v>0</v>
      </c>
      <c r="W85" s="4" t="s">
        <v>0</v>
      </c>
      <c r="X85" s="4" t="s">
        <v>0</v>
      </c>
      <c r="Y85" s="4" t="s">
        <v>0</v>
      </c>
      <c r="Z85" s="4" t="s">
        <v>0</v>
      </c>
      <c r="AA85" s="4" t="s">
        <v>0</v>
      </c>
      <c r="AB85" s="4" t="s">
        <v>0</v>
      </c>
      <c r="AC85" s="4" t="s">
        <v>0</v>
      </c>
      <c r="AD85" s="4" t="s">
        <v>0</v>
      </c>
      <c r="AE85" s="4" t="s">
        <v>0</v>
      </c>
      <c r="AF85" s="4" t="s">
        <v>0</v>
      </c>
      <c r="AG85" s="4" t="s">
        <v>0</v>
      </c>
      <c r="AH85" s="4" t="s">
        <v>0</v>
      </c>
      <c r="AI85" s="4" t="s">
        <v>0</v>
      </c>
      <c r="AJ85" s="4" t="s">
        <v>0</v>
      </c>
      <c r="AK85" s="4" t="s">
        <v>0</v>
      </c>
      <c r="AL85" s="4" t="s">
        <v>0</v>
      </c>
      <c r="AM85" s="4" t="s">
        <v>0</v>
      </c>
      <c r="AN85" s="4" t="s">
        <v>0</v>
      </c>
      <c r="AP85" s="4" t="s">
        <v>0</v>
      </c>
      <c r="AQ85" s="4" t="s">
        <v>0</v>
      </c>
      <c r="AR85" s="4" t="s">
        <v>0</v>
      </c>
      <c r="AU85" s="4" t="s">
        <v>0</v>
      </c>
    </row>
    <row r="86" spans="1:47">
      <c r="A86" s="3" t="s">
        <v>44</v>
      </c>
      <c r="B86" s="5">
        <f>VLOOKUP($A86,'[21]1013'!$A$4:$O$321,4,FALSE)</f>
        <v>11.75</v>
      </c>
      <c r="C86" s="5">
        <v>12.94</v>
      </c>
      <c r="D86" s="5">
        <f>VLOOKUP($A86,'[21]1013'!$A$4:$O$321,15,FALSE)</f>
        <v>1.3401000000000001</v>
      </c>
      <c r="E86" s="4" t="str">
        <f>IF(VLOOKUP($A86,'[21]1013'!$A$4:$O$150,8,FALSE)="",VLOOKUP($A86,'[21]1013'!$A$4:$O$150,12,FALSE),VLOOKUP($A86,'[21]1013'!$A$4:$O$150,8,FALSE))</f>
        <v/>
      </c>
      <c r="F86" s="4" t="str">
        <f>IF(VLOOKUP($A86,'[7]1012'!$A$4:$O$150,8,FALSE)="",VLOOKUP($A86,'[7]1012'!$A$4:$O$150,12,FALSE),VLOOKUP($A86,'[7]1012'!$A$4:$O$150,8,FALSE))</f>
        <v/>
      </c>
      <c r="G86" s="4" t="str">
        <f>IF(VLOOKUP($A86,'[8]1011'!$A$4:$O$150,8,FALSE)="",VLOOKUP($A86,'[8]1011'!$A$4:$O$150,12,FALSE),VLOOKUP($A86,'[8]1011'!$A$4:$O$150,8,FALSE))</f>
        <v/>
      </c>
      <c r="H86" s="106"/>
      <c r="I86" s="4" t="str">
        <f>IF(VLOOKUP($A86,'[9]1005'!$A$4:$O$150,8,FALSE)="",VLOOKUP($A86,'[9]1005'!$A$4:$O$150,12,FALSE),VLOOKUP($A86,'[9]1005'!$A$4:$O$150,8,FALSE))</f>
        <v/>
      </c>
      <c r="J86" s="4" t="str">
        <f>IF(VLOOKUP($A86,'[10]1004'!$A$4:$O$150,8,FALSE)="",VLOOKUP($A86,'[10]1004'!$A$4:$O$150,12,FALSE),VLOOKUP($A86,'[10]1004'!$A$4:$O$150,8,FALSE))</f>
        <v/>
      </c>
      <c r="K86" s="4" t="str">
        <f>IF(VLOOKUP($A86,'[11]1003'!$A$4:$O$150,8,FALSE)="",VLOOKUP($A86,'[11]1003'!$A$4:$O$150,12,FALSE),VLOOKUP($A86,'[11]1003'!$A$4:$O$150,8,FALSE))</f>
        <v/>
      </c>
      <c r="L86" s="4" t="str">
        <f>IF(VLOOKUP($A86,'[12]1002'!$A$4:$O$150,8,FALSE)="",VLOOKUP($A86,'[12]1002'!$A$4:$O$150,12,FALSE),VLOOKUP($A86,'[12]1002'!$A$4:$O$150,8,FALSE))</f>
        <v/>
      </c>
      <c r="M86" s="106"/>
      <c r="N86" s="4" t="str">
        <f>IF(VLOOKUP($A86,'[13]0927'!$A$4:$O$150,8,FALSE)="",VLOOKUP($A86,'[13]0927'!$A$4:$O$150,12,FALSE),VLOOKUP($A86,'[13]0927'!$A$4:$O$150,8,FALSE))</f>
        <v/>
      </c>
      <c r="O86" s="5"/>
      <c r="P86" s="4" t="str">
        <f>IF(VLOOKUP($A86,'[14]0925'!$A$4:$O$150,8,FALSE)="",VLOOKUP($A86,'[14]0925'!$A$4:$O$150,12,FALSE),VLOOKUP($A86,'[14]0925'!$A$4:$O$150,8,FALSE))</f>
        <v/>
      </c>
      <c r="Q86" s="4" t="str">
        <f>IF(VLOOKUP($A86,'[15]0922'!$A$4:$O$150,8,FALSE)="",VLOOKUP($A86,'[15]0922'!$A$4:$O$150,12,FALSE),VLOOKUP($A86,'[15]0922'!$A$4:$O$150,8,FALSE))</f>
        <v/>
      </c>
      <c r="R86" s="4" t="str">
        <f>IF(VLOOKUP($A86,'[16]0921'!$A$4:$O$150,8,FALSE)="",VLOOKUP($A86,'[16]0921'!$A$4:$O$150,12,FALSE),VLOOKUP($A86,'[16]0921'!$A$4:$O$150,8,FALSE))</f>
        <v/>
      </c>
      <c r="S86" s="4" t="str">
        <f>IF(VLOOKUP($A86,'[17]0920'!$A$4:$O$150,8,FALSE)="",VLOOKUP($A86,'[17]0920'!$A$4:$O$150,12,FALSE),VLOOKUP($A86,'[17]0920'!$A$4:$O$150,8,FALSE))</f>
        <v/>
      </c>
      <c r="T86" s="4" t="s">
        <v>0</v>
      </c>
      <c r="U86" s="4" t="s">
        <v>0</v>
      </c>
      <c r="W86" s="4" t="s">
        <v>0</v>
      </c>
      <c r="X86" s="4" t="s">
        <v>0</v>
      </c>
      <c r="Y86" s="4" t="s">
        <v>0</v>
      </c>
      <c r="Z86" s="4" t="s">
        <v>0</v>
      </c>
      <c r="AA86" s="4" t="s">
        <v>0</v>
      </c>
      <c r="AB86" s="4" t="s">
        <v>0</v>
      </c>
      <c r="AC86" s="4" t="s">
        <v>0</v>
      </c>
      <c r="AD86" s="4" t="s">
        <v>0</v>
      </c>
      <c r="AE86" s="4" t="s">
        <v>0</v>
      </c>
      <c r="AF86" s="4" t="s">
        <v>0</v>
      </c>
      <c r="AG86" s="4" t="s">
        <v>0</v>
      </c>
      <c r="AH86" s="4" t="s">
        <v>0</v>
      </c>
      <c r="AI86" s="4" t="s">
        <v>0</v>
      </c>
      <c r="AJ86" s="4" t="s">
        <v>0</v>
      </c>
      <c r="AK86" s="4" t="s">
        <v>0</v>
      </c>
      <c r="AL86" s="4" t="s">
        <v>0</v>
      </c>
      <c r="AM86" s="4" t="s">
        <v>0</v>
      </c>
      <c r="AN86" s="4" t="s">
        <v>0</v>
      </c>
      <c r="AP86" s="4" t="s">
        <v>0</v>
      </c>
      <c r="AQ86" s="4" t="s">
        <v>0</v>
      </c>
      <c r="AR86" s="4" t="s">
        <v>0</v>
      </c>
      <c r="AU86" s="4" t="s">
        <v>0</v>
      </c>
    </row>
    <row r="87" spans="1:47">
      <c r="A87" s="3" t="s">
        <v>35</v>
      </c>
      <c r="B87" s="5">
        <f>VLOOKUP($A87,'[21]1013'!$A$4:$O$321,4,FALSE)</f>
        <v>11.77</v>
      </c>
      <c r="C87" s="5">
        <v>13.53</v>
      </c>
      <c r="D87" s="5">
        <f>VLOOKUP($A87,'[21]1013'!$A$4:$O$321,15,FALSE)</f>
        <v>1.3471</v>
      </c>
      <c r="E87" s="4" t="str">
        <f>IF(VLOOKUP($A87,'[21]1013'!$A$4:$O$150,8,FALSE)="",VLOOKUP($A87,'[21]1013'!$A$4:$O$150,12,FALSE),VLOOKUP($A87,'[21]1013'!$A$4:$O$150,8,FALSE))</f>
        <v/>
      </c>
      <c r="F87" s="4" t="str">
        <f>IF(VLOOKUP($A87,'[7]1012'!$A$4:$O$150,8,FALSE)="",VLOOKUP($A87,'[7]1012'!$A$4:$O$150,12,FALSE),VLOOKUP($A87,'[7]1012'!$A$4:$O$150,8,FALSE))</f>
        <v/>
      </c>
      <c r="G87" s="4" t="str">
        <f>IF(VLOOKUP($A87,'[8]1011'!$A$4:$O$150,8,FALSE)="",VLOOKUP($A87,'[8]1011'!$A$4:$O$150,12,FALSE),VLOOKUP($A87,'[8]1011'!$A$4:$O$150,8,FALSE))</f>
        <v/>
      </c>
      <c r="H87" s="106"/>
      <c r="I87" s="4" t="str">
        <f>IF(VLOOKUP($A87,'[9]1005'!$A$4:$O$150,8,FALSE)="",VLOOKUP($A87,'[9]1005'!$A$4:$O$150,12,FALSE),VLOOKUP($A87,'[9]1005'!$A$4:$O$150,8,FALSE))</f>
        <v/>
      </c>
      <c r="J87" s="4" t="str">
        <f>IF(VLOOKUP($A87,'[10]1004'!$A$4:$O$150,8,FALSE)="",VLOOKUP($A87,'[10]1004'!$A$4:$O$150,12,FALSE),VLOOKUP($A87,'[10]1004'!$A$4:$O$150,8,FALSE))</f>
        <v/>
      </c>
      <c r="K87" s="4" t="str">
        <f>IF(VLOOKUP($A87,'[11]1003'!$A$4:$O$150,8,FALSE)="",VLOOKUP($A87,'[11]1003'!$A$4:$O$150,12,FALSE),VLOOKUP($A87,'[11]1003'!$A$4:$O$150,8,FALSE))</f>
        <v/>
      </c>
      <c r="L87" s="4" t="str">
        <f>IF(VLOOKUP($A87,'[12]1002'!$A$4:$O$150,8,FALSE)="",VLOOKUP($A87,'[12]1002'!$A$4:$O$150,12,FALSE),VLOOKUP($A87,'[12]1002'!$A$4:$O$150,8,FALSE))</f>
        <v/>
      </c>
      <c r="M87" s="106"/>
      <c r="N87" s="4" t="str">
        <f>IF(VLOOKUP($A87,'[13]0927'!$A$4:$O$150,8,FALSE)="",VLOOKUP($A87,'[13]0927'!$A$4:$O$150,12,FALSE),VLOOKUP($A87,'[13]0927'!$A$4:$O$150,8,FALSE))</f>
        <v/>
      </c>
      <c r="O87" s="5"/>
      <c r="P87" s="4" t="str">
        <f>IF(VLOOKUP($A87,'[14]0925'!$A$4:$O$150,8,FALSE)="",VLOOKUP($A87,'[14]0925'!$A$4:$O$150,12,FALSE),VLOOKUP($A87,'[14]0925'!$A$4:$O$150,8,FALSE))</f>
        <v/>
      </c>
      <c r="Q87" s="4" t="str">
        <f>IF(VLOOKUP($A87,'[15]0922'!$A$4:$O$150,8,FALSE)="",VLOOKUP($A87,'[15]0922'!$A$4:$O$150,12,FALSE),VLOOKUP($A87,'[15]0922'!$A$4:$O$150,8,FALSE))</f>
        <v/>
      </c>
      <c r="R87" s="4" t="str">
        <f>IF(VLOOKUP($A87,'[16]0921'!$A$4:$O$150,8,FALSE)="",VLOOKUP($A87,'[16]0921'!$A$4:$O$150,12,FALSE),VLOOKUP($A87,'[16]0921'!$A$4:$O$150,8,FALSE))</f>
        <v/>
      </c>
      <c r="S87" s="4" t="str">
        <f>IF(VLOOKUP($A87,'[17]0920'!$A$4:$O$150,8,FALSE)="",VLOOKUP($A87,'[17]0920'!$A$4:$O$150,12,FALSE),VLOOKUP($A87,'[17]0920'!$A$4:$O$150,8,FALSE))</f>
        <v/>
      </c>
      <c r="T87" s="4" t="s">
        <v>0</v>
      </c>
      <c r="U87" s="4" t="s">
        <v>0</v>
      </c>
      <c r="W87" s="4" t="s">
        <v>0</v>
      </c>
      <c r="X87" s="4" t="s">
        <v>0</v>
      </c>
      <c r="Y87" s="4" t="s">
        <v>0</v>
      </c>
      <c r="Z87" s="4" t="s">
        <v>0</v>
      </c>
      <c r="AA87" s="4" t="s">
        <v>0</v>
      </c>
      <c r="AB87" s="4" t="s">
        <v>0</v>
      </c>
      <c r="AC87" s="4" t="s">
        <v>0</v>
      </c>
      <c r="AD87" s="4" t="s">
        <v>0</v>
      </c>
      <c r="AE87" s="4" t="s">
        <v>0</v>
      </c>
      <c r="AF87" s="4" t="s">
        <v>0</v>
      </c>
      <c r="AG87" s="4" t="s">
        <v>0</v>
      </c>
      <c r="AH87" s="4" t="s">
        <v>0</v>
      </c>
      <c r="AI87" s="4" t="s">
        <v>0</v>
      </c>
      <c r="AJ87" s="4" t="s">
        <v>0</v>
      </c>
      <c r="AK87" s="4" t="s">
        <v>0</v>
      </c>
      <c r="AL87" s="4" t="s">
        <v>0</v>
      </c>
      <c r="AM87" s="4" t="s">
        <v>0</v>
      </c>
      <c r="AN87" s="4" t="s">
        <v>0</v>
      </c>
      <c r="AP87" s="4" t="s">
        <v>0</v>
      </c>
      <c r="AQ87" s="4" t="s">
        <v>0</v>
      </c>
      <c r="AR87" s="4" t="s">
        <v>0</v>
      </c>
      <c r="AU87" s="4" t="s">
        <v>0</v>
      </c>
    </row>
    <row r="88" spans="1:47">
      <c r="A88" s="3" t="s">
        <v>65</v>
      </c>
      <c r="B88" s="5">
        <f>VLOOKUP($A88,'[21]1013'!$A$4:$O$321,4,FALSE)</f>
        <v>12.41</v>
      </c>
      <c r="C88" s="5">
        <v>14.02</v>
      </c>
      <c r="D88" s="5">
        <f>VLOOKUP($A88,'[21]1013'!$A$4:$O$321,15,FALSE)</f>
        <v>1.3567</v>
      </c>
      <c r="E88" s="4" t="str">
        <f>IF(VLOOKUP($A88,'[21]1013'!$A$4:$O$150,8,FALSE)="",VLOOKUP($A88,'[21]1013'!$A$4:$O$150,12,FALSE),VLOOKUP($A88,'[21]1013'!$A$4:$O$150,8,FALSE))</f>
        <v/>
      </c>
      <c r="F88" s="4" t="str">
        <f>IF(VLOOKUP($A88,'[7]1012'!$A$4:$O$150,8,FALSE)="",VLOOKUP($A88,'[7]1012'!$A$4:$O$150,12,FALSE),VLOOKUP($A88,'[7]1012'!$A$4:$O$150,8,FALSE))</f>
        <v/>
      </c>
      <c r="G88" s="4" t="str">
        <f>IF(VLOOKUP($A88,'[8]1011'!$A$4:$O$150,8,FALSE)="",VLOOKUP($A88,'[8]1011'!$A$4:$O$150,12,FALSE),VLOOKUP($A88,'[8]1011'!$A$4:$O$150,8,FALSE))</f>
        <v/>
      </c>
      <c r="H88" s="106"/>
      <c r="I88" s="4" t="str">
        <f>IF(VLOOKUP($A88,'[9]1005'!$A$4:$O$150,8,FALSE)="",VLOOKUP($A88,'[9]1005'!$A$4:$O$150,12,FALSE),VLOOKUP($A88,'[9]1005'!$A$4:$O$150,8,FALSE))</f>
        <v/>
      </c>
      <c r="J88" s="4" t="str">
        <f>IF(VLOOKUP($A88,'[10]1004'!$A$4:$O$150,8,FALSE)="",VLOOKUP($A88,'[10]1004'!$A$4:$O$150,12,FALSE),VLOOKUP($A88,'[10]1004'!$A$4:$O$150,8,FALSE))</f>
        <v/>
      </c>
      <c r="K88" s="4" t="str">
        <f>IF(VLOOKUP($A88,'[11]1003'!$A$4:$O$150,8,FALSE)="",VLOOKUP($A88,'[11]1003'!$A$4:$O$150,12,FALSE),VLOOKUP($A88,'[11]1003'!$A$4:$O$150,8,FALSE))</f>
        <v/>
      </c>
      <c r="L88" s="4" t="str">
        <f>IF(VLOOKUP($A88,'[12]1002'!$A$4:$O$150,8,FALSE)="",VLOOKUP($A88,'[12]1002'!$A$4:$O$150,12,FALSE),VLOOKUP($A88,'[12]1002'!$A$4:$O$150,8,FALSE))</f>
        <v/>
      </c>
      <c r="M88" s="106"/>
      <c r="N88" s="4" t="str">
        <f>IF(VLOOKUP($A88,'[13]0927'!$A$4:$O$150,8,FALSE)="",VLOOKUP($A88,'[13]0927'!$A$4:$O$150,12,FALSE),VLOOKUP($A88,'[13]0927'!$A$4:$O$150,8,FALSE))</f>
        <v/>
      </c>
      <c r="O88" s="5"/>
      <c r="P88" s="4" t="str">
        <f>IF(VLOOKUP($A88,'[14]0925'!$A$4:$O$150,8,FALSE)="",VLOOKUP($A88,'[14]0925'!$A$4:$O$150,12,FALSE),VLOOKUP($A88,'[14]0925'!$A$4:$O$150,8,FALSE))</f>
        <v/>
      </c>
      <c r="Q88" s="4" t="str">
        <f>IF(VLOOKUP($A88,'[15]0922'!$A$4:$O$150,8,FALSE)="",VLOOKUP($A88,'[15]0922'!$A$4:$O$150,12,FALSE),VLOOKUP($A88,'[15]0922'!$A$4:$O$150,8,FALSE))</f>
        <v/>
      </c>
      <c r="R88" s="4" t="str">
        <f>IF(VLOOKUP($A88,'[16]0921'!$A$4:$O$150,8,FALSE)="",VLOOKUP($A88,'[16]0921'!$A$4:$O$150,12,FALSE),VLOOKUP($A88,'[16]0921'!$A$4:$O$150,8,FALSE))</f>
        <v/>
      </c>
      <c r="S88" s="4" t="str">
        <f>IF(VLOOKUP($A88,'[17]0920'!$A$4:$O$150,8,FALSE)="",VLOOKUP($A88,'[17]0920'!$A$4:$O$150,12,FALSE),VLOOKUP($A88,'[17]0920'!$A$4:$O$150,8,FALSE))</f>
        <v/>
      </c>
      <c r="T88" s="4" t="s">
        <v>0</v>
      </c>
      <c r="U88" s="4" t="s">
        <v>0</v>
      </c>
      <c r="W88" s="4" t="s">
        <v>0</v>
      </c>
      <c r="X88" s="4" t="s">
        <v>0</v>
      </c>
      <c r="Y88" s="4" t="s">
        <v>0</v>
      </c>
      <c r="Z88" s="4" t="s">
        <v>0</v>
      </c>
      <c r="AA88" s="4" t="s">
        <v>0</v>
      </c>
      <c r="AB88" s="4" t="s">
        <v>0</v>
      </c>
      <c r="AC88" s="4" t="s">
        <v>0</v>
      </c>
      <c r="AD88" s="4" t="s">
        <v>0</v>
      </c>
      <c r="AE88" s="4" t="s">
        <v>0</v>
      </c>
      <c r="AF88" s="4" t="s">
        <v>0</v>
      </c>
      <c r="AG88" s="4" t="s">
        <v>0</v>
      </c>
      <c r="AH88" s="4" t="s">
        <v>0</v>
      </c>
      <c r="AI88" s="4" t="s">
        <v>0</v>
      </c>
      <c r="AJ88" s="4" t="s">
        <v>0</v>
      </c>
      <c r="AK88" s="4" t="s">
        <v>0</v>
      </c>
      <c r="AL88" s="4" t="s">
        <v>0</v>
      </c>
      <c r="AM88" s="4" t="s">
        <v>0</v>
      </c>
      <c r="AN88" s="4" t="s">
        <v>0</v>
      </c>
      <c r="AP88" s="4" t="s">
        <v>0</v>
      </c>
      <c r="AQ88" s="4" t="s">
        <v>0</v>
      </c>
      <c r="AR88" s="4" t="s">
        <v>0</v>
      </c>
      <c r="AU88" s="4" t="s">
        <v>0</v>
      </c>
    </row>
    <row r="89" spans="1:47">
      <c r="A89" s="3" t="s">
        <v>66</v>
      </c>
      <c r="B89" s="5">
        <f>VLOOKUP($A89,'[21]1013'!$A$4:$O$321,4,FALSE)</f>
        <v>12.89</v>
      </c>
      <c r="C89" s="5">
        <v>14.59</v>
      </c>
      <c r="D89" s="5">
        <f>VLOOKUP($A89,'[21]1013'!$A$4:$O$321,15,FALSE)</f>
        <v>1.3673</v>
      </c>
      <c r="E89" s="4">
        <f>IF(VLOOKUP($A89,'[21]1013'!$A$4:$O$150,8,FALSE)="",VLOOKUP($A89,'[21]1013'!$A$4:$O$150,12,FALSE),VLOOKUP($A89,'[21]1013'!$A$4:$O$150,8,FALSE))</f>
        <v>1.375</v>
      </c>
      <c r="F89" s="4" t="str">
        <f>IF(VLOOKUP($A89,'[7]1012'!$A$4:$O$150,8,FALSE)="",VLOOKUP($A89,'[7]1012'!$A$4:$O$150,12,FALSE),VLOOKUP($A89,'[7]1012'!$A$4:$O$150,8,FALSE))</f>
        <v/>
      </c>
      <c r="G89" s="4" t="str">
        <f>IF(VLOOKUP($A89,'[8]1011'!$A$4:$O$150,8,FALSE)="",VLOOKUP($A89,'[8]1011'!$A$4:$O$150,12,FALSE),VLOOKUP($A89,'[8]1011'!$A$4:$O$150,8,FALSE))</f>
        <v/>
      </c>
      <c r="H89" s="106"/>
      <c r="I89" s="4" t="str">
        <f>IF(VLOOKUP($A89,'[9]1005'!$A$4:$O$150,8,FALSE)="",VLOOKUP($A89,'[9]1005'!$A$4:$O$150,12,FALSE),VLOOKUP($A89,'[9]1005'!$A$4:$O$150,8,FALSE))</f>
        <v/>
      </c>
      <c r="J89" s="4" t="str">
        <f>IF(VLOOKUP($A89,'[10]1004'!$A$4:$O$150,8,FALSE)="",VLOOKUP($A89,'[10]1004'!$A$4:$O$150,12,FALSE),VLOOKUP($A89,'[10]1004'!$A$4:$O$150,8,FALSE))</f>
        <v/>
      </c>
      <c r="K89" s="4" t="str">
        <f>IF(VLOOKUP($A89,'[11]1003'!$A$4:$O$150,8,FALSE)="",VLOOKUP($A89,'[11]1003'!$A$4:$O$150,12,FALSE),VLOOKUP($A89,'[11]1003'!$A$4:$O$150,8,FALSE))</f>
        <v/>
      </c>
      <c r="L89" s="4" t="str">
        <f>IF(VLOOKUP($A89,'[12]1002'!$A$4:$O$150,8,FALSE)="",VLOOKUP($A89,'[12]1002'!$A$4:$O$150,12,FALSE),VLOOKUP($A89,'[12]1002'!$A$4:$O$150,8,FALSE))</f>
        <v/>
      </c>
      <c r="M89" s="106"/>
      <c r="N89" s="4" t="str">
        <f>IF(VLOOKUP($A89,'[13]0927'!$A$4:$O$150,8,FALSE)="",VLOOKUP($A89,'[13]0927'!$A$4:$O$150,12,FALSE),VLOOKUP($A89,'[13]0927'!$A$4:$O$150,8,FALSE))</f>
        <v/>
      </c>
      <c r="O89" s="5"/>
      <c r="P89" s="4" t="str">
        <f>IF(VLOOKUP($A89,'[14]0925'!$A$4:$O$150,8,FALSE)="",VLOOKUP($A89,'[14]0925'!$A$4:$O$150,12,FALSE),VLOOKUP($A89,'[14]0925'!$A$4:$O$150,8,FALSE))</f>
        <v/>
      </c>
      <c r="Q89" s="4" t="str">
        <f>IF(VLOOKUP($A89,'[15]0922'!$A$4:$O$150,8,FALSE)="",VLOOKUP($A89,'[15]0922'!$A$4:$O$150,12,FALSE),VLOOKUP($A89,'[15]0922'!$A$4:$O$150,8,FALSE))</f>
        <v/>
      </c>
      <c r="R89" s="4" t="str">
        <f>IF(VLOOKUP($A89,'[16]0921'!$A$4:$O$150,8,FALSE)="",VLOOKUP($A89,'[16]0921'!$A$4:$O$150,12,FALSE),VLOOKUP($A89,'[16]0921'!$A$4:$O$150,8,FALSE))</f>
        <v/>
      </c>
      <c r="S89" s="4" t="str">
        <f>IF(VLOOKUP($A89,'[17]0920'!$A$4:$O$150,8,FALSE)="",VLOOKUP($A89,'[17]0920'!$A$4:$O$150,12,FALSE),VLOOKUP($A89,'[17]0920'!$A$4:$O$150,8,FALSE))</f>
        <v/>
      </c>
      <c r="T89" s="4" t="s">
        <v>0</v>
      </c>
      <c r="U89" s="4" t="s">
        <v>0</v>
      </c>
      <c r="W89" s="4" t="s">
        <v>0</v>
      </c>
      <c r="X89" s="4" t="s">
        <v>0</v>
      </c>
      <c r="Y89" s="4" t="s">
        <v>0</v>
      </c>
      <c r="Z89" s="4" t="s">
        <v>0</v>
      </c>
      <c r="AA89" s="4" t="s">
        <v>0</v>
      </c>
      <c r="AB89" s="4" t="s">
        <v>0</v>
      </c>
      <c r="AC89" s="4" t="s">
        <v>0</v>
      </c>
      <c r="AD89" s="4" t="s">
        <v>0</v>
      </c>
      <c r="AE89" s="4" t="s">
        <v>0</v>
      </c>
      <c r="AF89" s="4" t="s">
        <v>0</v>
      </c>
      <c r="AG89" s="4" t="s">
        <v>0</v>
      </c>
      <c r="AH89" s="4" t="s">
        <v>0</v>
      </c>
      <c r="AI89" s="4" t="s">
        <v>0</v>
      </c>
      <c r="AJ89" s="4" t="s">
        <v>0</v>
      </c>
      <c r="AK89" s="4" t="s">
        <v>0</v>
      </c>
      <c r="AL89" s="4" t="s">
        <v>0</v>
      </c>
      <c r="AM89" s="4" t="s">
        <v>0</v>
      </c>
      <c r="AN89" s="4" t="s">
        <v>0</v>
      </c>
      <c r="AP89" s="4" t="s">
        <v>0</v>
      </c>
      <c r="AQ89" s="4" t="s">
        <v>0</v>
      </c>
      <c r="AR89" s="4" t="s">
        <v>0</v>
      </c>
      <c r="AU89" s="4" t="s">
        <v>0</v>
      </c>
    </row>
    <row r="90" spans="1:47">
      <c r="A90" s="3" t="s">
        <v>67</v>
      </c>
      <c r="B90" s="5">
        <f>VLOOKUP($A90,'[21]1013'!$A$4:$O$321,4,FALSE)</f>
        <v>13.6</v>
      </c>
      <c r="C90" s="5">
        <v>15.12</v>
      </c>
      <c r="D90" s="5">
        <f>VLOOKUP($A90,'[21]1013'!$A$4:$O$321,15,FALSE)</f>
        <v>1.3782000000000001</v>
      </c>
      <c r="E90" s="4" t="str">
        <f>IF(VLOOKUP($A90,'[21]1013'!$A$4:$O$150,8,FALSE)="",VLOOKUP($A90,'[21]1013'!$A$4:$O$150,12,FALSE),VLOOKUP($A90,'[21]1013'!$A$4:$O$150,8,FALSE))</f>
        <v/>
      </c>
      <c r="F90" s="4" t="str">
        <f>IF(VLOOKUP($A90,'[7]1012'!$A$4:$O$150,8,FALSE)="",VLOOKUP($A90,'[7]1012'!$A$4:$O$150,12,FALSE),VLOOKUP($A90,'[7]1012'!$A$4:$O$150,8,FALSE))</f>
        <v/>
      </c>
      <c r="G90" s="4" t="str">
        <f>IF(VLOOKUP($A90,'[8]1011'!$A$4:$O$150,8,FALSE)="",VLOOKUP($A90,'[8]1011'!$A$4:$O$150,12,FALSE),VLOOKUP($A90,'[8]1011'!$A$4:$O$150,8,FALSE))</f>
        <v/>
      </c>
      <c r="H90" s="106"/>
      <c r="I90" s="4" t="str">
        <f>IF(VLOOKUP($A90,'[9]1005'!$A$4:$O$150,8,FALSE)="",VLOOKUP($A90,'[9]1005'!$A$4:$O$150,12,FALSE),VLOOKUP($A90,'[9]1005'!$A$4:$O$150,8,FALSE))</f>
        <v/>
      </c>
      <c r="J90" s="4" t="str">
        <f>IF(VLOOKUP($A90,'[10]1004'!$A$4:$O$150,8,FALSE)="",VLOOKUP($A90,'[10]1004'!$A$4:$O$150,12,FALSE),VLOOKUP($A90,'[10]1004'!$A$4:$O$150,8,FALSE))</f>
        <v/>
      </c>
      <c r="K90" s="4" t="str">
        <f>IF(VLOOKUP($A90,'[11]1003'!$A$4:$O$150,8,FALSE)="",VLOOKUP($A90,'[11]1003'!$A$4:$O$150,12,FALSE),VLOOKUP($A90,'[11]1003'!$A$4:$O$150,8,FALSE))</f>
        <v/>
      </c>
      <c r="L90" s="4" t="str">
        <f>IF(VLOOKUP($A90,'[12]1002'!$A$4:$O$150,8,FALSE)="",VLOOKUP($A90,'[12]1002'!$A$4:$O$150,12,FALSE),VLOOKUP($A90,'[12]1002'!$A$4:$O$150,8,FALSE))</f>
        <v/>
      </c>
      <c r="M90" s="106"/>
      <c r="N90" s="4" t="str">
        <f>IF(VLOOKUP($A90,'[13]0927'!$A$4:$O$150,8,FALSE)="",VLOOKUP($A90,'[13]0927'!$A$4:$O$150,12,FALSE),VLOOKUP($A90,'[13]0927'!$A$4:$O$150,8,FALSE))</f>
        <v/>
      </c>
      <c r="O90" s="5"/>
      <c r="P90" s="4" t="str">
        <f>IF(VLOOKUP($A90,'[14]0925'!$A$4:$O$150,8,FALSE)="",VLOOKUP($A90,'[14]0925'!$A$4:$O$150,12,FALSE),VLOOKUP($A90,'[14]0925'!$A$4:$O$150,8,FALSE))</f>
        <v/>
      </c>
      <c r="Q90" s="4" t="str">
        <f>IF(VLOOKUP($A90,'[15]0922'!$A$4:$O$150,8,FALSE)="",VLOOKUP($A90,'[15]0922'!$A$4:$O$150,12,FALSE),VLOOKUP($A90,'[15]0922'!$A$4:$O$150,8,FALSE))</f>
        <v/>
      </c>
      <c r="R90" s="4" t="str">
        <f>IF(VLOOKUP($A90,'[16]0921'!$A$4:$O$150,8,FALSE)="",VLOOKUP($A90,'[16]0921'!$A$4:$O$150,12,FALSE),VLOOKUP($A90,'[16]0921'!$A$4:$O$150,8,FALSE))</f>
        <v/>
      </c>
      <c r="S90" s="4" t="str">
        <f>IF(VLOOKUP($A90,'[17]0920'!$A$4:$O$150,8,FALSE)="",VLOOKUP($A90,'[17]0920'!$A$4:$O$150,12,FALSE),VLOOKUP($A90,'[17]0920'!$A$4:$O$150,8,FALSE))</f>
        <v/>
      </c>
      <c r="T90" s="4" t="s">
        <v>0</v>
      </c>
      <c r="U90" s="4" t="s">
        <v>0</v>
      </c>
      <c r="W90" s="4" t="s">
        <v>0</v>
      </c>
      <c r="X90" s="4" t="s">
        <v>0</v>
      </c>
      <c r="Y90" s="4" t="s">
        <v>0</v>
      </c>
      <c r="Z90" s="4" t="s">
        <v>0</v>
      </c>
      <c r="AA90" s="4" t="s">
        <v>0</v>
      </c>
      <c r="AB90" s="4" t="s">
        <v>0</v>
      </c>
      <c r="AC90" s="4" t="s">
        <v>0</v>
      </c>
      <c r="AD90" s="4" t="s">
        <v>0</v>
      </c>
      <c r="AE90" s="4" t="s">
        <v>0</v>
      </c>
      <c r="AF90" s="4" t="s">
        <v>0</v>
      </c>
      <c r="AG90" s="4" t="s">
        <v>0</v>
      </c>
      <c r="AH90" s="4" t="s">
        <v>0</v>
      </c>
      <c r="AI90" s="4" t="s">
        <v>0</v>
      </c>
      <c r="AJ90" s="4" t="s">
        <v>0</v>
      </c>
      <c r="AK90" s="4" t="s">
        <v>0</v>
      </c>
      <c r="AL90" s="4" t="s">
        <v>0</v>
      </c>
      <c r="AM90" s="4" t="s">
        <v>0</v>
      </c>
      <c r="AN90" s="4" t="s">
        <v>0</v>
      </c>
      <c r="AP90" s="4" t="s">
        <v>0</v>
      </c>
      <c r="AQ90" s="4" t="s">
        <v>0</v>
      </c>
      <c r="AR90" s="4" t="s">
        <v>0</v>
      </c>
      <c r="AU90" s="4" t="s">
        <v>0</v>
      </c>
    </row>
    <row r="91" spans="1:47">
      <c r="A91" s="3" t="s">
        <v>22</v>
      </c>
      <c r="B91" s="5">
        <f>VLOOKUP($A91,'[21]1013'!$A$4:$O$321,4,FALSE)</f>
        <v>13.59</v>
      </c>
      <c r="C91" s="5">
        <v>16.47</v>
      </c>
      <c r="D91" s="5">
        <f>VLOOKUP($A91,'[21]1013'!$A$4:$O$321,15,FALSE)</f>
        <v>1.3955</v>
      </c>
      <c r="E91" s="4" t="str">
        <f>IF(VLOOKUP($A91,'[21]1013'!$A$4:$O$150,8,FALSE)="",VLOOKUP($A91,'[21]1013'!$A$4:$O$150,12,FALSE),VLOOKUP($A91,'[21]1013'!$A$4:$O$150,8,FALSE))</f>
        <v/>
      </c>
      <c r="F91" s="4" t="str">
        <f>IF(VLOOKUP($A91,'[7]1012'!$A$4:$O$150,8,FALSE)="",VLOOKUP($A91,'[7]1012'!$A$4:$O$150,12,FALSE),VLOOKUP($A91,'[7]1012'!$A$4:$O$150,8,FALSE))</f>
        <v/>
      </c>
      <c r="G91" s="4" t="str">
        <f>IF(VLOOKUP($A91,'[8]1011'!$A$4:$O$150,8,FALSE)="",VLOOKUP($A91,'[8]1011'!$A$4:$O$150,12,FALSE),VLOOKUP($A91,'[8]1011'!$A$4:$O$150,8,FALSE))</f>
        <v/>
      </c>
      <c r="H91" s="106"/>
      <c r="I91" s="4" t="str">
        <f>IF(VLOOKUP($A91,'[9]1005'!$A$4:$O$150,8,FALSE)="",VLOOKUP($A91,'[9]1005'!$A$4:$O$150,12,FALSE),VLOOKUP($A91,'[9]1005'!$A$4:$O$150,8,FALSE))</f>
        <v/>
      </c>
      <c r="J91" s="4" t="str">
        <f>IF(VLOOKUP($A91,'[10]1004'!$A$4:$O$150,8,FALSE)="",VLOOKUP($A91,'[10]1004'!$A$4:$O$150,12,FALSE),VLOOKUP($A91,'[10]1004'!$A$4:$O$150,8,FALSE))</f>
        <v/>
      </c>
      <c r="K91" s="4" t="str">
        <f>IF(VLOOKUP($A91,'[11]1003'!$A$4:$O$150,8,FALSE)="",VLOOKUP($A91,'[11]1003'!$A$4:$O$150,12,FALSE),VLOOKUP($A91,'[11]1003'!$A$4:$O$150,8,FALSE))</f>
        <v/>
      </c>
      <c r="L91" s="4" t="str">
        <f>IF(VLOOKUP($A91,'[12]1002'!$A$4:$O$150,8,FALSE)="",VLOOKUP($A91,'[12]1002'!$A$4:$O$150,12,FALSE),VLOOKUP($A91,'[12]1002'!$A$4:$O$150,8,FALSE))</f>
        <v/>
      </c>
      <c r="M91" s="106"/>
      <c r="N91" s="4" t="str">
        <f>IF(VLOOKUP($A91,'[13]0927'!$A$4:$O$150,8,FALSE)="",VLOOKUP($A91,'[13]0927'!$A$4:$O$150,12,FALSE),VLOOKUP($A91,'[13]0927'!$A$4:$O$150,8,FALSE))</f>
        <v/>
      </c>
      <c r="O91" s="5"/>
      <c r="P91" s="4" t="str">
        <f>IF(VLOOKUP($A91,'[14]0925'!$A$4:$O$150,8,FALSE)="",VLOOKUP($A91,'[14]0925'!$A$4:$O$150,12,FALSE),VLOOKUP($A91,'[14]0925'!$A$4:$O$150,8,FALSE))</f>
        <v/>
      </c>
      <c r="Q91" s="4" t="str">
        <f>IF(VLOOKUP($A91,'[15]0922'!$A$4:$O$150,8,FALSE)="",VLOOKUP($A91,'[15]0922'!$A$4:$O$150,12,FALSE),VLOOKUP($A91,'[15]0922'!$A$4:$O$150,8,FALSE))</f>
        <v/>
      </c>
      <c r="R91" s="4" t="str">
        <f>IF(VLOOKUP($A91,'[16]0921'!$A$4:$O$150,8,FALSE)="",VLOOKUP($A91,'[16]0921'!$A$4:$O$150,12,FALSE),VLOOKUP($A91,'[16]0921'!$A$4:$O$150,8,FALSE))</f>
        <v/>
      </c>
      <c r="S91" s="4" t="str">
        <f>IF(VLOOKUP($A91,'[17]0920'!$A$4:$O$150,8,FALSE)="",VLOOKUP($A91,'[17]0920'!$A$4:$O$150,12,FALSE),VLOOKUP($A91,'[17]0920'!$A$4:$O$150,8,FALSE))</f>
        <v/>
      </c>
      <c r="T91" s="4" t="s">
        <v>0</v>
      </c>
      <c r="U91" s="4" t="s">
        <v>0</v>
      </c>
      <c r="W91" s="4" t="s">
        <v>0</v>
      </c>
      <c r="X91" s="4" t="s">
        <v>0</v>
      </c>
      <c r="Y91" s="4" t="s">
        <v>0</v>
      </c>
      <c r="Z91" s="4" t="s">
        <v>0</v>
      </c>
      <c r="AA91" s="4" t="s">
        <v>0</v>
      </c>
      <c r="AB91" s="4" t="s">
        <v>0</v>
      </c>
      <c r="AC91" s="4" t="s">
        <v>0</v>
      </c>
      <c r="AD91" s="4" t="s">
        <v>0</v>
      </c>
      <c r="AE91" s="4" t="s">
        <v>0</v>
      </c>
      <c r="AF91" s="4" t="s">
        <v>0</v>
      </c>
      <c r="AG91" s="4" t="s">
        <v>0</v>
      </c>
      <c r="AH91" s="4" t="s">
        <v>0</v>
      </c>
      <c r="AI91" s="4" t="s">
        <v>0</v>
      </c>
      <c r="AJ91" s="4" t="s">
        <v>0</v>
      </c>
      <c r="AK91" s="4" t="s">
        <v>0</v>
      </c>
      <c r="AL91" s="4" t="s">
        <v>0</v>
      </c>
      <c r="AM91" s="4" t="s">
        <v>0</v>
      </c>
      <c r="AN91" s="4" t="s">
        <v>0</v>
      </c>
      <c r="AP91" s="4" t="s">
        <v>0</v>
      </c>
      <c r="AQ91" s="4" t="s">
        <v>0</v>
      </c>
      <c r="AR91" s="4" t="s">
        <v>0</v>
      </c>
      <c r="AU91" s="4" t="s">
        <v>0</v>
      </c>
    </row>
    <row r="92" spans="1:47">
      <c r="A92" s="3" t="s">
        <v>243</v>
      </c>
      <c r="B92" s="5">
        <f>VLOOKUP($A92,'[21]1013'!$A$4:$O$321,4,FALSE)</f>
        <v>13.79</v>
      </c>
      <c r="C92" s="5">
        <v>15.47</v>
      </c>
      <c r="D92" s="5">
        <f>VLOOKUP($A92,'[21]1013'!$A$4:$O$321,15,FALSE)</f>
        <v>1.3847</v>
      </c>
      <c r="E92" s="4" t="str">
        <f>IF(VLOOKUP($A92,'[21]1013'!$A$4:$O$150,8,FALSE)="",VLOOKUP($A92,'[21]1013'!$A$4:$O$150,12,FALSE),VLOOKUP($A92,'[21]1013'!$A$4:$O$150,8,FALSE))</f>
        <v/>
      </c>
      <c r="F92" s="4" t="str">
        <f>IF(VLOOKUP($A92,'[7]1012'!$A$4:$O$150,8,FALSE)="",VLOOKUP($A92,'[7]1012'!$A$4:$O$150,12,FALSE),VLOOKUP($A92,'[7]1012'!$A$4:$O$150,8,FALSE))</f>
        <v/>
      </c>
      <c r="G92" s="4" t="str">
        <f>IF(VLOOKUP($A92,'[8]1011'!$A$4:$O$150,8,FALSE)="",VLOOKUP($A92,'[8]1011'!$A$4:$O$150,12,FALSE),VLOOKUP($A92,'[8]1011'!$A$4:$O$150,8,FALSE))</f>
        <v/>
      </c>
      <c r="H92" s="106"/>
      <c r="I92" s="4" t="str">
        <f>IF(VLOOKUP($A92,'[9]1005'!$A$4:$O$150,8,FALSE)="",VLOOKUP($A92,'[9]1005'!$A$4:$O$150,12,FALSE),VLOOKUP($A92,'[9]1005'!$A$4:$O$150,8,FALSE))</f>
        <v/>
      </c>
      <c r="J92" s="4" t="str">
        <f>IF(VLOOKUP($A92,'[10]1004'!$A$4:$O$150,8,FALSE)="",VLOOKUP($A92,'[10]1004'!$A$4:$O$150,12,FALSE),VLOOKUP($A92,'[10]1004'!$A$4:$O$150,8,FALSE))</f>
        <v/>
      </c>
      <c r="K92" s="4" t="str">
        <f>IF(VLOOKUP($A92,'[11]1003'!$A$4:$O$150,8,FALSE)="",VLOOKUP($A92,'[11]1003'!$A$4:$O$150,12,FALSE),VLOOKUP($A92,'[11]1003'!$A$4:$O$150,8,FALSE))</f>
        <v/>
      </c>
      <c r="L92" s="4" t="str">
        <f>IF(VLOOKUP($A92,'[12]1002'!$A$4:$O$150,8,FALSE)="",VLOOKUP($A92,'[12]1002'!$A$4:$O$150,12,FALSE),VLOOKUP($A92,'[12]1002'!$A$4:$O$150,8,FALSE))</f>
        <v/>
      </c>
      <c r="M92" s="106"/>
      <c r="N92" s="4" t="str">
        <f>IF(VLOOKUP($A92,'[13]0927'!$A$4:$O$150,8,FALSE)="",VLOOKUP($A92,'[13]0927'!$A$4:$O$150,12,FALSE),VLOOKUP($A92,'[13]0927'!$A$4:$O$150,8,FALSE))</f>
        <v/>
      </c>
      <c r="O92" s="5"/>
      <c r="P92" s="4" t="str">
        <f>IF(VLOOKUP($A92,'[14]0925'!$A$4:$O$150,8,FALSE)="",VLOOKUP($A92,'[14]0925'!$A$4:$O$150,12,FALSE),VLOOKUP($A92,'[14]0925'!$A$4:$O$150,8,FALSE))</f>
        <v/>
      </c>
      <c r="Q92" s="4" t="str">
        <f>IF(VLOOKUP($A92,'[15]0922'!$A$4:$O$150,8,FALSE)="",VLOOKUP($A92,'[15]0922'!$A$4:$O$150,12,FALSE),VLOOKUP($A92,'[15]0922'!$A$4:$O$150,8,FALSE))</f>
        <v/>
      </c>
      <c r="R92" s="4" t="str">
        <f>IF(VLOOKUP($A92,'[16]0921'!$A$4:$O$150,8,FALSE)="",VLOOKUP($A92,'[16]0921'!$A$4:$O$150,12,FALSE),VLOOKUP($A92,'[16]0921'!$A$4:$O$150,8,FALSE))</f>
        <v/>
      </c>
      <c r="S92" s="4" t="str">
        <f>IF(VLOOKUP($A92,'[17]0920'!$A$4:$O$150,8,FALSE)="",VLOOKUP($A92,'[17]0920'!$A$4:$O$150,12,FALSE),VLOOKUP($A92,'[17]0920'!$A$4:$O$150,8,FALSE))</f>
        <v/>
      </c>
      <c r="T92" s="4" t="s">
        <v>0</v>
      </c>
      <c r="U92" s="4" t="s">
        <v>0</v>
      </c>
      <c r="W92" s="4" t="s">
        <v>0</v>
      </c>
      <c r="X92" s="4" t="s">
        <v>0</v>
      </c>
      <c r="Y92" s="4" t="s">
        <v>0</v>
      </c>
      <c r="Z92" s="4" t="s">
        <v>0</v>
      </c>
      <c r="AA92" s="4" t="s">
        <v>0</v>
      </c>
      <c r="AB92" s="4" t="s">
        <v>0</v>
      </c>
      <c r="AC92" s="4" t="s">
        <v>0</v>
      </c>
      <c r="AD92" s="4" t="s">
        <v>0</v>
      </c>
      <c r="AE92" s="4" t="s">
        <v>0</v>
      </c>
      <c r="AF92" s="4" t="s">
        <v>0</v>
      </c>
      <c r="AG92" s="4" t="s">
        <v>0</v>
      </c>
      <c r="AH92" s="4" t="s">
        <v>0</v>
      </c>
      <c r="AI92" s="4" t="s">
        <v>0</v>
      </c>
      <c r="AJ92" s="4" t="s">
        <v>0</v>
      </c>
      <c r="AK92" s="4" t="s">
        <v>0</v>
      </c>
      <c r="AL92" s="4" t="s">
        <v>0</v>
      </c>
      <c r="AM92" s="4" t="s">
        <v>0</v>
      </c>
      <c r="AN92" s="4" t="s">
        <v>0</v>
      </c>
      <c r="AP92" s="4" t="s">
        <v>0</v>
      </c>
      <c r="AQ92" s="4" t="s">
        <v>0</v>
      </c>
      <c r="AR92" s="4" t="s">
        <v>0</v>
      </c>
      <c r="AU92" s="4" t="s">
        <v>0</v>
      </c>
    </row>
    <row r="93" spans="1:47">
      <c r="A93" s="3" t="s">
        <v>244</v>
      </c>
      <c r="B93" s="5">
        <f>VLOOKUP($A93,'[21]1013'!$A$4:$O$321,4,FALSE)</f>
        <v>13.89</v>
      </c>
      <c r="C93" s="5">
        <v>15.57</v>
      </c>
      <c r="D93" s="5">
        <f>VLOOKUP($A93,'[21]1013'!$A$4:$O$321,15,FALSE)</f>
        <v>1.3865000000000001</v>
      </c>
      <c r="E93" s="4" t="str">
        <f>IF(VLOOKUP($A93,'[21]1013'!$A$4:$O$150,8,FALSE)="",VLOOKUP($A93,'[21]1013'!$A$4:$O$150,12,FALSE),VLOOKUP($A93,'[21]1013'!$A$4:$O$150,8,FALSE))</f>
        <v/>
      </c>
      <c r="F93" s="4" t="str">
        <f>IF(VLOOKUP($A93,'[7]1012'!$A$4:$O$150,8,FALSE)="",VLOOKUP($A93,'[7]1012'!$A$4:$O$150,12,FALSE),VLOOKUP($A93,'[7]1012'!$A$4:$O$150,8,FALSE))</f>
        <v/>
      </c>
      <c r="G93" s="4" t="str">
        <f>IF(VLOOKUP($A93,'[8]1011'!$A$4:$O$150,8,FALSE)="",VLOOKUP($A93,'[8]1011'!$A$4:$O$150,12,FALSE),VLOOKUP($A93,'[8]1011'!$A$4:$O$150,8,FALSE))</f>
        <v/>
      </c>
      <c r="H93" s="106"/>
      <c r="I93" s="4" t="str">
        <f>IF(VLOOKUP($A93,'[9]1005'!$A$4:$O$150,8,FALSE)="",VLOOKUP($A93,'[9]1005'!$A$4:$O$150,12,FALSE),VLOOKUP($A93,'[9]1005'!$A$4:$O$150,8,FALSE))</f>
        <v/>
      </c>
      <c r="J93" s="4" t="str">
        <f>IF(VLOOKUP($A93,'[10]1004'!$A$4:$O$150,8,FALSE)="",VLOOKUP($A93,'[10]1004'!$A$4:$O$150,12,FALSE),VLOOKUP($A93,'[10]1004'!$A$4:$O$150,8,FALSE))</f>
        <v/>
      </c>
      <c r="K93" s="4" t="str">
        <f>IF(VLOOKUP($A93,'[11]1003'!$A$4:$O$150,8,FALSE)="",VLOOKUP($A93,'[11]1003'!$A$4:$O$150,12,FALSE),VLOOKUP($A93,'[11]1003'!$A$4:$O$150,8,FALSE))</f>
        <v/>
      </c>
      <c r="L93" s="4" t="str">
        <f>IF(VLOOKUP($A93,'[12]1002'!$A$4:$O$150,8,FALSE)="",VLOOKUP($A93,'[12]1002'!$A$4:$O$150,12,FALSE),VLOOKUP($A93,'[12]1002'!$A$4:$O$150,8,FALSE))</f>
        <v/>
      </c>
      <c r="M93" s="106"/>
      <c r="N93" s="4" t="str">
        <f>IF(VLOOKUP($A93,'[13]0927'!$A$4:$O$150,8,FALSE)="",VLOOKUP($A93,'[13]0927'!$A$4:$O$150,12,FALSE),VLOOKUP($A93,'[13]0927'!$A$4:$O$150,8,FALSE))</f>
        <v/>
      </c>
      <c r="O93" s="5"/>
      <c r="P93" s="4" t="str">
        <f>IF(VLOOKUP($A93,'[14]0925'!$A$4:$O$150,8,FALSE)="",VLOOKUP($A93,'[14]0925'!$A$4:$O$150,12,FALSE),VLOOKUP($A93,'[14]0925'!$A$4:$O$150,8,FALSE))</f>
        <v/>
      </c>
      <c r="Q93" s="4" t="str">
        <f>IF(VLOOKUP($A93,'[15]0922'!$A$4:$O$150,8,FALSE)="",VLOOKUP($A93,'[15]0922'!$A$4:$O$150,12,FALSE),VLOOKUP($A93,'[15]0922'!$A$4:$O$150,8,FALSE))</f>
        <v/>
      </c>
      <c r="R93" s="4" t="str">
        <f>IF(VLOOKUP($A93,'[16]0921'!$A$4:$O$150,8,FALSE)="",VLOOKUP($A93,'[16]0921'!$A$4:$O$150,12,FALSE),VLOOKUP($A93,'[16]0921'!$A$4:$O$150,8,FALSE))</f>
        <v/>
      </c>
      <c r="S93" s="4" t="str">
        <f>IF(VLOOKUP($A93,'[17]0920'!$A$4:$O$150,8,FALSE)="",VLOOKUP($A93,'[17]0920'!$A$4:$O$150,12,FALSE),VLOOKUP($A93,'[17]0920'!$A$4:$O$150,8,FALSE))</f>
        <v/>
      </c>
      <c r="T93" s="4" t="s">
        <v>0</v>
      </c>
      <c r="U93" s="4" t="s">
        <v>0</v>
      </c>
      <c r="W93" s="4" t="s">
        <v>0</v>
      </c>
      <c r="X93" s="4" t="s">
        <v>0</v>
      </c>
      <c r="Y93" s="4" t="s">
        <v>0</v>
      </c>
      <c r="Z93" s="4" t="s">
        <v>0</v>
      </c>
      <c r="AA93" s="4" t="s">
        <v>0</v>
      </c>
      <c r="AB93" s="4" t="s">
        <v>0</v>
      </c>
      <c r="AC93" s="4" t="s">
        <v>0</v>
      </c>
      <c r="AD93" s="4" t="s">
        <v>0</v>
      </c>
      <c r="AE93" s="4" t="s">
        <v>0</v>
      </c>
      <c r="AF93" s="4" t="s">
        <v>0</v>
      </c>
      <c r="AG93" s="4" t="s">
        <v>0</v>
      </c>
      <c r="AH93" s="4" t="s">
        <v>0</v>
      </c>
      <c r="AI93" s="4" t="s">
        <v>0</v>
      </c>
      <c r="AJ93" s="4" t="s">
        <v>0</v>
      </c>
      <c r="AK93" s="4" t="s">
        <v>0</v>
      </c>
      <c r="AL93" s="4" t="s">
        <v>0</v>
      </c>
      <c r="AM93" s="4" t="s">
        <v>0</v>
      </c>
      <c r="AN93" s="4" t="s">
        <v>0</v>
      </c>
      <c r="AP93" s="4" t="s">
        <v>0</v>
      </c>
      <c r="AQ93" s="4" t="s">
        <v>0</v>
      </c>
      <c r="AR93" s="4" t="s">
        <v>0</v>
      </c>
      <c r="AU93" s="4" t="s">
        <v>0</v>
      </c>
    </row>
    <row r="94" spans="1:47">
      <c r="A94" s="3" t="s">
        <v>45</v>
      </c>
      <c r="B94" s="5">
        <f>VLOOKUP($A94,'[21]1013'!$A$4:$O$321,4,FALSE)</f>
        <v>14.32</v>
      </c>
      <c r="C94" s="5">
        <v>17.39</v>
      </c>
      <c r="D94" s="5">
        <f>VLOOKUP($A94,'[21]1013'!$A$4:$O$321,15,FALSE)</f>
        <v>1.4127000000000001</v>
      </c>
      <c r="E94" s="4" t="str">
        <f>IF(VLOOKUP($A94,'[21]1013'!$A$4:$O$150,8,FALSE)="",VLOOKUP($A94,'[21]1013'!$A$4:$O$150,12,FALSE),VLOOKUP($A94,'[21]1013'!$A$4:$O$150,8,FALSE))</f>
        <v/>
      </c>
      <c r="F94" s="4" t="str">
        <f>IF(VLOOKUP($A94,'[7]1012'!$A$4:$O$150,8,FALSE)="",VLOOKUP($A94,'[7]1012'!$A$4:$O$150,12,FALSE),VLOOKUP($A94,'[7]1012'!$A$4:$O$150,8,FALSE))</f>
        <v/>
      </c>
      <c r="G94" s="4" t="str">
        <f>IF(VLOOKUP($A94,'[8]1011'!$A$4:$O$150,8,FALSE)="",VLOOKUP($A94,'[8]1011'!$A$4:$O$150,12,FALSE),VLOOKUP($A94,'[8]1011'!$A$4:$O$150,8,FALSE))</f>
        <v/>
      </c>
      <c r="H94" s="106"/>
      <c r="I94" s="4" t="str">
        <f>IF(VLOOKUP($A94,'[9]1005'!$A$4:$O$150,8,FALSE)="",VLOOKUP($A94,'[9]1005'!$A$4:$O$150,12,FALSE),VLOOKUP($A94,'[9]1005'!$A$4:$O$150,8,FALSE))</f>
        <v/>
      </c>
      <c r="J94" s="4" t="str">
        <f>IF(VLOOKUP($A94,'[10]1004'!$A$4:$O$150,8,FALSE)="",VLOOKUP($A94,'[10]1004'!$A$4:$O$150,12,FALSE),VLOOKUP($A94,'[10]1004'!$A$4:$O$150,8,FALSE))</f>
        <v/>
      </c>
      <c r="K94" s="4" t="str">
        <f>IF(VLOOKUP($A94,'[11]1003'!$A$4:$O$150,8,FALSE)="",VLOOKUP($A94,'[11]1003'!$A$4:$O$150,12,FALSE),VLOOKUP($A94,'[11]1003'!$A$4:$O$150,8,FALSE))</f>
        <v/>
      </c>
      <c r="L94" s="4" t="str">
        <f>IF(VLOOKUP($A94,'[12]1002'!$A$4:$O$150,8,FALSE)="",VLOOKUP($A94,'[12]1002'!$A$4:$O$150,12,FALSE),VLOOKUP($A94,'[12]1002'!$A$4:$O$150,8,FALSE))</f>
        <v/>
      </c>
      <c r="M94" s="106">
        <f>VLOOKUP($A94,'[19]0928'!$A$5:$P$27,12,FALSE)</f>
        <v>1.3806</v>
      </c>
      <c r="N94" s="4" t="str">
        <f>IF(VLOOKUP($A94,'[13]0927'!$A$4:$O$150,8,FALSE)="",VLOOKUP($A94,'[13]0927'!$A$4:$O$150,12,FALSE),VLOOKUP($A94,'[13]0927'!$A$4:$O$150,8,FALSE))</f>
        <v/>
      </c>
      <c r="O94" s="5"/>
      <c r="P94" s="4" t="str">
        <f>IF(VLOOKUP($A94,'[14]0925'!$A$4:$O$150,8,FALSE)="",VLOOKUP($A94,'[14]0925'!$A$4:$O$150,12,FALSE),VLOOKUP($A94,'[14]0925'!$A$4:$O$150,8,FALSE))</f>
        <v/>
      </c>
      <c r="Q94" s="4" t="str">
        <f>IF(VLOOKUP($A94,'[15]0922'!$A$4:$O$150,8,FALSE)="",VLOOKUP($A94,'[15]0922'!$A$4:$O$150,12,FALSE),VLOOKUP($A94,'[15]0922'!$A$4:$O$150,8,FALSE))</f>
        <v/>
      </c>
      <c r="R94" s="4" t="str">
        <f>IF(VLOOKUP($A94,'[16]0921'!$A$4:$O$150,8,FALSE)="",VLOOKUP($A94,'[16]0921'!$A$4:$O$150,12,FALSE),VLOOKUP($A94,'[16]0921'!$A$4:$O$150,8,FALSE))</f>
        <v/>
      </c>
      <c r="S94" s="4" t="str">
        <f>IF(VLOOKUP($A94,'[17]0920'!$A$4:$O$150,8,FALSE)="",VLOOKUP($A94,'[17]0920'!$A$4:$O$150,12,FALSE),VLOOKUP($A94,'[17]0920'!$A$4:$O$150,8,FALSE))</f>
        <v/>
      </c>
      <c r="T94" s="4" t="s">
        <v>0</v>
      </c>
      <c r="U94" s="4" t="s">
        <v>0</v>
      </c>
      <c r="W94" s="4" t="s">
        <v>0</v>
      </c>
      <c r="X94" s="4" t="s">
        <v>0</v>
      </c>
      <c r="Y94" s="4" t="s">
        <v>0</v>
      </c>
      <c r="Z94" s="4" t="s">
        <v>0</v>
      </c>
      <c r="AA94" s="4" t="s">
        <v>0</v>
      </c>
      <c r="AB94" s="4" t="s">
        <v>0</v>
      </c>
      <c r="AC94" s="4" t="s">
        <v>0</v>
      </c>
      <c r="AD94" s="4" t="s">
        <v>0</v>
      </c>
      <c r="AE94" s="4" t="s">
        <v>0</v>
      </c>
      <c r="AF94" s="4" t="s">
        <v>0</v>
      </c>
      <c r="AG94" s="4" t="s">
        <v>0</v>
      </c>
      <c r="AH94" s="4" t="s">
        <v>0</v>
      </c>
      <c r="AI94" s="4" t="s">
        <v>0</v>
      </c>
      <c r="AJ94" s="4" t="s">
        <v>0</v>
      </c>
      <c r="AK94" s="4" t="s">
        <v>0</v>
      </c>
      <c r="AL94" s="4" t="s">
        <v>0</v>
      </c>
      <c r="AM94" s="4" t="s">
        <v>0</v>
      </c>
      <c r="AN94" s="4" t="s">
        <v>0</v>
      </c>
      <c r="AO94" s="5">
        <v>1.35</v>
      </c>
      <c r="AP94" s="4" t="s">
        <v>0</v>
      </c>
      <c r="AQ94" s="4">
        <v>1.345</v>
      </c>
      <c r="AR94" s="4" t="s">
        <v>0</v>
      </c>
      <c r="AU94" s="4" t="s">
        <v>0</v>
      </c>
    </row>
    <row r="95" spans="1:47">
      <c r="A95" s="3" t="s">
        <v>23</v>
      </c>
      <c r="B95" s="5">
        <f>VLOOKUP($A95,'[21]1013'!$A$4:$O$321,4,FALSE)</f>
        <v>14.58</v>
      </c>
      <c r="C95" s="5">
        <v>17.54</v>
      </c>
      <c r="D95" s="5">
        <f>VLOOKUP($A95,'[21]1013'!$A$4:$O$321,15,FALSE)</f>
        <v>1.4162999999999999</v>
      </c>
      <c r="E95" s="4" t="str">
        <f>IF(VLOOKUP($A95,'[21]1013'!$A$4:$O$150,8,FALSE)="",VLOOKUP($A95,'[21]1013'!$A$4:$O$150,12,FALSE),VLOOKUP($A95,'[21]1013'!$A$4:$O$150,8,FALSE))</f>
        <v/>
      </c>
      <c r="F95" s="4" t="str">
        <f>IF(VLOOKUP($A95,'[7]1012'!$A$4:$O$150,8,FALSE)="",VLOOKUP($A95,'[7]1012'!$A$4:$O$150,12,FALSE),VLOOKUP($A95,'[7]1012'!$A$4:$O$150,8,FALSE))</f>
        <v/>
      </c>
      <c r="G95" s="4" t="str">
        <f>IF(VLOOKUP($A95,'[8]1011'!$A$4:$O$150,8,FALSE)="",VLOOKUP($A95,'[8]1011'!$A$4:$O$150,12,FALSE),VLOOKUP($A95,'[8]1011'!$A$4:$O$150,8,FALSE))</f>
        <v/>
      </c>
      <c r="H95" s="106"/>
      <c r="I95" s="4" t="str">
        <f>IF(VLOOKUP($A95,'[9]1005'!$A$4:$O$150,8,FALSE)="",VLOOKUP($A95,'[9]1005'!$A$4:$O$150,12,FALSE),VLOOKUP($A95,'[9]1005'!$A$4:$O$150,8,FALSE))</f>
        <v/>
      </c>
      <c r="J95" s="4" t="str">
        <f>IF(VLOOKUP($A95,'[10]1004'!$A$4:$O$150,8,FALSE)="",VLOOKUP($A95,'[10]1004'!$A$4:$O$150,12,FALSE),VLOOKUP($A95,'[10]1004'!$A$4:$O$150,8,FALSE))</f>
        <v/>
      </c>
      <c r="K95" s="4" t="str">
        <f>IF(VLOOKUP($A95,'[11]1003'!$A$4:$O$150,8,FALSE)="",VLOOKUP($A95,'[11]1003'!$A$4:$O$150,12,FALSE),VLOOKUP($A95,'[11]1003'!$A$4:$O$150,8,FALSE))</f>
        <v/>
      </c>
      <c r="L95" s="4" t="str">
        <f>IF(VLOOKUP($A95,'[12]1002'!$A$4:$O$150,8,FALSE)="",VLOOKUP($A95,'[12]1002'!$A$4:$O$150,12,FALSE),VLOOKUP($A95,'[12]1002'!$A$4:$O$150,8,FALSE))</f>
        <v/>
      </c>
      <c r="M95" s="106"/>
      <c r="N95" s="4" t="str">
        <f>IF(VLOOKUP($A95,'[13]0927'!$A$4:$O$150,8,FALSE)="",VLOOKUP($A95,'[13]0927'!$A$4:$O$150,12,FALSE),VLOOKUP($A95,'[13]0927'!$A$4:$O$150,8,FALSE))</f>
        <v/>
      </c>
      <c r="O95" s="5"/>
      <c r="P95" s="4" t="str">
        <f>IF(VLOOKUP($A95,'[14]0925'!$A$4:$O$150,8,FALSE)="",VLOOKUP($A95,'[14]0925'!$A$4:$O$150,12,FALSE),VLOOKUP($A95,'[14]0925'!$A$4:$O$150,8,FALSE))</f>
        <v/>
      </c>
      <c r="Q95" s="4" t="str">
        <f>IF(VLOOKUP($A95,'[15]0922'!$A$4:$O$150,8,FALSE)="",VLOOKUP($A95,'[15]0922'!$A$4:$O$150,12,FALSE),VLOOKUP($A95,'[15]0922'!$A$4:$O$150,8,FALSE))</f>
        <v/>
      </c>
      <c r="R95" s="4" t="str">
        <f>IF(VLOOKUP($A95,'[16]0921'!$A$4:$O$150,8,FALSE)="",VLOOKUP($A95,'[16]0921'!$A$4:$O$150,12,FALSE),VLOOKUP($A95,'[16]0921'!$A$4:$O$150,8,FALSE))</f>
        <v/>
      </c>
      <c r="S95" s="4" t="str">
        <f>IF(VLOOKUP($A95,'[17]0920'!$A$4:$O$150,8,FALSE)="",VLOOKUP($A95,'[17]0920'!$A$4:$O$150,12,FALSE),VLOOKUP($A95,'[17]0920'!$A$4:$O$150,8,FALSE))</f>
        <v/>
      </c>
      <c r="T95" s="4" t="s">
        <v>0</v>
      </c>
      <c r="U95" s="4" t="s">
        <v>0</v>
      </c>
      <c r="W95" s="4" t="s">
        <v>0</v>
      </c>
      <c r="X95" s="4" t="s">
        <v>0</v>
      </c>
      <c r="Y95" s="4" t="s">
        <v>0</v>
      </c>
      <c r="Z95" s="4" t="s">
        <v>0</v>
      </c>
      <c r="AA95" s="4" t="s">
        <v>0</v>
      </c>
      <c r="AB95" s="4" t="s">
        <v>0</v>
      </c>
      <c r="AC95" s="4" t="s">
        <v>0</v>
      </c>
      <c r="AD95" s="4" t="s">
        <v>0</v>
      </c>
      <c r="AE95" s="4" t="s">
        <v>0</v>
      </c>
      <c r="AF95" s="4" t="s">
        <v>0</v>
      </c>
      <c r="AG95" s="4" t="s">
        <v>0</v>
      </c>
      <c r="AH95" s="4" t="s">
        <v>0</v>
      </c>
      <c r="AI95" s="4" t="s">
        <v>0</v>
      </c>
      <c r="AJ95" s="4" t="s">
        <v>0</v>
      </c>
      <c r="AK95" s="4" t="s">
        <v>0</v>
      </c>
      <c r="AL95" s="4" t="s">
        <v>0</v>
      </c>
      <c r="AM95" s="4" t="s">
        <v>0</v>
      </c>
      <c r="AN95" s="4" t="s">
        <v>0</v>
      </c>
      <c r="AP95" s="4" t="s">
        <v>0</v>
      </c>
      <c r="AQ95" s="4" t="s">
        <v>0</v>
      </c>
      <c r="AR95" s="4" t="s">
        <v>0</v>
      </c>
      <c r="AU95" s="4" t="s">
        <v>0</v>
      </c>
    </row>
    <row r="96" spans="1:47">
      <c r="A96" s="3" t="s">
        <v>39</v>
      </c>
      <c r="B96" s="5">
        <f>VLOOKUP($A96,'[21]1013'!$A$4:$O$321,4,FALSE)</f>
        <v>14.76</v>
      </c>
      <c r="C96" s="5">
        <v>16.07</v>
      </c>
      <c r="D96" s="5">
        <f>VLOOKUP($A96,'[21]1013'!$A$4:$O$321,15,FALSE)</f>
        <v>1.3986000000000001</v>
      </c>
      <c r="E96" s="4" t="str">
        <f>IF(VLOOKUP($A96,'[21]1013'!$A$4:$O$150,8,FALSE)="",VLOOKUP($A96,'[21]1013'!$A$4:$O$150,12,FALSE),VLOOKUP($A96,'[21]1013'!$A$4:$O$150,8,FALSE))</f>
        <v/>
      </c>
      <c r="F96" s="4" t="str">
        <f>IF(VLOOKUP($A96,'[7]1012'!$A$4:$O$150,8,FALSE)="",VLOOKUP($A96,'[7]1012'!$A$4:$O$150,12,FALSE),VLOOKUP($A96,'[7]1012'!$A$4:$O$150,8,FALSE))</f>
        <v/>
      </c>
      <c r="G96" s="4" t="str">
        <f>IF(VLOOKUP($A96,'[8]1011'!$A$4:$O$150,8,FALSE)="",VLOOKUP($A96,'[8]1011'!$A$4:$O$150,12,FALSE),VLOOKUP($A96,'[8]1011'!$A$4:$O$150,8,FALSE))</f>
        <v/>
      </c>
      <c r="H96" s="106"/>
      <c r="I96" s="4" t="str">
        <f>IF(VLOOKUP($A96,'[9]1005'!$A$4:$O$150,8,FALSE)="",VLOOKUP($A96,'[9]1005'!$A$4:$O$150,12,FALSE),VLOOKUP($A96,'[9]1005'!$A$4:$O$150,8,FALSE))</f>
        <v/>
      </c>
      <c r="J96" s="4" t="str">
        <f>IF(VLOOKUP($A96,'[10]1004'!$A$4:$O$150,8,FALSE)="",VLOOKUP($A96,'[10]1004'!$A$4:$O$150,12,FALSE),VLOOKUP($A96,'[10]1004'!$A$4:$O$150,8,FALSE))</f>
        <v/>
      </c>
      <c r="K96" s="4" t="str">
        <f>IF(VLOOKUP($A96,'[11]1003'!$A$4:$O$150,8,FALSE)="",VLOOKUP($A96,'[11]1003'!$A$4:$O$150,12,FALSE),VLOOKUP($A96,'[11]1003'!$A$4:$O$150,8,FALSE))</f>
        <v/>
      </c>
      <c r="L96" s="4" t="str">
        <f>IF(VLOOKUP($A96,'[12]1002'!$A$4:$O$150,8,FALSE)="",VLOOKUP($A96,'[12]1002'!$A$4:$O$150,12,FALSE),VLOOKUP($A96,'[12]1002'!$A$4:$O$150,8,FALSE))</f>
        <v/>
      </c>
      <c r="M96" s="106"/>
      <c r="N96" s="4" t="str">
        <f>IF(VLOOKUP($A96,'[13]0927'!$A$4:$O$150,8,FALSE)="",VLOOKUP($A96,'[13]0927'!$A$4:$O$150,12,FALSE),VLOOKUP($A96,'[13]0927'!$A$4:$O$150,8,FALSE))</f>
        <v/>
      </c>
      <c r="O96" s="5"/>
      <c r="P96" s="4" t="str">
        <f>IF(VLOOKUP($A96,'[14]0925'!$A$4:$O$150,8,FALSE)="",VLOOKUP($A96,'[14]0925'!$A$4:$O$150,12,FALSE),VLOOKUP($A96,'[14]0925'!$A$4:$O$150,8,FALSE))</f>
        <v/>
      </c>
      <c r="Q96" s="4" t="str">
        <f>IF(VLOOKUP($A96,'[15]0922'!$A$4:$O$150,8,FALSE)="",VLOOKUP($A96,'[15]0922'!$A$4:$O$150,12,FALSE),VLOOKUP($A96,'[15]0922'!$A$4:$O$150,8,FALSE))</f>
        <v/>
      </c>
      <c r="R96" s="4" t="str">
        <f>IF(VLOOKUP($A96,'[16]0921'!$A$4:$O$150,8,FALSE)="",VLOOKUP($A96,'[16]0921'!$A$4:$O$150,12,FALSE),VLOOKUP($A96,'[16]0921'!$A$4:$O$150,8,FALSE))</f>
        <v/>
      </c>
      <c r="S96" s="4" t="str">
        <f>IF(VLOOKUP($A96,'[17]0920'!$A$4:$O$150,8,FALSE)="",VLOOKUP($A96,'[17]0920'!$A$4:$O$150,12,FALSE),VLOOKUP($A96,'[17]0920'!$A$4:$O$150,8,FALSE))</f>
        <v/>
      </c>
      <c r="T96" s="4" t="s">
        <v>0</v>
      </c>
      <c r="U96" s="4" t="s">
        <v>0</v>
      </c>
      <c r="W96" s="4" t="s">
        <v>0</v>
      </c>
      <c r="X96" s="4" t="s">
        <v>0</v>
      </c>
      <c r="Y96" s="4" t="s">
        <v>0</v>
      </c>
      <c r="Z96" s="4" t="s">
        <v>0</v>
      </c>
      <c r="AA96" s="4" t="s">
        <v>0</v>
      </c>
      <c r="AB96" s="4" t="s">
        <v>0</v>
      </c>
      <c r="AC96" s="4" t="s">
        <v>0</v>
      </c>
      <c r="AD96" s="4" t="s">
        <v>0</v>
      </c>
      <c r="AE96" s="4" t="s">
        <v>0</v>
      </c>
      <c r="AF96" s="4" t="s">
        <v>0</v>
      </c>
      <c r="AG96" s="4" t="s">
        <v>0</v>
      </c>
      <c r="AH96" s="4" t="s">
        <v>0</v>
      </c>
      <c r="AI96" s="4" t="s">
        <v>0</v>
      </c>
      <c r="AJ96" s="4" t="s">
        <v>0</v>
      </c>
      <c r="AK96" s="4" t="s">
        <v>0</v>
      </c>
      <c r="AL96" s="4" t="s">
        <v>0</v>
      </c>
      <c r="AM96" s="4" t="s">
        <v>0</v>
      </c>
      <c r="AN96" s="4" t="s">
        <v>0</v>
      </c>
      <c r="AP96" s="4" t="s">
        <v>0</v>
      </c>
      <c r="AQ96" s="4" t="s">
        <v>0</v>
      </c>
      <c r="AR96" s="4" t="s">
        <v>0</v>
      </c>
      <c r="AU96" s="4" t="s">
        <v>0</v>
      </c>
    </row>
    <row r="97" spans="1:47">
      <c r="A97" s="3" t="s">
        <v>46</v>
      </c>
      <c r="B97" s="5">
        <f>VLOOKUP($A97,'[21]1013'!$A$4:$O$321,4,FALSE)</f>
        <v>15.18</v>
      </c>
      <c r="C97" s="5">
        <v>18.03</v>
      </c>
      <c r="D97" s="5">
        <f>VLOOKUP($A97,'[21]1013'!$A$4:$O$321,15,FALSE)</f>
        <v>1.4263999999999999</v>
      </c>
      <c r="E97" s="4" t="str">
        <f>IF(VLOOKUP($A97,'[21]1013'!$A$4:$O$150,8,FALSE)="",VLOOKUP($A97,'[21]1013'!$A$4:$O$150,12,FALSE),VLOOKUP($A97,'[21]1013'!$A$4:$O$150,8,FALSE))</f>
        <v/>
      </c>
      <c r="F97" s="4" t="str">
        <f>IF(VLOOKUP($A97,'[7]1012'!$A$4:$O$150,8,FALSE)="",VLOOKUP($A97,'[7]1012'!$A$4:$O$150,12,FALSE),VLOOKUP($A97,'[7]1012'!$A$4:$O$150,8,FALSE))</f>
        <v/>
      </c>
      <c r="G97" s="4" t="str">
        <f>IF(VLOOKUP($A97,'[8]1011'!$A$4:$O$150,8,FALSE)="",VLOOKUP($A97,'[8]1011'!$A$4:$O$150,12,FALSE),VLOOKUP($A97,'[8]1011'!$A$4:$O$150,8,FALSE))</f>
        <v/>
      </c>
      <c r="H97" s="106"/>
      <c r="I97" s="4" t="str">
        <f>IF(VLOOKUP($A97,'[9]1005'!$A$4:$O$150,8,FALSE)="",VLOOKUP($A97,'[9]1005'!$A$4:$O$150,12,FALSE),VLOOKUP($A97,'[9]1005'!$A$4:$O$150,8,FALSE))</f>
        <v/>
      </c>
      <c r="J97" s="4">
        <f>IF(VLOOKUP($A97,'[10]1004'!$A$4:$O$150,8,FALSE)="",VLOOKUP($A97,'[10]1004'!$A$4:$O$150,12,FALSE),VLOOKUP($A97,'[10]1004'!$A$4:$O$150,8,FALSE))</f>
        <v>1.4004000000000001</v>
      </c>
      <c r="K97" s="4" t="str">
        <f>IF(VLOOKUP($A97,'[11]1003'!$A$4:$O$150,8,FALSE)="",VLOOKUP($A97,'[11]1003'!$A$4:$O$150,12,FALSE),VLOOKUP($A97,'[11]1003'!$A$4:$O$150,8,FALSE))</f>
        <v/>
      </c>
      <c r="L97" s="4">
        <f>IF(VLOOKUP($A97,'[12]1002'!$A$4:$O$150,8,FALSE)="",VLOOKUP($A97,'[12]1002'!$A$4:$O$150,12,FALSE),VLOOKUP($A97,'[12]1002'!$A$4:$O$150,8,FALSE))</f>
        <v>1.3925000000000001</v>
      </c>
      <c r="M97" s="106"/>
      <c r="N97" s="4">
        <f>IF(VLOOKUP($A97,'[13]0927'!$A$4:$O$150,8,FALSE)="",VLOOKUP($A97,'[13]0927'!$A$4:$O$150,12,FALSE),VLOOKUP($A97,'[13]0927'!$A$4:$O$150,8,FALSE))</f>
        <v>1.3907</v>
      </c>
      <c r="O97" s="5"/>
      <c r="P97" s="4" t="str">
        <f>IF(VLOOKUP($A97,'[14]0925'!$A$4:$O$150,8,FALSE)="",VLOOKUP($A97,'[14]0925'!$A$4:$O$150,12,FALSE),VLOOKUP($A97,'[14]0925'!$A$4:$O$150,8,FALSE))</f>
        <v/>
      </c>
      <c r="Q97" s="4" t="str">
        <f>IF(VLOOKUP($A97,'[15]0922'!$A$4:$O$150,8,FALSE)="",VLOOKUP($A97,'[15]0922'!$A$4:$O$150,12,FALSE),VLOOKUP($A97,'[15]0922'!$A$4:$O$150,8,FALSE))</f>
        <v/>
      </c>
      <c r="R97" s="4">
        <f>IF(VLOOKUP($A97,'[16]0921'!$A$4:$O$150,8,FALSE)="",VLOOKUP($A97,'[16]0921'!$A$4:$O$150,12,FALSE),VLOOKUP($A97,'[16]0921'!$A$4:$O$150,8,FALSE))</f>
        <v>1.3815</v>
      </c>
      <c r="S97" s="4" t="str">
        <f>IF(VLOOKUP($A97,'[17]0920'!$A$4:$O$150,8,FALSE)="",VLOOKUP($A97,'[17]0920'!$A$4:$O$150,12,FALSE),VLOOKUP($A97,'[17]0920'!$A$4:$O$150,8,FALSE))</f>
        <v/>
      </c>
      <c r="T97" s="4">
        <v>1.393</v>
      </c>
      <c r="U97" s="4">
        <v>1.3911</v>
      </c>
      <c r="W97" s="4" t="s">
        <v>0</v>
      </c>
      <c r="X97" s="4" t="s">
        <v>0</v>
      </c>
      <c r="Y97" s="4" t="s">
        <v>0</v>
      </c>
      <c r="Z97" s="4" t="s">
        <v>0</v>
      </c>
      <c r="AA97" s="4" t="s">
        <v>0</v>
      </c>
      <c r="AB97" s="4" t="s">
        <v>0</v>
      </c>
      <c r="AC97" s="4" t="s">
        <v>0</v>
      </c>
      <c r="AD97" s="4" t="s">
        <v>0</v>
      </c>
      <c r="AE97" s="4" t="s">
        <v>0</v>
      </c>
      <c r="AF97" s="4" t="s">
        <v>0</v>
      </c>
      <c r="AG97" s="4" t="s">
        <v>0</v>
      </c>
      <c r="AH97" s="4" t="s">
        <v>0</v>
      </c>
      <c r="AI97" s="4" t="s">
        <v>0</v>
      </c>
      <c r="AJ97" s="4" t="s">
        <v>0</v>
      </c>
      <c r="AK97" s="4" t="s">
        <v>0</v>
      </c>
      <c r="AL97" s="4" t="s">
        <v>0</v>
      </c>
      <c r="AM97" s="4" t="s">
        <v>0</v>
      </c>
      <c r="AN97" s="4" t="s">
        <v>0</v>
      </c>
      <c r="AP97" s="4" t="s">
        <v>0</v>
      </c>
      <c r="AQ97" s="4" t="s">
        <v>0</v>
      </c>
      <c r="AR97" s="4" t="s">
        <v>0</v>
      </c>
      <c r="AU97" s="4" t="s">
        <v>0</v>
      </c>
    </row>
    <row r="98" spans="1:47">
      <c r="A98" s="3" t="s">
        <v>83</v>
      </c>
      <c r="B98" s="5">
        <f>VLOOKUP($A98,'[21]1013'!$A$4:$O$321,4,FALSE)</f>
        <v>15</v>
      </c>
      <c r="C98" s="5">
        <v>16.440000000000001</v>
      </c>
      <c r="D98" s="5">
        <f>VLOOKUP($A98,'[21]1013'!$A$4:$O$321,15,FALSE)</f>
        <v>1.4056</v>
      </c>
      <c r="E98" s="4" t="str">
        <f>IF(VLOOKUP($A98,'[21]1013'!$A$4:$O$150,8,FALSE)="",VLOOKUP($A98,'[21]1013'!$A$4:$O$150,12,FALSE),VLOOKUP($A98,'[21]1013'!$A$4:$O$150,8,FALSE))</f>
        <v/>
      </c>
      <c r="F98" s="4">
        <f>IF(VLOOKUP($A98,'[7]1012'!$A$4:$O$150,8,FALSE)="",VLOOKUP($A98,'[7]1012'!$A$4:$O$150,12,FALSE),VLOOKUP($A98,'[7]1012'!$A$4:$O$150,8,FALSE))</f>
        <v>1.33</v>
      </c>
      <c r="G98" s="4" t="str">
        <f>IF(VLOOKUP($A98,'[8]1011'!$A$4:$O$150,8,FALSE)="",VLOOKUP($A98,'[8]1011'!$A$4:$O$150,12,FALSE),VLOOKUP($A98,'[8]1011'!$A$4:$O$150,8,FALSE))</f>
        <v/>
      </c>
      <c r="H98" s="106"/>
      <c r="I98" s="4" t="str">
        <f>IF(VLOOKUP($A98,'[9]1005'!$A$4:$O$150,8,FALSE)="",VLOOKUP($A98,'[9]1005'!$A$4:$O$150,12,FALSE),VLOOKUP($A98,'[9]1005'!$A$4:$O$150,8,FALSE))</f>
        <v/>
      </c>
      <c r="J98" s="4" t="str">
        <f>IF(VLOOKUP($A98,'[10]1004'!$A$4:$O$150,8,FALSE)="",VLOOKUP($A98,'[10]1004'!$A$4:$O$150,12,FALSE),VLOOKUP($A98,'[10]1004'!$A$4:$O$150,8,FALSE))</f>
        <v/>
      </c>
      <c r="K98" s="4" t="str">
        <f>IF(VLOOKUP($A98,'[11]1003'!$A$4:$O$150,8,FALSE)="",VLOOKUP($A98,'[11]1003'!$A$4:$O$150,12,FALSE),VLOOKUP($A98,'[11]1003'!$A$4:$O$150,8,FALSE))</f>
        <v/>
      </c>
      <c r="L98" s="4" t="str">
        <f>IF(VLOOKUP($A98,'[12]1002'!$A$4:$O$150,8,FALSE)="",VLOOKUP($A98,'[12]1002'!$A$4:$O$150,12,FALSE),VLOOKUP($A98,'[12]1002'!$A$4:$O$150,8,FALSE))</f>
        <v/>
      </c>
      <c r="M98" s="106"/>
      <c r="N98" s="4" t="str">
        <f>IF(VLOOKUP($A98,'[13]0927'!$A$4:$O$150,8,FALSE)="",VLOOKUP($A98,'[13]0927'!$A$4:$O$150,12,FALSE),VLOOKUP($A98,'[13]0927'!$A$4:$O$150,8,FALSE))</f>
        <v/>
      </c>
      <c r="O98" s="5"/>
      <c r="P98" s="4" t="str">
        <f>IF(VLOOKUP($A98,'[14]0925'!$A$4:$O$150,8,FALSE)="",VLOOKUP($A98,'[14]0925'!$A$4:$O$150,12,FALSE),VLOOKUP($A98,'[14]0925'!$A$4:$O$150,8,FALSE))</f>
        <v/>
      </c>
      <c r="Q98" s="4" t="str">
        <f>IF(VLOOKUP($A98,'[15]0922'!$A$4:$O$150,8,FALSE)="",VLOOKUP($A98,'[15]0922'!$A$4:$O$150,12,FALSE),VLOOKUP($A98,'[15]0922'!$A$4:$O$150,8,FALSE))</f>
        <v/>
      </c>
      <c r="R98" s="4" t="str">
        <f>IF(VLOOKUP($A98,'[16]0921'!$A$4:$O$150,8,FALSE)="",VLOOKUP($A98,'[16]0921'!$A$4:$O$150,12,FALSE),VLOOKUP($A98,'[16]0921'!$A$4:$O$150,8,FALSE))</f>
        <v/>
      </c>
      <c r="S98" s="4" t="str">
        <f>IF(VLOOKUP($A98,'[17]0920'!$A$4:$O$150,8,FALSE)="",VLOOKUP($A98,'[17]0920'!$A$4:$O$150,12,FALSE),VLOOKUP($A98,'[17]0920'!$A$4:$O$150,8,FALSE))</f>
        <v/>
      </c>
      <c r="T98" s="4" t="s">
        <v>0</v>
      </c>
      <c r="U98" s="4" t="s">
        <v>0</v>
      </c>
      <c r="W98" s="4" t="s">
        <v>0</v>
      </c>
      <c r="X98" s="4" t="s">
        <v>0</v>
      </c>
      <c r="Y98" s="4" t="s">
        <v>0</v>
      </c>
      <c r="Z98" s="4" t="s">
        <v>0</v>
      </c>
      <c r="AA98" s="4" t="s">
        <v>0</v>
      </c>
      <c r="AB98" s="4" t="s">
        <v>0</v>
      </c>
      <c r="AC98" s="4" t="s">
        <v>0</v>
      </c>
      <c r="AD98" s="4" t="s">
        <v>0</v>
      </c>
      <c r="AE98" s="4" t="s">
        <v>0</v>
      </c>
      <c r="AF98" s="4" t="s">
        <v>0</v>
      </c>
      <c r="AG98" s="4" t="s">
        <v>0</v>
      </c>
      <c r="AH98" s="4" t="s">
        <v>0</v>
      </c>
      <c r="AI98" s="4" t="s">
        <v>0</v>
      </c>
      <c r="AJ98" s="4" t="s">
        <v>0</v>
      </c>
      <c r="AK98" s="4" t="s">
        <v>0</v>
      </c>
      <c r="AL98" s="4" t="s">
        <v>0</v>
      </c>
      <c r="AM98" s="4" t="s">
        <v>0</v>
      </c>
      <c r="AN98" s="4" t="s">
        <v>0</v>
      </c>
      <c r="AP98" s="4" t="s">
        <v>0</v>
      </c>
      <c r="AQ98" s="4" t="s">
        <v>0</v>
      </c>
      <c r="AR98" s="4" t="s">
        <v>0</v>
      </c>
      <c r="AU98" s="4" t="s">
        <v>0</v>
      </c>
    </row>
    <row r="99" spans="1:47">
      <c r="A99" s="3" t="s">
        <v>86</v>
      </c>
      <c r="B99" s="5">
        <f>VLOOKUP($A99,'[21]1013'!$A$4:$O$321,4,FALSE)</f>
        <v>15.45</v>
      </c>
      <c r="C99" s="5">
        <v>16.579999999999998</v>
      </c>
      <c r="D99" s="5">
        <f>VLOOKUP($A99,'[21]1013'!$A$4:$O$321,15,FALSE)</f>
        <v>1.4103000000000001</v>
      </c>
      <c r="E99" s="4" t="str">
        <f>IF(VLOOKUP($A99,'[21]1013'!$A$4:$O$150,8,FALSE)="",VLOOKUP($A99,'[21]1013'!$A$4:$O$150,12,FALSE),VLOOKUP($A99,'[21]1013'!$A$4:$O$150,8,FALSE))</f>
        <v/>
      </c>
      <c r="F99" s="4" t="str">
        <f>IF(VLOOKUP($A99,'[7]1012'!$A$4:$O$150,8,FALSE)="",VLOOKUP($A99,'[7]1012'!$A$4:$O$150,12,FALSE),VLOOKUP($A99,'[7]1012'!$A$4:$O$150,8,FALSE))</f>
        <v/>
      </c>
      <c r="G99" s="4" t="str">
        <f>IF(VLOOKUP($A99,'[8]1011'!$A$4:$O$150,8,FALSE)="",VLOOKUP($A99,'[8]1011'!$A$4:$O$150,12,FALSE),VLOOKUP($A99,'[8]1011'!$A$4:$O$150,8,FALSE))</f>
        <v/>
      </c>
      <c r="H99" s="106">
        <f>VLOOKUP($A99,'[18]1006'!$A$5:$P$270,12,FALSE)</f>
        <v>1.395</v>
      </c>
      <c r="I99" s="4" t="str">
        <f>IF(VLOOKUP($A99,'[9]1005'!$A$4:$O$150,8,FALSE)="",VLOOKUP($A99,'[9]1005'!$A$4:$O$150,12,FALSE),VLOOKUP($A99,'[9]1005'!$A$4:$O$150,8,FALSE))</f>
        <v/>
      </c>
      <c r="J99" s="4">
        <f>IF(VLOOKUP($A99,'[10]1004'!$A$4:$O$150,8,FALSE)="",VLOOKUP($A99,'[10]1004'!$A$4:$O$150,12,FALSE),VLOOKUP($A99,'[10]1004'!$A$4:$O$150,8,FALSE))</f>
        <v>1.38</v>
      </c>
      <c r="K99" s="4" t="str">
        <f>IF(VLOOKUP($A99,'[11]1003'!$A$4:$O$150,8,FALSE)="",VLOOKUP($A99,'[11]1003'!$A$4:$O$150,12,FALSE),VLOOKUP($A99,'[11]1003'!$A$4:$O$150,8,FALSE))</f>
        <v/>
      </c>
      <c r="L99" s="4" t="str">
        <f>IF(VLOOKUP($A99,'[12]1002'!$A$4:$O$150,8,FALSE)="",VLOOKUP($A99,'[12]1002'!$A$4:$O$150,12,FALSE),VLOOKUP($A99,'[12]1002'!$A$4:$O$150,8,FALSE))</f>
        <v/>
      </c>
      <c r="M99" s="106"/>
      <c r="N99" s="4">
        <f>IF(VLOOKUP($A99,'[13]0927'!$A$4:$O$150,8,FALSE)="",VLOOKUP($A99,'[13]0927'!$A$4:$O$150,12,FALSE),VLOOKUP($A99,'[13]0927'!$A$4:$O$150,8,FALSE))</f>
        <v>1.3625</v>
      </c>
      <c r="O99" s="5"/>
      <c r="P99" s="4" t="str">
        <f>IF(VLOOKUP($A99,'[14]0925'!$A$4:$O$150,8,FALSE)="",VLOOKUP($A99,'[14]0925'!$A$4:$O$150,12,FALSE),VLOOKUP($A99,'[14]0925'!$A$4:$O$150,8,FALSE))</f>
        <v/>
      </c>
      <c r="Q99" s="4" t="str">
        <f>IF(VLOOKUP($A99,'[15]0922'!$A$4:$O$150,8,FALSE)="",VLOOKUP($A99,'[15]0922'!$A$4:$O$150,12,FALSE),VLOOKUP($A99,'[15]0922'!$A$4:$O$150,8,FALSE))</f>
        <v/>
      </c>
      <c r="R99" s="4" t="str">
        <f>IF(VLOOKUP($A99,'[16]0921'!$A$4:$O$150,8,FALSE)="",VLOOKUP($A99,'[16]0921'!$A$4:$O$150,12,FALSE),VLOOKUP($A99,'[16]0921'!$A$4:$O$150,8,FALSE))</f>
        <v/>
      </c>
      <c r="S99" s="4" t="str">
        <f>IF(VLOOKUP($A99,'[17]0920'!$A$4:$O$150,8,FALSE)="",VLOOKUP($A99,'[17]0920'!$A$4:$O$150,12,FALSE),VLOOKUP($A99,'[17]0920'!$A$4:$O$150,8,FALSE))</f>
        <v/>
      </c>
      <c r="T99" s="4">
        <v>1.33</v>
      </c>
      <c r="U99" s="4" t="s">
        <v>0</v>
      </c>
      <c r="W99" s="4" t="s">
        <v>0</v>
      </c>
      <c r="X99" s="4" t="s">
        <v>0</v>
      </c>
      <c r="Y99" s="4" t="s">
        <v>0</v>
      </c>
      <c r="Z99" s="4" t="s">
        <v>0</v>
      </c>
      <c r="AA99" s="4">
        <v>1.31</v>
      </c>
      <c r="AB99" s="4" t="s">
        <v>0</v>
      </c>
      <c r="AC99" s="4" t="s">
        <v>0</v>
      </c>
      <c r="AD99" s="4" t="s">
        <v>0</v>
      </c>
      <c r="AE99" s="4" t="s">
        <v>0</v>
      </c>
      <c r="AF99" s="4" t="s">
        <v>0</v>
      </c>
      <c r="AG99" s="4" t="s">
        <v>0</v>
      </c>
      <c r="AH99" s="4" t="s">
        <v>0</v>
      </c>
      <c r="AI99" s="4" t="s">
        <v>0</v>
      </c>
      <c r="AJ99" s="4" t="s">
        <v>0</v>
      </c>
      <c r="AK99" s="4" t="s">
        <v>0</v>
      </c>
      <c r="AL99" s="4" t="s">
        <v>0</v>
      </c>
      <c r="AM99" s="4" t="s">
        <v>0</v>
      </c>
      <c r="AN99" s="4" t="s">
        <v>0</v>
      </c>
      <c r="AP99" s="4" t="s">
        <v>0</v>
      </c>
      <c r="AQ99" s="4" t="s">
        <v>0</v>
      </c>
      <c r="AR99" s="4" t="s">
        <v>0</v>
      </c>
      <c r="AU99" s="4" t="s">
        <v>0</v>
      </c>
    </row>
    <row r="100" spans="1:47">
      <c r="A100" s="3" t="s">
        <v>24</v>
      </c>
      <c r="B100" s="5">
        <f>VLOOKUP($A100,'[21]1013'!$A$4:$O$321,4,FALSE)</f>
        <v>15.51</v>
      </c>
      <c r="C100" s="5">
        <v>18.510000000000002</v>
      </c>
      <c r="D100" s="5">
        <f>VLOOKUP($A100,'[21]1013'!$A$4:$O$321,15,FALSE)</f>
        <v>1.4360999999999999</v>
      </c>
      <c r="E100" s="4" t="str">
        <f>IF(VLOOKUP($A100,'[21]1013'!$A$4:$O$150,8,FALSE)="",VLOOKUP($A100,'[21]1013'!$A$4:$O$150,12,FALSE),VLOOKUP($A100,'[21]1013'!$A$4:$O$150,8,FALSE))</f>
        <v/>
      </c>
      <c r="F100" s="4" t="str">
        <f>IF(VLOOKUP($A100,'[7]1012'!$A$4:$O$150,8,FALSE)="",VLOOKUP($A100,'[7]1012'!$A$4:$O$150,12,FALSE),VLOOKUP($A100,'[7]1012'!$A$4:$O$150,8,FALSE))</f>
        <v/>
      </c>
      <c r="G100" s="4" t="str">
        <f>IF(VLOOKUP($A100,'[8]1011'!$A$4:$O$150,8,FALSE)="",VLOOKUP($A100,'[8]1011'!$A$4:$O$150,12,FALSE),VLOOKUP($A100,'[8]1011'!$A$4:$O$150,8,FALSE))</f>
        <v/>
      </c>
      <c r="H100" s="106"/>
      <c r="I100" s="4" t="str">
        <f>IF(VLOOKUP($A100,'[9]1005'!$A$4:$O$150,8,FALSE)="",VLOOKUP($A100,'[9]1005'!$A$4:$O$150,12,FALSE),VLOOKUP($A100,'[9]1005'!$A$4:$O$150,8,FALSE))</f>
        <v/>
      </c>
      <c r="J100" s="4" t="str">
        <f>IF(VLOOKUP($A100,'[10]1004'!$A$4:$O$150,8,FALSE)="",VLOOKUP($A100,'[10]1004'!$A$4:$O$150,12,FALSE),VLOOKUP($A100,'[10]1004'!$A$4:$O$150,8,FALSE))</f>
        <v/>
      </c>
      <c r="K100" s="4" t="str">
        <f>IF(VLOOKUP($A100,'[11]1003'!$A$4:$O$150,8,FALSE)="",VLOOKUP($A100,'[11]1003'!$A$4:$O$150,12,FALSE),VLOOKUP($A100,'[11]1003'!$A$4:$O$150,8,FALSE))</f>
        <v/>
      </c>
      <c r="L100" s="4" t="str">
        <f>IF(VLOOKUP($A100,'[12]1002'!$A$4:$O$150,8,FALSE)="",VLOOKUP($A100,'[12]1002'!$A$4:$O$150,12,FALSE),VLOOKUP($A100,'[12]1002'!$A$4:$O$150,8,FALSE))</f>
        <v/>
      </c>
      <c r="M100" s="106">
        <f>VLOOKUP($A100,'[19]0928'!$A$5:$P$27,12,FALSE)</f>
        <v>1.403</v>
      </c>
      <c r="N100" s="4" t="str">
        <f>IF(VLOOKUP($A100,'[13]0927'!$A$4:$O$150,8,FALSE)="",VLOOKUP($A100,'[13]0927'!$A$4:$O$150,12,FALSE),VLOOKUP($A100,'[13]0927'!$A$4:$O$150,8,FALSE))</f>
        <v/>
      </c>
      <c r="O100" s="5"/>
      <c r="P100" s="4" t="str">
        <f>IF(VLOOKUP($A100,'[14]0925'!$A$4:$O$150,8,FALSE)="",VLOOKUP($A100,'[14]0925'!$A$4:$O$150,12,FALSE),VLOOKUP($A100,'[14]0925'!$A$4:$O$150,8,FALSE))</f>
        <v/>
      </c>
      <c r="Q100" s="4" t="str">
        <f>IF(VLOOKUP($A100,'[15]0922'!$A$4:$O$150,8,FALSE)="",VLOOKUP($A100,'[15]0922'!$A$4:$O$150,12,FALSE),VLOOKUP($A100,'[15]0922'!$A$4:$O$150,8,FALSE))</f>
        <v/>
      </c>
      <c r="R100" s="4" t="str">
        <f>IF(VLOOKUP($A100,'[16]0921'!$A$4:$O$150,8,FALSE)="",VLOOKUP($A100,'[16]0921'!$A$4:$O$150,12,FALSE),VLOOKUP($A100,'[16]0921'!$A$4:$O$150,8,FALSE))</f>
        <v/>
      </c>
      <c r="S100" s="4" t="str">
        <f>IF(VLOOKUP($A100,'[17]0920'!$A$4:$O$150,8,FALSE)="",VLOOKUP($A100,'[17]0920'!$A$4:$O$150,12,FALSE),VLOOKUP($A100,'[17]0920'!$A$4:$O$150,8,FALSE))</f>
        <v/>
      </c>
      <c r="T100" s="4" t="s">
        <v>0</v>
      </c>
      <c r="U100" s="4" t="s">
        <v>0</v>
      </c>
      <c r="W100" s="4" t="s">
        <v>0</v>
      </c>
      <c r="X100" s="4" t="s">
        <v>0</v>
      </c>
      <c r="Y100" s="4" t="s">
        <v>0</v>
      </c>
      <c r="Z100" s="4" t="s">
        <v>0</v>
      </c>
      <c r="AA100" s="4" t="s">
        <v>0</v>
      </c>
      <c r="AB100" s="4" t="s">
        <v>0</v>
      </c>
      <c r="AC100" s="4" t="s">
        <v>0</v>
      </c>
      <c r="AD100" s="4" t="s">
        <v>0</v>
      </c>
      <c r="AE100" s="4" t="s">
        <v>0</v>
      </c>
      <c r="AF100" s="4" t="s">
        <v>0</v>
      </c>
      <c r="AG100" s="4" t="s">
        <v>0</v>
      </c>
      <c r="AH100" s="4" t="s">
        <v>0</v>
      </c>
      <c r="AI100" s="4" t="s">
        <v>0</v>
      </c>
      <c r="AJ100" s="4" t="s">
        <v>0</v>
      </c>
      <c r="AK100" s="4" t="s">
        <v>0</v>
      </c>
      <c r="AL100" s="4" t="s">
        <v>0</v>
      </c>
      <c r="AM100" s="4" t="s">
        <v>0</v>
      </c>
      <c r="AN100" s="4" t="s">
        <v>0</v>
      </c>
      <c r="AP100" s="4" t="s">
        <v>0</v>
      </c>
      <c r="AQ100" s="4" t="s">
        <v>0</v>
      </c>
      <c r="AR100" s="4" t="s">
        <v>0</v>
      </c>
      <c r="AU100" s="4" t="s">
        <v>0</v>
      </c>
    </row>
    <row r="101" spans="1:47">
      <c r="A101" s="3" t="s">
        <v>68</v>
      </c>
      <c r="B101" s="5">
        <f>VLOOKUP($A101,'[21]1013'!$A$4:$O$321,4,FALSE)</f>
        <v>15.91</v>
      </c>
      <c r="C101" s="5">
        <v>19.98</v>
      </c>
      <c r="D101" s="5">
        <f>VLOOKUP($A101,'[21]1013'!$A$4:$O$321,15,FALSE)</f>
        <v>1.4559</v>
      </c>
      <c r="E101" s="4" t="str">
        <f>IF(VLOOKUP($A101,'[21]1013'!$A$4:$O$150,8,FALSE)="",VLOOKUP($A101,'[21]1013'!$A$4:$O$150,12,FALSE),VLOOKUP($A101,'[21]1013'!$A$4:$O$150,8,FALSE))</f>
        <v/>
      </c>
      <c r="F101" s="4" t="str">
        <f>IF(VLOOKUP($A101,'[7]1012'!$A$4:$O$150,8,FALSE)="",VLOOKUP($A101,'[7]1012'!$A$4:$O$150,12,FALSE),VLOOKUP($A101,'[7]1012'!$A$4:$O$150,8,FALSE))</f>
        <v/>
      </c>
      <c r="G101" s="4" t="str">
        <f>IF(VLOOKUP($A101,'[8]1011'!$A$4:$O$150,8,FALSE)="",VLOOKUP($A101,'[8]1011'!$A$4:$O$150,12,FALSE),VLOOKUP($A101,'[8]1011'!$A$4:$O$150,8,FALSE))</f>
        <v/>
      </c>
      <c r="H101" s="106"/>
      <c r="I101" s="4" t="str">
        <f>IF(VLOOKUP($A101,'[9]1005'!$A$4:$O$150,8,FALSE)="",VLOOKUP($A101,'[9]1005'!$A$4:$O$150,12,FALSE),VLOOKUP($A101,'[9]1005'!$A$4:$O$150,8,FALSE))</f>
        <v/>
      </c>
      <c r="J101" s="4" t="str">
        <f>IF(VLOOKUP($A101,'[10]1004'!$A$4:$O$150,8,FALSE)="",VLOOKUP($A101,'[10]1004'!$A$4:$O$150,12,FALSE),VLOOKUP($A101,'[10]1004'!$A$4:$O$150,8,FALSE))</f>
        <v/>
      </c>
      <c r="K101" s="4" t="str">
        <f>IF(VLOOKUP($A101,'[11]1003'!$A$4:$O$150,8,FALSE)="",VLOOKUP($A101,'[11]1003'!$A$4:$O$150,12,FALSE),VLOOKUP($A101,'[11]1003'!$A$4:$O$150,8,FALSE))</f>
        <v/>
      </c>
      <c r="L101" s="4" t="str">
        <f>IF(VLOOKUP($A101,'[12]1002'!$A$4:$O$150,8,FALSE)="",VLOOKUP($A101,'[12]1002'!$A$4:$O$150,12,FALSE),VLOOKUP($A101,'[12]1002'!$A$4:$O$150,8,FALSE))</f>
        <v/>
      </c>
      <c r="M101" s="106"/>
      <c r="N101" s="4" t="str">
        <f>IF(VLOOKUP($A101,'[13]0927'!$A$4:$O$150,8,FALSE)="",VLOOKUP($A101,'[13]0927'!$A$4:$O$150,12,FALSE),VLOOKUP($A101,'[13]0927'!$A$4:$O$150,8,FALSE))</f>
        <v/>
      </c>
      <c r="O101" s="5"/>
      <c r="P101" s="4" t="str">
        <f>IF(VLOOKUP($A101,'[14]0925'!$A$4:$O$150,8,FALSE)="",VLOOKUP($A101,'[14]0925'!$A$4:$O$150,12,FALSE),VLOOKUP($A101,'[14]0925'!$A$4:$O$150,8,FALSE))</f>
        <v/>
      </c>
      <c r="Q101" s="4" t="str">
        <f>IF(VLOOKUP($A101,'[15]0922'!$A$4:$O$150,8,FALSE)="",VLOOKUP($A101,'[15]0922'!$A$4:$O$150,12,FALSE),VLOOKUP($A101,'[15]0922'!$A$4:$O$150,8,FALSE))</f>
        <v/>
      </c>
      <c r="R101" s="4" t="str">
        <f>IF(VLOOKUP($A101,'[16]0921'!$A$4:$O$150,8,FALSE)="",VLOOKUP($A101,'[16]0921'!$A$4:$O$150,12,FALSE),VLOOKUP($A101,'[16]0921'!$A$4:$O$150,8,FALSE))</f>
        <v/>
      </c>
      <c r="S101" s="4" t="str">
        <f>IF(VLOOKUP($A101,'[17]0920'!$A$4:$O$150,8,FALSE)="",VLOOKUP($A101,'[17]0920'!$A$4:$O$150,12,FALSE),VLOOKUP($A101,'[17]0920'!$A$4:$O$150,8,FALSE))</f>
        <v/>
      </c>
      <c r="T101" s="4" t="s">
        <v>0</v>
      </c>
      <c r="U101" s="4" t="s">
        <v>0</v>
      </c>
      <c r="W101" s="4" t="s">
        <v>0</v>
      </c>
      <c r="X101" s="4">
        <v>1.42</v>
      </c>
      <c r="Y101" s="4" t="s">
        <v>0</v>
      </c>
      <c r="Z101" s="4" t="s">
        <v>0</v>
      </c>
      <c r="AA101" s="4" t="s">
        <v>0</v>
      </c>
      <c r="AB101" s="4">
        <v>1.405</v>
      </c>
      <c r="AC101" s="4" t="s">
        <v>0</v>
      </c>
      <c r="AD101" s="4" t="s">
        <v>0</v>
      </c>
      <c r="AE101" s="4" t="s">
        <v>0</v>
      </c>
      <c r="AF101" s="4" t="s">
        <v>0</v>
      </c>
      <c r="AG101" s="4" t="s">
        <v>0</v>
      </c>
      <c r="AH101" s="4" t="s">
        <v>0</v>
      </c>
      <c r="AI101" s="4" t="s">
        <v>0</v>
      </c>
      <c r="AJ101" s="4" t="s">
        <v>0</v>
      </c>
      <c r="AK101" s="4" t="s">
        <v>0</v>
      </c>
      <c r="AL101" s="4" t="s">
        <v>0</v>
      </c>
      <c r="AM101" s="4" t="s">
        <v>0</v>
      </c>
      <c r="AN101" s="4" t="s">
        <v>0</v>
      </c>
      <c r="AP101" s="4" t="s">
        <v>0</v>
      </c>
      <c r="AQ101" s="4">
        <v>1.3856999999999999</v>
      </c>
      <c r="AR101" s="4" t="s">
        <v>0</v>
      </c>
      <c r="AU101" s="4" t="s">
        <v>0</v>
      </c>
    </row>
    <row r="102" spans="1:47">
      <c r="A102" s="3" t="s">
        <v>260</v>
      </c>
      <c r="B102" s="5">
        <f>VLOOKUP($A102,'[21]1013'!$A$4:$O$321,4,FALSE)</f>
        <v>16</v>
      </c>
      <c r="C102" s="5">
        <v>19.14</v>
      </c>
      <c r="D102" s="5">
        <f>VLOOKUP($A102,'[21]1013'!$A$4:$O$321,15,FALSE)</f>
        <v>1.4464999999999999</v>
      </c>
      <c r="E102" s="4">
        <f>IF(VLOOKUP($A102,'[21]1013'!$A$4:$O$150,8,FALSE)="",VLOOKUP($A102,'[21]1013'!$A$4:$O$150,12,FALSE),VLOOKUP($A102,'[21]1013'!$A$4:$O$150,8,FALSE))</f>
        <v>1.4235</v>
      </c>
      <c r="F102" s="4" t="str">
        <f>IF(VLOOKUP($A102,'[7]1012'!$A$4:$O$150,8,FALSE)="",VLOOKUP($A102,'[7]1012'!$A$4:$O$150,12,FALSE),VLOOKUP($A102,'[7]1012'!$A$4:$O$150,8,FALSE))</f>
        <v/>
      </c>
      <c r="G102" s="4" t="str">
        <f>IF(VLOOKUP($A102,'[8]1011'!$A$4:$O$150,8,FALSE)="",VLOOKUP($A102,'[8]1011'!$A$4:$O$150,12,FALSE),VLOOKUP($A102,'[8]1011'!$A$4:$O$150,8,FALSE))</f>
        <v/>
      </c>
      <c r="H102" s="106"/>
      <c r="I102" s="4" t="str">
        <f>IF(VLOOKUP($A102,'[9]1005'!$A$4:$O$150,8,FALSE)="",VLOOKUP($A102,'[9]1005'!$A$4:$O$150,12,FALSE),VLOOKUP($A102,'[9]1005'!$A$4:$O$150,8,FALSE))</f>
        <v/>
      </c>
      <c r="J102" s="4">
        <f>IF(VLOOKUP($A102,'[10]1004'!$A$4:$O$150,8,FALSE)="",VLOOKUP($A102,'[10]1004'!$A$4:$O$150,12,FALSE),VLOOKUP($A102,'[10]1004'!$A$4:$O$150,8,FALSE))</f>
        <v>1.4158999999999999</v>
      </c>
      <c r="K102" s="4" t="str">
        <f>IF(VLOOKUP($A102,'[11]1003'!$A$4:$O$150,8,FALSE)="",VLOOKUP($A102,'[11]1003'!$A$4:$O$150,12,FALSE),VLOOKUP($A102,'[11]1003'!$A$4:$O$150,8,FALSE))</f>
        <v/>
      </c>
      <c r="L102" s="4" t="str">
        <f>IF(VLOOKUP($A102,'[12]1002'!$A$4:$O$150,8,FALSE)="",VLOOKUP($A102,'[12]1002'!$A$4:$O$150,12,FALSE),VLOOKUP($A102,'[12]1002'!$A$4:$O$150,8,FALSE))</f>
        <v/>
      </c>
      <c r="M102" s="106">
        <f>VLOOKUP($A102,'[19]0928'!$A$5:$P$27,12,FALSE)</f>
        <v>1.4075</v>
      </c>
      <c r="N102" s="4" t="str">
        <f>IF(VLOOKUP($A102,'[13]0927'!$A$4:$O$150,8,FALSE)="",VLOOKUP($A102,'[13]0927'!$A$4:$O$150,12,FALSE),VLOOKUP($A102,'[13]0927'!$A$4:$O$150,8,FALSE))</f>
        <v/>
      </c>
      <c r="O102" s="5"/>
      <c r="P102" s="4" t="str">
        <f>IF(VLOOKUP($A102,'[14]0925'!$A$4:$O$150,8,FALSE)="",VLOOKUP($A102,'[14]0925'!$A$4:$O$150,12,FALSE),VLOOKUP($A102,'[14]0925'!$A$4:$O$150,8,FALSE))</f>
        <v/>
      </c>
      <c r="Q102" s="4" t="str">
        <f>IF(VLOOKUP($A102,'[15]0922'!$A$4:$O$150,8,FALSE)="",VLOOKUP($A102,'[15]0922'!$A$4:$O$150,12,FALSE),VLOOKUP($A102,'[15]0922'!$A$4:$O$150,8,FALSE))</f>
        <v/>
      </c>
      <c r="R102" s="4" t="str">
        <f>IF(VLOOKUP($A102,'[16]0921'!$A$4:$O$150,8,FALSE)="",VLOOKUP($A102,'[16]0921'!$A$4:$O$150,12,FALSE),VLOOKUP($A102,'[16]0921'!$A$4:$O$150,8,FALSE))</f>
        <v/>
      </c>
      <c r="S102" s="4" t="str">
        <f>IF(VLOOKUP($A102,'[17]0920'!$A$4:$O$150,8,FALSE)="",VLOOKUP($A102,'[17]0920'!$A$4:$O$150,12,FALSE),VLOOKUP($A102,'[17]0920'!$A$4:$O$150,8,FALSE))</f>
        <v/>
      </c>
      <c r="T102" s="4">
        <v>1.4105000000000001</v>
      </c>
      <c r="U102" s="4" t="s">
        <v>0</v>
      </c>
      <c r="W102" s="4" t="s">
        <v>0</v>
      </c>
      <c r="X102" s="4" t="s">
        <v>0</v>
      </c>
      <c r="Y102" s="4" t="s">
        <v>0</v>
      </c>
      <c r="Z102" s="4" t="s">
        <v>0</v>
      </c>
      <c r="AA102" s="4" t="s">
        <v>0</v>
      </c>
      <c r="AB102" s="4" t="s">
        <v>0</v>
      </c>
      <c r="AC102" s="4" t="s">
        <v>0</v>
      </c>
      <c r="AD102" s="4" t="s">
        <v>0</v>
      </c>
      <c r="AE102" s="4" t="s">
        <v>0</v>
      </c>
      <c r="AF102" s="4" t="s">
        <v>0</v>
      </c>
      <c r="AG102" s="4" t="s">
        <v>0</v>
      </c>
      <c r="AH102" s="4" t="s">
        <v>0</v>
      </c>
      <c r="AI102" s="4" t="s">
        <v>0</v>
      </c>
      <c r="AJ102" s="4" t="s">
        <v>0</v>
      </c>
      <c r="AK102" s="4" t="s">
        <v>0</v>
      </c>
      <c r="AL102" s="4" t="s">
        <v>0</v>
      </c>
      <c r="AM102" s="4" t="s">
        <v>0</v>
      </c>
      <c r="AN102" s="4" t="s">
        <v>0</v>
      </c>
      <c r="AO102" s="5">
        <v>1.3848</v>
      </c>
      <c r="AP102" s="4" t="s">
        <v>0</v>
      </c>
      <c r="AQ102" s="4" t="s">
        <v>0</v>
      </c>
      <c r="AR102" s="4" t="s">
        <v>0</v>
      </c>
      <c r="AU102" s="4">
        <v>1.3560000000000001</v>
      </c>
    </row>
    <row r="103" spans="1:47">
      <c r="A103" s="3" t="s">
        <v>90</v>
      </c>
      <c r="B103" s="5">
        <f>VLOOKUP($A103,'[21]1013'!$A$4:$O$321,4,FALSE)</f>
        <v>15.97</v>
      </c>
      <c r="C103" s="5">
        <v>17.11</v>
      </c>
      <c r="D103" s="5">
        <f>VLOOKUP($A103,'[21]1013'!$A$4:$O$321,15,FALSE)</f>
        <v>1.4207000000000001</v>
      </c>
      <c r="E103" s="4" t="str">
        <f>IF(VLOOKUP($A103,'[21]1013'!$A$4:$O$150,8,FALSE)="",VLOOKUP($A103,'[21]1013'!$A$4:$O$150,12,FALSE),VLOOKUP($A103,'[21]1013'!$A$4:$O$150,8,FALSE))</f>
        <v/>
      </c>
      <c r="F103" s="4" t="str">
        <f>IF(VLOOKUP($A103,'[7]1012'!$A$4:$O$150,8,FALSE)="",VLOOKUP($A103,'[7]1012'!$A$4:$O$150,12,FALSE),VLOOKUP($A103,'[7]1012'!$A$4:$O$150,8,FALSE))</f>
        <v/>
      </c>
      <c r="G103" s="4" t="str">
        <f>IF(VLOOKUP($A103,'[8]1011'!$A$4:$O$150,8,FALSE)="",VLOOKUP($A103,'[8]1011'!$A$4:$O$150,12,FALSE),VLOOKUP($A103,'[8]1011'!$A$4:$O$150,8,FALSE))</f>
        <v/>
      </c>
      <c r="H103" s="106"/>
      <c r="I103" s="4" t="str">
        <f>IF(VLOOKUP($A103,'[9]1005'!$A$4:$O$150,8,FALSE)="",VLOOKUP($A103,'[9]1005'!$A$4:$O$150,12,FALSE),VLOOKUP($A103,'[9]1005'!$A$4:$O$150,8,FALSE))</f>
        <v/>
      </c>
      <c r="J103" s="4" t="str">
        <f>IF(VLOOKUP($A103,'[10]1004'!$A$4:$O$150,8,FALSE)="",VLOOKUP($A103,'[10]1004'!$A$4:$O$150,12,FALSE),VLOOKUP($A103,'[10]1004'!$A$4:$O$150,8,FALSE))</f>
        <v/>
      </c>
      <c r="K103" s="4" t="str">
        <f>IF(VLOOKUP($A103,'[11]1003'!$A$4:$O$150,8,FALSE)="",VLOOKUP($A103,'[11]1003'!$A$4:$O$150,12,FALSE),VLOOKUP($A103,'[11]1003'!$A$4:$O$150,8,FALSE))</f>
        <v/>
      </c>
      <c r="L103" s="4" t="str">
        <f>IF(VLOOKUP($A103,'[12]1002'!$A$4:$O$150,8,FALSE)="",VLOOKUP($A103,'[12]1002'!$A$4:$O$150,12,FALSE),VLOOKUP($A103,'[12]1002'!$A$4:$O$150,8,FALSE))</f>
        <v/>
      </c>
      <c r="M103" s="106"/>
      <c r="N103" s="4" t="str">
        <f>IF(VLOOKUP($A103,'[13]0927'!$A$4:$O$150,8,FALSE)="",VLOOKUP($A103,'[13]0927'!$A$4:$O$150,12,FALSE),VLOOKUP($A103,'[13]0927'!$A$4:$O$150,8,FALSE))</f>
        <v/>
      </c>
      <c r="O103" s="5">
        <f>VLOOKUP(A103,'[20]0926'!$A$5:$P$27,12,FALSE)</f>
        <v>1.363</v>
      </c>
      <c r="P103" s="4" t="str">
        <f>IF(VLOOKUP($A103,'[14]0925'!$A$4:$O$150,8,FALSE)="",VLOOKUP($A103,'[14]0925'!$A$4:$O$150,12,FALSE),VLOOKUP($A103,'[14]0925'!$A$4:$O$150,8,FALSE))</f>
        <v/>
      </c>
      <c r="Q103" s="4" t="str">
        <f>IF(VLOOKUP($A103,'[15]0922'!$A$4:$O$150,8,FALSE)="",VLOOKUP($A103,'[15]0922'!$A$4:$O$150,12,FALSE),VLOOKUP($A103,'[15]0922'!$A$4:$O$150,8,FALSE))</f>
        <v/>
      </c>
      <c r="R103" s="4" t="str">
        <f>IF(VLOOKUP($A103,'[16]0921'!$A$4:$O$150,8,FALSE)="",VLOOKUP($A103,'[16]0921'!$A$4:$O$150,12,FALSE),VLOOKUP($A103,'[16]0921'!$A$4:$O$150,8,FALSE))</f>
        <v/>
      </c>
      <c r="S103" s="4" t="str">
        <f>IF(VLOOKUP($A103,'[17]0920'!$A$4:$O$150,8,FALSE)="",VLOOKUP($A103,'[17]0920'!$A$4:$O$150,12,FALSE),VLOOKUP($A103,'[17]0920'!$A$4:$O$150,8,FALSE))</f>
        <v/>
      </c>
      <c r="T103" s="4" t="s">
        <v>0</v>
      </c>
      <c r="U103" s="4" t="s">
        <v>0</v>
      </c>
      <c r="W103" s="4" t="s">
        <v>0</v>
      </c>
      <c r="X103" s="4" t="s">
        <v>0</v>
      </c>
      <c r="Y103" s="4" t="s">
        <v>0</v>
      </c>
      <c r="Z103" s="4" t="s">
        <v>0</v>
      </c>
      <c r="AA103" s="4" t="s">
        <v>0</v>
      </c>
      <c r="AB103" s="4" t="s">
        <v>0</v>
      </c>
      <c r="AC103" s="4" t="s">
        <v>0</v>
      </c>
      <c r="AD103" s="4" t="s">
        <v>0</v>
      </c>
      <c r="AE103" s="4" t="s">
        <v>0</v>
      </c>
      <c r="AF103" s="4" t="s">
        <v>0</v>
      </c>
      <c r="AG103" s="4" t="s">
        <v>0</v>
      </c>
      <c r="AH103" s="4" t="s">
        <v>0</v>
      </c>
      <c r="AI103" s="4" t="s">
        <v>0</v>
      </c>
      <c r="AJ103" s="4" t="s">
        <v>0</v>
      </c>
      <c r="AK103" s="4" t="s">
        <v>0</v>
      </c>
      <c r="AL103" s="4" t="s">
        <v>0</v>
      </c>
      <c r="AM103" s="4" t="s">
        <v>0</v>
      </c>
      <c r="AN103" s="4" t="s">
        <v>0</v>
      </c>
      <c r="AP103" s="4" t="s">
        <v>0</v>
      </c>
      <c r="AQ103" s="4" t="s">
        <v>0</v>
      </c>
      <c r="AR103" s="4" t="s">
        <v>0</v>
      </c>
      <c r="AU103" s="4" t="s">
        <v>0</v>
      </c>
    </row>
    <row r="104" spans="1:47">
      <c r="A104" s="3" t="s">
        <v>69</v>
      </c>
      <c r="B104" s="5">
        <f>VLOOKUP($A104,'[21]1013'!$A$4:$O$321,4,FALSE)</f>
        <v>16.16</v>
      </c>
      <c r="C104" s="5">
        <v>19.04</v>
      </c>
      <c r="D104" s="5">
        <f>VLOOKUP($A104,'[21]1013'!$A$4:$O$321,15,FALSE)</f>
        <v>1.4469000000000001</v>
      </c>
      <c r="E104" s="4" t="str">
        <f>IF(VLOOKUP($A104,'[21]1013'!$A$4:$O$150,8,FALSE)="",VLOOKUP($A104,'[21]1013'!$A$4:$O$150,12,FALSE),VLOOKUP($A104,'[21]1013'!$A$4:$O$150,8,FALSE))</f>
        <v/>
      </c>
      <c r="F104" s="4" t="str">
        <f>IF(VLOOKUP($A104,'[7]1012'!$A$4:$O$150,8,FALSE)="",VLOOKUP($A104,'[7]1012'!$A$4:$O$150,12,FALSE),VLOOKUP($A104,'[7]1012'!$A$4:$O$150,8,FALSE))</f>
        <v/>
      </c>
      <c r="G104" s="4" t="str">
        <f>IF(VLOOKUP($A104,'[8]1011'!$A$4:$O$150,8,FALSE)="",VLOOKUP($A104,'[8]1011'!$A$4:$O$150,12,FALSE),VLOOKUP($A104,'[8]1011'!$A$4:$O$150,8,FALSE))</f>
        <v/>
      </c>
      <c r="H104" s="106"/>
      <c r="I104" s="4" t="str">
        <f>IF(VLOOKUP($A104,'[9]1005'!$A$4:$O$150,8,FALSE)="",VLOOKUP($A104,'[9]1005'!$A$4:$O$150,12,FALSE),VLOOKUP($A104,'[9]1005'!$A$4:$O$150,8,FALSE))</f>
        <v/>
      </c>
      <c r="J104" s="4" t="str">
        <f>IF(VLOOKUP($A104,'[10]1004'!$A$4:$O$150,8,FALSE)="",VLOOKUP($A104,'[10]1004'!$A$4:$O$150,12,FALSE),VLOOKUP($A104,'[10]1004'!$A$4:$O$150,8,FALSE))</f>
        <v/>
      </c>
      <c r="K104" s="4" t="str">
        <f>IF(VLOOKUP($A104,'[11]1003'!$A$4:$O$150,8,FALSE)="",VLOOKUP($A104,'[11]1003'!$A$4:$O$150,12,FALSE),VLOOKUP($A104,'[11]1003'!$A$4:$O$150,8,FALSE))</f>
        <v/>
      </c>
      <c r="L104" s="4" t="str">
        <f>IF(VLOOKUP($A104,'[12]1002'!$A$4:$O$150,8,FALSE)="",VLOOKUP($A104,'[12]1002'!$A$4:$O$150,12,FALSE),VLOOKUP($A104,'[12]1002'!$A$4:$O$150,8,FALSE))</f>
        <v/>
      </c>
      <c r="M104" s="106"/>
      <c r="N104" s="4" t="str">
        <f>IF(VLOOKUP($A104,'[13]0927'!$A$4:$O$150,8,FALSE)="",VLOOKUP($A104,'[13]0927'!$A$4:$O$150,12,FALSE),VLOOKUP($A104,'[13]0927'!$A$4:$O$150,8,FALSE))</f>
        <v/>
      </c>
      <c r="O104" s="5"/>
      <c r="P104" s="4" t="str">
        <f>IF(VLOOKUP($A104,'[14]0925'!$A$4:$O$150,8,FALSE)="",VLOOKUP($A104,'[14]0925'!$A$4:$O$150,12,FALSE),VLOOKUP($A104,'[14]0925'!$A$4:$O$150,8,FALSE))</f>
        <v/>
      </c>
      <c r="Q104" s="4" t="str">
        <f>IF(VLOOKUP($A104,'[15]0922'!$A$4:$O$150,8,FALSE)="",VLOOKUP($A104,'[15]0922'!$A$4:$O$150,12,FALSE),VLOOKUP($A104,'[15]0922'!$A$4:$O$150,8,FALSE))</f>
        <v/>
      </c>
      <c r="R104" s="4" t="str">
        <f>IF(VLOOKUP($A104,'[16]0921'!$A$4:$O$150,8,FALSE)="",VLOOKUP($A104,'[16]0921'!$A$4:$O$150,12,FALSE),VLOOKUP($A104,'[16]0921'!$A$4:$O$150,8,FALSE))</f>
        <v/>
      </c>
      <c r="S104" s="4" t="str">
        <f>IF(VLOOKUP($A104,'[17]0920'!$A$4:$O$150,8,FALSE)="",VLOOKUP($A104,'[17]0920'!$A$4:$O$150,12,FALSE),VLOOKUP($A104,'[17]0920'!$A$4:$O$150,8,FALSE))</f>
        <v/>
      </c>
      <c r="T104" s="4" t="s">
        <v>0</v>
      </c>
      <c r="U104" s="4" t="s">
        <v>0</v>
      </c>
      <c r="W104" s="4" t="s">
        <v>0</v>
      </c>
      <c r="X104" s="4" t="s">
        <v>0</v>
      </c>
      <c r="Y104" s="4" t="s">
        <v>0</v>
      </c>
      <c r="Z104" s="4" t="s">
        <v>0</v>
      </c>
      <c r="AA104" s="4" t="s">
        <v>0</v>
      </c>
      <c r="AB104" s="4" t="s">
        <v>0</v>
      </c>
      <c r="AC104" s="4" t="s">
        <v>0</v>
      </c>
      <c r="AD104" s="4" t="s">
        <v>0</v>
      </c>
      <c r="AE104" s="4" t="s">
        <v>0</v>
      </c>
      <c r="AF104" s="4" t="s">
        <v>0</v>
      </c>
      <c r="AG104" s="4" t="s">
        <v>0</v>
      </c>
      <c r="AH104" s="4" t="s">
        <v>0</v>
      </c>
      <c r="AI104" s="4" t="s">
        <v>0</v>
      </c>
      <c r="AJ104" s="4" t="s">
        <v>0</v>
      </c>
      <c r="AK104" s="4" t="s">
        <v>0</v>
      </c>
      <c r="AL104" s="4" t="s">
        <v>0</v>
      </c>
      <c r="AM104" s="4" t="s">
        <v>0</v>
      </c>
      <c r="AN104" s="4" t="s">
        <v>0</v>
      </c>
      <c r="AO104" s="5">
        <v>1.3805000000000001</v>
      </c>
      <c r="AP104" s="4" t="s">
        <v>0</v>
      </c>
      <c r="AQ104" s="4">
        <v>1.375</v>
      </c>
      <c r="AR104" s="4" t="s">
        <v>0</v>
      </c>
      <c r="AU104" s="4" t="s">
        <v>0</v>
      </c>
    </row>
    <row r="105" spans="1:47">
      <c r="A105" s="3" t="s">
        <v>96</v>
      </c>
      <c r="B105" s="5">
        <f>VLOOKUP($A105,'[21]1013'!$A$4:$O$321,4,FALSE)</f>
        <v>16.23</v>
      </c>
      <c r="C105" s="5">
        <v>17.47</v>
      </c>
      <c r="D105" s="5">
        <f>VLOOKUP($A105,'[21]1013'!$A$4:$O$321,15,FALSE)</f>
        <v>1.4278</v>
      </c>
      <c r="E105" s="4" t="str">
        <f>IF(VLOOKUP($A105,'[21]1013'!$A$4:$O$150,8,FALSE)="",VLOOKUP($A105,'[21]1013'!$A$4:$O$150,12,FALSE),VLOOKUP($A105,'[21]1013'!$A$4:$O$150,8,FALSE))</f>
        <v/>
      </c>
      <c r="F105" s="4" t="str">
        <f>IF(VLOOKUP($A105,'[7]1012'!$A$4:$O$150,8,FALSE)="",VLOOKUP($A105,'[7]1012'!$A$4:$O$150,12,FALSE),VLOOKUP($A105,'[7]1012'!$A$4:$O$150,8,FALSE))</f>
        <v/>
      </c>
      <c r="G105" s="4" t="str">
        <f>IF(VLOOKUP($A105,'[8]1011'!$A$4:$O$150,8,FALSE)="",VLOOKUP($A105,'[8]1011'!$A$4:$O$150,12,FALSE),VLOOKUP($A105,'[8]1011'!$A$4:$O$150,8,FALSE))</f>
        <v/>
      </c>
      <c r="H105" s="106"/>
      <c r="I105" s="4" t="str">
        <f>IF(VLOOKUP($A105,'[9]1005'!$A$4:$O$150,8,FALSE)="",VLOOKUP($A105,'[9]1005'!$A$4:$O$150,12,FALSE),VLOOKUP($A105,'[9]1005'!$A$4:$O$150,8,FALSE))</f>
        <v/>
      </c>
      <c r="J105" s="4" t="str">
        <f>IF(VLOOKUP($A105,'[10]1004'!$A$4:$O$150,8,FALSE)="",VLOOKUP($A105,'[10]1004'!$A$4:$O$150,12,FALSE),VLOOKUP($A105,'[10]1004'!$A$4:$O$150,8,FALSE))</f>
        <v/>
      </c>
      <c r="K105" s="4" t="str">
        <f>IF(VLOOKUP($A105,'[11]1003'!$A$4:$O$150,8,FALSE)="",VLOOKUP($A105,'[11]1003'!$A$4:$O$150,12,FALSE),VLOOKUP($A105,'[11]1003'!$A$4:$O$150,8,FALSE))</f>
        <v/>
      </c>
      <c r="L105" s="4" t="str">
        <f>IF(VLOOKUP($A105,'[12]1002'!$A$4:$O$150,8,FALSE)="",VLOOKUP($A105,'[12]1002'!$A$4:$O$150,12,FALSE),VLOOKUP($A105,'[12]1002'!$A$4:$O$150,8,FALSE))</f>
        <v/>
      </c>
      <c r="M105" s="106"/>
      <c r="N105" s="4" t="str">
        <f>IF(VLOOKUP($A105,'[13]0927'!$A$4:$O$150,8,FALSE)="",VLOOKUP($A105,'[13]0927'!$A$4:$O$150,12,FALSE),VLOOKUP($A105,'[13]0927'!$A$4:$O$150,8,FALSE))</f>
        <v/>
      </c>
      <c r="O105" s="5"/>
      <c r="P105" s="4" t="str">
        <f>IF(VLOOKUP($A105,'[14]0925'!$A$4:$O$150,8,FALSE)="",VLOOKUP($A105,'[14]0925'!$A$4:$O$150,12,FALSE),VLOOKUP($A105,'[14]0925'!$A$4:$O$150,8,FALSE))</f>
        <v/>
      </c>
      <c r="Q105" s="4" t="str">
        <f>IF(VLOOKUP($A105,'[15]0922'!$A$4:$O$150,8,FALSE)="",VLOOKUP($A105,'[15]0922'!$A$4:$O$150,12,FALSE),VLOOKUP($A105,'[15]0922'!$A$4:$O$150,8,FALSE))</f>
        <v/>
      </c>
      <c r="R105" s="4" t="str">
        <f>IF(VLOOKUP($A105,'[16]0921'!$A$4:$O$150,8,FALSE)="",VLOOKUP($A105,'[16]0921'!$A$4:$O$150,12,FALSE),VLOOKUP($A105,'[16]0921'!$A$4:$O$150,8,FALSE))</f>
        <v/>
      </c>
      <c r="S105" s="4" t="str">
        <f>IF(VLOOKUP($A105,'[17]0920'!$A$4:$O$150,8,FALSE)="",VLOOKUP($A105,'[17]0920'!$A$4:$O$150,12,FALSE),VLOOKUP($A105,'[17]0920'!$A$4:$O$150,8,FALSE))</f>
        <v/>
      </c>
      <c r="T105" s="4" t="s">
        <v>0</v>
      </c>
      <c r="U105" s="4" t="s">
        <v>0</v>
      </c>
      <c r="W105" s="4" t="s">
        <v>0</v>
      </c>
      <c r="X105" s="4" t="s">
        <v>0</v>
      </c>
      <c r="Y105" s="4" t="s">
        <v>0</v>
      </c>
      <c r="Z105" s="4" t="s">
        <v>0</v>
      </c>
      <c r="AA105" s="4" t="s">
        <v>0</v>
      </c>
      <c r="AB105" s="4" t="s">
        <v>0</v>
      </c>
      <c r="AC105" s="4" t="s">
        <v>0</v>
      </c>
      <c r="AD105" s="4" t="s">
        <v>0</v>
      </c>
      <c r="AE105" s="4" t="s">
        <v>0</v>
      </c>
      <c r="AF105" s="4" t="s">
        <v>0</v>
      </c>
      <c r="AG105" s="4" t="s">
        <v>0</v>
      </c>
      <c r="AH105" s="4" t="s">
        <v>0</v>
      </c>
      <c r="AI105" s="4" t="s">
        <v>0</v>
      </c>
      <c r="AJ105" s="4" t="s">
        <v>0</v>
      </c>
      <c r="AK105" s="4" t="s">
        <v>0</v>
      </c>
      <c r="AL105" s="4" t="s">
        <v>0</v>
      </c>
      <c r="AM105" s="4" t="s">
        <v>0</v>
      </c>
      <c r="AN105" s="4" t="s">
        <v>0</v>
      </c>
      <c r="AP105" s="4" t="s">
        <v>0</v>
      </c>
      <c r="AQ105" s="4" t="s">
        <v>0</v>
      </c>
      <c r="AR105" s="4" t="s">
        <v>0</v>
      </c>
      <c r="AU105" s="4" t="s">
        <v>0</v>
      </c>
    </row>
    <row r="106" spans="1:47">
      <c r="A106" s="3" t="s">
        <v>40</v>
      </c>
      <c r="B106" s="5">
        <f>VLOOKUP($A106,'[21]1013'!$A$4:$O$321,4,FALSE)</f>
        <v>16.260000000000002</v>
      </c>
      <c r="C106" s="5">
        <v>19.55</v>
      </c>
      <c r="D106" s="5">
        <f>VLOOKUP($A106,'[21]1013'!$A$4:$O$321,15,FALSE)</f>
        <v>1.4551000000000001</v>
      </c>
      <c r="E106" s="4" t="str">
        <f>IF(VLOOKUP($A106,'[21]1013'!$A$4:$O$150,8,FALSE)="",VLOOKUP($A106,'[21]1013'!$A$4:$O$150,12,FALSE),VLOOKUP($A106,'[21]1013'!$A$4:$O$150,8,FALSE))</f>
        <v/>
      </c>
      <c r="F106" s="4" t="str">
        <f>IF(VLOOKUP($A106,'[7]1012'!$A$4:$O$150,8,FALSE)="",VLOOKUP($A106,'[7]1012'!$A$4:$O$150,12,FALSE),VLOOKUP($A106,'[7]1012'!$A$4:$O$150,8,FALSE))</f>
        <v/>
      </c>
      <c r="G106" s="4" t="str">
        <f>IF(VLOOKUP($A106,'[8]1011'!$A$4:$O$150,8,FALSE)="",VLOOKUP($A106,'[8]1011'!$A$4:$O$150,12,FALSE),VLOOKUP($A106,'[8]1011'!$A$4:$O$150,8,FALSE))</f>
        <v/>
      </c>
      <c r="H106" s="106"/>
      <c r="I106" s="4" t="str">
        <f>IF(VLOOKUP($A106,'[9]1005'!$A$4:$O$150,8,FALSE)="",VLOOKUP($A106,'[9]1005'!$A$4:$O$150,12,FALSE),VLOOKUP($A106,'[9]1005'!$A$4:$O$150,8,FALSE))</f>
        <v/>
      </c>
      <c r="J106" s="4" t="str">
        <f>IF(VLOOKUP($A106,'[10]1004'!$A$4:$O$150,8,FALSE)="",VLOOKUP($A106,'[10]1004'!$A$4:$O$150,12,FALSE),VLOOKUP($A106,'[10]1004'!$A$4:$O$150,8,FALSE))</f>
        <v/>
      </c>
      <c r="K106" s="4" t="str">
        <f>IF(VLOOKUP($A106,'[11]1003'!$A$4:$O$150,8,FALSE)="",VLOOKUP($A106,'[11]1003'!$A$4:$O$150,12,FALSE),VLOOKUP($A106,'[11]1003'!$A$4:$O$150,8,FALSE))</f>
        <v/>
      </c>
      <c r="L106" s="4" t="str">
        <f>IF(VLOOKUP($A106,'[12]1002'!$A$4:$O$150,8,FALSE)="",VLOOKUP($A106,'[12]1002'!$A$4:$O$150,12,FALSE),VLOOKUP($A106,'[12]1002'!$A$4:$O$150,8,FALSE))</f>
        <v/>
      </c>
      <c r="M106" s="106"/>
      <c r="N106" s="4" t="str">
        <f>IF(VLOOKUP($A106,'[13]0927'!$A$4:$O$150,8,FALSE)="",VLOOKUP($A106,'[13]0927'!$A$4:$O$150,12,FALSE),VLOOKUP($A106,'[13]0927'!$A$4:$O$150,8,FALSE))</f>
        <v/>
      </c>
      <c r="O106" s="5"/>
      <c r="P106" s="4" t="str">
        <f>IF(VLOOKUP($A106,'[14]0925'!$A$4:$O$150,8,FALSE)="",VLOOKUP($A106,'[14]0925'!$A$4:$O$150,12,FALSE),VLOOKUP($A106,'[14]0925'!$A$4:$O$150,8,FALSE))</f>
        <v/>
      </c>
      <c r="Q106" s="4" t="str">
        <f>IF(VLOOKUP($A106,'[15]0922'!$A$4:$O$150,8,FALSE)="",VLOOKUP($A106,'[15]0922'!$A$4:$O$150,12,FALSE),VLOOKUP($A106,'[15]0922'!$A$4:$O$150,8,FALSE))</f>
        <v/>
      </c>
      <c r="R106" s="4" t="str">
        <f>IF(VLOOKUP($A106,'[16]0921'!$A$4:$O$150,8,FALSE)="",VLOOKUP($A106,'[16]0921'!$A$4:$O$150,12,FALSE),VLOOKUP($A106,'[16]0921'!$A$4:$O$150,8,FALSE))</f>
        <v/>
      </c>
      <c r="S106" s="4" t="str">
        <f>IF(VLOOKUP($A106,'[17]0920'!$A$4:$O$150,8,FALSE)="",VLOOKUP($A106,'[17]0920'!$A$4:$O$150,12,FALSE),VLOOKUP($A106,'[17]0920'!$A$4:$O$150,8,FALSE))</f>
        <v/>
      </c>
      <c r="T106" s="4">
        <v>1.389</v>
      </c>
      <c r="U106" s="4" t="s">
        <v>0</v>
      </c>
      <c r="W106" s="4" t="s">
        <v>0</v>
      </c>
      <c r="X106" s="4">
        <v>1.41</v>
      </c>
      <c r="Y106" s="4">
        <v>1.4095</v>
      </c>
      <c r="Z106" s="4" t="s">
        <v>0</v>
      </c>
      <c r="AA106" s="4">
        <v>1.3680000000000001</v>
      </c>
      <c r="AB106" s="4" t="s">
        <v>0</v>
      </c>
      <c r="AC106" s="4" t="s">
        <v>0</v>
      </c>
      <c r="AD106" s="4" t="s">
        <v>0</v>
      </c>
      <c r="AE106" s="4" t="s">
        <v>0</v>
      </c>
      <c r="AF106" s="4" t="s">
        <v>0</v>
      </c>
      <c r="AG106" s="4" t="s">
        <v>0</v>
      </c>
      <c r="AH106" s="4" t="s">
        <v>0</v>
      </c>
      <c r="AI106" s="4" t="s">
        <v>0</v>
      </c>
      <c r="AJ106" s="4" t="s">
        <v>0</v>
      </c>
      <c r="AK106" s="4" t="s">
        <v>0</v>
      </c>
      <c r="AL106" s="4" t="s">
        <v>0</v>
      </c>
      <c r="AM106" s="4" t="s">
        <v>0</v>
      </c>
      <c r="AN106" s="4" t="s">
        <v>0</v>
      </c>
      <c r="AP106" s="4" t="s">
        <v>0</v>
      </c>
      <c r="AQ106" s="4" t="s">
        <v>0</v>
      </c>
      <c r="AR106" s="4" t="s">
        <v>0</v>
      </c>
      <c r="AU106" s="4">
        <v>1.3654999999999999</v>
      </c>
    </row>
    <row r="107" spans="1:47">
      <c r="A107" s="3" t="s">
        <v>94</v>
      </c>
      <c r="B107" s="5">
        <f>VLOOKUP($A107,'[21]1013'!$A$4:$O$321,4,FALSE)</f>
        <v>16.34</v>
      </c>
      <c r="C107" s="5">
        <v>17.39</v>
      </c>
      <c r="D107" s="5">
        <f>VLOOKUP($A107,'[21]1013'!$A$4:$O$321,15,FALSE)</f>
        <v>1.4273</v>
      </c>
      <c r="E107" s="4" t="str">
        <f>IF(VLOOKUP($A107,'[21]1013'!$A$4:$O$150,8,FALSE)="",VLOOKUP($A107,'[21]1013'!$A$4:$O$150,12,FALSE),VLOOKUP($A107,'[21]1013'!$A$4:$O$150,8,FALSE))</f>
        <v/>
      </c>
      <c r="F107" s="4" t="str">
        <f>IF(VLOOKUP($A107,'[7]1012'!$A$4:$O$150,8,FALSE)="",VLOOKUP($A107,'[7]1012'!$A$4:$O$150,12,FALSE),VLOOKUP($A107,'[7]1012'!$A$4:$O$150,8,FALSE))</f>
        <v/>
      </c>
      <c r="G107" s="4" t="str">
        <f>IF(VLOOKUP($A107,'[8]1011'!$A$4:$O$150,8,FALSE)="",VLOOKUP($A107,'[8]1011'!$A$4:$O$150,12,FALSE),VLOOKUP($A107,'[8]1011'!$A$4:$O$150,8,FALSE))</f>
        <v/>
      </c>
      <c r="H107" s="106"/>
      <c r="I107" s="4" t="str">
        <f>IF(VLOOKUP($A107,'[9]1005'!$A$4:$O$150,8,FALSE)="",VLOOKUP($A107,'[9]1005'!$A$4:$O$150,12,FALSE),VLOOKUP($A107,'[9]1005'!$A$4:$O$150,8,FALSE))</f>
        <v/>
      </c>
      <c r="J107" s="4" t="str">
        <f>IF(VLOOKUP($A107,'[10]1004'!$A$4:$O$150,8,FALSE)="",VLOOKUP($A107,'[10]1004'!$A$4:$O$150,12,FALSE),VLOOKUP($A107,'[10]1004'!$A$4:$O$150,8,FALSE))</f>
        <v/>
      </c>
      <c r="K107" s="4" t="str">
        <f>IF(VLOOKUP($A107,'[11]1003'!$A$4:$O$150,8,FALSE)="",VLOOKUP($A107,'[11]1003'!$A$4:$O$150,12,FALSE),VLOOKUP($A107,'[11]1003'!$A$4:$O$150,8,FALSE))</f>
        <v/>
      </c>
      <c r="L107" s="4" t="str">
        <f>IF(VLOOKUP($A107,'[12]1002'!$A$4:$O$150,8,FALSE)="",VLOOKUP($A107,'[12]1002'!$A$4:$O$150,12,FALSE),VLOOKUP($A107,'[12]1002'!$A$4:$O$150,8,FALSE))</f>
        <v/>
      </c>
      <c r="M107" s="106"/>
      <c r="N107" s="4">
        <f>IF(VLOOKUP($A107,'[13]0927'!$A$4:$O$150,8,FALSE)="",VLOOKUP($A107,'[13]0927'!$A$4:$O$150,12,FALSE),VLOOKUP($A107,'[13]0927'!$A$4:$O$150,8,FALSE))</f>
        <v>1.3754999999999999</v>
      </c>
      <c r="O107" s="5"/>
      <c r="P107" s="4" t="str">
        <f>IF(VLOOKUP($A107,'[14]0925'!$A$4:$O$150,8,FALSE)="",VLOOKUP($A107,'[14]0925'!$A$4:$O$150,12,FALSE),VLOOKUP($A107,'[14]0925'!$A$4:$O$150,8,FALSE))</f>
        <v/>
      </c>
      <c r="Q107" s="4" t="str">
        <f>IF(VLOOKUP($A107,'[15]0922'!$A$4:$O$150,8,FALSE)="",VLOOKUP($A107,'[15]0922'!$A$4:$O$150,12,FALSE),VLOOKUP($A107,'[15]0922'!$A$4:$O$150,8,FALSE))</f>
        <v/>
      </c>
      <c r="R107" s="4" t="str">
        <f>IF(VLOOKUP($A107,'[16]0921'!$A$4:$O$150,8,FALSE)="",VLOOKUP($A107,'[16]0921'!$A$4:$O$150,12,FALSE),VLOOKUP($A107,'[16]0921'!$A$4:$O$150,8,FALSE))</f>
        <v/>
      </c>
      <c r="S107" s="4" t="str">
        <f>IF(VLOOKUP($A107,'[17]0920'!$A$4:$O$150,8,FALSE)="",VLOOKUP($A107,'[17]0920'!$A$4:$O$150,12,FALSE),VLOOKUP($A107,'[17]0920'!$A$4:$O$150,8,FALSE))</f>
        <v/>
      </c>
      <c r="T107" s="4" t="s">
        <v>0</v>
      </c>
      <c r="U107" s="4" t="s">
        <v>0</v>
      </c>
      <c r="W107" s="4" t="s">
        <v>0</v>
      </c>
      <c r="X107" s="4" t="s">
        <v>0</v>
      </c>
      <c r="Y107" s="4" t="s">
        <v>0</v>
      </c>
      <c r="Z107" s="4" t="s">
        <v>0</v>
      </c>
      <c r="AA107" s="4" t="s">
        <v>0</v>
      </c>
      <c r="AB107" s="4" t="s">
        <v>0</v>
      </c>
      <c r="AC107" s="4" t="s">
        <v>0</v>
      </c>
      <c r="AD107" s="4" t="s">
        <v>0</v>
      </c>
      <c r="AE107" s="4" t="s">
        <v>0</v>
      </c>
      <c r="AF107" s="4" t="s">
        <v>0</v>
      </c>
      <c r="AG107" s="4" t="s">
        <v>0</v>
      </c>
      <c r="AH107" s="4" t="s">
        <v>0</v>
      </c>
      <c r="AI107" s="4" t="s">
        <v>0</v>
      </c>
      <c r="AJ107" s="4" t="s">
        <v>0</v>
      </c>
      <c r="AK107" s="4" t="s">
        <v>0</v>
      </c>
      <c r="AL107" s="4" t="s">
        <v>0</v>
      </c>
      <c r="AM107" s="4" t="s">
        <v>0</v>
      </c>
      <c r="AN107" s="4" t="s">
        <v>0</v>
      </c>
      <c r="AP107" s="4" t="s">
        <v>0</v>
      </c>
      <c r="AQ107" s="4" t="s">
        <v>0</v>
      </c>
      <c r="AR107" s="4" t="s">
        <v>0</v>
      </c>
      <c r="AU107" s="4" t="s">
        <v>0</v>
      </c>
    </row>
    <row r="108" spans="1:47">
      <c r="A108" s="3" t="s">
        <v>213</v>
      </c>
      <c r="B108" s="5">
        <f>VLOOKUP($A108,'[21]1013'!$A$4:$O$321,4,FALSE)</f>
        <v>16.34</v>
      </c>
      <c r="C108" s="5">
        <v>18.440000000000001</v>
      </c>
      <c r="D108" s="5">
        <f>VLOOKUP($A108,'[21]1013'!$A$4:$O$321,15,FALSE)</f>
        <v>1.4417</v>
      </c>
      <c r="E108" s="4" t="str">
        <f>IF(VLOOKUP($A108,'[21]1013'!$A$4:$O$150,8,FALSE)="",VLOOKUP($A108,'[21]1013'!$A$4:$O$150,12,FALSE),VLOOKUP($A108,'[21]1013'!$A$4:$O$150,8,FALSE))</f>
        <v/>
      </c>
      <c r="F108" s="4" t="str">
        <f>IF(VLOOKUP($A108,'[7]1012'!$A$4:$O$150,8,FALSE)="",VLOOKUP($A108,'[7]1012'!$A$4:$O$150,12,FALSE),VLOOKUP($A108,'[7]1012'!$A$4:$O$150,8,FALSE))</f>
        <v/>
      </c>
      <c r="G108" s="4" t="str">
        <f>IF(VLOOKUP($A108,'[8]1011'!$A$4:$O$150,8,FALSE)="",VLOOKUP($A108,'[8]1011'!$A$4:$O$150,12,FALSE),VLOOKUP($A108,'[8]1011'!$A$4:$O$150,8,FALSE))</f>
        <v/>
      </c>
      <c r="H108" s="106"/>
      <c r="I108" s="4" t="str">
        <f>IF(VLOOKUP($A108,'[9]1005'!$A$4:$O$150,8,FALSE)="",VLOOKUP($A108,'[9]1005'!$A$4:$O$150,12,FALSE),VLOOKUP($A108,'[9]1005'!$A$4:$O$150,8,FALSE))</f>
        <v/>
      </c>
      <c r="J108" s="4" t="str">
        <f>IF(VLOOKUP($A108,'[10]1004'!$A$4:$O$150,8,FALSE)="",VLOOKUP($A108,'[10]1004'!$A$4:$O$150,12,FALSE),VLOOKUP($A108,'[10]1004'!$A$4:$O$150,8,FALSE))</f>
        <v/>
      </c>
      <c r="K108" s="4" t="str">
        <f>IF(VLOOKUP($A108,'[11]1003'!$A$4:$O$150,8,FALSE)="",VLOOKUP($A108,'[11]1003'!$A$4:$O$150,12,FALSE),VLOOKUP($A108,'[11]1003'!$A$4:$O$150,8,FALSE))</f>
        <v/>
      </c>
      <c r="L108" s="4" t="str">
        <f>IF(VLOOKUP($A108,'[12]1002'!$A$4:$O$150,8,FALSE)="",VLOOKUP($A108,'[12]1002'!$A$4:$O$150,12,FALSE),VLOOKUP($A108,'[12]1002'!$A$4:$O$150,8,FALSE))</f>
        <v/>
      </c>
      <c r="M108" s="106"/>
      <c r="N108" s="4" t="str">
        <f>IF(VLOOKUP($A108,'[13]0927'!$A$4:$O$150,8,FALSE)="",VLOOKUP($A108,'[13]0927'!$A$4:$O$150,12,FALSE),VLOOKUP($A108,'[13]0927'!$A$4:$O$150,8,FALSE))</f>
        <v/>
      </c>
      <c r="O108" s="5"/>
      <c r="P108" s="4" t="str">
        <f>IF(VLOOKUP($A108,'[14]0925'!$A$4:$O$150,8,FALSE)="",VLOOKUP($A108,'[14]0925'!$A$4:$O$150,12,FALSE),VLOOKUP($A108,'[14]0925'!$A$4:$O$150,8,FALSE))</f>
        <v/>
      </c>
      <c r="Q108" s="4" t="str">
        <f>IF(VLOOKUP($A108,'[15]0922'!$A$4:$O$150,8,FALSE)="",VLOOKUP($A108,'[15]0922'!$A$4:$O$150,12,FALSE),VLOOKUP($A108,'[15]0922'!$A$4:$O$150,8,FALSE))</f>
        <v/>
      </c>
      <c r="R108" s="4" t="str">
        <f>IF(VLOOKUP($A108,'[16]0921'!$A$4:$O$150,8,FALSE)="",VLOOKUP($A108,'[16]0921'!$A$4:$O$150,12,FALSE),VLOOKUP($A108,'[16]0921'!$A$4:$O$150,8,FALSE))</f>
        <v/>
      </c>
      <c r="S108" s="4" t="str">
        <f>IF(VLOOKUP($A108,'[17]0920'!$A$4:$O$150,8,FALSE)="",VLOOKUP($A108,'[17]0920'!$A$4:$O$150,12,FALSE),VLOOKUP($A108,'[17]0920'!$A$4:$O$150,8,FALSE))</f>
        <v/>
      </c>
      <c r="T108" s="4" t="s">
        <v>0</v>
      </c>
      <c r="U108" s="4" t="s">
        <v>0</v>
      </c>
      <c r="W108" s="4" t="s">
        <v>0</v>
      </c>
      <c r="X108" s="4" t="s">
        <v>0</v>
      </c>
      <c r="Y108" s="4" t="s">
        <v>0</v>
      </c>
      <c r="Z108" s="4" t="s">
        <v>0</v>
      </c>
      <c r="AA108" s="4" t="s">
        <v>0</v>
      </c>
      <c r="AB108" s="4" t="s">
        <v>0</v>
      </c>
      <c r="AC108" s="4" t="s">
        <v>0</v>
      </c>
      <c r="AD108" s="4" t="s">
        <v>0</v>
      </c>
      <c r="AE108" s="4" t="s">
        <v>0</v>
      </c>
      <c r="AF108" s="4" t="s">
        <v>0</v>
      </c>
      <c r="AG108" s="4" t="s">
        <v>0</v>
      </c>
      <c r="AH108" s="4" t="s">
        <v>0</v>
      </c>
      <c r="AI108" s="4" t="s">
        <v>0</v>
      </c>
      <c r="AJ108" s="4" t="s">
        <v>0</v>
      </c>
      <c r="AK108" s="4" t="s">
        <v>0</v>
      </c>
      <c r="AL108" s="4" t="s">
        <v>0</v>
      </c>
      <c r="AM108" s="4" t="s">
        <v>0</v>
      </c>
      <c r="AN108" s="4" t="s">
        <v>0</v>
      </c>
      <c r="AP108" s="4" t="s">
        <v>0</v>
      </c>
      <c r="AQ108" s="4" t="s">
        <v>0</v>
      </c>
      <c r="AR108" s="4" t="s">
        <v>0</v>
      </c>
      <c r="AU108" s="4" t="s">
        <v>0</v>
      </c>
    </row>
    <row r="109" spans="1:47">
      <c r="A109" s="3" t="s">
        <v>188</v>
      </c>
      <c r="B109" s="5">
        <f>VLOOKUP($A109,'[21]1013'!$A$4:$O$321,4,FALSE)</f>
        <v>16.36</v>
      </c>
      <c r="C109" s="5">
        <v>17.78</v>
      </c>
      <c r="D109" s="5">
        <f>VLOOKUP($A109,'[21]1013'!$A$4:$O$321,15,FALSE)</f>
        <v>1.4327000000000001</v>
      </c>
      <c r="E109" s="4" t="str">
        <f>IF(VLOOKUP($A109,'[21]1013'!$A$4:$O$150,8,FALSE)="",VLOOKUP($A109,'[21]1013'!$A$4:$O$150,12,FALSE),VLOOKUP($A109,'[21]1013'!$A$4:$O$150,8,FALSE))</f>
        <v/>
      </c>
      <c r="F109" s="4" t="str">
        <f>IF(VLOOKUP($A109,'[7]1012'!$A$4:$O$150,8,FALSE)="",VLOOKUP($A109,'[7]1012'!$A$4:$O$150,12,FALSE),VLOOKUP($A109,'[7]1012'!$A$4:$O$150,8,FALSE))</f>
        <v/>
      </c>
      <c r="G109" s="4" t="str">
        <f>IF(VLOOKUP($A109,'[8]1011'!$A$4:$O$150,8,FALSE)="",VLOOKUP($A109,'[8]1011'!$A$4:$O$150,12,FALSE),VLOOKUP($A109,'[8]1011'!$A$4:$O$150,8,FALSE))</f>
        <v/>
      </c>
      <c r="H109" s="106"/>
      <c r="I109" s="4" t="str">
        <f>IF(VLOOKUP($A109,'[9]1005'!$A$4:$O$150,8,FALSE)="",VLOOKUP($A109,'[9]1005'!$A$4:$O$150,12,FALSE),VLOOKUP($A109,'[9]1005'!$A$4:$O$150,8,FALSE))</f>
        <v/>
      </c>
      <c r="J109" s="4" t="str">
        <f>IF(VLOOKUP($A109,'[10]1004'!$A$4:$O$150,8,FALSE)="",VLOOKUP($A109,'[10]1004'!$A$4:$O$150,12,FALSE),VLOOKUP($A109,'[10]1004'!$A$4:$O$150,8,FALSE))</f>
        <v/>
      </c>
      <c r="K109" s="4" t="str">
        <f>IF(VLOOKUP($A109,'[11]1003'!$A$4:$O$150,8,FALSE)="",VLOOKUP($A109,'[11]1003'!$A$4:$O$150,12,FALSE),VLOOKUP($A109,'[11]1003'!$A$4:$O$150,8,FALSE))</f>
        <v/>
      </c>
      <c r="L109" s="4" t="str">
        <f>IF(VLOOKUP($A109,'[12]1002'!$A$4:$O$150,8,FALSE)="",VLOOKUP($A109,'[12]1002'!$A$4:$O$150,12,FALSE),VLOOKUP($A109,'[12]1002'!$A$4:$O$150,8,FALSE))</f>
        <v/>
      </c>
      <c r="M109" s="106"/>
      <c r="N109" s="4" t="str">
        <f>IF(VLOOKUP($A109,'[13]0927'!$A$4:$O$150,8,FALSE)="",VLOOKUP($A109,'[13]0927'!$A$4:$O$150,12,FALSE),VLOOKUP($A109,'[13]0927'!$A$4:$O$150,8,FALSE))</f>
        <v/>
      </c>
      <c r="O109" s="5"/>
      <c r="P109" s="4" t="str">
        <f>IF(VLOOKUP($A109,'[14]0925'!$A$4:$O$150,8,FALSE)="",VLOOKUP($A109,'[14]0925'!$A$4:$O$150,12,FALSE),VLOOKUP($A109,'[14]0925'!$A$4:$O$150,8,FALSE))</f>
        <v/>
      </c>
      <c r="Q109" s="4" t="str">
        <f>IF(VLOOKUP($A109,'[15]0922'!$A$4:$O$150,8,FALSE)="",VLOOKUP($A109,'[15]0922'!$A$4:$O$150,12,FALSE),VLOOKUP($A109,'[15]0922'!$A$4:$O$150,8,FALSE))</f>
        <v/>
      </c>
      <c r="R109" s="4" t="str">
        <f>IF(VLOOKUP($A109,'[16]0921'!$A$4:$O$150,8,FALSE)="",VLOOKUP($A109,'[16]0921'!$A$4:$O$150,12,FALSE),VLOOKUP($A109,'[16]0921'!$A$4:$O$150,8,FALSE))</f>
        <v/>
      </c>
      <c r="S109" s="4" t="str">
        <f>IF(VLOOKUP($A109,'[17]0920'!$A$4:$O$150,8,FALSE)="",VLOOKUP($A109,'[17]0920'!$A$4:$O$150,12,FALSE),VLOOKUP($A109,'[17]0920'!$A$4:$O$150,8,FALSE))</f>
        <v/>
      </c>
      <c r="T109" s="4" t="s">
        <v>0</v>
      </c>
      <c r="U109" s="4" t="s">
        <v>0</v>
      </c>
      <c r="W109" s="4" t="s">
        <v>0</v>
      </c>
      <c r="X109" s="4" t="s">
        <v>0</v>
      </c>
      <c r="Y109" s="4" t="s">
        <v>0</v>
      </c>
      <c r="Z109" s="4" t="s">
        <v>0</v>
      </c>
      <c r="AA109" s="4" t="s">
        <v>0</v>
      </c>
      <c r="AB109" s="4" t="s">
        <v>0</v>
      </c>
      <c r="AC109" s="4" t="s">
        <v>0</v>
      </c>
      <c r="AD109" s="4" t="s">
        <v>0</v>
      </c>
      <c r="AE109" s="4" t="s">
        <v>0</v>
      </c>
      <c r="AF109" s="4" t="s">
        <v>0</v>
      </c>
      <c r="AG109" s="4" t="s">
        <v>0</v>
      </c>
      <c r="AH109" s="4" t="s">
        <v>0</v>
      </c>
      <c r="AI109" s="4" t="s">
        <v>0</v>
      </c>
      <c r="AJ109" s="4" t="s">
        <v>0</v>
      </c>
      <c r="AK109" s="4" t="s">
        <v>0</v>
      </c>
      <c r="AL109" s="4" t="s">
        <v>0</v>
      </c>
      <c r="AM109" s="4" t="s">
        <v>0</v>
      </c>
      <c r="AN109" s="4" t="s">
        <v>0</v>
      </c>
      <c r="AP109" s="4" t="s">
        <v>0</v>
      </c>
      <c r="AQ109" s="4" t="s">
        <v>0</v>
      </c>
      <c r="AR109" s="4" t="s">
        <v>0</v>
      </c>
      <c r="AU109" s="4" t="s">
        <v>0</v>
      </c>
    </row>
    <row r="110" spans="1:47">
      <c r="A110" s="3" t="s">
        <v>71</v>
      </c>
      <c r="B110" s="5">
        <f>VLOOKUP($A110,'[21]1013'!$A$4:$O$321,4,FALSE)</f>
        <v>16.809999999999999</v>
      </c>
      <c r="C110" s="5">
        <v>20.99</v>
      </c>
      <c r="D110" s="5">
        <f>VLOOKUP($A110,'[21]1013'!$A$4:$O$321,15,FALSE)</f>
        <v>1.476</v>
      </c>
      <c r="E110" s="4" t="str">
        <f>IF(VLOOKUP($A110,'[21]1013'!$A$4:$O$150,8,FALSE)="",VLOOKUP($A110,'[21]1013'!$A$4:$O$150,12,FALSE),VLOOKUP($A110,'[21]1013'!$A$4:$O$150,8,FALSE))</f>
        <v/>
      </c>
      <c r="F110" s="4" t="str">
        <f>IF(VLOOKUP($A110,'[7]1012'!$A$4:$O$150,8,FALSE)="",VLOOKUP($A110,'[7]1012'!$A$4:$O$150,12,FALSE),VLOOKUP($A110,'[7]1012'!$A$4:$O$150,8,FALSE))</f>
        <v/>
      </c>
      <c r="G110" s="4" t="str">
        <f>IF(VLOOKUP($A110,'[8]1011'!$A$4:$O$150,8,FALSE)="",VLOOKUP($A110,'[8]1011'!$A$4:$O$150,12,FALSE),VLOOKUP($A110,'[8]1011'!$A$4:$O$150,8,FALSE))</f>
        <v/>
      </c>
      <c r="H110" s="106"/>
      <c r="I110" s="4" t="str">
        <f>IF(VLOOKUP($A110,'[9]1005'!$A$4:$O$150,8,FALSE)="",VLOOKUP($A110,'[9]1005'!$A$4:$O$150,12,FALSE),VLOOKUP($A110,'[9]1005'!$A$4:$O$150,8,FALSE))</f>
        <v/>
      </c>
      <c r="J110" s="4" t="str">
        <f>IF(VLOOKUP($A110,'[10]1004'!$A$4:$O$150,8,FALSE)="",VLOOKUP($A110,'[10]1004'!$A$4:$O$150,12,FALSE),VLOOKUP($A110,'[10]1004'!$A$4:$O$150,8,FALSE))</f>
        <v/>
      </c>
      <c r="K110" s="4" t="str">
        <f>IF(VLOOKUP($A110,'[11]1003'!$A$4:$O$150,8,FALSE)="",VLOOKUP($A110,'[11]1003'!$A$4:$O$150,12,FALSE),VLOOKUP($A110,'[11]1003'!$A$4:$O$150,8,FALSE))</f>
        <v/>
      </c>
      <c r="L110" s="4" t="str">
        <f>IF(VLOOKUP($A110,'[12]1002'!$A$4:$O$150,8,FALSE)="",VLOOKUP($A110,'[12]1002'!$A$4:$O$150,12,FALSE),VLOOKUP($A110,'[12]1002'!$A$4:$O$150,8,FALSE))</f>
        <v/>
      </c>
      <c r="M110" s="106"/>
      <c r="N110" s="4" t="str">
        <f>IF(VLOOKUP($A110,'[13]0927'!$A$4:$O$150,8,FALSE)="",VLOOKUP($A110,'[13]0927'!$A$4:$O$150,12,FALSE),VLOOKUP($A110,'[13]0927'!$A$4:$O$150,8,FALSE))</f>
        <v/>
      </c>
      <c r="O110" s="5"/>
      <c r="P110" s="4" t="str">
        <f>IF(VLOOKUP($A110,'[14]0925'!$A$4:$O$150,8,FALSE)="",VLOOKUP($A110,'[14]0925'!$A$4:$O$150,12,FALSE),VLOOKUP($A110,'[14]0925'!$A$4:$O$150,8,FALSE))</f>
        <v/>
      </c>
      <c r="Q110" s="4" t="str">
        <f>IF(VLOOKUP($A110,'[15]0922'!$A$4:$O$150,8,FALSE)="",VLOOKUP($A110,'[15]0922'!$A$4:$O$150,12,FALSE),VLOOKUP($A110,'[15]0922'!$A$4:$O$150,8,FALSE))</f>
        <v/>
      </c>
      <c r="R110" s="4" t="str">
        <f>IF(VLOOKUP($A110,'[16]0921'!$A$4:$O$150,8,FALSE)="",VLOOKUP($A110,'[16]0921'!$A$4:$O$150,12,FALSE),VLOOKUP($A110,'[16]0921'!$A$4:$O$150,8,FALSE))</f>
        <v/>
      </c>
      <c r="S110" s="4" t="str">
        <f>IF(VLOOKUP($A110,'[17]0920'!$A$4:$O$150,8,FALSE)="",VLOOKUP($A110,'[17]0920'!$A$4:$O$150,12,FALSE),VLOOKUP($A110,'[17]0920'!$A$4:$O$150,8,FALSE))</f>
        <v/>
      </c>
      <c r="T110" s="4" t="s">
        <v>0</v>
      </c>
      <c r="U110" s="4" t="s">
        <v>0</v>
      </c>
      <c r="W110" s="4" t="s">
        <v>0</v>
      </c>
      <c r="X110" s="4" t="s">
        <v>0</v>
      </c>
      <c r="Y110" s="4">
        <v>1.43</v>
      </c>
      <c r="Z110" s="4" t="s">
        <v>0</v>
      </c>
      <c r="AA110" s="4" t="s">
        <v>0</v>
      </c>
      <c r="AB110" s="4" t="s">
        <v>0</v>
      </c>
      <c r="AC110" s="4" t="s">
        <v>0</v>
      </c>
      <c r="AD110" s="4" t="s">
        <v>0</v>
      </c>
      <c r="AE110" s="4" t="s">
        <v>0</v>
      </c>
      <c r="AF110" s="4" t="s">
        <v>0</v>
      </c>
      <c r="AG110" s="4" t="s">
        <v>0</v>
      </c>
      <c r="AH110" s="4" t="s">
        <v>0</v>
      </c>
      <c r="AI110" s="4" t="s">
        <v>0</v>
      </c>
      <c r="AJ110" s="4">
        <v>1.4205000000000001</v>
      </c>
      <c r="AK110" s="4" t="s">
        <v>0</v>
      </c>
      <c r="AL110" s="4" t="s">
        <v>0</v>
      </c>
      <c r="AM110" s="4" t="s">
        <v>0</v>
      </c>
      <c r="AN110" s="4" t="s">
        <v>0</v>
      </c>
      <c r="AP110" s="4" t="s">
        <v>0</v>
      </c>
      <c r="AQ110" s="4" t="s">
        <v>0</v>
      </c>
      <c r="AR110" s="4" t="s">
        <v>0</v>
      </c>
      <c r="AU110" s="4" t="s">
        <v>0</v>
      </c>
    </row>
    <row r="111" spans="1:47">
      <c r="A111" s="3" t="s">
        <v>47</v>
      </c>
      <c r="B111" s="5">
        <f>VLOOKUP($A111,'[21]1013'!$A$4:$O$321,4,FALSE)</f>
        <v>16.52</v>
      </c>
      <c r="C111" s="5">
        <v>20.55</v>
      </c>
      <c r="D111" s="5">
        <f>VLOOKUP($A111,'[21]1013'!$A$4:$O$321,15,FALSE)</f>
        <v>1.4695</v>
      </c>
      <c r="E111" s="4" t="str">
        <f>IF(VLOOKUP($A111,'[21]1013'!$A$4:$O$150,8,FALSE)="",VLOOKUP($A111,'[21]1013'!$A$4:$O$150,12,FALSE),VLOOKUP($A111,'[21]1013'!$A$4:$O$150,8,FALSE))</f>
        <v/>
      </c>
      <c r="F111" s="4" t="str">
        <f>IF(VLOOKUP($A111,'[7]1012'!$A$4:$O$150,8,FALSE)="",VLOOKUP($A111,'[7]1012'!$A$4:$O$150,12,FALSE),VLOOKUP($A111,'[7]1012'!$A$4:$O$150,8,FALSE))</f>
        <v/>
      </c>
      <c r="G111" s="4" t="str">
        <f>IF(VLOOKUP($A111,'[8]1011'!$A$4:$O$150,8,FALSE)="",VLOOKUP($A111,'[8]1011'!$A$4:$O$150,12,FALSE),VLOOKUP($A111,'[8]1011'!$A$4:$O$150,8,FALSE))</f>
        <v/>
      </c>
      <c r="H111" s="106"/>
      <c r="I111" s="4" t="str">
        <f>IF(VLOOKUP($A111,'[9]1005'!$A$4:$O$150,8,FALSE)="",VLOOKUP($A111,'[9]1005'!$A$4:$O$150,12,FALSE),VLOOKUP($A111,'[9]1005'!$A$4:$O$150,8,FALSE))</f>
        <v/>
      </c>
      <c r="J111" s="4" t="str">
        <f>IF(VLOOKUP($A111,'[10]1004'!$A$4:$O$150,8,FALSE)="",VLOOKUP($A111,'[10]1004'!$A$4:$O$150,12,FALSE),VLOOKUP($A111,'[10]1004'!$A$4:$O$150,8,FALSE))</f>
        <v/>
      </c>
      <c r="K111" s="4" t="str">
        <f>IF(VLOOKUP($A111,'[11]1003'!$A$4:$O$150,8,FALSE)="",VLOOKUP($A111,'[11]1003'!$A$4:$O$150,12,FALSE),VLOOKUP($A111,'[11]1003'!$A$4:$O$150,8,FALSE))</f>
        <v/>
      </c>
      <c r="L111" s="4" t="str">
        <f>IF(VLOOKUP($A111,'[12]1002'!$A$4:$O$150,8,FALSE)="",VLOOKUP($A111,'[12]1002'!$A$4:$O$150,12,FALSE),VLOOKUP($A111,'[12]1002'!$A$4:$O$150,8,FALSE))</f>
        <v/>
      </c>
      <c r="M111" s="106"/>
      <c r="N111" s="4" t="str">
        <f>IF(VLOOKUP($A111,'[13]0927'!$A$4:$O$150,8,FALSE)="",VLOOKUP($A111,'[13]0927'!$A$4:$O$150,12,FALSE),VLOOKUP($A111,'[13]0927'!$A$4:$O$150,8,FALSE))</f>
        <v/>
      </c>
      <c r="O111" s="5"/>
      <c r="P111" s="4" t="str">
        <f>IF(VLOOKUP($A111,'[14]0925'!$A$4:$O$150,8,FALSE)="",VLOOKUP($A111,'[14]0925'!$A$4:$O$150,12,FALSE),VLOOKUP($A111,'[14]0925'!$A$4:$O$150,8,FALSE))</f>
        <v/>
      </c>
      <c r="Q111" s="4" t="str">
        <f>IF(VLOOKUP($A111,'[15]0922'!$A$4:$O$150,8,FALSE)="",VLOOKUP($A111,'[15]0922'!$A$4:$O$150,12,FALSE),VLOOKUP($A111,'[15]0922'!$A$4:$O$150,8,FALSE))</f>
        <v/>
      </c>
      <c r="R111" s="4" t="str">
        <f>IF(VLOOKUP($A111,'[16]0921'!$A$4:$O$150,8,FALSE)="",VLOOKUP($A111,'[16]0921'!$A$4:$O$150,12,FALSE),VLOOKUP($A111,'[16]0921'!$A$4:$O$150,8,FALSE))</f>
        <v/>
      </c>
      <c r="S111" s="4" t="str">
        <f>IF(VLOOKUP($A111,'[17]0920'!$A$4:$O$150,8,FALSE)="",VLOOKUP($A111,'[17]0920'!$A$4:$O$150,12,FALSE),VLOOKUP($A111,'[17]0920'!$A$4:$O$150,8,FALSE))</f>
        <v/>
      </c>
      <c r="T111" s="4" t="s">
        <v>0</v>
      </c>
      <c r="U111" s="4" t="s">
        <v>0</v>
      </c>
      <c r="W111" s="4" t="s">
        <v>0</v>
      </c>
      <c r="X111" s="4" t="s">
        <v>0</v>
      </c>
      <c r="Y111" s="4" t="s">
        <v>0</v>
      </c>
      <c r="Z111" s="4" t="s">
        <v>0</v>
      </c>
      <c r="AA111" s="4" t="s">
        <v>0</v>
      </c>
      <c r="AB111" s="4" t="s">
        <v>0</v>
      </c>
      <c r="AC111" s="4" t="s">
        <v>0</v>
      </c>
      <c r="AD111" s="4" t="s">
        <v>0</v>
      </c>
      <c r="AE111" s="4" t="s">
        <v>0</v>
      </c>
      <c r="AF111" s="4" t="s">
        <v>0</v>
      </c>
      <c r="AG111" s="4" t="s">
        <v>0</v>
      </c>
      <c r="AH111" s="4" t="s">
        <v>0</v>
      </c>
      <c r="AI111" s="4" t="s">
        <v>0</v>
      </c>
      <c r="AJ111" s="4" t="s">
        <v>0</v>
      </c>
      <c r="AK111" s="4" t="s">
        <v>0</v>
      </c>
      <c r="AL111" s="4" t="s">
        <v>0</v>
      </c>
      <c r="AM111" s="4" t="s">
        <v>0</v>
      </c>
      <c r="AN111" s="4" t="s">
        <v>0</v>
      </c>
      <c r="AP111" s="4" t="s">
        <v>0</v>
      </c>
      <c r="AQ111" s="4" t="s">
        <v>0</v>
      </c>
      <c r="AR111" s="4" t="s">
        <v>0</v>
      </c>
      <c r="AU111" s="4" t="s">
        <v>0</v>
      </c>
    </row>
    <row r="112" spans="1:47">
      <c r="A112" s="3" t="s">
        <v>215</v>
      </c>
      <c r="B112" s="5">
        <f>VLOOKUP($A112,'[21]1013'!$A$4:$O$321,4,FALSE)</f>
        <v>16.64</v>
      </c>
      <c r="C112" s="5">
        <v>18.57</v>
      </c>
      <c r="D112" s="5">
        <f>VLOOKUP($A112,'[21]1013'!$A$4:$O$321,15,FALSE)</f>
        <v>1.4454</v>
      </c>
      <c r="E112" s="4" t="str">
        <f>IF(VLOOKUP($A112,'[21]1013'!$A$4:$O$150,8,FALSE)="",VLOOKUP($A112,'[21]1013'!$A$4:$O$150,12,FALSE),VLOOKUP($A112,'[21]1013'!$A$4:$O$150,8,FALSE))</f>
        <v/>
      </c>
      <c r="F112" s="4" t="str">
        <f>IF(VLOOKUP($A112,'[7]1012'!$A$4:$O$150,8,FALSE)="",VLOOKUP($A112,'[7]1012'!$A$4:$O$150,12,FALSE),VLOOKUP($A112,'[7]1012'!$A$4:$O$150,8,FALSE))</f>
        <v/>
      </c>
      <c r="G112" s="4" t="str">
        <f>IF(VLOOKUP($A112,'[8]1011'!$A$4:$O$150,8,FALSE)="",VLOOKUP($A112,'[8]1011'!$A$4:$O$150,12,FALSE),VLOOKUP($A112,'[8]1011'!$A$4:$O$150,8,FALSE))</f>
        <v/>
      </c>
      <c r="H112" s="106"/>
      <c r="I112" s="4" t="str">
        <f>IF(VLOOKUP($A112,'[9]1005'!$A$4:$O$150,8,FALSE)="",VLOOKUP($A112,'[9]1005'!$A$4:$O$150,12,FALSE),VLOOKUP($A112,'[9]1005'!$A$4:$O$150,8,FALSE))</f>
        <v/>
      </c>
      <c r="J112" s="4" t="str">
        <f>IF(VLOOKUP($A112,'[10]1004'!$A$4:$O$150,8,FALSE)="",VLOOKUP($A112,'[10]1004'!$A$4:$O$150,12,FALSE),VLOOKUP($A112,'[10]1004'!$A$4:$O$150,8,FALSE))</f>
        <v/>
      </c>
      <c r="K112" s="4" t="str">
        <f>IF(VLOOKUP($A112,'[11]1003'!$A$4:$O$150,8,FALSE)="",VLOOKUP($A112,'[11]1003'!$A$4:$O$150,12,FALSE),VLOOKUP($A112,'[11]1003'!$A$4:$O$150,8,FALSE))</f>
        <v/>
      </c>
      <c r="L112" s="4" t="str">
        <f>IF(VLOOKUP($A112,'[12]1002'!$A$4:$O$150,8,FALSE)="",VLOOKUP($A112,'[12]1002'!$A$4:$O$150,12,FALSE),VLOOKUP($A112,'[12]1002'!$A$4:$O$150,8,FALSE))</f>
        <v/>
      </c>
      <c r="M112" s="106"/>
      <c r="N112" s="4" t="str">
        <f>IF(VLOOKUP($A112,'[13]0927'!$A$4:$O$150,8,FALSE)="",VLOOKUP($A112,'[13]0927'!$A$4:$O$150,12,FALSE),VLOOKUP($A112,'[13]0927'!$A$4:$O$150,8,FALSE))</f>
        <v/>
      </c>
      <c r="O112" s="5"/>
      <c r="P112" s="4" t="str">
        <f>IF(VLOOKUP($A112,'[14]0925'!$A$4:$O$150,8,FALSE)="",VLOOKUP($A112,'[14]0925'!$A$4:$O$150,12,FALSE),VLOOKUP($A112,'[14]0925'!$A$4:$O$150,8,FALSE))</f>
        <v/>
      </c>
      <c r="Q112" s="4" t="str">
        <f>IF(VLOOKUP($A112,'[15]0922'!$A$4:$O$150,8,FALSE)="",VLOOKUP($A112,'[15]0922'!$A$4:$O$150,12,FALSE),VLOOKUP($A112,'[15]0922'!$A$4:$O$150,8,FALSE))</f>
        <v/>
      </c>
      <c r="R112" s="4" t="str">
        <f>IF(VLOOKUP($A112,'[16]0921'!$A$4:$O$150,8,FALSE)="",VLOOKUP($A112,'[16]0921'!$A$4:$O$150,12,FALSE),VLOOKUP($A112,'[16]0921'!$A$4:$O$150,8,FALSE))</f>
        <v/>
      </c>
      <c r="S112" s="4" t="str">
        <f>IF(VLOOKUP($A112,'[17]0920'!$A$4:$O$150,8,FALSE)="",VLOOKUP($A112,'[17]0920'!$A$4:$O$150,12,FALSE),VLOOKUP($A112,'[17]0920'!$A$4:$O$150,8,FALSE))</f>
        <v/>
      </c>
      <c r="T112" s="4" t="s">
        <v>0</v>
      </c>
      <c r="U112" s="4" t="s">
        <v>0</v>
      </c>
      <c r="W112" s="4" t="s">
        <v>0</v>
      </c>
      <c r="X112" s="4" t="s">
        <v>0</v>
      </c>
      <c r="Y112" s="4" t="s">
        <v>0</v>
      </c>
      <c r="Z112" s="4" t="s">
        <v>0</v>
      </c>
      <c r="AA112" s="4" t="s">
        <v>0</v>
      </c>
      <c r="AB112" s="4" t="s">
        <v>0</v>
      </c>
      <c r="AC112" s="4" t="s">
        <v>0</v>
      </c>
      <c r="AD112" s="4" t="s">
        <v>0</v>
      </c>
      <c r="AE112" s="4" t="s">
        <v>0</v>
      </c>
      <c r="AF112" s="4" t="s">
        <v>0</v>
      </c>
      <c r="AG112" s="4" t="s">
        <v>0</v>
      </c>
      <c r="AH112" s="4" t="s">
        <v>0</v>
      </c>
      <c r="AI112" s="4" t="s">
        <v>0</v>
      </c>
      <c r="AJ112" s="4" t="s">
        <v>0</v>
      </c>
      <c r="AK112" s="4" t="s">
        <v>0</v>
      </c>
      <c r="AL112" s="4" t="s">
        <v>0</v>
      </c>
      <c r="AM112" s="4" t="s">
        <v>0</v>
      </c>
      <c r="AN112" s="4" t="s">
        <v>0</v>
      </c>
      <c r="AP112" s="4" t="s">
        <v>0</v>
      </c>
      <c r="AQ112" s="4" t="s">
        <v>0</v>
      </c>
      <c r="AR112" s="4" t="s">
        <v>0</v>
      </c>
      <c r="AU112" s="4" t="s">
        <v>0</v>
      </c>
    </row>
    <row r="113" spans="1:47">
      <c r="A113" s="3" t="s">
        <v>203</v>
      </c>
      <c r="B113" s="5">
        <f>VLOOKUP($A113,'[21]1013'!$A$4:$O$321,4,FALSE)</f>
        <v>16.71</v>
      </c>
      <c r="C113" s="5">
        <v>18.260000000000002</v>
      </c>
      <c r="D113" s="5">
        <f>VLOOKUP($A113,'[21]1013'!$A$4:$O$321,15,FALSE)</f>
        <v>1.4419999999999999</v>
      </c>
      <c r="E113" s="4" t="str">
        <f>IF(VLOOKUP($A113,'[21]1013'!$A$4:$O$150,8,FALSE)="",VLOOKUP($A113,'[21]1013'!$A$4:$O$150,12,FALSE),VLOOKUP($A113,'[21]1013'!$A$4:$O$150,8,FALSE))</f>
        <v/>
      </c>
      <c r="F113" s="4" t="str">
        <f>IF(VLOOKUP($A113,'[7]1012'!$A$4:$O$150,8,FALSE)="",VLOOKUP($A113,'[7]1012'!$A$4:$O$150,12,FALSE),VLOOKUP($A113,'[7]1012'!$A$4:$O$150,8,FALSE))</f>
        <v/>
      </c>
      <c r="G113" s="4" t="str">
        <f>IF(VLOOKUP($A113,'[8]1011'!$A$4:$O$150,8,FALSE)="",VLOOKUP($A113,'[8]1011'!$A$4:$O$150,12,FALSE),VLOOKUP($A113,'[8]1011'!$A$4:$O$150,8,FALSE))</f>
        <v/>
      </c>
      <c r="H113" s="106"/>
      <c r="I113" s="4" t="str">
        <f>IF(VLOOKUP($A113,'[9]1005'!$A$4:$O$150,8,FALSE)="",VLOOKUP($A113,'[9]1005'!$A$4:$O$150,12,FALSE),VLOOKUP($A113,'[9]1005'!$A$4:$O$150,8,FALSE))</f>
        <v/>
      </c>
      <c r="J113" s="4" t="str">
        <f>IF(VLOOKUP($A113,'[10]1004'!$A$4:$O$150,8,FALSE)="",VLOOKUP($A113,'[10]1004'!$A$4:$O$150,12,FALSE),VLOOKUP($A113,'[10]1004'!$A$4:$O$150,8,FALSE))</f>
        <v/>
      </c>
      <c r="K113" s="4" t="str">
        <f>IF(VLOOKUP($A113,'[11]1003'!$A$4:$O$150,8,FALSE)="",VLOOKUP($A113,'[11]1003'!$A$4:$O$150,12,FALSE),VLOOKUP($A113,'[11]1003'!$A$4:$O$150,8,FALSE))</f>
        <v/>
      </c>
      <c r="L113" s="4" t="str">
        <f>IF(VLOOKUP($A113,'[12]1002'!$A$4:$O$150,8,FALSE)="",VLOOKUP($A113,'[12]1002'!$A$4:$O$150,12,FALSE),VLOOKUP($A113,'[12]1002'!$A$4:$O$150,8,FALSE))</f>
        <v/>
      </c>
      <c r="M113" s="106"/>
      <c r="N113" s="4" t="str">
        <f>IF(VLOOKUP($A113,'[13]0927'!$A$4:$O$150,8,FALSE)="",VLOOKUP($A113,'[13]0927'!$A$4:$O$150,12,FALSE),VLOOKUP($A113,'[13]0927'!$A$4:$O$150,8,FALSE))</f>
        <v/>
      </c>
      <c r="O113" s="5"/>
      <c r="P113" s="4" t="str">
        <f>IF(VLOOKUP($A113,'[14]0925'!$A$4:$O$150,8,FALSE)="",VLOOKUP($A113,'[14]0925'!$A$4:$O$150,12,FALSE),VLOOKUP($A113,'[14]0925'!$A$4:$O$150,8,FALSE))</f>
        <v/>
      </c>
      <c r="Q113" s="4" t="str">
        <f>IF(VLOOKUP($A113,'[15]0922'!$A$4:$O$150,8,FALSE)="",VLOOKUP($A113,'[15]0922'!$A$4:$O$150,12,FALSE),VLOOKUP($A113,'[15]0922'!$A$4:$O$150,8,FALSE))</f>
        <v/>
      </c>
      <c r="R113" s="4" t="str">
        <f>IF(VLOOKUP($A113,'[16]0921'!$A$4:$O$150,8,FALSE)="",VLOOKUP($A113,'[16]0921'!$A$4:$O$150,12,FALSE),VLOOKUP($A113,'[16]0921'!$A$4:$O$150,8,FALSE))</f>
        <v/>
      </c>
      <c r="S113" s="4" t="str">
        <f>IF(VLOOKUP($A113,'[17]0920'!$A$4:$O$150,8,FALSE)="",VLOOKUP($A113,'[17]0920'!$A$4:$O$150,12,FALSE),VLOOKUP($A113,'[17]0920'!$A$4:$O$150,8,FALSE))</f>
        <v/>
      </c>
      <c r="T113" s="4" t="s">
        <v>0</v>
      </c>
      <c r="U113" s="4" t="s">
        <v>0</v>
      </c>
      <c r="W113" s="4" t="s">
        <v>0</v>
      </c>
      <c r="X113" s="4" t="s">
        <v>0</v>
      </c>
      <c r="Y113" s="4" t="s">
        <v>0</v>
      </c>
      <c r="Z113" s="4" t="s">
        <v>0</v>
      </c>
      <c r="AA113" s="4" t="s">
        <v>0</v>
      </c>
      <c r="AB113" s="4" t="s">
        <v>0</v>
      </c>
      <c r="AC113" s="4" t="s">
        <v>0</v>
      </c>
      <c r="AD113" s="4" t="s">
        <v>0</v>
      </c>
      <c r="AE113" s="4" t="s">
        <v>0</v>
      </c>
      <c r="AF113" s="4" t="s">
        <v>0</v>
      </c>
      <c r="AG113" s="4" t="s">
        <v>0</v>
      </c>
      <c r="AH113" s="4" t="s">
        <v>0</v>
      </c>
      <c r="AI113" s="4" t="s">
        <v>0</v>
      </c>
      <c r="AJ113" s="4" t="s">
        <v>0</v>
      </c>
      <c r="AK113" s="4" t="s">
        <v>0</v>
      </c>
      <c r="AL113" s="4" t="s">
        <v>0</v>
      </c>
      <c r="AM113" s="4" t="s">
        <v>0</v>
      </c>
      <c r="AN113" s="4" t="s">
        <v>0</v>
      </c>
      <c r="AP113" s="4" t="s">
        <v>0</v>
      </c>
      <c r="AQ113" s="4" t="s">
        <v>0</v>
      </c>
      <c r="AR113" s="4" t="s">
        <v>0</v>
      </c>
      <c r="AU113" s="4" t="s">
        <v>0</v>
      </c>
    </row>
    <row r="114" spans="1:47">
      <c r="A114" s="3" t="s">
        <v>283</v>
      </c>
      <c r="B114" s="5">
        <f>VLOOKUP($A114,'[21]1013'!$A$4:$O$321,4,FALSE)</f>
        <v>16.73</v>
      </c>
      <c r="C114" s="5">
        <v>19.559999999999999</v>
      </c>
      <c r="D114" s="5">
        <f>VLOOKUP($A114,'[21]1013'!$A$4:$O$321,15,FALSE)</f>
        <v>1.4592000000000001</v>
      </c>
      <c r="E114" s="4" t="str">
        <f>IF(VLOOKUP($A114,'[21]1013'!$A$4:$O$150,8,FALSE)="",VLOOKUP($A114,'[21]1013'!$A$4:$O$150,12,FALSE),VLOOKUP($A114,'[21]1013'!$A$4:$O$150,8,FALSE))</f>
        <v/>
      </c>
      <c r="F114" s="4" t="str">
        <f>IF(VLOOKUP($A114,'[7]1012'!$A$4:$O$150,8,FALSE)="",VLOOKUP($A114,'[7]1012'!$A$4:$O$150,12,FALSE),VLOOKUP($A114,'[7]1012'!$A$4:$O$150,8,FALSE))</f>
        <v/>
      </c>
      <c r="G114" s="4" t="str">
        <f>IF(VLOOKUP($A114,'[8]1011'!$A$4:$O$150,8,FALSE)="",VLOOKUP($A114,'[8]1011'!$A$4:$O$150,12,FALSE),VLOOKUP($A114,'[8]1011'!$A$4:$O$150,8,FALSE))</f>
        <v/>
      </c>
      <c r="H114" s="106"/>
      <c r="I114" s="4" t="str">
        <f>IF(VLOOKUP($A114,'[9]1005'!$A$4:$O$150,8,FALSE)="",VLOOKUP($A114,'[9]1005'!$A$4:$O$150,12,FALSE),VLOOKUP($A114,'[9]1005'!$A$4:$O$150,8,FALSE))</f>
        <v/>
      </c>
      <c r="J114" s="4">
        <f>IF(VLOOKUP($A114,'[10]1004'!$A$4:$O$150,8,FALSE)="",VLOOKUP($A114,'[10]1004'!$A$4:$O$150,12,FALSE),VLOOKUP($A114,'[10]1004'!$A$4:$O$150,8,FALSE))</f>
        <v>1.4255</v>
      </c>
      <c r="K114" s="4" t="str">
        <f>IF(VLOOKUP($A114,'[11]1003'!$A$4:$O$150,8,FALSE)="",VLOOKUP($A114,'[11]1003'!$A$4:$O$150,12,FALSE),VLOOKUP($A114,'[11]1003'!$A$4:$O$150,8,FALSE))</f>
        <v/>
      </c>
      <c r="L114" s="4" t="str">
        <f>IF(VLOOKUP($A114,'[12]1002'!$A$4:$O$150,8,FALSE)="",VLOOKUP($A114,'[12]1002'!$A$4:$O$150,12,FALSE),VLOOKUP($A114,'[12]1002'!$A$4:$O$150,8,FALSE))</f>
        <v/>
      </c>
      <c r="M114" s="106"/>
      <c r="N114" s="4" t="str">
        <f>IF(VLOOKUP($A114,'[13]0927'!$A$4:$O$150,8,FALSE)="",VLOOKUP($A114,'[13]0927'!$A$4:$O$150,12,FALSE),VLOOKUP($A114,'[13]0927'!$A$4:$O$150,8,FALSE))</f>
        <v/>
      </c>
      <c r="O114" s="5"/>
      <c r="P114" s="4" t="str">
        <f>IF(VLOOKUP($A114,'[14]0925'!$A$4:$O$150,8,FALSE)="",VLOOKUP($A114,'[14]0925'!$A$4:$O$150,12,FALSE),VLOOKUP($A114,'[14]0925'!$A$4:$O$150,8,FALSE))</f>
        <v/>
      </c>
      <c r="Q114" s="4" t="str">
        <f>IF(VLOOKUP($A114,'[15]0922'!$A$4:$O$150,8,FALSE)="",VLOOKUP($A114,'[15]0922'!$A$4:$O$150,12,FALSE),VLOOKUP($A114,'[15]0922'!$A$4:$O$150,8,FALSE))</f>
        <v/>
      </c>
      <c r="R114" s="4" t="str">
        <f>IF(VLOOKUP($A114,'[16]0921'!$A$4:$O$150,8,FALSE)="",VLOOKUP($A114,'[16]0921'!$A$4:$O$150,12,FALSE),VLOOKUP($A114,'[16]0921'!$A$4:$O$150,8,FALSE))</f>
        <v/>
      </c>
      <c r="S114" s="4" t="str">
        <f>IF(VLOOKUP($A114,'[17]0920'!$A$4:$O$150,8,FALSE)="",VLOOKUP($A114,'[17]0920'!$A$4:$O$150,12,FALSE),VLOOKUP($A114,'[17]0920'!$A$4:$O$150,8,FALSE))</f>
        <v/>
      </c>
      <c r="T114" s="4">
        <v>1.4195</v>
      </c>
      <c r="U114" s="4">
        <v>1.4159999999999999</v>
      </c>
      <c r="V114" s="5">
        <v>1.4145000000000001</v>
      </c>
      <c r="W114" s="4" t="s">
        <v>0</v>
      </c>
      <c r="X114" s="4">
        <v>1.41</v>
      </c>
      <c r="Y114" s="4">
        <v>1.4025000000000001</v>
      </c>
      <c r="Z114" s="4">
        <v>1.3995</v>
      </c>
      <c r="AA114" s="4" t="s">
        <v>0</v>
      </c>
      <c r="AB114" s="4" t="s">
        <v>0</v>
      </c>
      <c r="AC114" s="4" t="s">
        <v>0</v>
      </c>
      <c r="AD114" s="4" t="s">
        <v>0</v>
      </c>
      <c r="AE114" s="4" t="s">
        <v>0</v>
      </c>
      <c r="AF114" s="4" t="s">
        <v>0</v>
      </c>
      <c r="AG114" s="4" t="s">
        <v>0</v>
      </c>
      <c r="AH114" s="4" t="s">
        <v>0</v>
      </c>
      <c r="AI114" s="4">
        <v>1.401</v>
      </c>
      <c r="AJ114" s="4" t="s">
        <v>0</v>
      </c>
      <c r="AK114" s="4">
        <v>1.3955</v>
      </c>
      <c r="AL114" s="4" t="s">
        <v>0</v>
      </c>
      <c r="AM114" s="4" t="s">
        <v>0</v>
      </c>
      <c r="AN114" s="4" t="s">
        <v>0</v>
      </c>
      <c r="AO114" s="5">
        <v>1.393</v>
      </c>
      <c r="AP114" s="4">
        <v>1.3859999999999999</v>
      </c>
      <c r="AQ114" s="4">
        <v>1.381</v>
      </c>
      <c r="AR114" s="4" t="s">
        <v>0</v>
      </c>
      <c r="AS114" s="5">
        <v>1.3734999999999999</v>
      </c>
      <c r="AU114" s="4">
        <v>1.3660000000000001</v>
      </c>
    </row>
    <row r="115" spans="1:47">
      <c r="A115" s="3" t="s">
        <v>201</v>
      </c>
      <c r="B115" s="5">
        <f>VLOOKUP($A115,'[21]1013'!$A$4:$O$321,4,FALSE)</f>
        <v>16.89</v>
      </c>
      <c r="C115" s="5">
        <v>18.14</v>
      </c>
      <c r="D115" s="5">
        <f>VLOOKUP($A115,'[21]1013'!$A$4:$O$321,15,FALSE)</f>
        <v>1.4410000000000001</v>
      </c>
      <c r="E115" s="4" t="str">
        <f>IF(VLOOKUP($A115,'[21]1013'!$A$4:$O$150,8,FALSE)="",VLOOKUP($A115,'[21]1013'!$A$4:$O$150,12,FALSE),VLOOKUP($A115,'[21]1013'!$A$4:$O$150,8,FALSE))</f>
        <v/>
      </c>
      <c r="F115" s="4" t="str">
        <f>IF(VLOOKUP($A115,'[7]1012'!$A$4:$O$150,8,FALSE)="",VLOOKUP($A115,'[7]1012'!$A$4:$O$150,12,FALSE),VLOOKUP($A115,'[7]1012'!$A$4:$O$150,8,FALSE))</f>
        <v/>
      </c>
      <c r="G115" s="4" t="str">
        <f>IF(VLOOKUP($A115,'[8]1011'!$A$4:$O$150,8,FALSE)="",VLOOKUP($A115,'[8]1011'!$A$4:$O$150,12,FALSE),VLOOKUP($A115,'[8]1011'!$A$4:$O$150,8,FALSE))</f>
        <v/>
      </c>
      <c r="H115" s="106"/>
      <c r="I115" s="4" t="str">
        <f>IF(VLOOKUP($A115,'[9]1005'!$A$4:$O$150,8,FALSE)="",VLOOKUP($A115,'[9]1005'!$A$4:$O$150,12,FALSE),VLOOKUP($A115,'[9]1005'!$A$4:$O$150,8,FALSE))</f>
        <v/>
      </c>
      <c r="J115" s="4" t="str">
        <f>IF(VLOOKUP($A115,'[10]1004'!$A$4:$O$150,8,FALSE)="",VLOOKUP($A115,'[10]1004'!$A$4:$O$150,12,FALSE),VLOOKUP($A115,'[10]1004'!$A$4:$O$150,8,FALSE))</f>
        <v/>
      </c>
      <c r="K115" s="4" t="str">
        <f>IF(VLOOKUP($A115,'[11]1003'!$A$4:$O$150,8,FALSE)="",VLOOKUP($A115,'[11]1003'!$A$4:$O$150,12,FALSE),VLOOKUP($A115,'[11]1003'!$A$4:$O$150,8,FALSE))</f>
        <v/>
      </c>
      <c r="L115" s="4" t="str">
        <f>IF(VLOOKUP($A115,'[12]1002'!$A$4:$O$150,8,FALSE)="",VLOOKUP($A115,'[12]1002'!$A$4:$O$150,12,FALSE),VLOOKUP($A115,'[12]1002'!$A$4:$O$150,8,FALSE))</f>
        <v/>
      </c>
      <c r="M115" s="106"/>
      <c r="N115" s="4" t="str">
        <f>IF(VLOOKUP($A115,'[13]0927'!$A$4:$O$150,8,FALSE)="",VLOOKUP($A115,'[13]0927'!$A$4:$O$150,12,FALSE),VLOOKUP($A115,'[13]0927'!$A$4:$O$150,8,FALSE))</f>
        <v/>
      </c>
      <c r="O115" s="5"/>
      <c r="P115" s="4" t="str">
        <f>IF(VLOOKUP($A115,'[14]0925'!$A$4:$O$150,8,FALSE)="",VLOOKUP($A115,'[14]0925'!$A$4:$O$150,12,FALSE),VLOOKUP($A115,'[14]0925'!$A$4:$O$150,8,FALSE))</f>
        <v/>
      </c>
      <c r="Q115" s="4" t="str">
        <f>IF(VLOOKUP($A115,'[15]0922'!$A$4:$O$150,8,FALSE)="",VLOOKUP($A115,'[15]0922'!$A$4:$O$150,12,FALSE),VLOOKUP($A115,'[15]0922'!$A$4:$O$150,8,FALSE))</f>
        <v/>
      </c>
      <c r="R115" s="4" t="str">
        <f>IF(VLOOKUP($A115,'[16]0921'!$A$4:$O$150,8,FALSE)="",VLOOKUP($A115,'[16]0921'!$A$4:$O$150,12,FALSE),VLOOKUP($A115,'[16]0921'!$A$4:$O$150,8,FALSE))</f>
        <v/>
      </c>
      <c r="S115" s="4" t="str">
        <f>IF(VLOOKUP($A115,'[17]0920'!$A$4:$O$150,8,FALSE)="",VLOOKUP($A115,'[17]0920'!$A$4:$O$150,12,FALSE),VLOOKUP($A115,'[17]0920'!$A$4:$O$150,8,FALSE))</f>
        <v/>
      </c>
      <c r="T115" s="4" t="s">
        <v>0</v>
      </c>
      <c r="U115" s="4" t="s">
        <v>0</v>
      </c>
      <c r="W115" s="4" t="s">
        <v>0</v>
      </c>
      <c r="X115" s="4" t="s">
        <v>0</v>
      </c>
      <c r="Y115" s="4" t="s">
        <v>0</v>
      </c>
      <c r="Z115" s="4" t="s">
        <v>0</v>
      </c>
      <c r="AA115" s="4" t="s">
        <v>0</v>
      </c>
      <c r="AB115" s="4" t="s">
        <v>0</v>
      </c>
      <c r="AC115" s="4" t="s">
        <v>0</v>
      </c>
      <c r="AD115" s="4" t="s">
        <v>0</v>
      </c>
      <c r="AE115" s="4" t="s">
        <v>0</v>
      </c>
      <c r="AF115" s="4" t="s">
        <v>0</v>
      </c>
      <c r="AG115" s="4" t="s">
        <v>0</v>
      </c>
      <c r="AH115" s="4" t="s">
        <v>0</v>
      </c>
      <c r="AI115" s="4" t="s">
        <v>0</v>
      </c>
      <c r="AJ115" s="4" t="s">
        <v>0</v>
      </c>
      <c r="AK115" s="4" t="s">
        <v>0</v>
      </c>
      <c r="AL115" s="4" t="s">
        <v>0</v>
      </c>
      <c r="AM115" s="4" t="s">
        <v>0</v>
      </c>
      <c r="AN115" s="4" t="s">
        <v>0</v>
      </c>
      <c r="AP115" s="4" t="s">
        <v>0</v>
      </c>
      <c r="AQ115" s="4" t="s">
        <v>0</v>
      </c>
      <c r="AR115" s="4" t="s">
        <v>0</v>
      </c>
      <c r="AU115" s="4" t="s">
        <v>0</v>
      </c>
    </row>
    <row r="116" spans="1:47">
      <c r="A116" s="3" t="s">
        <v>70</v>
      </c>
      <c r="B116" s="5">
        <f>VLOOKUP($A116,'[21]1013'!$A$4:$O$321,4,FALSE)</f>
        <v>16.79</v>
      </c>
      <c r="C116" s="5">
        <v>21.3</v>
      </c>
      <c r="D116" s="5">
        <f>VLOOKUP($A116,'[21]1013'!$A$4:$O$321,15,FALSE)</f>
        <v>1.4815</v>
      </c>
      <c r="E116" s="4" t="str">
        <f>IF(VLOOKUP($A116,'[21]1013'!$A$4:$O$150,8,FALSE)="",VLOOKUP($A116,'[21]1013'!$A$4:$O$150,12,FALSE),VLOOKUP($A116,'[21]1013'!$A$4:$O$150,8,FALSE))</f>
        <v/>
      </c>
      <c r="F116" s="4" t="str">
        <f>IF(VLOOKUP($A116,'[7]1012'!$A$4:$O$150,8,FALSE)="",VLOOKUP($A116,'[7]1012'!$A$4:$O$150,12,FALSE),VLOOKUP($A116,'[7]1012'!$A$4:$O$150,8,FALSE))</f>
        <v/>
      </c>
      <c r="G116" s="4" t="str">
        <f>IF(VLOOKUP($A116,'[8]1011'!$A$4:$O$150,8,FALSE)="",VLOOKUP($A116,'[8]1011'!$A$4:$O$150,12,FALSE),VLOOKUP($A116,'[8]1011'!$A$4:$O$150,8,FALSE))</f>
        <v/>
      </c>
      <c r="H116" s="106"/>
      <c r="I116" s="4" t="str">
        <f>IF(VLOOKUP($A116,'[9]1005'!$A$4:$O$150,8,FALSE)="",VLOOKUP($A116,'[9]1005'!$A$4:$O$150,12,FALSE),VLOOKUP($A116,'[9]1005'!$A$4:$O$150,8,FALSE))</f>
        <v/>
      </c>
      <c r="J116" s="4" t="str">
        <f>IF(VLOOKUP($A116,'[10]1004'!$A$4:$O$150,8,FALSE)="",VLOOKUP($A116,'[10]1004'!$A$4:$O$150,12,FALSE),VLOOKUP($A116,'[10]1004'!$A$4:$O$150,8,FALSE))</f>
        <v/>
      </c>
      <c r="K116" s="4" t="str">
        <f>IF(VLOOKUP($A116,'[11]1003'!$A$4:$O$150,8,FALSE)="",VLOOKUP($A116,'[11]1003'!$A$4:$O$150,12,FALSE),VLOOKUP($A116,'[11]1003'!$A$4:$O$150,8,FALSE))</f>
        <v/>
      </c>
      <c r="L116" s="4" t="str">
        <f>IF(VLOOKUP($A116,'[12]1002'!$A$4:$O$150,8,FALSE)="",VLOOKUP($A116,'[12]1002'!$A$4:$O$150,12,FALSE),VLOOKUP($A116,'[12]1002'!$A$4:$O$150,8,FALSE))</f>
        <v/>
      </c>
      <c r="M116" s="106"/>
      <c r="N116" s="4" t="str">
        <f>IF(VLOOKUP($A116,'[13]0927'!$A$4:$O$150,8,FALSE)="",VLOOKUP($A116,'[13]0927'!$A$4:$O$150,12,FALSE),VLOOKUP($A116,'[13]0927'!$A$4:$O$150,8,FALSE))</f>
        <v/>
      </c>
      <c r="O116" s="5"/>
      <c r="P116" s="4" t="str">
        <f>IF(VLOOKUP($A116,'[14]0925'!$A$4:$O$150,8,FALSE)="",VLOOKUP($A116,'[14]0925'!$A$4:$O$150,12,FALSE),VLOOKUP($A116,'[14]0925'!$A$4:$O$150,8,FALSE))</f>
        <v/>
      </c>
      <c r="Q116" s="4" t="str">
        <f>IF(VLOOKUP($A116,'[15]0922'!$A$4:$O$150,8,FALSE)="",VLOOKUP($A116,'[15]0922'!$A$4:$O$150,12,FALSE),VLOOKUP($A116,'[15]0922'!$A$4:$O$150,8,FALSE))</f>
        <v/>
      </c>
      <c r="R116" s="4" t="str">
        <f>IF(VLOOKUP($A116,'[16]0921'!$A$4:$O$150,8,FALSE)="",VLOOKUP($A116,'[16]0921'!$A$4:$O$150,12,FALSE),VLOOKUP($A116,'[16]0921'!$A$4:$O$150,8,FALSE))</f>
        <v/>
      </c>
      <c r="S116" s="4" t="str">
        <f>IF(VLOOKUP($A116,'[17]0920'!$A$4:$O$150,8,FALSE)="",VLOOKUP($A116,'[17]0920'!$A$4:$O$150,12,FALSE),VLOOKUP($A116,'[17]0920'!$A$4:$O$150,8,FALSE))</f>
        <v/>
      </c>
      <c r="T116" s="4" t="s">
        <v>0</v>
      </c>
      <c r="U116" s="4" t="s">
        <v>0</v>
      </c>
      <c r="W116" s="4" t="s">
        <v>0</v>
      </c>
      <c r="X116" s="4" t="s">
        <v>0</v>
      </c>
      <c r="Y116" s="4" t="s">
        <v>0</v>
      </c>
      <c r="Z116" s="4" t="s">
        <v>0</v>
      </c>
      <c r="AA116" s="4" t="s">
        <v>0</v>
      </c>
      <c r="AB116" s="4" t="s">
        <v>0</v>
      </c>
      <c r="AC116" s="4" t="s">
        <v>0</v>
      </c>
      <c r="AD116" s="4" t="s">
        <v>0</v>
      </c>
      <c r="AE116" s="4" t="s">
        <v>0</v>
      </c>
      <c r="AF116" s="4" t="s">
        <v>0</v>
      </c>
      <c r="AG116" s="4" t="s">
        <v>0</v>
      </c>
      <c r="AH116" s="4" t="s">
        <v>0</v>
      </c>
      <c r="AI116" s="4" t="s">
        <v>0</v>
      </c>
      <c r="AJ116" s="4" t="s">
        <v>0</v>
      </c>
      <c r="AK116" s="4" t="s">
        <v>0</v>
      </c>
      <c r="AL116" s="4" t="s">
        <v>0</v>
      </c>
      <c r="AM116" s="4" t="s">
        <v>0</v>
      </c>
      <c r="AN116" s="4" t="s">
        <v>0</v>
      </c>
      <c r="AP116" s="4" t="s">
        <v>0</v>
      </c>
      <c r="AQ116" s="4" t="s">
        <v>0</v>
      </c>
      <c r="AR116" s="4" t="s">
        <v>0</v>
      </c>
      <c r="AU116" s="4" t="s">
        <v>0</v>
      </c>
    </row>
    <row r="117" spans="1:47">
      <c r="A117" s="3" t="s">
        <v>54</v>
      </c>
      <c r="B117" s="5">
        <f>VLOOKUP($A117,'[21]1013'!$A$4:$O$321,4,FALSE)</f>
        <v>16.86</v>
      </c>
      <c r="C117" s="5">
        <v>21.51</v>
      </c>
      <c r="D117" s="5">
        <f>VLOOKUP($A117,'[21]1013'!$A$4:$O$321,15,FALSE)</f>
        <v>1.4839</v>
      </c>
      <c r="E117" s="4" t="str">
        <f>IF(VLOOKUP($A117,'[21]1013'!$A$4:$O$150,8,FALSE)="",VLOOKUP($A117,'[21]1013'!$A$4:$O$150,12,FALSE),VLOOKUP($A117,'[21]1013'!$A$4:$O$150,8,FALSE))</f>
        <v/>
      </c>
      <c r="F117" s="4" t="str">
        <f>IF(VLOOKUP($A117,'[7]1012'!$A$4:$O$150,8,FALSE)="",VLOOKUP($A117,'[7]1012'!$A$4:$O$150,12,FALSE),VLOOKUP($A117,'[7]1012'!$A$4:$O$150,8,FALSE))</f>
        <v/>
      </c>
      <c r="G117" s="4" t="str">
        <f>IF(VLOOKUP($A117,'[8]1011'!$A$4:$O$150,8,FALSE)="",VLOOKUP($A117,'[8]1011'!$A$4:$O$150,12,FALSE),VLOOKUP($A117,'[8]1011'!$A$4:$O$150,8,FALSE))</f>
        <v/>
      </c>
      <c r="H117" s="106"/>
      <c r="I117" s="4" t="str">
        <f>IF(VLOOKUP($A117,'[9]1005'!$A$4:$O$150,8,FALSE)="",VLOOKUP($A117,'[9]1005'!$A$4:$O$150,12,FALSE),VLOOKUP($A117,'[9]1005'!$A$4:$O$150,8,FALSE))</f>
        <v/>
      </c>
      <c r="J117" s="4" t="str">
        <f>IF(VLOOKUP($A117,'[10]1004'!$A$4:$O$150,8,FALSE)="",VLOOKUP($A117,'[10]1004'!$A$4:$O$150,12,FALSE),VLOOKUP($A117,'[10]1004'!$A$4:$O$150,8,FALSE))</f>
        <v/>
      </c>
      <c r="K117" s="4" t="str">
        <f>IF(VLOOKUP($A117,'[11]1003'!$A$4:$O$150,8,FALSE)="",VLOOKUP($A117,'[11]1003'!$A$4:$O$150,12,FALSE),VLOOKUP($A117,'[11]1003'!$A$4:$O$150,8,FALSE))</f>
        <v/>
      </c>
      <c r="L117" s="4" t="str">
        <f>IF(VLOOKUP($A117,'[12]1002'!$A$4:$O$150,8,FALSE)="",VLOOKUP($A117,'[12]1002'!$A$4:$O$150,12,FALSE),VLOOKUP($A117,'[12]1002'!$A$4:$O$150,8,FALSE))</f>
        <v/>
      </c>
      <c r="M117" s="106"/>
      <c r="N117" s="4" t="str">
        <f>IF(VLOOKUP($A117,'[13]0927'!$A$4:$O$150,8,FALSE)="",VLOOKUP($A117,'[13]0927'!$A$4:$O$150,12,FALSE),VLOOKUP($A117,'[13]0927'!$A$4:$O$150,8,FALSE))</f>
        <v/>
      </c>
      <c r="O117" s="5"/>
      <c r="P117" s="4" t="str">
        <f>IF(VLOOKUP($A117,'[14]0925'!$A$4:$O$150,8,FALSE)="",VLOOKUP($A117,'[14]0925'!$A$4:$O$150,12,FALSE),VLOOKUP($A117,'[14]0925'!$A$4:$O$150,8,FALSE))</f>
        <v/>
      </c>
      <c r="Q117" s="4" t="str">
        <f>IF(VLOOKUP($A117,'[15]0922'!$A$4:$O$150,8,FALSE)="",VLOOKUP($A117,'[15]0922'!$A$4:$O$150,12,FALSE),VLOOKUP($A117,'[15]0922'!$A$4:$O$150,8,FALSE))</f>
        <v/>
      </c>
      <c r="R117" s="4" t="str">
        <f>IF(VLOOKUP($A117,'[16]0921'!$A$4:$O$150,8,FALSE)="",VLOOKUP($A117,'[16]0921'!$A$4:$O$150,12,FALSE),VLOOKUP($A117,'[16]0921'!$A$4:$O$150,8,FALSE))</f>
        <v/>
      </c>
      <c r="S117" s="4" t="str">
        <f>IF(VLOOKUP($A117,'[17]0920'!$A$4:$O$150,8,FALSE)="",VLOOKUP($A117,'[17]0920'!$A$4:$O$150,12,FALSE),VLOOKUP($A117,'[17]0920'!$A$4:$O$150,8,FALSE))</f>
        <v/>
      </c>
      <c r="T117" s="4" t="s">
        <v>0</v>
      </c>
      <c r="U117" s="4" t="s">
        <v>0</v>
      </c>
      <c r="W117" s="4" t="s">
        <v>0</v>
      </c>
      <c r="X117" s="4" t="s">
        <v>0</v>
      </c>
      <c r="Y117" s="4" t="s">
        <v>0</v>
      </c>
      <c r="Z117" s="4" t="s">
        <v>0</v>
      </c>
      <c r="AA117" s="4" t="s">
        <v>0</v>
      </c>
      <c r="AB117" s="4" t="s">
        <v>0</v>
      </c>
      <c r="AC117" s="4" t="s">
        <v>0</v>
      </c>
      <c r="AD117" s="4" t="s">
        <v>0</v>
      </c>
      <c r="AE117" s="4" t="s">
        <v>0</v>
      </c>
      <c r="AF117" s="4" t="s">
        <v>0</v>
      </c>
      <c r="AG117" s="4" t="s">
        <v>0</v>
      </c>
      <c r="AH117" s="4" t="s">
        <v>0</v>
      </c>
      <c r="AI117" s="4" t="s">
        <v>0</v>
      </c>
      <c r="AJ117" s="4" t="s">
        <v>0</v>
      </c>
      <c r="AK117" s="4" t="s">
        <v>0</v>
      </c>
      <c r="AL117" s="4" t="s">
        <v>0</v>
      </c>
      <c r="AM117" s="4" t="s">
        <v>0</v>
      </c>
      <c r="AN117" s="4" t="s">
        <v>0</v>
      </c>
      <c r="AP117" s="4" t="s">
        <v>0</v>
      </c>
      <c r="AQ117" s="4" t="s">
        <v>0</v>
      </c>
      <c r="AR117" s="4" t="s">
        <v>0</v>
      </c>
      <c r="AU117" s="4" t="s">
        <v>0</v>
      </c>
    </row>
    <row r="118" spans="1:47">
      <c r="A118" s="3" t="s">
        <v>72</v>
      </c>
      <c r="B118" s="5">
        <f>VLOOKUP($A118,'[21]1013'!$A$4:$O$321,4,FALSE)</f>
        <v>16.91</v>
      </c>
      <c r="C118" s="5">
        <v>20.8</v>
      </c>
      <c r="D118" s="5">
        <f>VLOOKUP($A118,'[21]1013'!$A$4:$O$321,15,FALSE)</f>
        <v>1.4753000000000001</v>
      </c>
      <c r="E118" s="4" t="str">
        <f>IF(VLOOKUP($A118,'[21]1013'!$A$4:$O$150,8,FALSE)="",VLOOKUP($A118,'[21]1013'!$A$4:$O$150,12,FALSE),VLOOKUP($A118,'[21]1013'!$A$4:$O$150,8,FALSE))</f>
        <v/>
      </c>
      <c r="F118" s="4" t="str">
        <f>IF(VLOOKUP($A118,'[7]1012'!$A$4:$O$150,8,FALSE)="",VLOOKUP($A118,'[7]1012'!$A$4:$O$150,12,FALSE),VLOOKUP($A118,'[7]1012'!$A$4:$O$150,8,FALSE))</f>
        <v/>
      </c>
      <c r="G118" s="4" t="str">
        <f>IF(VLOOKUP($A118,'[8]1011'!$A$4:$O$150,8,FALSE)="",VLOOKUP($A118,'[8]1011'!$A$4:$O$150,12,FALSE),VLOOKUP($A118,'[8]1011'!$A$4:$O$150,8,FALSE))</f>
        <v/>
      </c>
      <c r="H118" s="106"/>
      <c r="I118" s="4" t="str">
        <f>IF(VLOOKUP($A118,'[9]1005'!$A$4:$O$150,8,FALSE)="",VLOOKUP($A118,'[9]1005'!$A$4:$O$150,12,FALSE),VLOOKUP($A118,'[9]1005'!$A$4:$O$150,8,FALSE))</f>
        <v/>
      </c>
      <c r="J118" s="4" t="str">
        <f>IF(VLOOKUP($A118,'[10]1004'!$A$4:$O$150,8,FALSE)="",VLOOKUP($A118,'[10]1004'!$A$4:$O$150,12,FALSE),VLOOKUP($A118,'[10]1004'!$A$4:$O$150,8,FALSE))</f>
        <v/>
      </c>
      <c r="K118" s="4" t="str">
        <f>IF(VLOOKUP($A118,'[11]1003'!$A$4:$O$150,8,FALSE)="",VLOOKUP($A118,'[11]1003'!$A$4:$O$150,12,FALSE),VLOOKUP($A118,'[11]1003'!$A$4:$O$150,8,FALSE))</f>
        <v/>
      </c>
      <c r="L118" s="4" t="str">
        <f>IF(VLOOKUP($A118,'[12]1002'!$A$4:$O$150,8,FALSE)="",VLOOKUP($A118,'[12]1002'!$A$4:$O$150,12,FALSE),VLOOKUP($A118,'[12]1002'!$A$4:$O$150,8,FALSE))</f>
        <v/>
      </c>
      <c r="M118" s="106"/>
      <c r="N118" s="4" t="str">
        <f>IF(VLOOKUP($A118,'[13]0927'!$A$4:$O$150,8,FALSE)="",VLOOKUP($A118,'[13]0927'!$A$4:$O$150,12,FALSE),VLOOKUP($A118,'[13]0927'!$A$4:$O$150,8,FALSE))</f>
        <v/>
      </c>
      <c r="O118" s="5"/>
      <c r="P118" s="4" t="str">
        <f>IF(VLOOKUP($A118,'[14]0925'!$A$4:$O$150,8,FALSE)="",VLOOKUP($A118,'[14]0925'!$A$4:$O$150,12,FALSE),VLOOKUP($A118,'[14]0925'!$A$4:$O$150,8,FALSE))</f>
        <v/>
      </c>
      <c r="Q118" s="4" t="str">
        <f>IF(VLOOKUP($A118,'[15]0922'!$A$4:$O$150,8,FALSE)="",VLOOKUP($A118,'[15]0922'!$A$4:$O$150,12,FALSE),VLOOKUP($A118,'[15]0922'!$A$4:$O$150,8,FALSE))</f>
        <v/>
      </c>
      <c r="R118" s="4" t="str">
        <f>IF(VLOOKUP($A118,'[16]0921'!$A$4:$O$150,8,FALSE)="",VLOOKUP($A118,'[16]0921'!$A$4:$O$150,12,FALSE),VLOOKUP($A118,'[16]0921'!$A$4:$O$150,8,FALSE))</f>
        <v/>
      </c>
      <c r="S118" s="4" t="str">
        <f>IF(VLOOKUP($A118,'[17]0920'!$A$4:$O$150,8,FALSE)="",VLOOKUP($A118,'[17]0920'!$A$4:$O$150,12,FALSE),VLOOKUP($A118,'[17]0920'!$A$4:$O$150,8,FALSE))</f>
        <v/>
      </c>
      <c r="T118" s="4">
        <v>1.409</v>
      </c>
      <c r="U118" s="4" t="s">
        <v>0</v>
      </c>
      <c r="W118" s="4" t="s">
        <v>0</v>
      </c>
      <c r="X118" s="4" t="s">
        <v>0</v>
      </c>
      <c r="Y118" s="4" t="s">
        <v>0</v>
      </c>
      <c r="Z118" s="4" t="s">
        <v>0</v>
      </c>
      <c r="AA118" s="4">
        <v>1.3879999999999999</v>
      </c>
      <c r="AB118" s="4" t="s">
        <v>0</v>
      </c>
      <c r="AC118" s="4" t="s">
        <v>0</v>
      </c>
      <c r="AD118" s="4" t="s">
        <v>0</v>
      </c>
      <c r="AE118" s="4" t="s">
        <v>0</v>
      </c>
      <c r="AF118" s="4" t="s">
        <v>0</v>
      </c>
      <c r="AG118" s="4" t="s">
        <v>0</v>
      </c>
      <c r="AH118" s="4" t="s">
        <v>0</v>
      </c>
      <c r="AI118" s="4" t="s">
        <v>0</v>
      </c>
      <c r="AJ118" s="4" t="s">
        <v>0</v>
      </c>
      <c r="AK118" s="4" t="s">
        <v>0</v>
      </c>
      <c r="AL118" s="4" t="s">
        <v>0</v>
      </c>
      <c r="AM118" s="4" t="s">
        <v>0</v>
      </c>
      <c r="AN118" s="4" t="s">
        <v>0</v>
      </c>
      <c r="AP118" s="4" t="s">
        <v>0</v>
      </c>
      <c r="AQ118" s="4" t="s">
        <v>0</v>
      </c>
      <c r="AR118" s="4" t="s">
        <v>0</v>
      </c>
      <c r="AU118" s="4" t="s">
        <v>0</v>
      </c>
    </row>
    <row r="119" spans="1:47">
      <c r="A119" s="3" t="s">
        <v>297</v>
      </c>
      <c r="B119" s="5">
        <f>VLOOKUP($A119,'[21]1013'!$A$4:$O$321,4,FALSE)</f>
        <v>17.27</v>
      </c>
      <c r="C119" s="5">
        <v>20</v>
      </c>
      <c r="D119" s="5">
        <f>VLOOKUP($A119,'[21]1013'!$A$4:$O$321,15,FALSE)</f>
        <v>1.4696</v>
      </c>
      <c r="E119" s="4" t="str">
        <f>IF(VLOOKUP($A119,'[21]1013'!$A$4:$O$150,8,FALSE)="",VLOOKUP($A119,'[21]1013'!$A$4:$O$150,12,FALSE),VLOOKUP($A119,'[21]1013'!$A$4:$O$150,8,FALSE))</f>
        <v/>
      </c>
      <c r="F119" s="4" t="str">
        <f>IF(VLOOKUP($A119,'[7]1012'!$A$4:$O$150,8,FALSE)="",VLOOKUP($A119,'[7]1012'!$A$4:$O$150,12,FALSE),VLOOKUP($A119,'[7]1012'!$A$4:$O$150,8,FALSE))</f>
        <v/>
      </c>
      <c r="G119" s="4" t="str">
        <f>IF(VLOOKUP($A119,'[8]1011'!$A$4:$O$150,8,FALSE)="",VLOOKUP($A119,'[8]1011'!$A$4:$O$150,12,FALSE),VLOOKUP($A119,'[8]1011'!$A$4:$O$150,8,FALSE))</f>
        <v/>
      </c>
      <c r="H119" s="106"/>
      <c r="I119" s="4" t="str">
        <f>IF(VLOOKUP($A119,'[9]1005'!$A$4:$O$150,8,FALSE)="",VLOOKUP($A119,'[9]1005'!$A$4:$O$150,12,FALSE),VLOOKUP($A119,'[9]1005'!$A$4:$O$150,8,FALSE))</f>
        <v/>
      </c>
      <c r="J119" s="4" t="str">
        <f>IF(VLOOKUP($A119,'[10]1004'!$A$4:$O$150,8,FALSE)="",VLOOKUP($A119,'[10]1004'!$A$4:$O$150,12,FALSE),VLOOKUP($A119,'[10]1004'!$A$4:$O$150,8,FALSE))</f>
        <v/>
      </c>
      <c r="K119" s="4" t="str">
        <f>IF(VLOOKUP($A119,'[11]1003'!$A$4:$O$150,8,FALSE)="",VLOOKUP($A119,'[11]1003'!$A$4:$O$150,12,FALSE),VLOOKUP($A119,'[11]1003'!$A$4:$O$150,8,FALSE))</f>
        <v/>
      </c>
      <c r="L119" s="4" t="str">
        <f>IF(VLOOKUP($A119,'[12]1002'!$A$4:$O$150,8,FALSE)="",VLOOKUP($A119,'[12]1002'!$A$4:$O$150,12,FALSE),VLOOKUP($A119,'[12]1002'!$A$4:$O$150,8,FALSE))</f>
        <v/>
      </c>
      <c r="M119" s="106"/>
      <c r="N119" s="4" t="str">
        <f>IF(VLOOKUP($A119,'[13]0927'!$A$4:$O$150,8,FALSE)="",VLOOKUP($A119,'[13]0927'!$A$4:$O$150,12,FALSE),VLOOKUP($A119,'[13]0927'!$A$4:$O$150,8,FALSE))</f>
        <v/>
      </c>
      <c r="O119" s="5"/>
      <c r="P119" s="4" t="str">
        <f>IF(VLOOKUP($A119,'[14]0925'!$A$4:$O$150,8,FALSE)="",VLOOKUP($A119,'[14]0925'!$A$4:$O$150,12,FALSE),VLOOKUP($A119,'[14]0925'!$A$4:$O$150,8,FALSE))</f>
        <v/>
      </c>
      <c r="Q119" s="4" t="str">
        <f>IF(VLOOKUP($A119,'[15]0922'!$A$4:$O$150,8,FALSE)="",VLOOKUP($A119,'[15]0922'!$A$4:$O$150,12,FALSE),VLOOKUP($A119,'[15]0922'!$A$4:$O$150,8,FALSE))</f>
        <v/>
      </c>
      <c r="R119" s="4" t="str">
        <f>IF(VLOOKUP($A119,'[16]0921'!$A$4:$O$150,8,FALSE)="",VLOOKUP($A119,'[16]0921'!$A$4:$O$150,12,FALSE),VLOOKUP($A119,'[16]0921'!$A$4:$O$150,8,FALSE))</f>
        <v/>
      </c>
      <c r="S119" s="4" t="str">
        <f>IF(VLOOKUP($A119,'[17]0920'!$A$4:$O$150,8,FALSE)="",VLOOKUP($A119,'[17]0920'!$A$4:$O$150,12,FALSE),VLOOKUP($A119,'[17]0920'!$A$4:$O$150,8,FALSE))</f>
        <v/>
      </c>
      <c r="T119" s="4">
        <v>1.3879999999999999</v>
      </c>
      <c r="U119" s="4" t="s">
        <v>0</v>
      </c>
      <c r="W119" s="4" t="s">
        <v>0</v>
      </c>
      <c r="X119" s="4" t="s">
        <v>0</v>
      </c>
      <c r="Y119" s="4" t="s">
        <v>0</v>
      </c>
      <c r="Z119" s="4" t="s">
        <v>0</v>
      </c>
      <c r="AA119" s="4" t="s">
        <v>0</v>
      </c>
      <c r="AB119" s="4" t="s">
        <v>0</v>
      </c>
      <c r="AC119" s="4" t="s">
        <v>0</v>
      </c>
      <c r="AD119" s="4" t="s">
        <v>0</v>
      </c>
      <c r="AE119" s="4" t="s">
        <v>0</v>
      </c>
      <c r="AF119" s="4" t="s">
        <v>0</v>
      </c>
      <c r="AG119" s="4" t="s">
        <v>0</v>
      </c>
      <c r="AH119" s="4" t="s">
        <v>0</v>
      </c>
      <c r="AI119" s="4" t="s">
        <v>0</v>
      </c>
      <c r="AJ119" s="4" t="s">
        <v>0</v>
      </c>
      <c r="AK119" s="4" t="s">
        <v>0</v>
      </c>
      <c r="AL119" s="4" t="s">
        <v>0</v>
      </c>
      <c r="AM119" s="4" t="s">
        <v>0</v>
      </c>
      <c r="AN119" s="4" t="s">
        <v>0</v>
      </c>
      <c r="AP119" s="4" t="s">
        <v>0</v>
      </c>
      <c r="AQ119" s="4" t="s">
        <v>0</v>
      </c>
      <c r="AR119" s="4" t="s">
        <v>0</v>
      </c>
      <c r="AU119" s="4" t="s">
        <v>0</v>
      </c>
    </row>
    <row r="120" spans="1:47">
      <c r="A120" s="3" t="s">
        <v>73</v>
      </c>
      <c r="B120" s="5">
        <f>VLOOKUP($A120,'[21]1013'!$A$4:$O$321,4,FALSE)</f>
        <v>17.11</v>
      </c>
      <c r="C120" s="5">
        <v>21.76</v>
      </c>
      <c r="D120" s="5">
        <f>VLOOKUP($A120,'[21]1013'!$A$4:$O$321,15,FALSE)</f>
        <v>1.4883</v>
      </c>
      <c r="E120" s="4" t="str">
        <f>IF(VLOOKUP($A120,'[21]1013'!$A$4:$O$150,8,FALSE)="",VLOOKUP($A120,'[21]1013'!$A$4:$O$150,12,FALSE),VLOOKUP($A120,'[21]1013'!$A$4:$O$150,8,FALSE))</f>
        <v/>
      </c>
      <c r="F120" s="4" t="str">
        <f>IF(VLOOKUP($A120,'[7]1012'!$A$4:$O$150,8,FALSE)="",VLOOKUP($A120,'[7]1012'!$A$4:$O$150,12,FALSE),VLOOKUP($A120,'[7]1012'!$A$4:$O$150,8,FALSE))</f>
        <v/>
      </c>
      <c r="G120" s="4" t="str">
        <f>IF(VLOOKUP($A120,'[8]1011'!$A$4:$O$150,8,FALSE)="",VLOOKUP($A120,'[8]1011'!$A$4:$O$150,12,FALSE),VLOOKUP($A120,'[8]1011'!$A$4:$O$150,8,FALSE))</f>
        <v/>
      </c>
      <c r="H120" s="106"/>
      <c r="I120" s="4" t="str">
        <f>IF(VLOOKUP($A120,'[9]1005'!$A$4:$O$150,8,FALSE)="",VLOOKUP($A120,'[9]1005'!$A$4:$O$150,12,FALSE),VLOOKUP($A120,'[9]1005'!$A$4:$O$150,8,FALSE))</f>
        <v/>
      </c>
      <c r="J120" s="4" t="str">
        <f>IF(VLOOKUP($A120,'[10]1004'!$A$4:$O$150,8,FALSE)="",VLOOKUP($A120,'[10]1004'!$A$4:$O$150,12,FALSE),VLOOKUP($A120,'[10]1004'!$A$4:$O$150,8,FALSE))</f>
        <v/>
      </c>
      <c r="K120" s="4" t="str">
        <f>IF(VLOOKUP($A120,'[11]1003'!$A$4:$O$150,8,FALSE)="",VLOOKUP($A120,'[11]1003'!$A$4:$O$150,12,FALSE),VLOOKUP($A120,'[11]1003'!$A$4:$O$150,8,FALSE))</f>
        <v/>
      </c>
      <c r="L120" s="4" t="str">
        <f>IF(VLOOKUP($A120,'[12]1002'!$A$4:$O$150,8,FALSE)="",VLOOKUP($A120,'[12]1002'!$A$4:$O$150,12,FALSE),VLOOKUP($A120,'[12]1002'!$A$4:$O$150,8,FALSE))</f>
        <v/>
      </c>
      <c r="M120" s="106"/>
      <c r="N120" s="4" t="str">
        <f>IF(VLOOKUP($A120,'[13]0927'!$A$4:$O$150,8,FALSE)="",VLOOKUP($A120,'[13]0927'!$A$4:$O$150,12,FALSE),VLOOKUP($A120,'[13]0927'!$A$4:$O$150,8,FALSE))</f>
        <v/>
      </c>
      <c r="O120" s="5"/>
      <c r="P120" s="4" t="str">
        <f>IF(VLOOKUP($A120,'[14]0925'!$A$4:$O$150,8,FALSE)="",VLOOKUP($A120,'[14]0925'!$A$4:$O$150,12,FALSE),VLOOKUP($A120,'[14]0925'!$A$4:$O$150,8,FALSE))</f>
        <v/>
      </c>
      <c r="Q120" s="4" t="str">
        <f>IF(VLOOKUP($A120,'[15]0922'!$A$4:$O$150,8,FALSE)="",VLOOKUP($A120,'[15]0922'!$A$4:$O$150,12,FALSE),VLOOKUP($A120,'[15]0922'!$A$4:$O$150,8,FALSE))</f>
        <v/>
      </c>
      <c r="R120" s="4" t="str">
        <f>IF(VLOOKUP($A120,'[16]0921'!$A$4:$O$150,8,FALSE)="",VLOOKUP($A120,'[16]0921'!$A$4:$O$150,12,FALSE),VLOOKUP($A120,'[16]0921'!$A$4:$O$150,8,FALSE))</f>
        <v/>
      </c>
      <c r="S120" s="4" t="str">
        <f>IF(VLOOKUP($A120,'[17]0920'!$A$4:$O$150,8,FALSE)="",VLOOKUP($A120,'[17]0920'!$A$4:$O$150,12,FALSE),VLOOKUP($A120,'[17]0920'!$A$4:$O$150,8,FALSE))</f>
        <v/>
      </c>
      <c r="T120" s="4" t="s">
        <v>0</v>
      </c>
      <c r="U120" s="4" t="s">
        <v>0</v>
      </c>
      <c r="W120" s="4" t="s">
        <v>0</v>
      </c>
      <c r="X120" s="4" t="s">
        <v>0</v>
      </c>
      <c r="Y120" s="4" t="s">
        <v>0</v>
      </c>
      <c r="Z120" s="4" t="s">
        <v>0</v>
      </c>
      <c r="AA120" s="4" t="s">
        <v>0</v>
      </c>
      <c r="AB120" s="4" t="s">
        <v>0</v>
      </c>
      <c r="AC120" s="4" t="s">
        <v>0</v>
      </c>
      <c r="AD120" s="4" t="s">
        <v>0</v>
      </c>
      <c r="AE120" s="4" t="s">
        <v>0</v>
      </c>
      <c r="AF120" s="4" t="s">
        <v>0</v>
      </c>
      <c r="AG120" s="4" t="s">
        <v>0</v>
      </c>
      <c r="AH120" s="4" t="s">
        <v>0</v>
      </c>
      <c r="AI120" s="4" t="s">
        <v>0</v>
      </c>
      <c r="AJ120" s="4" t="s">
        <v>0</v>
      </c>
      <c r="AK120" s="4" t="s">
        <v>0</v>
      </c>
      <c r="AL120" s="4" t="s">
        <v>0</v>
      </c>
      <c r="AM120" s="4" t="s">
        <v>0</v>
      </c>
      <c r="AN120" s="4">
        <v>1.4410000000000001</v>
      </c>
      <c r="AO120" s="5">
        <v>1.431</v>
      </c>
      <c r="AP120" s="4" t="s">
        <v>0</v>
      </c>
      <c r="AQ120" s="4" t="s">
        <v>0</v>
      </c>
      <c r="AR120" s="4" t="s">
        <v>0</v>
      </c>
      <c r="AS120" s="5">
        <v>1.4059999999999999</v>
      </c>
      <c r="AU120" s="4">
        <v>1.3959999999999999</v>
      </c>
    </row>
    <row r="121" spans="1:47">
      <c r="A121" s="3" t="s">
        <v>74</v>
      </c>
      <c r="B121" s="5">
        <f>VLOOKUP($A121,'[21]1013'!$A$4:$O$321,4,FALSE)</f>
        <v>17.48</v>
      </c>
      <c r="C121" s="5">
        <v>22</v>
      </c>
      <c r="D121" s="5">
        <f>VLOOKUP($A121,'[21]1013'!$A$4:$O$321,15,FALSE)</f>
        <v>1.4938</v>
      </c>
      <c r="E121" s="4" t="str">
        <f>IF(VLOOKUP($A121,'[21]1013'!$A$4:$O$150,8,FALSE)="",VLOOKUP($A121,'[21]1013'!$A$4:$O$150,12,FALSE),VLOOKUP($A121,'[21]1013'!$A$4:$O$150,8,FALSE))</f>
        <v/>
      </c>
      <c r="F121" s="4">
        <f>IF(VLOOKUP($A121,'[7]1012'!$A$4:$O$150,8,FALSE)="",VLOOKUP($A121,'[7]1012'!$A$4:$O$150,12,FALSE),VLOOKUP($A121,'[7]1012'!$A$4:$O$150,8,FALSE))</f>
        <v>1.423</v>
      </c>
      <c r="G121" s="4" t="str">
        <f>IF(VLOOKUP($A121,'[8]1011'!$A$4:$O$150,8,FALSE)="",VLOOKUP($A121,'[8]1011'!$A$4:$O$150,12,FALSE),VLOOKUP($A121,'[8]1011'!$A$4:$O$150,8,FALSE))</f>
        <v/>
      </c>
      <c r="H121" s="106"/>
      <c r="I121" s="4" t="str">
        <f>IF(VLOOKUP($A121,'[9]1005'!$A$4:$O$150,8,FALSE)="",VLOOKUP($A121,'[9]1005'!$A$4:$O$150,12,FALSE),VLOOKUP($A121,'[9]1005'!$A$4:$O$150,8,FALSE))</f>
        <v/>
      </c>
      <c r="J121" s="4" t="str">
        <f>IF(VLOOKUP($A121,'[10]1004'!$A$4:$O$150,8,FALSE)="",VLOOKUP($A121,'[10]1004'!$A$4:$O$150,12,FALSE),VLOOKUP($A121,'[10]1004'!$A$4:$O$150,8,FALSE))</f>
        <v/>
      </c>
      <c r="K121" s="4" t="str">
        <f>IF(VLOOKUP($A121,'[11]1003'!$A$4:$O$150,8,FALSE)="",VLOOKUP($A121,'[11]1003'!$A$4:$O$150,12,FALSE),VLOOKUP($A121,'[11]1003'!$A$4:$O$150,8,FALSE))</f>
        <v/>
      </c>
      <c r="L121" s="4" t="str">
        <f>IF(VLOOKUP($A121,'[12]1002'!$A$4:$O$150,8,FALSE)="",VLOOKUP($A121,'[12]1002'!$A$4:$O$150,12,FALSE),VLOOKUP($A121,'[12]1002'!$A$4:$O$150,8,FALSE))</f>
        <v/>
      </c>
      <c r="M121" s="106"/>
      <c r="N121" s="4" t="str">
        <f>IF(VLOOKUP($A121,'[13]0927'!$A$4:$O$150,8,FALSE)="",VLOOKUP($A121,'[13]0927'!$A$4:$O$150,12,FALSE),VLOOKUP($A121,'[13]0927'!$A$4:$O$150,8,FALSE))</f>
        <v/>
      </c>
      <c r="O121" s="5"/>
      <c r="P121" s="4" t="str">
        <f>IF(VLOOKUP($A121,'[14]0925'!$A$4:$O$150,8,FALSE)="",VLOOKUP($A121,'[14]0925'!$A$4:$O$150,12,FALSE),VLOOKUP($A121,'[14]0925'!$A$4:$O$150,8,FALSE))</f>
        <v/>
      </c>
      <c r="Q121" s="4" t="str">
        <f>IF(VLOOKUP($A121,'[15]0922'!$A$4:$O$150,8,FALSE)="",VLOOKUP($A121,'[15]0922'!$A$4:$O$150,12,FALSE),VLOOKUP($A121,'[15]0922'!$A$4:$O$150,8,FALSE))</f>
        <v/>
      </c>
      <c r="R121" s="4" t="str">
        <f>IF(VLOOKUP($A121,'[16]0921'!$A$4:$O$150,8,FALSE)="",VLOOKUP($A121,'[16]0921'!$A$4:$O$150,12,FALSE),VLOOKUP($A121,'[16]0921'!$A$4:$O$150,8,FALSE))</f>
        <v/>
      </c>
      <c r="S121" s="4" t="str">
        <f>IF(VLOOKUP($A121,'[17]0920'!$A$4:$O$150,8,FALSE)="",VLOOKUP($A121,'[17]0920'!$A$4:$O$150,12,FALSE),VLOOKUP($A121,'[17]0920'!$A$4:$O$150,8,FALSE))</f>
        <v/>
      </c>
      <c r="T121" s="4" t="s">
        <v>0</v>
      </c>
      <c r="U121" s="4" t="s">
        <v>0</v>
      </c>
      <c r="W121" s="4" t="s">
        <v>0</v>
      </c>
      <c r="X121" s="4" t="s">
        <v>0</v>
      </c>
      <c r="Y121" s="4" t="s">
        <v>0</v>
      </c>
      <c r="Z121" s="4" t="s">
        <v>0</v>
      </c>
      <c r="AA121" s="4" t="s">
        <v>0</v>
      </c>
      <c r="AB121" s="4" t="s">
        <v>0</v>
      </c>
      <c r="AC121" s="4" t="s">
        <v>0</v>
      </c>
      <c r="AD121" s="4" t="s">
        <v>0</v>
      </c>
      <c r="AE121" s="4" t="s">
        <v>0</v>
      </c>
      <c r="AF121" s="4" t="s">
        <v>0</v>
      </c>
      <c r="AG121" s="4" t="s">
        <v>0</v>
      </c>
      <c r="AH121" s="4" t="s">
        <v>0</v>
      </c>
      <c r="AI121" s="4" t="s">
        <v>0</v>
      </c>
      <c r="AJ121" s="4" t="s">
        <v>0</v>
      </c>
      <c r="AK121" s="4" t="s">
        <v>0</v>
      </c>
      <c r="AL121" s="4" t="s">
        <v>0</v>
      </c>
      <c r="AM121" s="4" t="s">
        <v>0</v>
      </c>
      <c r="AN121" s="4" t="s">
        <v>0</v>
      </c>
      <c r="AP121" s="4" t="s">
        <v>0</v>
      </c>
      <c r="AQ121" s="4" t="s">
        <v>0</v>
      </c>
      <c r="AR121" s="4" t="s">
        <v>0</v>
      </c>
      <c r="AU121" s="4" t="s">
        <v>0</v>
      </c>
    </row>
    <row r="122" spans="1:47">
      <c r="A122" s="3" t="s">
        <v>75</v>
      </c>
      <c r="B122" s="5">
        <f>VLOOKUP($A122,'[21]1013'!$A$4:$O$321,4,FALSE)</f>
        <v>18.37</v>
      </c>
      <c r="C122" s="5">
        <v>23.29</v>
      </c>
      <c r="D122" s="5">
        <f>VLOOKUP($A122,'[21]1013'!$A$4:$O$321,15,FALSE)</f>
        <v>1.5194000000000001</v>
      </c>
      <c r="E122" s="4" t="str">
        <f>IF(VLOOKUP($A122,'[21]1013'!$A$4:$O$150,8,FALSE)="",VLOOKUP($A122,'[21]1013'!$A$4:$O$150,12,FALSE),VLOOKUP($A122,'[21]1013'!$A$4:$O$150,8,FALSE))</f>
        <v/>
      </c>
      <c r="F122" s="4" t="str">
        <f>IF(VLOOKUP($A122,'[7]1012'!$A$4:$O$150,8,FALSE)="",VLOOKUP($A122,'[7]1012'!$A$4:$O$150,12,FALSE),VLOOKUP($A122,'[7]1012'!$A$4:$O$150,8,FALSE))</f>
        <v/>
      </c>
      <c r="G122" s="4" t="str">
        <f>IF(VLOOKUP($A122,'[8]1011'!$A$4:$O$150,8,FALSE)="",VLOOKUP($A122,'[8]1011'!$A$4:$O$150,12,FALSE),VLOOKUP($A122,'[8]1011'!$A$4:$O$150,8,FALSE))</f>
        <v/>
      </c>
      <c r="H122" s="106"/>
      <c r="I122" s="4" t="str">
        <f>IF(VLOOKUP($A122,'[9]1005'!$A$4:$O$150,8,FALSE)="",VLOOKUP($A122,'[9]1005'!$A$4:$O$150,12,FALSE),VLOOKUP($A122,'[9]1005'!$A$4:$O$150,8,FALSE))</f>
        <v/>
      </c>
      <c r="J122" s="4" t="str">
        <f>IF(VLOOKUP($A122,'[10]1004'!$A$4:$O$150,8,FALSE)="",VLOOKUP($A122,'[10]1004'!$A$4:$O$150,12,FALSE),VLOOKUP($A122,'[10]1004'!$A$4:$O$150,8,FALSE))</f>
        <v/>
      </c>
      <c r="K122" s="4" t="str">
        <f>IF(VLOOKUP($A122,'[11]1003'!$A$4:$O$150,8,FALSE)="",VLOOKUP($A122,'[11]1003'!$A$4:$O$150,12,FALSE),VLOOKUP($A122,'[11]1003'!$A$4:$O$150,8,FALSE))</f>
        <v/>
      </c>
      <c r="L122" s="4" t="str">
        <f>IF(VLOOKUP($A122,'[12]1002'!$A$4:$O$150,8,FALSE)="",VLOOKUP($A122,'[12]1002'!$A$4:$O$150,12,FALSE),VLOOKUP($A122,'[12]1002'!$A$4:$O$150,8,FALSE))</f>
        <v/>
      </c>
      <c r="M122" s="106"/>
      <c r="N122" s="4" t="str">
        <f>IF(VLOOKUP($A122,'[13]0927'!$A$4:$O$150,8,FALSE)="",VLOOKUP($A122,'[13]0927'!$A$4:$O$150,12,FALSE),VLOOKUP($A122,'[13]0927'!$A$4:$O$150,8,FALSE))</f>
        <v/>
      </c>
      <c r="O122" s="5"/>
      <c r="P122" s="4" t="str">
        <f>IF(VLOOKUP($A122,'[14]0925'!$A$4:$O$150,8,FALSE)="",VLOOKUP($A122,'[14]0925'!$A$4:$O$150,12,FALSE),VLOOKUP($A122,'[14]0925'!$A$4:$O$150,8,FALSE))</f>
        <v/>
      </c>
      <c r="Q122" s="4" t="str">
        <f>IF(VLOOKUP($A122,'[15]0922'!$A$4:$O$150,8,FALSE)="",VLOOKUP($A122,'[15]0922'!$A$4:$O$150,12,FALSE),VLOOKUP($A122,'[15]0922'!$A$4:$O$150,8,FALSE))</f>
        <v/>
      </c>
      <c r="R122" s="4" t="str">
        <f>IF(VLOOKUP($A122,'[16]0921'!$A$4:$O$150,8,FALSE)="",VLOOKUP($A122,'[16]0921'!$A$4:$O$150,12,FALSE),VLOOKUP($A122,'[16]0921'!$A$4:$O$150,8,FALSE))</f>
        <v/>
      </c>
      <c r="S122" s="4" t="str">
        <f>IF(VLOOKUP($A122,'[17]0920'!$A$4:$O$150,8,FALSE)="",VLOOKUP($A122,'[17]0920'!$A$4:$O$150,12,FALSE),VLOOKUP($A122,'[17]0920'!$A$4:$O$150,8,FALSE))</f>
        <v/>
      </c>
      <c r="T122" s="4" t="s">
        <v>0</v>
      </c>
      <c r="U122" s="4" t="s">
        <v>0</v>
      </c>
      <c r="W122" s="4" t="s">
        <v>0</v>
      </c>
      <c r="X122" s="4" t="s">
        <v>0</v>
      </c>
      <c r="Y122" s="4" t="s">
        <v>0</v>
      </c>
      <c r="Z122" s="4" t="s">
        <v>0</v>
      </c>
      <c r="AA122" s="4" t="s">
        <v>0</v>
      </c>
      <c r="AB122" s="4" t="s">
        <v>0</v>
      </c>
      <c r="AC122" s="4" t="s">
        <v>0</v>
      </c>
      <c r="AD122" s="4" t="s">
        <v>0</v>
      </c>
      <c r="AE122" s="4" t="s">
        <v>0</v>
      </c>
      <c r="AF122" s="4" t="s">
        <v>0</v>
      </c>
      <c r="AG122" s="4" t="s">
        <v>0</v>
      </c>
      <c r="AH122" s="4" t="s">
        <v>0</v>
      </c>
      <c r="AI122" s="4" t="s">
        <v>0</v>
      </c>
      <c r="AJ122" s="4" t="s">
        <v>0</v>
      </c>
      <c r="AK122" s="4" t="s">
        <v>0</v>
      </c>
      <c r="AL122" s="4" t="s">
        <v>0</v>
      </c>
      <c r="AM122" s="4" t="s">
        <v>0</v>
      </c>
      <c r="AN122" s="4" t="s">
        <v>0</v>
      </c>
      <c r="AP122" s="4" t="s">
        <v>0</v>
      </c>
      <c r="AQ122" s="4" t="s">
        <v>0</v>
      </c>
      <c r="AR122" s="4" t="s">
        <v>0</v>
      </c>
      <c r="AU122" s="4" t="s">
        <v>0</v>
      </c>
    </row>
    <row r="123" spans="1:47">
      <c r="A123" s="3" t="s">
        <v>76</v>
      </c>
      <c r="B123" s="5">
        <f>VLOOKUP($A123,'[21]1013'!$A$4:$O$321,4,FALSE)</f>
        <v>18.73</v>
      </c>
      <c r="C123" s="5">
        <v>22.78</v>
      </c>
      <c r="D123" s="5">
        <f>VLOOKUP($A123,'[21]1013'!$A$4:$O$321,15,FALSE)</f>
        <v>1.5152000000000001</v>
      </c>
      <c r="E123" s="4" t="str">
        <f>IF(VLOOKUP($A123,'[21]1013'!$A$4:$O$150,8,FALSE)="",VLOOKUP($A123,'[21]1013'!$A$4:$O$150,12,FALSE),VLOOKUP($A123,'[21]1013'!$A$4:$O$150,8,FALSE))</f>
        <v/>
      </c>
      <c r="F123" s="4" t="str">
        <f>IF(VLOOKUP($A123,'[7]1012'!$A$4:$O$150,8,FALSE)="",VLOOKUP($A123,'[7]1012'!$A$4:$O$150,12,FALSE),VLOOKUP($A123,'[7]1012'!$A$4:$O$150,8,FALSE))</f>
        <v/>
      </c>
      <c r="G123" s="4" t="str">
        <f>IF(VLOOKUP($A123,'[8]1011'!$A$4:$O$150,8,FALSE)="",VLOOKUP($A123,'[8]1011'!$A$4:$O$150,12,FALSE),VLOOKUP($A123,'[8]1011'!$A$4:$O$150,8,FALSE))</f>
        <v/>
      </c>
      <c r="H123" s="106"/>
      <c r="I123" s="4" t="str">
        <f>IF(VLOOKUP($A123,'[9]1005'!$A$4:$O$150,8,FALSE)="",VLOOKUP($A123,'[9]1005'!$A$4:$O$150,12,FALSE),VLOOKUP($A123,'[9]1005'!$A$4:$O$150,8,FALSE))</f>
        <v/>
      </c>
      <c r="J123" s="4" t="str">
        <f>IF(VLOOKUP($A123,'[10]1004'!$A$4:$O$150,8,FALSE)="",VLOOKUP($A123,'[10]1004'!$A$4:$O$150,12,FALSE),VLOOKUP($A123,'[10]1004'!$A$4:$O$150,8,FALSE))</f>
        <v/>
      </c>
      <c r="K123" s="4" t="str">
        <f>IF(VLOOKUP($A123,'[11]1003'!$A$4:$O$150,8,FALSE)="",VLOOKUP($A123,'[11]1003'!$A$4:$O$150,12,FALSE),VLOOKUP($A123,'[11]1003'!$A$4:$O$150,8,FALSE))</f>
        <v/>
      </c>
      <c r="L123" s="4" t="str">
        <f>IF(VLOOKUP($A123,'[12]1002'!$A$4:$O$150,8,FALSE)="",VLOOKUP($A123,'[12]1002'!$A$4:$O$150,12,FALSE),VLOOKUP($A123,'[12]1002'!$A$4:$O$150,8,FALSE))</f>
        <v/>
      </c>
      <c r="M123" s="106"/>
      <c r="N123" s="4" t="str">
        <f>IF(VLOOKUP($A123,'[13]0927'!$A$4:$O$150,8,FALSE)="",VLOOKUP($A123,'[13]0927'!$A$4:$O$150,12,FALSE),VLOOKUP($A123,'[13]0927'!$A$4:$O$150,8,FALSE))</f>
        <v/>
      </c>
      <c r="O123" s="5"/>
      <c r="P123" s="4" t="str">
        <f>IF(VLOOKUP($A123,'[14]0925'!$A$4:$O$150,8,FALSE)="",VLOOKUP($A123,'[14]0925'!$A$4:$O$150,12,FALSE),VLOOKUP($A123,'[14]0925'!$A$4:$O$150,8,FALSE))</f>
        <v/>
      </c>
      <c r="Q123" s="4" t="str">
        <f>IF(VLOOKUP($A123,'[15]0922'!$A$4:$O$150,8,FALSE)="",VLOOKUP($A123,'[15]0922'!$A$4:$O$150,12,FALSE),VLOOKUP($A123,'[15]0922'!$A$4:$O$150,8,FALSE))</f>
        <v/>
      </c>
      <c r="R123" s="4" t="str">
        <f>IF(VLOOKUP($A123,'[16]0921'!$A$4:$O$150,8,FALSE)="",VLOOKUP($A123,'[16]0921'!$A$4:$O$150,12,FALSE),VLOOKUP($A123,'[16]0921'!$A$4:$O$150,8,FALSE))</f>
        <v/>
      </c>
      <c r="S123" s="4" t="str">
        <f>IF(VLOOKUP($A123,'[17]0920'!$A$4:$O$150,8,FALSE)="",VLOOKUP($A123,'[17]0920'!$A$4:$O$150,12,FALSE),VLOOKUP($A123,'[17]0920'!$A$4:$O$150,8,FALSE))</f>
        <v/>
      </c>
      <c r="T123" s="4" t="s">
        <v>0</v>
      </c>
      <c r="U123" s="4" t="s">
        <v>0</v>
      </c>
      <c r="W123" s="4" t="s">
        <v>0</v>
      </c>
      <c r="X123" s="4" t="s">
        <v>0</v>
      </c>
      <c r="Y123" s="4" t="s">
        <v>0</v>
      </c>
      <c r="Z123" s="4" t="s">
        <v>0</v>
      </c>
      <c r="AA123" s="4" t="s">
        <v>0</v>
      </c>
      <c r="AB123" s="4" t="s">
        <v>0</v>
      </c>
      <c r="AC123" s="4" t="s">
        <v>0</v>
      </c>
      <c r="AD123" s="4" t="s">
        <v>0</v>
      </c>
      <c r="AE123" s="4" t="s">
        <v>0</v>
      </c>
      <c r="AF123" s="4" t="s">
        <v>0</v>
      </c>
      <c r="AG123" s="4" t="s">
        <v>0</v>
      </c>
      <c r="AH123" s="4" t="s">
        <v>0</v>
      </c>
      <c r="AI123" s="4" t="s">
        <v>0</v>
      </c>
      <c r="AJ123" s="4" t="s">
        <v>0</v>
      </c>
      <c r="AK123" s="4" t="s">
        <v>0</v>
      </c>
      <c r="AL123" s="4" t="s">
        <v>0</v>
      </c>
      <c r="AM123" s="4" t="s">
        <v>0</v>
      </c>
      <c r="AN123" s="4" t="s">
        <v>0</v>
      </c>
      <c r="AP123" s="4" t="s">
        <v>0</v>
      </c>
      <c r="AQ123" s="4" t="s">
        <v>0</v>
      </c>
      <c r="AR123" s="4" t="s">
        <v>0</v>
      </c>
      <c r="AU123" s="4" t="s">
        <v>0</v>
      </c>
    </row>
    <row r="124" spans="1:47">
      <c r="A124" s="3" t="s">
        <v>77</v>
      </c>
      <c r="B124" s="5">
        <f>VLOOKUP($A124,'[21]1013'!$A$4:$O$321,4,FALSE)</f>
        <v>19.03</v>
      </c>
      <c r="C124" s="5">
        <v>23.79</v>
      </c>
      <c r="D124" s="5">
        <f>VLOOKUP($A124,'[21]1013'!$A$4:$O$321,15,FALSE)</f>
        <v>1.5296000000000001</v>
      </c>
      <c r="E124" s="4" t="str">
        <f>IF(VLOOKUP($A124,'[21]1013'!$A$4:$O$150,8,FALSE)="",VLOOKUP($A124,'[21]1013'!$A$4:$O$150,12,FALSE),VLOOKUP($A124,'[21]1013'!$A$4:$O$150,8,FALSE))</f>
        <v/>
      </c>
      <c r="F124" s="4" t="str">
        <f>IF(VLOOKUP($A124,'[7]1012'!$A$4:$O$150,8,FALSE)="",VLOOKUP($A124,'[7]1012'!$A$4:$O$150,12,FALSE),VLOOKUP($A124,'[7]1012'!$A$4:$O$150,8,FALSE))</f>
        <v/>
      </c>
      <c r="G124" s="4" t="str">
        <f>IF(VLOOKUP($A124,'[8]1011'!$A$4:$O$150,8,FALSE)="",VLOOKUP($A124,'[8]1011'!$A$4:$O$150,12,FALSE),VLOOKUP($A124,'[8]1011'!$A$4:$O$150,8,FALSE))</f>
        <v/>
      </c>
      <c r="H124" s="106"/>
      <c r="I124" s="4" t="str">
        <f>IF(VLOOKUP($A124,'[9]1005'!$A$4:$O$150,8,FALSE)="",VLOOKUP($A124,'[9]1005'!$A$4:$O$150,12,FALSE),VLOOKUP($A124,'[9]1005'!$A$4:$O$150,8,FALSE))</f>
        <v/>
      </c>
      <c r="J124" s="4" t="str">
        <f>IF(VLOOKUP($A124,'[10]1004'!$A$4:$O$150,8,FALSE)="",VLOOKUP($A124,'[10]1004'!$A$4:$O$150,12,FALSE),VLOOKUP($A124,'[10]1004'!$A$4:$O$150,8,FALSE))</f>
        <v/>
      </c>
      <c r="K124" s="4" t="str">
        <f>IF(VLOOKUP($A124,'[11]1003'!$A$4:$O$150,8,FALSE)="",VLOOKUP($A124,'[11]1003'!$A$4:$O$150,12,FALSE),VLOOKUP($A124,'[11]1003'!$A$4:$O$150,8,FALSE))</f>
        <v/>
      </c>
      <c r="L124" s="4" t="str">
        <f>IF(VLOOKUP($A124,'[12]1002'!$A$4:$O$150,8,FALSE)="",VLOOKUP($A124,'[12]1002'!$A$4:$O$150,12,FALSE),VLOOKUP($A124,'[12]1002'!$A$4:$O$150,8,FALSE))</f>
        <v/>
      </c>
      <c r="M124" s="106"/>
      <c r="N124" s="4" t="str">
        <f>IF(VLOOKUP($A124,'[13]0927'!$A$4:$O$150,8,FALSE)="",VLOOKUP($A124,'[13]0927'!$A$4:$O$150,12,FALSE),VLOOKUP($A124,'[13]0927'!$A$4:$O$150,8,FALSE))</f>
        <v/>
      </c>
      <c r="O124" s="5"/>
      <c r="P124" s="4" t="str">
        <f>IF(VLOOKUP($A124,'[14]0925'!$A$4:$O$150,8,FALSE)="",VLOOKUP($A124,'[14]0925'!$A$4:$O$150,12,FALSE),VLOOKUP($A124,'[14]0925'!$A$4:$O$150,8,FALSE))</f>
        <v/>
      </c>
      <c r="Q124" s="4" t="str">
        <f>IF(VLOOKUP($A124,'[15]0922'!$A$4:$O$150,8,FALSE)="",VLOOKUP($A124,'[15]0922'!$A$4:$O$150,12,FALSE),VLOOKUP($A124,'[15]0922'!$A$4:$O$150,8,FALSE))</f>
        <v/>
      </c>
      <c r="R124" s="4" t="str">
        <f>IF(VLOOKUP($A124,'[16]0921'!$A$4:$O$150,8,FALSE)="",VLOOKUP($A124,'[16]0921'!$A$4:$O$150,12,FALSE),VLOOKUP($A124,'[16]0921'!$A$4:$O$150,8,FALSE))</f>
        <v/>
      </c>
      <c r="S124" s="4" t="str">
        <f>IF(VLOOKUP($A124,'[17]0920'!$A$4:$O$150,8,FALSE)="",VLOOKUP($A124,'[17]0920'!$A$4:$O$150,12,FALSE),VLOOKUP($A124,'[17]0920'!$A$4:$O$150,8,FALSE))</f>
        <v/>
      </c>
      <c r="T124" s="4" t="s">
        <v>0</v>
      </c>
      <c r="U124" s="4" t="s">
        <v>0</v>
      </c>
      <c r="W124" s="4" t="s">
        <v>0</v>
      </c>
      <c r="X124" s="4" t="s">
        <v>0</v>
      </c>
      <c r="Y124" s="4" t="s">
        <v>0</v>
      </c>
      <c r="Z124" s="4" t="s">
        <v>0</v>
      </c>
      <c r="AA124" s="4" t="s">
        <v>0</v>
      </c>
      <c r="AB124" s="4" t="s">
        <v>0</v>
      </c>
      <c r="AC124" s="4" t="s">
        <v>0</v>
      </c>
      <c r="AD124" s="4" t="s">
        <v>0</v>
      </c>
      <c r="AE124" s="4" t="s">
        <v>0</v>
      </c>
      <c r="AF124" s="4" t="s">
        <v>0</v>
      </c>
      <c r="AG124" s="4" t="s">
        <v>0</v>
      </c>
      <c r="AH124" s="4" t="s">
        <v>0</v>
      </c>
      <c r="AI124" s="4" t="s">
        <v>0</v>
      </c>
      <c r="AJ124" s="4" t="s">
        <v>0</v>
      </c>
      <c r="AK124" s="4" t="s">
        <v>0</v>
      </c>
      <c r="AL124" s="4" t="s">
        <v>0</v>
      </c>
      <c r="AM124" s="4" t="s">
        <v>0</v>
      </c>
      <c r="AN124" s="4" t="s">
        <v>0</v>
      </c>
      <c r="AP124" s="4" t="s">
        <v>0</v>
      </c>
      <c r="AQ124" s="4" t="s">
        <v>0</v>
      </c>
      <c r="AR124" s="4" t="s">
        <v>0</v>
      </c>
      <c r="AS124" s="5">
        <v>1.44</v>
      </c>
      <c r="AU124" s="4" t="s">
        <v>0</v>
      </c>
    </row>
    <row r="125" spans="1:47">
      <c r="A125" s="3" t="s">
        <v>78</v>
      </c>
      <c r="B125" s="5">
        <f>VLOOKUP($A125,'[21]1013'!$A$4:$O$321,4,FALSE)</f>
        <v>19.32</v>
      </c>
      <c r="C125" s="5">
        <v>22.99</v>
      </c>
      <c r="D125" s="5">
        <f>VLOOKUP($A125,'[21]1013'!$A$4:$O$321,15,FALSE)</f>
        <v>1.5226</v>
      </c>
      <c r="E125" s="4" t="str">
        <f>IF(VLOOKUP($A125,'[21]1013'!$A$4:$O$150,8,FALSE)="",VLOOKUP($A125,'[21]1013'!$A$4:$O$150,12,FALSE),VLOOKUP($A125,'[21]1013'!$A$4:$O$150,8,FALSE))</f>
        <v/>
      </c>
      <c r="F125" s="4" t="str">
        <f>IF(VLOOKUP($A125,'[7]1012'!$A$4:$O$150,8,FALSE)="",VLOOKUP($A125,'[7]1012'!$A$4:$O$150,12,FALSE),VLOOKUP($A125,'[7]1012'!$A$4:$O$150,8,FALSE))</f>
        <v/>
      </c>
      <c r="G125" s="4" t="str">
        <f>IF(VLOOKUP($A125,'[8]1011'!$A$4:$O$150,8,FALSE)="",VLOOKUP($A125,'[8]1011'!$A$4:$O$150,12,FALSE),VLOOKUP($A125,'[8]1011'!$A$4:$O$150,8,FALSE))</f>
        <v/>
      </c>
      <c r="H125" s="106"/>
      <c r="I125" s="4" t="str">
        <f>IF(VLOOKUP($A125,'[9]1005'!$A$4:$O$150,8,FALSE)="",VLOOKUP($A125,'[9]1005'!$A$4:$O$150,12,FALSE),VLOOKUP($A125,'[9]1005'!$A$4:$O$150,8,FALSE))</f>
        <v/>
      </c>
      <c r="J125" s="4" t="str">
        <f>IF(VLOOKUP($A125,'[10]1004'!$A$4:$O$150,8,FALSE)="",VLOOKUP($A125,'[10]1004'!$A$4:$O$150,12,FALSE),VLOOKUP($A125,'[10]1004'!$A$4:$O$150,8,FALSE))</f>
        <v/>
      </c>
      <c r="K125" s="4" t="str">
        <f>IF(VLOOKUP($A125,'[11]1003'!$A$4:$O$150,8,FALSE)="",VLOOKUP($A125,'[11]1003'!$A$4:$O$150,12,FALSE),VLOOKUP($A125,'[11]1003'!$A$4:$O$150,8,FALSE))</f>
        <v/>
      </c>
      <c r="L125" s="4" t="str">
        <f>IF(VLOOKUP($A125,'[12]1002'!$A$4:$O$150,8,FALSE)="",VLOOKUP($A125,'[12]1002'!$A$4:$O$150,12,FALSE),VLOOKUP($A125,'[12]1002'!$A$4:$O$150,8,FALSE))</f>
        <v/>
      </c>
      <c r="M125" s="106"/>
      <c r="N125" s="4" t="str">
        <f>IF(VLOOKUP($A125,'[13]0927'!$A$4:$O$150,8,FALSE)="",VLOOKUP($A125,'[13]0927'!$A$4:$O$150,12,FALSE),VLOOKUP($A125,'[13]0927'!$A$4:$O$150,8,FALSE))</f>
        <v/>
      </c>
      <c r="O125" s="5"/>
      <c r="P125" s="4" t="str">
        <f>IF(VLOOKUP($A125,'[14]0925'!$A$4:$O$150,8,FALSE)="",VLOOKUP($A125,'[14]0925'!$A$4:$O$150,12,FALSE),VLOOKUP($A125,'[14]0925'!$A$4:$O$150,8,FALSE))</f>
        <v/>
      </c>
      <c r="Q125" s="4" t="str">
        <f>IF(VLOOKUP($A125,'[15]0922'!$A$4:$O$150,8,FALSE)="",VLOOKUP($A125,'[15]0922'!$A$4:$O$150,12,FALSE),VLOOKUP($A125,'[15]0922'!$A$4:$O$150,8,FALSE))</f>
        <v/>
      </c>
      <c r="R125" s="4" t="str">
        <f>IF(VLOOKUP($A125,'[16]0921'!$A$4:$O$150,8,FALSE)="",VLOOKUP($A125,'[16]0921'!$A$4:$O$150,12,FALSE),VLOOKUP($A125,'[16]0921'!$A$4:$O$150,8,FALSE))</f>
        <v/>
      </c>
      <c r="S125" s="4" t="str">
        <f>IF(VLOOKUP($A125,'[17]0920'!$A$4:$O$150,8,FALSE)="",VLOOKUP($A125,'[17]0920'!$A$4:$O$150,12,FALSE),VLOOKUP($A125,'[17]0920'!$A$4:$O$150,8,FALSE))</f>
        <v/>
      </c>
      <c r="T125" s="4" t="s">
        <v>0</v>
      </c>
      <c r="U125" s="4" t="s">
        <v>0</v>
      </c>
      <c r="W125" s="4" t="s">
        <v>0</v>
      </c>
      <c r="X125" s="4" t="s">
        <v>0</v>
      </c>
      <c r="Y125" s="4" t="s">
        <v>0</v>
      </c>
      <c r="Z125" s="4" t="s">
        <v>0</v>
      </c>
      <c r="AA125" s="4" t="s">
        <v>0</v>
      </c>
      <c r="AB125" s="4" t="s">
        <v>0</v>
      </c>
      <c r="AC125" s="4" t="s">
        <v>0</v>
      </c>
      <c r="AD125" s="4" t="s">
        <v>0</v>
      </c>
      <c r="AE125" s="4" t="s">
        <v>0</v>
      </c>
      <c r="AF125" s="4" t="s">
        <v>0</v>
      </c>
      <c r="AG125" s="4" t="s">
        <v>0</v>
      </c>
      <c r="AH125" s="4" t="s">
        <v>0</v>
      </c>
      <c r="AI125" s="4" t="s">
        <v>0</v>
      </c>
      <c r="AJ125" s="4" t="s">
        <v>0</v>
      </c>
      <c r="AK125" s="4" t="s">
        <v>0</v>
      </c>
      <c r="AL125" s="4" t="s">
        <v>0</v>
      </c>
      <c r="AM125" s="4" t="s">
        <v>0</v>
      </c>
      <c r="AN125" s="4" t="s">
        <v>0</v>
      </c>
      <c r="AP125" s="4" t="s">
        <v>0</v>
      </c>
      <c r="AQ125" s="4" t="s">
        <v>0</v>
      </c>
      <c r="AR125" s="4" t="s">
        <v>0</v>
      </c>
      <c r="AU125" s="4" t="s">
        <v>0</v>
      </c>
    </row>
    <row r="126" spans="1:47">
      <c r="A126" s="3" t="s">
        <v>79</v>
      </c>
      <c r="B126" s="5">
        <f>VLOOKUP($A126,'[21]1013'!$A$4:$O$321,4,FALSE)</f>
        <v>19.59</v>
      </c>
      <c r="C126" s="5">
        <v>24.29</v>
      </c>
      <c r="D126" s="5">
        <f>VLOOKUP($A126,'[21]1013'!$A$4:$O$321,15,FALSE)</f>
        <v>1.542</v>
      </c>
      <c r="E126" s="4" t="str">
        <f>IF(VLOOKUP($A126,'[21]1013'!$A$4:$O$150,8,FALSE)="",VLOOKUP($A126,'[21]1013'!$A$4:$O$150,12,FALSE),VLOOKUP($A126,'[21]1013'!$A$4:$O$150,8,FALSE))</f>
        <v/>
      </c>
      <c r="F126" s="4" t="str">
        <f>IF(VLOOKUP($A126,'[7]1012'!$A$4:$O$150,8,FALSE)="",VLOOKUP($A126,'[7]1012'!$A$4:$O$150,12,FALSE),VLOOKUP($A126,'[7]1012'!$A$4:$O$150,8,FALSE))</f>
        <v/>
      </c>
      <c r="G126" s="4" t="str">
        <f>IF(VLOOKUP($A126,'[8]1011'!$A$4:$O$150,8,FALSE)="",VLOOKUP($A126,'[8]1011'!$A$4:$O$150,12,FALSE),VLOOKUP($A126,'[8]1011'!$A$4:$O$150,8,FALSE))</f>
        <v/>
      </c>
      <c r="H126" s="106"/>
      <c r="I126" s="4" t="str">
        <f>IF(VLOOKUP($A126,'[9]1005'!$A$4:$O$150,8,FALSE)="",VLOOKUP($A126,'[9]1005'!$A$4:$O$150,12,FALSE),VLOOKUP($A126,'[9]1005'!$A$4:$O$150,8,FALSE))</f>
        <v/>
      </c>
      <c r="J126" s="4" t="str">
        <f>IF(VLOOKUP($A126,'[10]1004'!$A$4:$O$150,8,FALSE)="",VLOOKUP($A126,'[10]1004'!$A$4:$O$150,12,FALSE),VLOOKUP($A126,'[10]1004'!$A$4:$O$150,8,FALSE))</f>
        <v/>
      </c>
      <c r="K126" s="4" t="str">
        <f>IF(VLOOKUP($A126,'[11]1003'!$A$4:$O$150,8,FALSE)="",VLOOKUP($A126,'[11]1003'!$A$4:$O$150,12,FALSE),VLOOKUP($A126,'[11]1003'!$A$4:$O$150,8,FALSE))</f>
        <v/>
      </c>
      <c r="L126" s="4" t="str">
        <f>IF(VLOOKUP($A126,'[12]1002'!$A$4:$O$150,8,FALSE)="",VLOOKUP($A126,'[12]1002'!$A$4:$O$150,12,FALSE),VLOOKUP($A126,'[12]1002'!$A$4:$O$150,8,FALSE))</f>
        <v/>
      </c>
      <c r="M126" s="106"/>
      <c r="N126" s="4" t="str">
        <f>IF(VLOOKUP($A126,'[13]0927'!$A$4:$O$150,8,FALSE)="",VLOOKUP($A126,'[13]0927'!$A$4:$O$150,12,FALSE),VLOOKUP($A126,'[13]0927'!$A$4:$O$150,8,FALSE))</f>
        <v/>
      </c>
      <c r="O126" s="5"/>
      <c r="P126" s="4" t="str">
        <f>IF(VLOOKUP($A126,'[14]0925'!$A$4:$O$150,8,FALSE)="",VLOOKUP($A126,'[14]0925'!$A$4:$O$150,12,FALSE),VLOOKUP($A126,'[14]0925'!$A$4:$O$150,8,FALSE))</f>
        <v/>
      </c>
      <c r="Q126" s="4" t="str">
        <f>IF(VLOOKUP($A126,'[15]0922'!$A$4:$O$150,8,FALSE)="",VLOOKUP($A126,'[15]0922'!$A$4:$O$150,12,FALSE),VLOOKUP($A126,'[15]0922'!$A$4:$O$150,8,FALSE))</f>
        <v/>
      </c>
      <c r="R126" s="4" t="str">
        <f>IF(VLOOKUP($A126,'[16]0921'!$A$4:$O$150,8,FALSE)="",VLOOKUP($A126,'[16]0921'!$A$4:$O$150,12,FALSE),VLOOKUP($A126,'[16]0921'!$A$4:$O$150,8,FALSE))</f>
        <v/>
      </c>
      <c r="S126" s="4" t="str">
        <f>IF(VLOOKUP($A126,'[17]0920'!$A$4:$O$150,8,FALSE)="",VLOOKUP($A126,'[17]0920'!$A$4:$O$150,12,FALSE),VLOOKUP($A126,'[17]0920'!$A$4:$O$150,8,FALSE))</f>
        <v/>
      </c>
      <c r="T126" s="4" t="s">
        <v>0</v>
      </c>
      <c r="U126" s="4" t="s">
        <v>0</v>
      </c>
      <c r="W126" s="4" t="s">
        <v>0</v>
      </c>
      <c r="X126" s="4" t="s">
        <v>0</v>
      </c>
      <c r="Y126" s="4" t="s">
        <v>0</v>
      </c>
      <c r="Z126" s="4" t="s">
        <v>0</v>
      </c>
      <c r="AA126" s="4" t="s">
        <v>0</v>
      </c>
      <c r="AB126" s="4" t="s">
        <v>0</v>
      </c>
      <c r="AC126" s="4" t="s">
        <v>0</v>
      </c>
      <c r="AD126" s="4" t="s">
        <v>0</v>
      </c>
      <c r="AE126" s="4" t="s">
        <v>0</v>
      </c>
      <c r="AF126" s="4" t="s">
        <v>0</v>
      </c>
      <c r="AG126" s="4" t="s">
        <v>0</v>
      </c>
      <c r="AH126" s="4" t="s">
        <v>0</v>
      </c>
      <c r="AI126" s="4" t="s">
        <v>0</v>
      </c>
      <c r="AJ126" s="4" t="s">
        <v>0</v>
      </c>
      <c r="AK126" s="4" t="s">
        <v>0</v>
      </c>
      <c r="AL126" s="4" t="s">
        <v>0</v>
      </c>
      <c r="AM126" s="4" t="s">
        <v>0</v>
      </c>
      <c r="AN126" s="4" t="s">
        <v>0</v>
      </c>
      <c r="AP126" s="4" t="s">
        <v>0</v>
      </c>
      <c r="AQ126" s="4" t="s">
        <v>0</v>
      </c>
      <c r="AR126" s="4" t="s">
        <v>0</v>
      </c>
      <c r="AU126" s="4" t="s">
        <v>0</v>
      </c>
    </row>
    <row r="127" spans="1:47">
      <c r="A127" s="3" t="s">
        <v>80</v>
      </c>
      <c r="B127" s="5">
        <f>VLOOKUP($A127,'[21]1013'!$A$4:$O$321,4,FALSE)</f>
        <v>20.27</v>
      </c>
      <c r="C127" s="5">
        <v>24.77</v>
      </c>
      <c r="D127" s="5">
        <f>VLOOKUP($A127,'[21]1013'!$A$4:$O$321,15,FALSE)</f>
        <v>1.5523</v>
      </c>
      <c r="E127" s="4" t="str">
        <f>IF(VLOOKUP($A127,'[21]1013'!$A$4:$O$150,8,FALSE)="",VLOOKUP($A127,'[21]1013'!$A$4:$O$150,12,FALSE),VLOOKUP($A127,'[21]1013'!$A$4:$O$150,8,FALSE))</f>
        <v/>
      </c>
      <c r="F127" s="4" t="str">
        <f>IF(VLOOKUP($A127,'[7]1012'!$A$4:$O$150,8,FALSE)="",VLOOKUP($A127,'[7]1012'!$A$4:$O$150,12,FALSE),VLOOKUP($A127,'[7]1012'!$A$4:$O$150,8,FALSE))</f>
        <v/>
      </c>
      <c r="G127" s="4" t="str">
        <f>IF(VLOOKUP($A127,'[8]1011'!$A$4:$O$150,8,FALSE)="",VLOOKUP($A127,'[8]1011'!$A$4:$O$150,12,FALSE),VLOOKUP($A127,'[8]1011'!$A$4:$O$150,8,FALSE))</f>
        <v/>
      </c>
      <c r="H127" s="106"/>
      <c r="I127" s="4" t="str">
        <f>IF(VLOOKUP($A127,'[9]1005'!$A$4:$O$150,8,FALSE)="",VLOOKUP($A127,'[9]1005'!$A$4:$O$150,12,FALSE),VLOOKUP($A127,'[9]1005'!$A$4:$O$150,8,FALSE))</f>
        <v/>
      </c>
      <c r="J127" s="4" t="str">
        <f>IF(VLOOKUP($A127,'[10]1004'!$A$4:$O$150,8,FALSE)="",VLOOKUP($A127,'[10]1004'!$A$4:$O$150,12,FALSE),VLOOKUP($A127,'[10]1004'!$A$4:$O$150,8,FALSE))</f>
        <v/>
      </c>
      <c r="K127" s="4" t="str">
        <f>IF(VLOOKUP($A127,'[11]1003'!$A$4:$O$150,8,FALSE)="",VLOOKUP($A127,'[11]1003'!$A$4:$O$150,12,FALSE),VLOOKUP($A127,'[11]1003'!$A$4:$O$150,8,FALSE))</f>
        <v/>
      </c>
      <c r="L127" s="4" t="str">
        <f>IF(VLOOKUP($A127,'[12]1002'!$A$4:$O$150,8,FALSE)="",VLOOKUP($A127,'[12]1002'!$A$4:$O$150,12,FALSE),VLOOKUP($A127,'[12]1002'!$A$4:$O$150,8,FALSE))</f>
        <v/>
      </c>
      <c r="M127" s="106"/>
      <c r="N127" s="4" t="str">
        <f>IF(VLOOKUP($A127,'[13]0927'!$A$4:$O$150,8,FALSE)="",VLOOKUP($A127,'[13]0927'!$A$4:$O$150,12,FALSE),VLOOKUP($A127,'[13]0927'!$A$4:$O$150,8,FALSE))</f>
        <v/>
      </c>
      <c r="O127" s="5"/>
      <c r="P127" s="4" t="str">
        <f>IF(VLOOKUP($A127,'[14]0925'!$A$4:$O$150,8,FALSE)="",VLOOKUP($A127,'[14]0925'!$A$4:$O$150,12,FALSE),VLOOKUP($A127,'[14]0925'!$A$4:$O$150,8,FALSE))</f>
        <v/>
      </c>
      <c r="Q127" s="4" t="str">
        <f>IF(VLOOKUP($A127,'[15]0922'!$A$4:$O$150,8,FALSE)="",VLOOKUP($A127,'[15]0922'!$A$4:$O$150,12,FALSE),VLOOKUP($A127,'[15]0922'!$A$4:$O$150,8,FALSE))</f>
        <v/>
      </c>
      <c r="R127" s="4" t="str">
        <f>IF(VLOOKUP($A127,'[16]0921'!$A$4:$O$150,8,FALSE)="",VLOOKUP($A127,'[16]0921'!$A$4:$O$150,12,FALSE),VLOOKUP($A127,'[16]0921'!$A$4:$O$150,8,FALSE))</f>
        <v/>
      </c>
      <c r="S127" s="4" t="str">
        <f>IF(VLOOKUP($A127,'[17]0920'!$A$4:$O$150,8,FALSE)="",VLOOKUP($A127,'[17]0920'!$A$4:$O$150,12,FALSE),VLOOKUP($A127,'[17]0920'!$A$4:$O$150,8,FALSE))</f>
        <v/>
      </c>
      <c r="T127" s="4" t="s">
        <v>0</v>
      </c>
      <c r="U127" s="4" t="s">
        <v>0</v>
      </c>
      <c r="W127" s="4" t="s">
        <v>0</v>
      </c>
      <c r="X127" s="4" t="s">
        <v>0</v>
      </c>
      <c r="Y127" s="4" t="s">
        <v>0</v>
      </c>
      <c r="Z127" s="4" t="s">
        <v>0</v>
      </c>
      <c r="AA127" s="4" t="s">
        <v>0</v>
      </c>
      <c r="AB127" s="4" t="s">
        <v>0</v>
      </c>
      <c r="AC127" s="4" t="s">
        <v>0</v>
      </c>
      <c r="AD127" s="4" t="s">
        <v>0</v>
      </c>
      <c r="AE127" s="4" t="s">
        <v>0</v>
      </c>
      <c r="AF127" s="4" t="s">
        <v>0</v>
      </c>
      <c r="AG127" s="4" t="s">
        <v>0</v>
      </c>
      <c r="AH127" s="4" t="s">
        <v>0</v>
      </c>
      <c r="AI127" s="4" t="s">
        <v>0</v>
      </c>
      <c r="AJ127" s="4" t="s">
        <v>0</v>
      </c>
      <c r="AK127" s="4" t="s">
        <v>0</v>
      </c>
      <c r="AL127" s="4" t="s">
        <v>0</v>
      </c>
      <c r="AM127" s="4" t="s">
        <v>0</v>
      </c>
      <c r="AN127" s="4" t="s">
        <v>0</v>
      </c>
      <c r="AP127" s="4" t="s">
        <v>0</v>
      </c>
      <c r="AQ127" s="4" t="s">
        <v>0</v>
      </c>
      <c r="AR127" s="4" t="s">
        <v>0</v>
      </c>
      <c r="AU127" s="4" t="s">
        <v>0</v>
      </c>
    </row>
    <row r="128" spans="1:47">
      <c r="A128" s="3" t="s">
        <v>56</v>
      </c>
      <c r="B128" s="5">
        <f>VLOOKUP($A128,'[21]1013'!$A$4:$O$321,4,FALSE)</f>
        <v>20.67</v>
      </c>
      <c r="C128" s="5">
        <v>25.25</v>
      </c>
      <c r="D128" s="5">
        <f>VLOOKUP($A128,'[21]1013'!$A$4:$O$321,15,FALSE)</f>
        <v>1.5628</v>
      </c>
      <c r="E128" s="4" t="str">
        <f>IF(VLOOKUP($A128,'[21]1013'!$A$4:$O$150,8,FALSE)="",VLOOKUP($A128,'[21]1013'!$A$4:$O$150,12,FALSE),VLOOKUP($A128,'[21]1013'!$A$4:$O$150,8,FALSE))</f>
        <v/>
      </c>
      <c r="F128" s="4" t="str">
        <f>IF(VLOOKUP($A128,'[7]1012'!$A$4:$O$150,8,FALSE)="",VLOOKUP($A128,'[7]1012'!$A$4:$O$150,12,FALSE),VLOOKUP($A128,'[7]1012'!$A$4:$O$150,8,FALSE))</f>
        <v/>
      </c>
      <c r="G128" s="4" t="str">
        <f>IF(VLOOKUP($A128,'[8]1011'!$A$4:$O$150,8,FALSE)="",VLOOKUP($A128,'[8]1011'!$A$4:$O$150,12,FALSE),VLOOKUP($A128,'[8]1011'!$A$4:$O$150,8,FALSE))</f>
        <v/>
      </c>
      <c r="H128" s="106"/>
      <c r="I128" s="4" t="str">
        <f>IF(VLOOKUP($A128,'[9]1005'!$A$4:$O$150,8,FALSE)="",VLOOKUP($A128,'[9]1005'!$A$4:$O$150,12,FALSE),VLOOKUP($A128,'[9]1005'!$A$4:$O$150,8,FALSE))</f>
        <v/>
      </c>
      <c r="J128" s="4" t="str">
        <f>IF(VLOOKUP($A128,'[10]1004'!$A$4:$O$150,8,FALSE)="",VLOOKUP($A128,'[10]1004'!$A$4:$O$150,12,FALSE),VLOOKUP($A128,'[10]1004'!$A$4:$O$150,8,FALSE))</f>
        <v/>
      </c>
      <c r="K128" s="4" t="str">
        <f>IF(VLOOKUP($A128,'[11]1003'!$A$4:$O$150,8,FALSE)="",VLOOKUP($A128,'[11]1003'!$A$4:$O$150,12,FALSE),VLOOKUP($A128,'[11]1003'!$A$4:$O$150,8,FALSE))</f>
        <v/>
      </c>
      <c r="L128" s="4" t="str">
        <f>IF(VLOOKUP($A128,'[12]1002'!$A$4:$O$150,8,FALSE)="",VLOOKUP($A128,'[12]1002'!$A$4:$O$150,12,FALSE),VLOOKUP($A128,'[12]1002'!$A$4:$O$150,8,FALSE))</f>
        <v/>
      </c>
      <c r="M128" s="106"/>
      <c r="N128" s="4" t="str">
        <f>IF(VLOOKUP($A128,'[13]0927'!$A$4:$O$150,8,FALSE)="",VLOOKUP($A128,'[13]0927'!$A$4:$O$150,12,FALSE),VLOOKUP($A128,'[13]0927'!$A$4:$O$150,8,FALSE))</f>
        <v/>
      </c>
      <c r="O128" s="5"/>
      <c r="P128" s="4" t="str">
        <f>IF(VLOOKUP($A128,'[14]0925'!$A$4:$O$150,8,FALSE)="",VLOOKUP($A128,'[14]0925'!$A$4:$O$150,12,FALSE),VLOOKUP($A128,'[14]0925'!$A$4:$O$150,8,FALSE))</f>
        <v/>
      </c>
      <c r="Q128" s="4" t="str">
        <f>IF(VLOOKUP($A128,'[15]0922'!$A$4:$O$150,8,FALSE)="",VLOOKUP($A128,'[15]0922'!$A$4:$O$150,12,FALSE),VLOOKUP($A128,'[15]0922'!$A$4:$O$150,8,FALSE))</f>
        <v/>
      </c>
      <c r="R128" s="4" t="str">
        <f>IF(VLOOKUP($A128,'[16]0921'!$A$4:$O$150,8,FALSE)="",VLOOKUP($A128,'[16]0921'!$A$4:$O$150,12,FALSE),VLOOKUP($A128,'[16]0921'!$A$4:$O$150,8,FALSE))</f>
        <v/>
      </c>
      <c r="S128" s="4" t="str">
        <f>IF(VLOOKUP($A128,'[17]0920'!$A$4:$O$150,8,FALSE)="",VLOOKUP($A128,'[17]0920'!$A$4:$O$150,12,FALSE),VLOOKUP($A128,'[17]0920'!$A$4:$O$150,8,FALSE))</f>
        <v/>
      </c>
      <c r="T128" s="4" t="s">
        <v>0</v>
      </c>
      <c r="U128" s="4" t="s">
        <v>0</v>
      </c>
      <c r="W128" s="4" t="s">
        <v>0</v>
      </c>
      <c r="X128" s="4" t="s">
        <v>0</v>
      </c>
      <c r="Y128" s="4" t="s">
        <v>0</v>
      </c>
      <c r="Z128" s="4" t="s">
        <v>0</v>
      </c>
      <c r="AA128" s="4" t="s">
        <v>0</v>
      </c>
      <c r="AB128" s="4" t="s">
        <v>0</v>
      </c>
      <c r="AC128" s="4" t="s">
        <v>0</v>
      </c>
      <c r="AD128" s="4" t="s">
        <v>0</v>
      </c>
      <c r="AE128" s="4" t="s">
        <v>0</v>
      </c>
      <c r="AF128" s="4" t="s">
        <v>0</v>
      </c>
      <c r="AG128" s="4" t="s">
        <v>0</v>
      </c>
      <c r="AH128" s="4" t="s">
        <v>0</v>
      </c>
      <c r="AI128" s="4" t="s">
        <v>0</v>
      </c>
      <c r="AJ128" s="4" t="s">
        <v>0</v>
      </c>
      <c r="AK128" s="4" t="s">
        <v>0</v>
      </c>
      <c r="AL128" s="4" t="s">
        <v>0</v>
      </c>
      <c r="AM128" s="4" t="s">
        <v>0</v>
      </c>
      <c r="AN128" s="4" t="s">
        <v>0</v>
      </c>
      <c r="AP128" s="4" t="s">
        <v>0</v>
      </c>
      <c r="AQ128" s="4" t="s">
        <v>0</v>
      </c>
      <c r="AR128" s="4" t="s">
        <v>0</v>
      </c>
      <c r="AU128" s="4" t="s">
        <v>0</v>
      </c>
    </row>
    <row r="129" spans="1:47">
      <c r="A129" s="3" t="s">
        <v>266</v>
      </c>
      <c r="B129" s="5">
        <f>VLOOKUP($A129,'[21]1013'!$A$4:$O$321,4,FALSE)</f>
        <v>21.27</v>
      </c>
      <c r="C129" s="5">
        <v>29.26</v>
      </c>
      <c r="D129" s="5">
        <f>VLOOKUP($A129,'[21]1013'!$A$4:$O$321,15,FALSE)</f>
        <v>1.6088</v>
      </c>
      <c r="E129" s="4">
        <f>IF(VLOOKUP($A129,'[21]1013'!$A$4:$O$150,8,FALSE)="",VLOOKUP($A129,'[21]1013'!$A$4:$O$150,12,FALSE),VLOOKUP($A129,'[21]1013'!$A$4:$O$150,8,FALSE))</f>
        <v>1.5055000000000001</v>
      </c>
      <c r="F129" s="4" t="str">
        <f>IF(VLOOKUP($A129,'[7]1012'!$A$4:$O$150,8,FALSE)="",VLOOKUP($A129,'[7]1012'!$A$4:$O$150,12,FALSE),VLOOKUP($A129,'[7]1012'!$A$4:$O$150,8,FALSE))</f>
        <v/>
      </c>
      <c r="G129" s="4" t="str">
        <f>IF(VLOOKUP($A129,'[8]1011'!$A$4:$O$150,8,FALSE)="",VLOOKUP($A129,'[8]1011'!$A$4:$O$150,12,FALSE),VLOOKUP($A129,'[8]1011'!$A$4:$O$150,8,FALSE))</f>
        <v/>
      </c>
      <c r="H129" s="106">
        <f>VLOOKUP($A129,'[18]1006'!$A$5:$P$270,12,FALSE)</f>
        <v>1.58</v>
      </c>
      <c r="I129" s="4" t="str">
        <f>IF(VLOOKUP($A129,'[9]1005'!$A$4:$O$150,8,FALSE)="",VLOOKUP($A129,'[9]1005'!$A$4:$O$150,12,FALSE),VLOOKUP($A129,'[9]1005'!$A$4:$O$150,8,FALSE))</f>
        <v/>
      </c>
      <c r="J129" s="4" t="str">
        <f>IF(VLOOKUP($A129,'[10]1004'!$A$4:$O$150,8,FALSE)="",VLOOKUP($A129,'[10]1004'!$A$4:$O$150,12,FALSE),VLOOKUP($A129,'[10]1004'!$A$4:$O$150,8,FALSE))</f>
        <v/>
      </c>
      <c r="K129" s="4" t="str">
        <f>IF(VLOOKUP($A129,'[11]1003'!$A$4:$O$150,8,FALSE)="",VLOOKUP($A129,'[11]1003'!$A$4:$O$150,12,FALSE),VLOOKUP($A129,'[11]1003'!$A$4:$O$150,8,FALSE))</f>
        <v/>
      </c>
      <c r="L129" s="4" t="str">
        <f>IF(VLOOKUP($A129,'[12]1002'!$A$4:$O$150,8,FALSE)="",VLOOKUP($A129,'[12]1002'!$A$4:$O$150,12,FALSE),VLOOKUP($A129,'[12]1002'!$A$4:$O$150,8,FALSE))</f>
        <v/>
      </c>
      <c r="M129" s="106">
        <f>VLOOKUP($A129,'[19]0928'!$A$5:$P$27,12,FALSE)</f>
        <v>1.5349999999999999</v>
      </c>
      <c r="N129" s="4" t="str">
        <f>IF(VLOOKUP($A129,'[13]0927'!$A$4:$O$150,8,FALSE)="",VLOOKUP($A129,'[13]0927'!$A$4:$O$150,12,FALSE),VLOOKUP($A129,'[13]0927'!$A$4:$O$150,8,FALSE))</f>
        <v/>
      </c>
      <c r="O129" s="5">
        <f>VLOOKUP(A129,'[20]0926'!$A$5:$P$27,12,FALSE)</f>
        <v>1.542</v>
      </c>
      <c r="P129" s="4" t="str">
        <f>IF(VLOOKUP($A129,'[14]0925'!$A$4:$O$150,8,FALSE)="",VLOOKUP($A129,'[14]0925'!$A$4:$O$150,12,FALSE),VLOOKUP($A129,'[14]0925'!$A$4:$O$150,8,FALSE))</f>
        <v/>
      </c>
      <c r="Q129" s="4" t="str">
        <f>IF(VLOOKUP($A129,'[15]0922'!$A$4:$O$150,8,FALSE)="",VLOOKUP($A129,'[15]0922'!$A$4:$O$150,12,FALSE),VLOOKUP($A129,'[15]0922'!$A$4:$O$150,8,FALSE))</f>
        <v/>
      </c>
      <c r="R129" s="4" t="str">
        <f>IF(VLOOKUP($A129,'[16]0921'!$A$4:$O$150,8,FALSE)="",VLOOKUP($A129,'[16]0921'!$A$4:$O$150,12,FALSE),VLOOKUP($A129,'[16]0921'!$A$4:$O$150,8,FALSE))</f>
        <v/>
      </c>
      <c r="S129" s="4" t="str">
        <f>IF(VLOOKUP($A129,'[17]0920'!$A$4:$O$150,8,FALSE)="",VLOOKUP($A129,'[17]0920'!$A$4:$O$150,12,FALSE),VLOOKUP($A129,'[17]0920'!$A$4:$O$150,8,FALSE))</f>
        <v/>
      </c>
      <c r="T129" s="4">
        <v>1.5405</v>
      </c>
      <c r="U129" s="4" t="s">
        <v>0</v>
      </c>
      <c r="W129" s="4" t="s">
        <v>0</v>
      </c>
      <c r="X129" s="4" t="s">
        <v>0</v>
      </c>
      <c r="Y129" s="4" t="s">
        <v>0</v>
      </c>
      <c r="Z129" s="4" t="s">
        <v>0</v>
      </c>
      <c r="AA129" s="4" t="s">
        <v>0</v>
      </c>
      <c r="AB129" s="4" t="s">
        <v>0</v>
      </c>
      <c r="AC129" s="4">
        <v>1.5509999999999999</v>
      </c>
      <c r="AD129" s="4" t="s">
        <v>0</v>
      </c>
      <c r="AE129" s="4" t="s">
        <v>0</v>
      </c>
      <c r="AF129" s="4">
        <v>1.55</v>
      </c>
      <c r="AG129" s="4">
        <v>1.5505</v>
      </c>
      <c r="AH129" s="4">
        <v>1.556</v>
      </c>
      <c r="AI129" s="4" t="s">
        <v>0</v>
      </c>
      <c r="AJ129" s="4" t="s">
        <v>0</v>
      </c>
      <c r="AK129" s="4" t="s">
        <v>0</v>
      </c>
      <c r="AL129" s="4">
        <v>1.556</v>
      </c>
      <c r="AM129" s="4">
        <v>1.5609999999999999</v>
      </c>
      <c r="AN129" s="4" t="s">
        <v>0</v>
      </c>
      <c r="AP129" s="4" t="s">
        <v>0</v>
      </c>
      <c r="AQ129" s="4" t="s">
        <v>0</v>
      </c>
      <c r="AR129" s="4">
        <v>1.5509999999999999</v>
      </c>
      <c r="AU129" s="4">
        <v>1.5409999999999999</v>
      </c>
    </row>
    <row r="130" spans="1:47">
      <c r="A130" s="3" t="s">
        <v>81</v>
      </c>
      <c r="B130" s="5">
        <f>VLOOKUP($A130,'[21]1013'!$A$4:$O$321,4,FALSE)</f>
        <v>21.71</v>
      </c>
      <c r="C130" s="5">
        <v>25.77</v>
      </c>
      <c r="D130" s="5">
        <f>VLOOKUP($A130,'[21]1013'!$A$4:$O$321,15,FALSE)</f>
        <v>1.5765</v>
      </c>
      <c r="E130" s="4" t="str">
        <f>IF(VLOOKUP($A130,'[21]1013'!$A$4:$O$150,8,FALSE)="",VLOOKUP($A130,'[21]1013'!$A$4:$O$150,12,FALSE),VLOOKUP($A130,'[21]1013'!$A$4:$O$150,8,FALSE))</f>
        <v/>
      </c>
      <c r="F130" s="4" t="str">
        <f>IF(VLOOKUP($A130,'[7]1012'!$A$4:$O$150,8,FALSE)="",VLOOKUP($A130,'[7]1012'!$A$4:$O$150,12,FALSE),VLOOKUP($A130,'[7]1012'!$A$4:$O$150,8,FALSE))</f>
        <v/>
      </c>
      <c r="G130" s="4" t="str">
        <f>IF(VLOOKUP($A130,'[8]1011'!$A$4:$O$150,8,FALSE)="",VLOOKUP($A130,'[8]1011'!$A$4:$O$150,12,FALSE),VLOOKUP($A130,'[8]1011'!$A$4:$O$150,8,FALSE))</f>
        <v/>
      </c>
      <c r="H130" s="106"/>
      <c r="I130" s="4" t="str">
        <f>IF(VLOOKUP($A130,'[9]1005'!$A$4:$O$150,8,FALSE)="",VLOOKUP($A130,'[9]1005'!$A$4:$O$150,12,FALSE),VLOOKUP($A130,'[9]1005'!$A$4:$O$150,8,FALSE))</f>
        <v/>
      </c>
      <c r="J130" s="4" t="str">
        <f>IF(VLOOKUP($A130,'[10]1004'!$A$4:$O$150,8,FALSE)="",VLOOKUP($A130,'[10]1004'!$A$4:$O$150,12,FALSE),VLOOKUP($A130,'[10]1004'!$A$4:$O$150,8,FALSE))</f>
        <v/>
      </c>
      <c r="K130" s="4" t="str">
        <f>IF(VLOOKUP($A130,'[11]1003'!$A$4:$O$150,8,FALSE)="",VLOOKUP($A130,'[11]1003'!$A$4:$O$150,12,FALSE),VLOOKUP($A130,'[11]1003'!$A$4:$O$150,8,FALSE))</f>
        <v/>
      </c>
      <c r="L130" s="4" t="str">
        <f>IF(VLOOKUP($A130,'[12]1002'!$A$4:$O$150,8,FALSE)="",VLOOKUP($A130,'[12]1002'!$A$4:$O$150,12,FALSE),VLOOKUP($A130,'[12]1002'!$A$4:$O$150,8,FALSE))</f>
        <v/>
      </c>
      <c r="M130" s="106"/>
      <c r="N130" s="4" t="str">
        <f>IF(VLOOKUP($A130,'[13]0927'!$A$4:$O$150,8,FALSE)="",VLOOKUP($A130,'[13]0927'!$A$4:$O$150,12,FALSE),VLOOKUP($A130,'[13]0927'!$A$4:$O$150,8,FALSE))</f>
        <v/>
      </c>
      <c r="O130" s="5"/>
      <c r="P130" s="4" t="str">
        <f>IF(VLOOKUP($A130,'[14]0925'!$A$4:$O$150,8,FALSE)="",VLOOKUP($A130,'[14]0925'!$A$4:$O$150,12,FALSE),VLOOKUP($A130,'[14]0925'!$A$4:$O$150,8,FALSE))</f>
        <v/>
      </c>
      <c r="Q130" s="4" t="str">
        <f>IF(VLOOKUP($A130,'[15]0922'!$A$4:$O$150,8,FALSE)="",VLOOKUP($A130,'[15]0922'!$A$4:$O$150,12,FALSE),VLOOKUP($A130,'[15]0922'!$A$4:$O$150,8,FALSE))</f>
        <v/>
      </c>
      <c r="R130" s="4" t="str">
        <f>IF(VLOOKUP($A130,'[16]0921'!$A$4:$O$150,8,FALSE)="",VLOOKUP($A130,'[16]0921'!$A$4:$O$150,12,FALSE),VLOOKUP($A130,'[16]0921'!$A$4:$O$150,8,FALSE))</f>
        <v/>
      </c>
      <c r="S130" s="4" t="str">
        <f>IF(VLOOKUP($A130,'[17]0920'!$A$4:$O$150,8,FALSE)="",VLOOKUP($A130,'[17]0920'!$A$4:$O$150,12,FALSE),VLOOKUP($A130,'[17]0920'!$A$4:$O$150,8,FALSE))</f>
        <v/>
      </c>
      <c r="T130" s="4" t="s">
        <v>0</v>
      </c>
      <c r="U130" s="4" t="s">
        <v>0</v>
      </c>
      <c r="W130" s="4" t="s">
        <v>0</v>
      </c>
      <c r="X130" s="4" t="s">
        <v>0</v>
      </c>
      <c r="Y130" s="4" t="s">
        <v>0</v>
      </c>
      <c r="Z130" s="4" t="s">
        <v>0</v>
      </c>
      <c r="AA130" s="4" t="s">
        <v>0</v>
      </c>
      <c r="AB130" s="4" t="s">
        <v>0</v>
      </c>
      <c r="AC130" s="4" t="s">
        <v>0</v>
      </c>
      <c r="AD130" s="4" t="s">
        <v>0</v>
      </c>
      <c r="AE130" s="4" t="s">
        <v>0</v>
      </c>
      <c r="AF130" s="4" t="s">
        <v>0</v>
      </c>
      <c r="AG130" s="4" t="s">
        <v>0</v>
      </c>
      <c r="AH130" s="4" t="s">
        <v>0</v>
      </c>
      <c r="AI130" s="4" t="s">
        <v>0</v>
      </c>
      <c r="AJ130" s="4" t="s">
        <v>0</v>
      </c>
      <c r="AK130" s="4" t="s">
        <v>0</v>
      </c>
      <c r="AL130" s="4" t="s">
        <v>0</v>
      </c>
      <c r="AM130" s="4" t="s">
        <v>0</v>
      </c>
      <c r="AN130" s="4" t="s">
        <v>0</v>
      </c>
      <c r="AP130" s="4" t="s">
        <v>0</v>
      </c>
      <c r="AQ130" s="4" t="s">
        <v>0</v>
      </c>
      <c r="AR130" s="4" t="s">
        <v>0</v>
      </c>
      <c r="AU130" s="4" t="s">
        <v>0</v>
      </c>
    </row>
    <row r="131" spans="1:47">
      <c r="A131" s="6" t="s">
        <v>226</v>
      </c>
      <c r="B131" s="5">
        <f>VLOOKUP($A131,'[21]1013'!$A$4:$O$321,4,FALSE)</f>
        <v>21.85</v>
      </c>
      <c r="C131" s="5">
        <v>28.78</v>
      </c>
      <c r="D131" s="5">
        <f>VLOOKUP($A131,'[21]1013'!$A$4:$O$321,15,FALSE)</f>
        <v>1.6085</v>
      </c>
      <c r="E131" s="4">
        <f>IF(VLOOKUP($A131,'[21]1013'!$A$4:$O$150,8,FALSE)="",VLOOKUP($A131,'[21]1013'!$A$4:$O$150,12,FALSE),VLOOKUP($A131,'[21]1013'!$A$4:$O$150,8,FALSE))</f>
        <v>1.5004999999999999</v>
      </c>
      <c r="F131" s="4" t="str">
        <f>IF(VLOOKUP($A131,'[7]1012'!$A$4:$O$150,8,FALSE)="",VLOOKUP($A131,'[7]1012'!$A$4:$O$150,12,FALSE),VLOOKUP($A131,'[7]1012'!$A$4:$O$150,8,FALSE))</f>
        <v/>
      </c>
      <c r="G131" s="4" t="str">
        <f>IF(VLOOKUP($A131,'[8]1011'!$A$4:$O$150,8,FALSE)="",VLOOKUP($A131,'[8]1011'!$A$4:$O$150,12,FALSE),VLOOKUP($A131,'[8]1011'!$A$4:$O$150,8,FALSE))</f>
        <v/>
      </c>
      <c r="H131" s="106">
        <f>VLOOKUP($A131,'[18]1006'!$A$5:$P$270,12,FALSE)</f>
        <v>1.575</v>
      </c>
      <c r="I131" s="4" t="str">
        <f>IF(VLOOKUP($A131,'[9]1005'!$A$4:$O$150,8,FALSE)="",VLOOKUP($A131,'[9]1005'!$A$4:$O$150,12,FALSE),VLOOKUP($A131,'[9]1005'!$A$4:$O$150,8,FALSE))</f>
        <v/>
      </c>
      <c r="J131" s="4" t="str">
        <f>IF(VLOOKUP($A131,'[10]1004'!$A$4:$O$150,8,FALSE)="",VLOOKUP($A131,'[10]1004'!$A$4:$O$150,12,FALSE),VLOOKUP($A131,'[10]1004'!$A$4:$O$150,8,FALSE))</f>
        <v/>
      </c>
      <c r="K131" s="4" t="str">
        <f>IF(VLOOKUP($A131,'[11]1003'!$A$4:$O$150,8,FALSE)="",VLOOKUP($A131,'[11]1003'!$A$4:$O$150,12,FALSE),VLOOKUP($A131,'[11]1003'!$A$4:$O$150,8,FALSE))</f>
        <v/>
      </c>
      <c r="L131" s="4" t="str">
        <f>IF(VLOOKUP($A131,'[12]1002'!$A$4:$O$150,8,FALSE)="",VLOOKUP($A131,'[12]1002'!$A$4:$O$150,12,FALSE),VLOOKUP($A131,'[12]1002'!$A$4:$O$150,8,FALSE))</f>
        <v/>
      </c>
      <c r="M131" s="106"/>
      <c r="N131" s="4" t="str">
        <f>IF(VLOOKUP($A131,'[13]0927'!$A$4:$O$150,8,FALSE)="",VLOOKUP($A131,'[13]0927'!$A$4:$O$150,12,FALSE),VLOOKUP($A131,'[13]0927'!$A$4:$O$150,8,FALSE))</f>
        <v/>
      </c>
      <c r="O131" s="5"/>
      <c r="P131" s="4" t="str">
        <f>IF(VLOOKUP($A131,'[14]0925'!$A$4:$O$150,8,FALSE)="",VLOOKUP($A131,'[14]0925'!$A$4:$O$150,12,FALSE),VLOOKUP($A131,'[14]0925'!$A$4:$O$150,8,FALSE))</f>
        <v/>
      </c>
      <c r="Q131" s="4" t="str">
        <f>IF(VLOOKUP($A131,'[15]0922'!$A$4:$O$150,8,FALSE)="",VLOOKUP($A131,'[15]0922'!$A$4:$O$150,12,FALSE),VLOOKUP($A131,'[15]0922'!$A$4:$O$150,8,FALSE))</f>
        <v/>
      </c>
      <c r="R131" s="4" t="str">
        <f>IF(VLOOKUP($A131,'[16]0921'!$A$4:$O$150,8,FALSE)="",VLOOKUP($A131,'[16]0921'!$A$4:$O$150,12,FALSE),VLOOKUP($A131,'[16]0921'!$A$4:$O$150,8,FALSE))</f>
        <v/>
      </c>
      <c r="S131" s="4" t="str">
        <f>IF(VLOOKUP($A131,'[17]0920'!$A$4:$O$150,8,FALSE)="",VLOOKUP($A131,'[17]0920'!$A$4:$O$150,12,FALSE),VLOOKUP($A131,'[17]0920'!$A$4:$O$150,8,FALSE))</f>
        <v/>
      </c>
      <c r="T131" s="4" t="s">
        <v>0</v>
      </c>
      <c r="U131" s="4" t="s">
        <v>0</v>
      </c>
      <c r="W131" s="4" t="s">
        <v>0</v>
      </c>
      <c r="X131" s="4" t="s">
        <v>0</v>
      </c>
      <c r="Y131" s="4" t="s">
        <v>0</v>
      </c>
      <c r="Z131" s="4" t="s">
        <v>0</v>
      </c>
      <c r="AA131" s="4" t="s">
        <v>0</v>
      </c>
      <c r="AB131" s="4">
        <v>1.5455000000000001</v>
      </c>
      <c r="AC131" s="4">
        <v>1.546</v>
      </c>
      <c r="AD131" s="4" t="s">
        <v>0</v>
      </c>
      <c r="AE131" s="4" t="s">
        <v>0</v>
      </c>
      <c r="AF131" s="4" t="s">
        <v>0</v>
      </c>
      <c r="AG131" s="4" t="s">
        <v>0</v>
      </c>
      <c r="AH131" s="4" t="s">
        <v>0</v>
      </c>
      <c r="AI131" s="4" t="s">
        <v>0</v>
      </c>
      <c r="AJ131" s="4">
        <v>1.5550999999999999</v>
      </c>
      <c r="AK131" s="4" t="s">
        <v>0</v>
      </c>
      <c r="AL131" s="4" t="s">
        <v>0</v>
      </c>
      <c r="AM131" s="4" t="s">
        <v>0</v>
      </c>
      <c r="AN131" s="4" t="s">
        <v>0</v>
      </c>
      <c r="AP131" s="4" t="s">
        <v>0</v>
      </c>
      <c r="AQ131" s="4" t="s">
        <v>0</v>
      </c>
      <c r="AR131" s="4" t="s">
        <v>0</v>
      </c>
      <c r="AU131" s="4" t="s">
        <v>0</v>
      </c>
    </row>
    <row r="132" spans="1:47">
      <c r="A132" s="3" t="s">
        <v>50</v>
      </c>
      <c r="B132" s="5">
        <f>VLOOKUP($A132,'[21]1013'!$A$4:$O$321,4,FALSE)</f>
        <v>22.22</v>
      </c>
      <c r="C132" s="5">
        <v>26.25</v>
      </c>
      <c r="D132" s="5">
        <f>VLOOKUP($A132,'[21]1013'!$A$4:$O$321,15,FALSE)</f>
        <v>1.5873999999999999</v>
      </c>
      <c r="E132" s="4" t="str">
        <f>IF(VLOOKUP($A132,'[21]1013'!$A$4:$O$150,8,FALSE)="",VLOOKUP($A132,'[21]1013'!$A$4:$O$150,12,FALSE),VLOOKUP($A132,'[21]1013'!$A$4:$O$150,8,FALSE))</f>
        <v/>
      </c>
      <c r="F132" s="4" t="str">
        <f>IF(VLOOKUP($A132,'[7]1012'!$A$4:$O$150,8,FALSE)="",VLOOKUP($A132,'[7]1012'!$A$4:$O$150,12,FALSE),VLOOKUP($A132,'[7]1012'!$A$4:$O$150,8,FALSE))</f>
        <v/>
      </c>
      <c r="G132" s="4" t="str">
        <f>IF(VLOOKUP($A132,'[8]1011'!$A$4:$O$150,8,FALSE)="",VLOOKUP($A132,'[8]1011'!$A$4:$O$150,12,FALSE),VLOOKUP($A132,'[8]1011'!$A$4:$O$150,8,FALSE))</f>
        <v/>
      </c>
      <c r="H132" s="106"/>
      <c r="I132" s="4" t="str">
        <f>IF(VLOOKUP($A132,'[9]1005'!$A$4:$O$150,8,FALSE)="",VLOOKUP($A132,'[9]1005'!$A$4:$O$150,12,FALSE),VLOOKUP($A132,'[9]1005'!$A$4:$O$150,8,FALSE))</f>
        <v/>
      </c>
      <c r="J132" s="4" t="str">
        <f>IF(VLOOKUP($A132,'[10]1004'!$A$4:$O$150,8,FALSE)="",VLOOKUP($A132,'[10]1004'!$A$4:$O$150,12,FALSE),VLOOKUP($A132,'[10]1004'!$A$4:$O$150,8,FALSE))</f>
        <v/>
      </c>
      <c r="K132" s="4" t="str">
        <f>IF(VLOOKUP($A132,'[11]1003'!$A$4:$O$150,8,FALSE)="",VLOOKUP($A132,'[11]1003'!$A$4:$O$150,12,FALSE),VLOOKUP($A132,'[11]1003'!$A$4:$O$150,8,FALSE))</f>
        <v/>
      </c>
      <c r="L132" s="4" t="str">
        <f>IF(VLOOKUP($A132,'[12]1002'!$A$4:$O$150,8,FALSE)="",VLOOKUP($A132,'[12]1002'!$A$4:$O$150,12,FALSE),VLOOKUP($A132,'[12]1002'!$A$4:$O$150,8,FALSE))</f>
        <v/>
      </c>
      <c r="M132" s="106"/>
      <c r="N132" s="4" t="str">
        <f>IF(VLOOKUP($A132,'[13]0927'!$A$4:$O$150,8,FALSE)="",VLOOKUP($A132,'[13]0927'!$A$4:$O$150,12,FALSE),VLOOKUP($A132,'[13]0927'!$A$4:$O$150,8,FALSE))</f>
        <v/>
      </c>
      <c r="O132" s="5"/>
      <c r="P132" s="4" t="str">
        <f>IF(VLOOKUP($A132,'[14]0925'!$A$4:$O$150,8,FALSE)="",VLOOKUP($A132,'[14]0925'!$A$4:$O$150,12,FALSE),VLOOKUP($A132,'[14]0925'!$A$4:$O$150,8,FALSE))</f>
        <v/>
      </c>
      <c r="Q132" s="4" t="str">
        <f>IF(VLOOKUP($A132,'[15]0922'!$A$4:$O$150,8,FALSE)="",VLOOKUP($A132,'[15]0922'!$A$4:$O$150,12,FALSE),VLOOKUP($A132,'[15]0922'!$A$4:$O$150,8,FALSE))</f>
        <v/>
      </c>
      <c r="R132" s="4" t="str">
        <f>IF(VLOOKUP($A132,'[16]0921'!$A$4:$O$150,8,FALSE)="",VLOOKUP($A132,'[16]0921'!$A$4:$O$150,12,FALSE),VLOOKUP($A132,'[16]0921'!$A$4:$O$150,8,FALSE))</f>
        <v/>
      </c>
      <c r="S132" s="4" t="str">
        <f>IF(VLOOKUP($A132,'[17]0920'!$A$4:$O$150,8,FALSE)="",VLOOKUP($A132,'[17]0920'!$A$4:$O$150,12,FALSE),VLOOKUP($A132,'[17]0920'!$A$4:$O$150,8,FALSE))</f>
        <v/>
      </c>
      <c r="T132" s="4" t="s">
        <v>0</v>
      </c>
      <c r="U132" s="4" t="s">
        <v>0</v>
      </c>
      <c r="W132" s="4" t="s">
        <v>0</v>
      </c>
      <c r="X132" s="4" t="s">
        <v>0</v>
      </c>
      <c r="Y132" s="4" t="s">
        <v>0</v>
      </c>
      <c r="Z132" s="4" t="s">
        <v>0</v>
      </c>
      <c r="AA132" s="4" t="s">
        <v>0</v>
      </c>
      <c r="AB132" s="4" t="s">
        <v>0</v>
      </c>
      <c r="AC132" s="4" t="s">
        <v>0</v>
      </c>
      <c r="AD132" s="4" t="s">
        <v>0</v>
      </c>
      <c r="AE132" s="4" t="s">
        <v>0</v>
      </c>
      <c r="AF132" s="4" t="s">
        <v>0</v>
      </c>
      <c r="AG132" s="4" t="s">
        <v>0</v>
      </c>
      <c r="AH132" s="4" t="s">
        <v>0</v>
      </c>
      <c r="AI132" s="4" t="s">
        <v>0</v>
      </c>
      <c r="AJ132" s="4" t="s">
        <v>0</v>
      </c>
      <c r="AK132" s="4" t="s">
        <v>0</v>
      </c>
      <c r="AL132" s="4" t="s">
        <v>0</v>
      </c>
      <c r="AM132" s="4" t="s">
        <v>0</v>
      </c>
      <c r="AN132" s="4" t="s">
        <v>0</v>
      </c>
      <c r="AP132" s="4" t="s">
        <v>0</v>
      </c>
      <c r="AQ132" s="4" t="s">
        <v>0</v>
      </c>
      <c r="AR132" s="4" t="s">
        <v>0</v>
      </c>
      <c r="AU132" s="4" t="s">
        <v>0</v>
      </c>
    </row>
    <row r="133" spans="1:47">
      <c r="A133" s="6" t="s">
        <v>87</v>
      </c>
      <c r="B133" s="5">
        <f>VLOOKUP($A133,'[21]1013'!$A$4:$O$321,4,FALSE)</f>
        <v>23.39</v>
      </c>
      <c r="C133" s="5">
        <v>26.75</v>
      </c>
      <c r="D133" s="5">
        <f>VLOOKUP($A133,'[21]1013'!$A$4:$O$321,15,FALSE)</f>
        <v>1.6019000000000001</v>
      </c>
      <c r="E133" s="4" t="str">
        <f>IF(VLOOKUP($A133,'[21]1013'!$A$4:$O$150,8,FALSE)="",VLOOKUP($A133,'[21]1013'!$A$4:$O$150,12,FALSE),VLOOKUP($A133,'[21]1013'!$A$4:$O$150,8,FALSE))</f>
        <v/>
      </c>
      <c r="F133" s="4" t="str">
        <f>IF(VLOOKUP($A133,'[7]1012'!$A$4:$O$150,8,FALSE)="",VLOOKUP($A133,'[7]1012'!$A$4:$O$150,12,FALSE),VLOOKUP($A133,'[7]1012'!$A$4:$O$150,8,FALSE))</f>
        <v/>
      </c>
      <c r="G133" s="4" t="str">
        <f>IF(VLOOKUP($A133,'[8]1011'!$A$4:$O$150,8,FALSE)="",VLOOKUP($A133,'[8]1011'!$A$4:$O$150,12,FALSE),VLOOKUP($A133,'[8]1011'!$A$4:$O$150,8,FALSE))</f>
        <v/>
      </c>
      <c r="H133" s="106"/>
      <c r="I133" s="4" t="str">
        <f>IF(VLOOKUP($A133,'[9]1005'!$A$4:$O$150,8,FALSE)="",VLOOKUP($A133,'[9]1005'!$A$4:$O$150,12,FALSE),VLOOKUP($A133,'[9]1005'!$A$4:$O$150,8,FALSE))</f>
        <v/>
      </c>
      <c r="J133" s="4" t="str">
        <f>IF(VLOOKUP($A133,'[10]1004'!$A$4:$O$150,8,FALSE)="",VLOOKUP($A133,'[10]1004'!$A$4:$O$150,12,FALSE),VLOOKUP($A133,'[10]1004'!$A$4:$O$150,8,FALSE))</f>
        <v/>
      </c>
      <c r="K133" s="4" t="str">
        <f>IF(VLOOKUP($A133,'[11]1003'!$A$4:$O$150,8,FALSE)="",VLOOKUP($A133,'[11]1003'!$A$4:$O$150,12,FALSE),VLOOKUP($A133,'[11]1003'!$A$4:$O$150,8,FALSE))</f>
        <v/>
      </c>
      <c r="L133" s="4" t="str">
        <f>IF(VLOOKUP($A133,'[12]1002'!$A$4:$O$150,8,FALSE)="",VLOOKUP($A133,'[12]1002'!$A$4:$O$150,12,FALSE),VLOOKUP($A133,'[12]1002'!$A$4:$O$150,8,FALSE))</f>
        <v/>
      </c>
      <c r="M133" s="106"/>
      <c r="N133" s="4" t="str">
        <f>IF(VLOOKUP($A133,'[13]0927'!$A$4:$O$150,8,FALSE)="",VLOOKUP($A133,'[13]0927'!$A$4:$O$150,12,FALSE),VLOOKUP($A133,'[13]0927'!$A$4:$O$150,8,FALSE))</f>
        <v/>
      </c>
      <c r="O133" s="5"/>
      <c r="P133" s="4" t="str">
        <f>IF(VLOOKUP($A133,'[14]0925'!$A$4:$O$150,8,FALSE)="",VLOOKUP($A133,'[14]0925'!$A$4:$O$150,12,FALSE),VLOOKUP($A133,'[14]0925'!$A$4:$O$150,8,FALSE))</f>
        <v/>
      </c>
      <c r="Q133" s="4" t="str">
        <f>IF(VLOOKUP($A133,'[15]0922'!$A$4:$O$150,8,FALSE)="",VLOOKUP($A133,'[15]0922'!$A$4:$O$150,12,FALSE),VLOOKUP($A133,'[15]0922'!$A$4:$O$150,8,FALSE))</f>
        <v/>
      </c>
      <c r="R133" s="4" t="str">
        <f>IF(VLOOKUP($A133,'[16]0921'!$A$4:$O$150,8,FALSE)="",VLOOKUP($A133,'[16]0921'!$A$4:$O$150,12,FALSE),VLOOKUP($A133,'[16]0921'!$A$4:$O$150,8,FALSE))</f>
        <v/>
      </c>
      <c r="S133" s="4" t="str">
        <f>IF(VLOOKUP($A133,'[17]0920'!$A$4:$O$150,8,FALSE)="",VLOOKUP($A133,'[17]0920'!$A$4:$O$150,12,FALSE),VLOOKUP($A133,'[17]0920'!$A$4:$O$150,8,FALSE))</f>
        <v/>
      </c>
      <c r="T133" s="4" t="s">
        <v>0</v>
      </c>
      <c r="U133" s="4" t="s">
        <v>0</v>
      </c>
      <c r="W133" s="4" t="s">
        <v>0</v>
      </c>
      <c r="X133" s="4" t="s">
        <v>0</v>
      </c>
      <c r="Y133" s="4" t="s">
        <v>0</v>
      </c>
      <c r="Z133" s="4" t="s">
        <v>0</v>
      </c>
      <c r="AA133" s="4" t="s">
        <v>0</v>
      </c>
      <c r="AB133" s="4" t="s">
        <v>0</v>
      </c>
      <c r="AC133" s="4" t="s">
        <v>0</v>
      </c>
      <c r="AD133" s="4" t="s">
        <v>0</v>
      </c>
      <c r="AE133" s="4" t="s">
        <v>0</v>
      </c>
      <c r="AF133" s="4" t="s">
        <v>0</v>
      </c>
      <c r="AG133" s="4" t="s">
        <v>0</v>
      </c>
      <c r="AH133" s="4" t="s">
        <v>0</v>
      </c>
      <c r="AI133" s="4" t="s">
        <v>0</v>
      </c>
      <c r="AJ133" s="4" t="s">
        <v>0</v>
      </c>
      <c r="AK133" s="4" t="s">
        <v>0</v>
      </c>
      <c r="AL133" s="4" t="s">
        <v>0</v>
      </c>
      <c r="AM133" s="4" t="s">
        <v>0</v>
      </c>
      <c r="AN133" s="4" t="s">
        <v>0</v>
      </c>
      <c r="AP133" s="4" t="s">
        <v>0</v>
      </c>
      <c r="AQ133" s="4" t="s">
        <v>0</v>
      </c>
      <c r="AR133" s="4" t="s">
        <v>0</v>
      </c>
      <c r="AU133" s="4" t="s">
        <v>0</v>
      </c>
    </row>
    <row r="134" spans="1:47">
      <c r="A134" s="6" t="s">
        <v>204</v>
      </c>
      <c r="B134" s="5">
        <f>VLOOKUP($A134,'[21]1013'!$A$4:$O$321,4,FALSE)</f>
        <v>23.39</v>
      </c>
      <c r="C134" s="5">
        <v>28.37</v>
      </c>
      <c r="D134" s="5">
        <f>VLOOKUP($A134,'[21]1013'!$A$4:$O$321,15,FALSE)</f>
        <v>1.6206</v>
      </c>
      <c r="E134" s="4" t="str">
        <f>IF(VLOOKUP($A134,'[21]1013'!$A$4:$O$150,8,FALSE)="",VLOOKUP($A134,'[21]1013'!$A$4:$O$150,12,FALSE),VLOOKUP($A134,'[21]1013'!$A$4:$O$150,8,FALSE))</f>
        <v/>
      </c>
      <c r="F134" s="4" t="str">
        <f>IF(VLOOKUP($A134,'[7]1012'!$A$4:$O$150,8,FALSE)="",VLOOKUP($A134,'[7]1012'!$A$4:$O$150,12,FALSE),VLOOKUP($A134,'[7]1012'!$A$4:$O$150,8,FALSE))</f>
        <v/>
      </c>
      <c r="G134" s="4" t="str">
        <f>IF(VLOOKUP($A134,'[8]1011'!$A$4:$O$150,8,FALSE)="",VLOOKUP($A134,'[8]1011'!$A$4:$O$150,12,FALSE),VLOOKUP($A134,'[8]1011'!$A$4:$O$150,8,FALSE))</f>
        <v/>
      </c>
      <c r="H134" s="106"/>
      <c r="I134" s="4" t="str">
        <f>IF(VLOOKUP($A134,'[9]1005'!$A$4:$O$150,8,FALSE)="",VLOOKUP($A134,'[9]1005'!$A$4:$O$150,12,FALSE),VLOOKUP($A134,'[9]1005'!$A$4:$O$150,8,FALSE))</f>
        <v/>
      </c>
      <c r="J134" s="4" t="str">
        <f>IF(VLOOKUP($A134,'[10]1004'!$A$4:$O$150,8,FALSE)="",VLOOKUP($A134,'[10]1004'!$A$4:$O$150,12,FALSE),VLOOKUP($A134,'[10]1004'!$A$4:$O$150,8,FALSE))</f>
        <v/>
      </c>
      <c r="K134" s="4" t="str">
        <f>IF(VLOOKUP($A134,'[11]1003'!$A$4:$O$150,8,FALSE)="",VLOOKUP($A134,'[11]1003'!$A$4:$O$150,12,FALSE),VLOOKUP($A134,'[11]1003'!$A$4:$O$150,8,FALSE))</f>
        <v/>
      </c>
      <c r="L134" s="4" t="str">
        <f>IF(VLOOKUP($A134,'[12]1002'!$A$4:$O$150,8,FALSE)="",VLOOKUP($A134,'[12]1002'!$A$4:$O$150,12,FALSE),VLOOKUP($A134,'[12]1002'!$A$4:$O$150,8,FALSE))</f>
        <v/>
      </c>
      <c r="M134" s="106"/>
      <c r="N134" s="4" t="str">
        <f>IF(VLOOKUP($A134,'[13]0927'!$A$4:$O$150,8,FALSE)="",VLOOKUP($A134,'[13]0927'!$A$4:$O$150,12,FALSE),VLOOKUP($A134,'[13]0927'!$A$4:$O$150,8,FALSE))</f>
        <v/>
      </c>
      <c r="O134" s="5"/>
      <c r="P134" s="4" t="str">
        <f>IF(VLOOKUP($A134,'[14]0925'!$A$4:$O$150,8,FALSE)="",VLOOKUP($A134,'[14]0925'!$A$4:$O$150,12,FALSE),VLOOKUP($A134,'[14]0925'!$A$4:$O$150,8,FALSE))</f>
        <v/>
      </c>
      <c r="Q134" s="4" t="str">
        <f>IF(VLOOKUP($A134,'[15]0922'!$A$4:$O$150,8,FALSE)="",VLOOKUP($A134,'[15]0922'!$A$4:$O$150,12,FALSE),VLOOKUP($A134,'[15]0922'!$A$4:$O$150,8,FALSE))</f>
        <v/>
      </c>
      <c r="R134" s="4" t="str">
        <f>IF(VLOOKUP($A134,'[16]0921'!$A$4:$O$150,8,FALSE)="",VLOOKUP($A134,'[16]0921'!$A$4:$O$150,12,FALSE),VLOOKUP($A134,'[16]0921'!$A$4:$O$150,8,FALSE))</f>
        <v/>
      </c>
      <c r="S134" s="4" t="str">
        <f>IF(VLOOKUP($A134,'[17]0920'!$A$4:$O$150,8,FALSE)="",VLOOKUP($A134,'[17]0920'!$A$4:$O$150,12,FALSE),VLOOKUP($A134,'[17]0920'!$A$4:$O$150,8,FALSE))</f>
        <v/>
      </c>
      <c r="T134" s="4" t="s">
        <v>0</v>
      </c>
      <c r="U134" s="4" t="s">
        <v>0</v>
      </c>
      <c r="W134" s="4" t="s">
        <v>0</v>
      </c>
      <c r="X134" s="4" t="s">
        <v>0</v>
      </c>
      <c r="Y134" s="4" t="s">
        <v>0</v>
      </c>
      <c r="Z134" s="4" t="s">
        <v>0</v>
      </c>
      <c r="AA134" s="4" t="s">
        <v>0</v>
      </c>
      <c r="AB134" s="4" t="s">
        <v>0</v>
      </c>
      <c r="AC134" s="4" t="s">
        <v>0</v>
      </c>
      <c r="AD134" s="4" t="s">
        <v>0</v>
      </c>
      <c r="AE134" s="4" t="s">
        <v>0</v>
      </c>
      <c r="AF134" s="4" t="s">
        <v>0</v>
      </c>
      <c r="AG134" s="4" t="s">
        <v>0</v>
      </c>
      <c r="AH134" s="4" t="s">
        <v>0</v>
      </c>
      <c r="AI134" s="4" t="s">
        <v>0</v>
      </c>
      <c r="AJ134" s="4" t="s">
        <v>0</v>
      </c>
      <c r="AK134" s="4" t="s">
        <v>0</v>
      </c>
      <c r="AL134" s="4" t="s">
        <v>0</v>
      </c>
      <c r="AM134" s="4" t="s">
        <v>0</v>
      </c>
      <c r="AN134" s="4" t="s">
        <v>0</v>
      </c>
      <c r="AP134" s="4" t="s">
        <v>0</v>
      </c>
      <c r="AQ134" s="4" t="s">
        <v>0</v>
      </c>
      <c r="AR134" s="4" t="s">
        <v>0</v>
      </c>
      <c r="AU134" s="4" t="s">
        <v>0</v>
      </c>
    </row>
    <row r="135" spans="1:47">
      <c r="A135" s="6" t="s">
        <v>291</v>
      </c>
      <c r="B135" s="5">
        <f>VLOOKUP($A135,'[21]1013'!$A$4:$O$321,4,FALSE)</f>
        <v>23.45</v>
      </c>
      <c r="C135" s="5">
        <v>29.76</v>
      </c>
      <c r="D135" s="5">
        <f>VLOOKUP($A135,'[21]1013'!$A$4:$O$321,15,FALSE)</f>
        <v>1.6335</v>
      </c>
      <c r="E135" s="4" t="str">
        <f>IF(VLOOKUP($A135,'[21]1013'!$A$4:$O$150,8,FALSE)="",VLOOKUP($A135,'[21]1013'!$A$4:$O$150,12,FALSE),VLOOKUP($A135,'[21]1013'!$A$4:$O$150,8,FALSE))</f>
        <v/>
      </c>
      <c r="F135" s="4" t="str">
        <f>IF(VLOOKUP($A135,'[7]1012'!$A$4:$O$150,8,FALSE)="",VLOOKUP($A135,'[7]1012'!$A$4:$O$150,12,FALSE),VLOOKUP($A135,'[7]1012'!$A$4:$O$150,8,FALSE))</f>
        <v/>
      </c>
      <c r="G135" s="4" t="str">
        <f>IF(VLOOKUP($A135,'[8]1011'!$A$4:$O$150,8,FALSE)="",VLOOKUP($A135,'[8]1011'!$A$4:$O$150,12,FALSE),VLOOKUP($A135,'[8]1011'!$A$4:$O$150,8,FALSE))</f>
        <v/>
      </c>
      <c r="H135" s="106"/>
      <c r="I135" s="4" t="str">
        <f>IF(VLOOKUP($A135,'[9]1005'!$A$4:$O$150,8,FALSE)="",VLOOKUP($A135,'[9]1005'!$A$4:$O$150,12,FALSE),VLOOKUP($A135,'[9]1005'!$A$4:$O$150,8,FALSE))</f>
        <v/>
      </c>
      <c r="J135" s="4" t="str">
        <f>IF(VLOOKUP($A135,'[10]1004'!$A$4:$O$150,8,FALSE)="",VLOOKUP($A135,'[10]1004'!$A$4:$O$150,12,FALSE),VLOOKUP($A135,'[10]1004'!$A$4:$O$150,8,FALSE))</f>
        <v/>
      </c>
      <c r="K135" s="4" t="str">
        <f>IF(VLOOKUP($A135,'[11]1003'!$A$4:$O$150,8,FALSE)="",VLOOKUP($A135,'[11]1003'!$A$4:$O$150,12,FALSE),VLOOKUP($A135,'[11]1003'!$A$4:$O$150,8,FALSE))</f>
        <v/>
      </c>
      <c r="L135" s="4" t="str">
        <f>IF(VLOOKUP($A135,'[12]1002'!$A$4:$O$150,8,FALSE)="",VLOOKUP($A135,'[12]1002'!$A$4:$O$150,12,FALSE),VLOOKUP($A135,'[12]1002'!$A$4:$O$150,8,FALSE))</f>
        <v/>
      </c>
      <c r="M135" s="106"/>
      <c r="N135" s="4">
        <f>IF(VLOOKUP($A135,'[13]0927'!$A$4:$O$150,8,FALSE)="",VLOOKUP($A135,'[13]0927'!$A$4:$O$150,12,FALSE),VLOOKUP($A135,'[13]0927'!$A$4:$O$150,8,FALSE))</f>
        <v>1.5545</v>
      </c>
      <c r="O135" s="5"/>
      <c r="P135" s="4" t="str">
        <f>IF(VLOOKUP($A135,'[14]0925'!$A$4:$O$150,8,FALSE)="",VLOOKUP($A135,'[14]0925'!$A$4:$O$150,12,FALSE),VLOOKUP($A135,'[14]0925'!$A$4:$O$150,8,FALSE))</f>
        <v/>
      </c>
      <c r="Q135" s="4" t="str">
        <f>IF(VLOOKUP($A135,'[15]0922'!$A$4:$O$150,8,FALSE)="",VLOOKUP($A135,'[15]0922'!$A$4:$O$150,12,FALSE),VLOOKUP($A135,'[15]0922'!$A$4:$O$150,8,FALSE))</f>
        <v/>
      </c>
      <c r="R135" s="4" t="str">
        <f>IF(VLOOKUP($A135,'[16]0921'!$A$4:$O$150,8,FALSE)="",VLOOKUP($A135,'[16]0921'!$A$4:$O$150,12,FALSE),VLOOKUP($A135,'[16]0921'!$A$4:$O$150,8,FALSE))</f>
        <v/>
      </c>
      <c r="S135" s="4" t="str">
        <f>IF(VLOOKUP($A135,'[17]0920'!$A$4:$O$150,8,FALSE)="",VLOOKUP($A135,'[17]0920'!$A$4:$O$150,12,FALSE),VLOOKUP($A135,'[17]0920'!$A$4:$O$150,8,FALSE))</f>
        <v/>
      </c>
      <c r="T135" s="4">
        <v>1.56</v>
      </c>
      <c r="U135" s="4">
        <v>1.5607</v>
      </c>
      <c r="W135" s="4" t="s">
        <v>0</v>
      </c>
      <c r="X135" s="4" t="s">
        <v>0</v>
      </c>
      <c r="Y135" s="4" t="s">
        <v>0</v>
      </c>
      <c r="Z135" s="4" t="s">
        <v>0</v>
      </c>
      <c r="AA135" s="4" t="s">
        <v>0</v>
      </c>
      <c r="AB135" s="4" t="s">
        <v>0</v>
      </c>
      <c r="AC135" s="4" t="s">
        <v>0</v>
      </c>
      <c r="AD135" s="4" t="s">
        <v>0</v>
      </c>
      <c r="AE135" s="4" t="s">
        <v>0</v>
      </c>
      <c r="AF135" s="4" t="s">
        <v>0</v>
      </c>
      <c r="AG135" s="4" t="s">
        <v>0</v>
      </c>
      <c r="AH135" s="4" t="s">
        <v>0</v>
      </c>
      <c r="AI135" s="4" t="s">
        <v>0</v>
      </c>
      <c r="AJ135" s="4" t="s">
        <v>0</v>
      </c>
      <c r="AK135" s="4" t="s">
        <v>0</v>
      </c>
      <c r="AL135" s="4" t="s">
        <v>0</v>
      </c>
      <c r="AM135" s="4" t="s">
        <v>0</v>
      </c>
      <c r="AN135" s="4">
        <v>1.56</v>
      </c>
      <c r="AO135" s="5">
        <v>1.5607</v>
      </c>
      <c r="AP135" s="4" t="s">
        <v>0</v>
      </c>
      <c r="AQ135" s="4" t="s">
        <v>0</v>
      </c>
      <c r="AR135" s="4" t="s">
        <v>0</v>
      </c>
      <c r="AU135" s="4" t="s">
        <v>0</v>
      </c>
    </row>
    <row r="136" spans="1:47">
      <c r="A136" s="6" t="s">
        <v>185</v>
      </c>
      <c r="B136" s="5">
        <f>VLOOKUP($A136,'[21]1013'!$A$4:$O$321,4,FALSE)</f>
        <v>24.35</v>
      </c>
      <c r="C136" s="5">
        <v>27.55</v>
      </c>
      <c r="D136" s="5">
        <f>VLOOKUP($A136,'[21]1013'!$A$4:$O$321,15,FALSE)</f>
        <v>1.6189</v>
      </c>
      <c r="E136" s="4" t="str">
        <f>IF(VLOOKUP($A136,'[21]1013'!$A$4:$O$150,8,FALSE)="",VLOOKUP($A136,'[21]1013'!$A$4:$O$150,12,FALSE),VLOOKUP($A136,'[21]1013'!$A$4:$O$150,8,FALSE))</f>
        <v/>
      </c>
      <c r="F136" s="4" t="str">
        <f>IF(VLOOKUP($A136,'[7]1012'!$A$4:$O$150,8,FALSE)="",VLOOKUP($A136,'[7]1012'!$A$4:$O$150,12,FALSE),VLOOKUP($A136,'[7]1012'!$A$4:$O$150,8,FALSE))</f>
        <v/>
      </c>
      <c r="G136" s="4" t="str">
        <f>IF(VLOOKUP($A136,'[8]1011'!$A$4:$O$150,8,FALSE)="",VLOOKUP($A136,'[8]1011'!$A$4:$O$150,12,FALSE),VLOOKUP($A136,'[8]1011'!$A$4:$O$150,8,FALSE))</f>
        <v/>
      </c>
      <c r="H136" s="106"/>
      <c r="I136" s="4" t="str">
        <f>IF(VLOOKUP($A136,'[9]1005'!$A$4:$O$150,8,FALSE)="",VLOOKUP($A136,'[9]1005'!$A$4:$O$150,12,FALSE),VLOOKUP($A136,'[9]1005'!$A$4:$O$150,8,FALSE))</f>
        <v/>
      </c>
      <c r="J136" s="4" t="str">
        <f>IF(VLOOKUP($A136,'[10]1004'!$A$4:$O$150,8,FALSE)="",VLOOKUP($A136,'[10]1004'!$A$4:$O$150,12,FALSE),VLOOKUP($A136,'[10]1004'!$A$4:$O$150,8,FALSE))</f>
        <v/>
      </c>
      <c r="K136" s="4" t="str">
        <f>IF(VLOOKUP($A136,'[11]1003'!$A$4:$O$150,8,FALSE)="",VLOOKUP($A136,'[11]1003'!$A$4:$O$150,12,FALSE),VLOOKUP($A136,'[11]1003'!$A$4:$O$150,8,FALSE))</f>
        <v/>
      </c>
      <c r="L136" s="4" t="str">
        <f>IF(VLOOKUP($A136,'[12]1002'!$A$4:$O$150,8,FALSE)="",VLOOKUP($A136,'[12]1002'!$A$4:$O$150,12,FALSE),VLOOKUP($A136,'[12]1002'!$A$4:$O$150,8,FALSE))</f>
        <v/>
      </c>
      <c r="M136" s="106"/>
      <c r="N136" s="4" t="str">
        <f>IF(VLOOKUP($A136,'[13]0927'!$A$4:$O$150,8,FALSE)="",VLOOKUP($A136,'[13]0927'!$A$4:$O$150,12,FALSE),VLOOKUP($A136,'[13]0927'!$A$4:$O$150,8,FALSE))</f>
        <v/>
      </c>
      <c r="O136" s="5"/>
      <c r="P136" s="4" t="str">
        <f>IF(VLOOKUP($A136,'[14]0925'!$A$4:$O$150,8,FALSE)="",VLOOKUP($A136,'[14]0925'!$A$4:$O$150,12,FALSE),VLOOKUP($A136,'[14]0925'!$A$4:$O$150,8,FALSE))</f>
        <v/>
      </c>
      <c r="Q136" s="4" t="str">
        <f>IF(VLOOKUP($A136,'[15]0922'!$A$4:$O$150,8,FALSE)="",VLOOKUP($A136,'[15]0922'!$A$4:$O$150,12,FALSE),VLOOKUP($A136,'[15]0922'!$A$4:$O$150,8,FALSE))</f>
        <v/>
      </c>
      <c r="R136" s="4" t="str">
        <f>IF(VLOOKUP($A136,'[16]0921'!$A$4:$O$150,8,FALSE)="",VLOOKUP($A136,'[16]0921'!$A$4:$O$150,12,FALSE),VLOOKUP($A136,'[16]0921'!$A$4:$O$150,8,FALSE))</f>
        <v/>
      </c>
      <c r="S136" s="4" t="str">
        <f>IF(VLOOKUP($A136,'[17]0920'!$A$4:$O$150,8,FALSE)="",VLOOKUP($A136,'[17]0920'!$A$4:$O$150,12,FALSE),VLOOKUP($A136,'[17]0920'!$A$4:$O$150,8,FALSE))</f>
        <v/>
      </c>
      <c r="T136" s="4" t="s">
        <v>0</v>
      </c>
      <c r="U136" s="4" t="s">
        <v>0</v>
      </c>
      <c r="W136" s="4" t="s">
        <v>0</v>
      </c>
      <c r="X136" s="4" t="s">
        <v>0</v>
      </c>
      <c r="Y136" s="4" t="s">
        <v>0</v>
      </c>
      <c r="Z136" s="4" t="s">
        <v>0</v>
      </c>
      <c r="AA136" s="4" t="s">
        <v>0</v>
      </c>
      <c r="AB136" s="4" t="s">
        <v>0</v>
      </c>
      <c r="AC136" s="4" t="s">
        <v>0</v>
      </c>
      <c r="AD136" s="4" t="s">
        <v>0</v>
      </c>
      <c r="AE136" s="4" t="s">
        <v>0</v>
      </c>
      <c r="AF136" s="4" t="s">
        <v>0</v>
      </c>
      <c r="AG136" s="4" t="s">
        <v>0</v>
      </c>
      <c r="AH136" s="4" t="s">
        <v>0</v>
      </c>
      <c r="AI136" s="4" t="s">
        <v>0</v>
      </c>
      <c r="AJ136" s="4" t="s">
        <v>0</v>
      </c>
      <c r="AK136" s="4" t="s">
        <v>0</v>
      </c>
      <c r="AL136" s="4" t="s">
        <v>0</v>
      </c>
      <c r="AM136" s="4" t="s">
        <v>0</v>
      </c>
      <c r="AN136" s="4" t="s">
        <v>0</v>
      </c>
      <c r="AP136" s="4" t="s">
        <v>0</v>
      </c>
      <c r="AQ136" s="4" t="s">
        <v>0</v>
      </c>
      <c r="AR136" s="4" t="s">
        <v>0</v>
      </c>
      <c r="AU136" s="4" t="s">
        <v>0</v>
      </c>
    </row>
    <row r="137" spans="1:47">
      <c r="A137" s="6" t="s">
        <v>92</v>
      </c>
      <c r="B137" s="5">
        <f>VLOOKUP($A137,'[21]1013'!$A$4:$O$321,4,FALSE)</f>
        <v>25.02</v>
      </c>
      <c r="C137" s="5">
        <v>27.3</v>
      </c>
      <c r="D137" s="5">
        <f>VLOOKUP($A137,'[21]1013'!$A$4:$O$321,15,FALSE)</f>
        <v>1.6211</v>
      </c>
      <c r="E137" s="4" t="str">
        <f>IF(VLOOKUP($A137,'[21]1013'!$A$4:$O$150,8,FALSE)="",VLOOKUP($A137,'[21]1013'!$A$4:$O$150,12,FALSE),VLOOKUP($A137,'[21]1013'!$A$4:$O$150,8,FALSE))</f>
        <v/>
      </c>
      <c r="F137" s="4" t="str">
        <f>IF(VLOOKUP($A137,'[7]1012'!$A$4:$O$150,8,FALSE)="",VLOOKUP($A137,'[7]1012'!$A$4:$O$150,12,FALSE),VLOOKUP($A137,'[7]1012'!$A$4:$O$150,8,FALSE))</f>
        <v/>
      </c>
      <c r="G137" s="4" t="str">
        <f>IF(VLOOKUP($A137,'[8]1011'!$A$4:$O$150,8,FALSE)="",VLOOKUP($A137,'[8]1011'!$A$4:$O$150,12,FALSE),VLOOKUP($A137,'[8]1011'!$A$4:$O$150,8,FALSE))</f>
        <v/>
      </c>
      <c r="H137" s="106"/>
      <c r="I137" s="4" t="str">
        <f>IF(VLOOKUP($A137,'[9]1005'!$A$4:$O$150,8,FALSE)="",VLOOKUP($A137,'[9]1005'!$A$4:$O$150,12,FALSE),VLOOKUP($A137,'[9]1005'!$A$4:$O$150,8,FALSE))</f>
        <v/>
      </c>
      <c r="J137" s="4" t="str">
        <f>IF(VLOOKUP($A137,'[10]1004'!$A$4:$O$150,8,FALSE)="",VLOOKUP($A137,'[10]1004'!$A$4:$O$150,12,FALSE),VLOOKUP($A137,'[10]1004'!$A$4:$O$150,8,FALSE))</f>
        <v/>
      </c>
      <c r="K137" s="4" t="str">
        <f>IF(VLOOKUP($A137,'[11]1003'!$A$4:$O$150,8,FALSE)="",VLOOKUP($A137,'[11]1003'!$A$4:$O$150,12,FALSE),VLOOKUP($A137,'[11]1003'!$A$4:$O$150,8,FALSE))</f>
        <v/>
      </c>
      <c r="L137" s="4" t="str">
        <f>IF(VLOOKUP($A137,'[12]1002'!$A$4:$O$150,8,FALSE)="",VLOOKUP($A137,'[12]1002'!$A$4:$O$150,12,FALSE),VLOOKUP($A137,'[12]1002'!$A$4:$O$150,8,FALSE))</f>
        <v/>
      </c>
      <c r="M137" s="106"/>
      <c r="N137" s="4" t="str">
        <f>IF(VLOOKUP($A137,'[13]0927'!$A$4:$O$150,8,FALSE)="",VLOOKUP($A137,'[13]0927'!$A$4:$O$150,12,FALSE),VLOOKUP($A137,'[13]0927'!$A$4:$O$150,8,FALSE))</f>
        <v/>
      </c>
      <c r="O137" s="5"/>
      <c r="P137" s="4" t="str">
        <f>IF(VLOOKUP($A137,'[14]0925'!$A$4:$O$150,8,FALSE)="",VLOOKUP($A137,'[14]0925'!$A$4:$O$150,12,FALSE),VLOOKUP($A137,'[14]0925'!$A$4:$O$150,8,FALSE))</f>
        <v/>
      </c>
      <c r="Q137" s="4" t="str">
        <f>IF(VLOOKUP($A137,'[15]0922'!$A$4:$O$150,8,FALSE)="",VLOOKUP($A137,'[15]0922'!$A$4:$O$150,12,FALSE),VLOOKUP($A137,'[15]0922'!$A$4:$O$150,8,FALSE))</f>
        <v/>
      </c>
      <c r="R137" s="4" t="str">
        <f>IF(VLOOKUP($A137,'[16]0921'!$A$4:$O$150,8,FALSE)="",VLOOKUP($A137,'[16]0921'!$A$4:$O$150,12,FALSE),VLOOKUP($A137,'[16]0921'!$A$4:$O$150,8,FALSE))</f>
        <v/>
      </c>
      <c r="S137" s="4" t="str">
        <f>IF(VLOOKUP($A137,'[17]0920'!$A$4:$O$150,8,FALSE)="",VLOOKUP($A137,'[17]0920'!$A$4:$O$150,12,FALSE),VLOOKUP($A137,'[17]0920'!$A$4:$O$150,8,FALSE))</f>
        <v/>
      </c>
      <c r="T137" s="4" t="s">
        <v>0</v>
      </c>
      <c r="U137" s="4" t="s">
        <v>0</v>
      </c>
      <c r="W137" s="4" t="s">
        <v>0</v>
      </c>
      <c r="X137" s="4" t="s">
        <v>0</v>
      </c>
      <c r="Y137" s="4" t="s">
        <v>0</v>
      </c>
      <c r="Z137" s="4" t="s">
        <v>0</v>
      </c>
      <c r="AA137" s="4" t="s">
        <v>0</v>
      </c>
      <c r="AB137" s="4" t="s">
        <v>0</v>
      </c>
      <c r="AC137" s="4" t="s">
        <v>0</v>
      </c>
      <c r="AD137" s="4" t="s">
        <v>0</v>
      </c>
      <c r="AE137" s="4" t="s">
        <v>0</v>
      </c>
      <c r="AF137" s="4" t="s">
        <v>0</v>
      </c>
      <c r="AG137" s="4" t="s">
        <v>0</v>
      </c>
      <c r="AH137" s="4" t="s">
        <v>0</v>
      </c>
      <c r="AI137" s="4" t="s">
        <v>0</v>
      </c>
      <c r="AJ137" s="4" t="s">
        <v>0</v>
      </c>
      <c r="AK137" s="4" t="s">
        <v>0</v>
      </c>
      <c r="AL137" s="4" t="s">
        <v>0</v>
      </c>
      <c r="AM137" s="4" t="s">
        <v>0</v>
      </c>
      <c r="AN137" s="4" t="s">
        <v>0</v>
      </c>
      <c r="AP137" s="4" t="s">
        <v>0</v>
      </c>
      <c r="AQ137" s="4" t="s">
        <v>0</v>
      </c>
      <c r="AR137" s="4" t="s">
        <v>0</v>
      </c>
      <c r="AU137" s="4" t="s">
        <v>0</v>
      </c>
    </row>
    <row r="138" spans="1:47">
      <c r="A138" s="6" t="s">
        <v>823</v>
      </c>
      <c r="B138" s="5">
        <f>VLOOKUP($A138,'[21]1013'!$A$4:$O$321,4,FALSE)</f>
        <v>23.87</v>
      </c>
      <c r="C138" s="5">
        <v>28.3</v>
      </c>
      <c r="D138" s="5">
        <f>VLOOKUP($A138,'[21]1013'!$A$4:$O$321,15,FALSE)</f>
        <v>1.64</v>
      </c>
      <c r="E138" s="4" t="str">
        <f>IF(VLOOKUP($A138,'[21]1013'!$A$4:$O$150,8,FALSE)="",VLOOKUP($A138,'[21]1013'!$A$4:$O$150,12,FALSE),VLOOKUP($A138,'[21]1013'!$A$4:$O$150,8,FALSE))</f>
        <v/>
      </c>
      <c r="F138" s="4" t="str">
        <f>IF(VLOOKUP($A138,'[7]1012'!$A$4:$O$150,8,FALSE)="",VLOOKUP($A138,'[7]1012'!$A$4:$O$150,12,FALSE),VLOOKUP($A138,'[7]1012'!$A$4:$O$150,8,FALSE))</f>
        <v/>
      </c>
      <c r="G138" s="4" t="str">
        <f>IF(VLOOKUP($A138,'[8]1011'!$A$4:$O$150,8,FALSE)="",VLOOKUP($A138,'[8]1011'!$A$4:$O$150,12,FALSE),VLOOKUP($A138,'[8]1011'!$A$4:$O$150,8,FALSE))</f>
        <v/>
      </c>
      <c r="H138" s="106"/>
      <c r="I138" s="4" t="str">
        <f>IF(VLOOKUP($A138,'[9]1005'!$A$4:$O$150,8,FALSE)="",VLOOKUP($A138,'[9]1005'!$A$4:$O$150,12,FALSE),VLOOKUP($A138,'[9]1005'!$A$4:$O$150,8,FALSE))</f>
        <v/>
      </c>
      <c r="J138" s="4" t="str">
        <f>IF(VLOOKUP($A138,'[10]1004'!$A$4:$O$150,8,FALSE)="",VLOOKUP($A138,'[10]1004'!$A$4:$O$150,12,FALSE),VLOOKUP($A138,'[10]1004'!$A$4:$O$150,8,FALSE))</f>
        <v/>
      </c>
      <c r="K138" s="4" t="str">
        <f>IF(VLOOKUP($A138,'[11]1003'!$A$4:$O$150,8,FALSE)="",VLOOKUP($A138,'[11]1003'!$A$4:$O$150,12,FALSE),VLOOKUP($A138,'[11]1003'!$A$4:$O$150,8,FALSE))</f>
        <v/>
      </c>
      <c r="M138" s="106"/>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J49"/>
  <sheetViews>
    <sheetView workbookViewId="0">
      <selection activeCell="H3" sqref="H3"/>
    </sheetView>
  </sheetViews>
  <sheetFormatPr defaultRowHeight="16.5"/>
  <cols>
    <col min="3" max="3" width="9" style="2"/>
    <col min="10" max="10" width="11.625" bestFit="1" customWidth="1"/>
  </cols>
  <sheetData>
    <row r="2" spans="1:10" ht="16.5" customHeight="1"/>
    <row r="3" spans="1:10" ht="16.5" customHeight="1">
      <c r="H3" s="2" t="s">
        <v>1058</v>
      </c>
      <c r="I3" s="5" t="s">
        <v>1059</v>
      </c>
      <c r="J3" s="5" t="s">
        <v>1060</v>
      </c>
    </row>
    <row r="4" spans="1:10">
      <c r="D4" s="2"/>
      <c r="E4" s="2"/>
      <c r="G4" s="2"/>
      <c r="H4" s="3" t="s">
        <v>49</v>
      </c>
      <c r="I4" s="5">
        <v>6.64</v>
      </c>
      <c r="J4" s="5">
        <v>1.2351000000000001</v>
      </c>
    </row>
    <row r="5" spans="1:10">
      <c r="H5" s="3" t="s">
        <v>46</v>
      </c>
      <c r="I5" s="5">
        <v>15.21</v>
      </c>
      <c r="J5" s="5">
        <v>1.3894</v>
      </c>
    </row>
    <row r="6" spans="1:10">
      <c r="D6" s="2"/>
      <c r="E6" s="2"/>
      <c r="G6" s="2"/>
      <c r="H6" s="3" t="s">
        <v>24</v>
      </c>
      <c r="I6" s="5">
        <v>15.54</v>
      </c>
      <c r="J6" s="5">
        <v>1.397</v>
      </c>
    </row>
    <row r="7" spans="1:10">
      <c r="D7" s="2"/>
      <c r="E7" s="2"/>
      <c r="G7" s="2"/>
      <c r="H7" s="3" t="s">
        <v>25</v>
      </c>
      <c r="I7" s="5">
        <v>7.79</v>
      </c>
      <c r="J7" s="5">
        <v>1.2553000000000001</v>
      </c>
    </row>
    <row r="8" spans="1:10">
      <c r="H8" s="3" t="s">
        <v>52</v>
      </c>
      <c r="I8" s="5">
        <v>8.56</v>
      </c>
      <c r="J8" s="5">
        <v>1.2669999999999999</v>
      </c>
    </row>
    <row r="9" spans="1:10">
      <c r="H9" s="3" t="s">
        <v>68</v>
      </c>
      <c r="I9" s="5">
        <v>15.95</v>
      </c>
      <c r="J9" s="5">
        <v>1.4112</v>
      </c>
    </row>
    <row r="10" spans="1:10">
      <c r="A10" t="s">
        <v>340</v>
      </c>
      <c r="B10" t="s">
        <v>354</v>
      </c>
      <c r="C10" t="s">
        <v>341</v>
      </c>
      <c r="H10" s="3" t="s">
        <v>47</v>
      </c>
      <c r="I10" s="5">
        <v>16.559999999999999</v>
      </c>
      <c r="J10" s="5">
        <v>1.4214</v>
      </c>
    </row>
    <row r="11" spans="1:10">
      <c r="A11" s="49"/>
      <c r="B11" s="49">
        <f>VLOOKUP(D11,理論價!$A$6:$O$180,14,FALSE)</f>
        <v>0.99199999999999999</v>
      </c>
      <c r="C11" s="49">
        <f t="shared" ref="C11:C16" si="0">(E11+F11)/2</f>
        <v>0.9</v>
      </c>
      <c r="D11" t="s">
        <v>335</v>
      </c>
      <c r="E11">
        <v>1.05</v>
      </c>
      <c r="F11">
        <v>0.75</v>
      </c>
      <c r="H11" s="3" t="s">
        <v>64</v>
      </c>
      <c r="I11" s="5">
        <v>9.66</v>
      </c>
      <c r="J11" s="5">
        <v>1.2851999999999999</v>
      </c>
    </row>
    <row r="12" spans="1:10">
      <c r="A12" s="49"/>
      <c r="B12" s="49">
        <v>0.96960000000000002</v>
      </c>
      <c r="C12" s="49">
        <f t="shared" si="0"/>
        <v>0</v>
      </c>
      <c r="D12" s="2" t="s">
        <v>652</v>
      </c>
      <c r="E12" s="2"/>
      <c r="F12" s="2"/>
      <c r="H12" s="3" t="s">
        <v>63</v>
      </c>
      <c r="I12" s="5">
        <v>9.7799999999999994</v>
      </c>
      <c r="J12" s="5">
        <v>1.2871999999999999</v>
      </c>
    </row>
    <row r="13" spans="1:10">
      <c r="A13" s="49"/>
      <c r="B13" s="49">
        <v>0.92</v>
      </c>
      <c r="C13" s="2">
        <f t="shared" si="0"/>
        <v>0.93</v>
      </c>
      <c r="D13" t="s">
        <v>336</v>
      </c>
      <c r="E13">
        <v>1.1000000000000001</v>
      </c>
      <c r="F13">
        <v>0.76</v>
      </c>
      <c r="H13" s="3" t="s">
        <v>26</v>
      </c>
      <c r="I13" s="5">
        <v>10</v>
      </c>
      <c r="J13" s="5">
        <v>1.2923</v>
      </c>
    </row>
    <row r="14" spans="1:10">
      <c r="A14" s="49"/>
      <c r="B14" s="49">
        <v>1.0132000000000001</v>
      </c>
      <c r="C14" s="2">
        <f t="shared" si="0"/>
        <v>0.96</v>
      </c>
      <c r="D14" t="s">
        <v>337</v>
      </c>
      <c r="E14">
        <v>1.06</v>
      </c>
      <c r="F14">
        <v>0.86</v>
      </c>
      <c r="H14" s="3" t="s">
        <v>48</v>
      </c>
      <c r="I14" s="5">
        <v>10.16</v>
      </c>
      <c r="J14" s="5">
        <v>1.2950999999999999</v>
      </c>
    </row>
    <row r="15" spans="1:10">
      <c r="A15" s="49"/>
      <c r="B15" s="49">
        <v>0.99119999999999997</v>
      </c>
      <c r="C15" s="2">
        <f t="shared" si="0"/>
        <v>0.98</v>
      </c>
      <c r="D15" t="s">
        <v>338</v>
      </c>
      <c r="E15">
        <v>1.04</v>
      </c>
      <c r="F15">
        <v>0.92</v>
      </c>
      <c r="H15" s="3" t="s">
        <v>1061</v>
      </c>
      <c r="I15" s="5">
        <v>1.89</v>
      </c>
      <c r="J15" s="5">
        <v>1.04</v>
      </c>
    </row>
    <row r="16" spans="1:10">
      <c r="A16" s="49">
        <v>1.05</v>
      </c>
      <c r="B16" s="49">
        <v>1.0385</v>
      </c>
      <c r="C16" s="2">
        <f t="shared" si="0"/>
        <v>1.03</v>
      </c>
      <c r="D16" t="s">
        <v>339</v>
      </c>
      <c r="E16">
        <v>1.08</v>
      </c>
      <c r="F16">
        <v>0.98</v>
      </c>
      <c r="H16" s="3" t="s">
        <v>1062</v>
      </c>
      <c r="I16" s="5">
        <v>2.35</v>
      </c>
      <c r="J16" s="5">
        <v>1.07</v>
      </c>
    </row>
    <row r="17" spans="8:10">
      <c r="H17" s="3" t="s">
        <v>44</v>
      </c>
      <c r="I17" s="5">
        <v>11.77</v>
      </c>
      <c r="J17" s="5">
        <v>1.3173999999999999</v>
      </c>
    </row>
    <row r="18" spans="8:10">
      <c r="H18" s="3" t="s">
        <v>55</v>
      </c>
      <c r="I18" s="5">
        <v>2.86</v>
      </c>
      <c r="J18" s="5">
        <v>1.1007</v>
      </c>
    </row>
    <row r="19" spans="8:10">
      <c r="H19" s="3" t="s">
        <v>32</v>
      </c>
      <c r="I19" s="5">
        <v>3.28</v>
      </c>
      <c r="J19" s="5">
        <v>1.1299999999999999</v>
      </c>
    </row>
    <row r="20" spans="8:10">
      <c r="H20" s="3" t="s">
        <v>1</v>
      </c>
      <c r="I20" s="5">
        <v>3.84</v>
      </c>
      <c r="J20" s="5">
        <v>1.1608000000000001</v>
      </c>
    </row>
    <row r="21" spans="8:10">
      <c r="H21" s="3" t="s">
        <v>66</v>
      </c>
      <c r="I21" s="5">
        <v>12.91</v>
      </c>
      <c r="J21" s="5">
        <v>1.3414999999999999</v>
      </c>
    </row>
    <row r="22" spans="8:10">
      <c r="H22" s="3" t="s">
        <v>67</v>
      </c>
      <c r="I22" s="5">
        <v>13.63</v>
      </c>
      <c r="J22" s="5">
        <v>1.3509</v>
      </c>
    </row>
    <row r="23" spans="8:10">
      <c r="H23" s="3" t="s">
        <v>56</v>
      </c>
      <c r="I23" s="5">
        <v>20.75</v>
      </c>
      <c r="J23" s="5">
        <v>1.4843999999999999</v>
      </c>
    </row>
    <row r="24" spans="8:10">
      <c r="H24" s="3" t="s">
        <v>244</v>
      </c>
      <c r="I24" s="5">
        <v>13.91</v>
      </c>
      <c r="J24" s="5">
        <v>1.3577999999999999</v>
      </c>
    </row>
    <row r="25" spans="8:10">
      <c r="H25" s="3" t="s">
        <v>5</v>
      </c>
      <c r="I25" s="5">
        <v>0.76</v>
      </c>
      <c r="J25" s="5">
        <v>0.97750000000000004</v>
      </c>
    </row>
    <row r="26" spans="8:10">
      <c r="H26" s="3" t="s">
        <v>50</v>
      </c>
      <c r="I26" s="5">
        <v>22.29</v>
      </c>
      <c r="J26" s="5">
        <v>1.4996</v>
      </c>
    </row>
    <row r="27" spans="8:10">
      <c r="H27" s="3" t="s">
        <v>236</v>
      </c>
      <c r="I27" s="5">
        <v>6.18</v>
      </c>
      <c r="J27" s="5">
        <v>1.2259</v>
      </c>
    </row>
    <row r="28" spans="8:10">
      <c r="H28" s="6" t="s">
        <v>252</v>
      </c>
      <c r="I28" s="5">
        <v>23.47</v>
      </c>
      <c r="J28" s="5">
        <v>1.5085999999999999</v>
      </c>
    </row>
    <row r="29" spans="8:10">
      <c r="H29" s="3" t="s">
        <v>247</v>
      </c>
      <c r="I29" s="5">
        <v>15.99</v>
      </c>
      <c r="J29" s="5">
        <v>1.3859999999999999</v>
      </c>
    </row>
    <row r="30" spans="8:10">
      <c r="H30" s="3" t="s">
        <v>231</v>
      </c>
      <c r="I30" s="5">
        <v>2.13</v>
      </c>
      <c r="J30" s="5">
        <v>1.0535000000000001</v>
      </c>
    </row>
    <row r="31" spans="8:10">
      <c r="H31" s="3" t="s">
        <v>249</v>
      </c>
      <c r="I31" s="5">
        <v>16.260000000000002</v>
      </c>
      <c r="J31" s="5">
        <v>1.3916999999999999</v>
      </c>
    </row>
    <row r="32" spans="8:10" s="2" customFormat="1">
      <c r="H32" s="3" t="s">
        <v>248</v>
      </c>
      <c r="I32" s="5">
        <v>16.38</v>
      </c>
      <c r="J32" s="5">
        <v>1.3954</v>
      </c>
    </row>
    <row r="33" spans="8:10">
      <c r="H33" s="3" t="s">
        <v>233</v>
      </c>
      <c r="I33" s="5">
        <v>2.76</v>
      </c>
      <c r="J33" s="5">
        <v>1.0939000000000001</v>
      </c>
    </row>
    <row r="34" spans="8:10">
      <c r="H34" s="3" t="s">
        <v>250</v>
      </c>
      <c r="I34" s="5">
        <v>16.73</v>
      </c>
      <c r="J34" s="5">
        <v>1.4026000000000001</v>
      </c>
    </row>
    <row r="35" spans="8:10">
      <c r="H35" s="3" t="s">
        <v>235</v>
      </c>
      <c r="I35" s="5">
        <v>4.78</v>
      </c>
      <c r="J35" s="5">
        <v>1.1996</v>
      </c>
    </row>
    <row r="36" spans="8:10">
      <c r="H36" s="3" t="s">
        <v>234</v>
      </c>
      <c r="I36" s="5">
        <v>3.31</v>
      </c>
      <c r="J36" s="5">
        <v>1.1297999999999999</v>
      </c>
    </row>
    <row r="37" spans="8:10">
      <c r="H37" s="3" t="s">
        <v>218</v>
      </c>
      <c r="I37" s="5">
        <v>3.6</v>
      </c>
      <c r="J37" s="5">
        <v>1.1479999999999999</v>
      </c>
    </row>
    <row r="38" spans="8:10">
      <c r="H38" s="3" t="s">
        <v>256</v>
      </c>
      <c r="I38" s="5">
        <v>3.83</v>
      </c>
      <c r="J38" s="5">
        <v>1.1609</v>
      </c>
    </row>
    <row r="39" spans="8:10">
      <c r="H39" s="3" t="s">
        <v>267</v>
      </c>
      <c r="I39" s="5">
        <v>21.4</v>
      </c>
      <c r="J39" s="5">
        <v>1.5058</v>
      </c>
    </row>
    <row r="40" spans="8:10">
      <c r="H40" s="3" t="s">
        <v>273</v>
      </c>
      <c r="I40" s="5">
        <v>8.75</v>
      </c>
      <c r="J40" s="5">
        <v>1.2686999999999999</v>
      </c>
    </row>
    <row r="41" spans="8:10">
      <c r="H41" s="6" t="s">
        <v>328</v>
      </c>
      <c r="I41" s="5">
        <v>23.59</v>
      </c>
      <c r="J41" s="5">
        <v>1.5205</v>
      </c>
    </row>
    <row r="42" spans="8:10">
      <c r="H42" s="3" t="s">
        <v>275</v>
      </c>
      <c r="I42" s="5">
        <v>8.6</v>
      </c>
      <c r="J42" s="5">
        <v>1.2669999999999999</v>
      </c>
    </row>
    <row r="43" spans="8:10">
      <c r="H43" s="3" t="s">
        <v>20</v>
      </c>
      <c r="I43" s="5">
        <v>6.85</v>
      </c>
      <c r="J43" s="5">
        <v>1.2404999999999999</v>
      </c>
    </row>
    <row r="44" spans="8:10">
      <c r="H44" s="3" t="s">
        <v>21</v>
      </c>
      <c r="I44" s="5">
        <v>8.91</v>
      </c>
      <c r="J44" s="5">
        <v>1.278</v>
      </c>
    </row>
    <row r="45" spans="8:10">
      <c r="H45" s="3" t="s">
        <v>8</v>
      </c>
      <c r="I45" s="5">
        <v>2.29</v>
      </c>
      <c r="J45" s="5">
        <v>1.0658000000000001</v>
      </c>
    </row>
    <row r="46" spans="8:10">
      <c r="H46" s="3" t="s">
        <v>13</v>
      </c>
      <c r="I46" s="5">
        <v>3.79</v>
      </c>
      <c r="J46" s="5">
        <v>1.1655</v>
      </c>
    </row>
    <row r="47" spans="8:10">
      <c r="H47" s="3" t="s">
        <v>16</v>
      </c>
      <c r="I47" s="5">
        <v>5</v>
      </c>
      <c r="J47" s="5">
        <v>1.208</v>
      </c>
    </row>
    <row r="48" spans="8:10">
      <c r="H48" s="3" t="s">
        <v>18</v>
      </c>
      <c r="I48" s="5">
        <v>5.93</v>
      </c>
      <c r="J48" s="5">
        <v>1.2231000000000001</v>
      </c>
    </row>
    <row r="49" spans="8:10">
      <c r="H49" s="3" t="s">
        <v>45</v>
      </c>
      <c r="I49" s="5">
        <v>14.35</v>
      </c>
      <c r="J49" s="5">
        <v>1.3785000000000001</v>
      </c>
    </row>
  </sheetData>
  <sortState ref="H4:J125">
    <sortCondition ref="H4:H125"/>
  </sortState>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O144"/>
  <sheetViews>
    <sheetView workbookViewId="0">
      <pane ySplit="5" topLeftCell="A9" activePane="bottomLeft" state="frozen"/>
      <selection pane="bottomLeft" activeCell="H31" sqref="H31"/>
    </sheetView>
  </sheetViews>
  <sheetFormatPr defaultRowHeight="16.5"/>
  <cols>
    <col min="1" max="1" width="7.625" style="8" customWidth="1"/>
    <col min="2" max="2" width="10.625" style="67" customWidth="1"/>
    <col min="3" max="3" width="9.625" style="8" customWidth="1"/>
    <col min="4" max="6" width="7.625" style="68" customWidth="1"/>
    <col min="7" max="7" width="7.625" style="69" customWidth="1"/>
    <col min="8" max="15" width="7.625" style="68"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5" s="50" customFormat="1" ht="39.950000000000003" customHeight="1">
      <c r="A1" s="110" t="s">
        <v>392</v>
      </c>
      <c r="B1" s="111"/>
      <c r="C1" s="111"/>
      <c r="D1" s="111"/>
      <c r="E1" s="111"/>
      <c r="F1" s="111"/>
      <c r="G1" s="111"/>
      <c r="H1" s="111"/>
      <c r="I1" s="111"/>
      <c r="J1" s="111"/>
      <c r="K1" s="111"/>
      <c r="L1" s="111"/>
      <c r="M1" s="111"/>
      <c r="N1" s="111"/>
      <c r="O1" s="111"/>
    </row>
    <row r="2" spans="1:15" s="40" customFormat="1" ht="14.25">
      <c r="A2" s="51" t="s">
        <v>393</v>
      </c>
      <c r="B2" s="51"/>
      <c r="D2" s="43"/>
      <c r="E2" s="43"/>
      <c r="F2" s="43"/>
      <c r="G2" s="52"/>
      <c r="H2" s="43"/>
      <c r="I2" s="43"/>
      <c r="J2" s="43"/>
      <c r="K2" s="43"/>
      <c r="L2" s="43"/>
      <c r="M2" s="43"/>
      <c r="N2" s="43"/>
      <c r="O2" s="43"/>
    </row>
    <row r="3" spans="1:15" s="53" customFormat="1" ht="30.75" customHeight="1">
      <c r="A3" s="122" t="s">
        <v>394</v>
      </c>
      <c r="B3" s="123" t="s">
        <v>395</v>
      </c>
      <c r="C3" s="122" t="s">
        <v>396</v>
      </c>
      <c r="D3" s="124" t="s">
        <v>397</v>
      </c>
      <c r="E3" s="124" t="s">
        <v>398</v>
      </c>
      <c r="F3" s="124" t="s">
        <v>399</v>
      </c>
      <c r="G3" s="122" t="s">
        <v>400</v>
      </c>
      <c r="H3" s="122" t="s">
        <v>401</v>
      </c>
      <c r="I3" s="122"/>
      <c r="J3" s="122"/>
      <c r="K3" s="122"/>
      <c r="L3" s="122" t="s">
        <v>402</v>
      </c>
      <c r="M3" s="122"/>
      <c r="N3" s="122" t="s">
        <v>403</v>
      </c>
      <c r="O3" s="122"/>
    </row>
    <row r="4" spans="1:15" s="53" customFormat="1" ht="39.950000000000003" customHeight="1">
      <c r="A4" s="122"/>
      <c r="B4" s="123"/>
      <c r="C4" s="122"/>
      <c r="D4" s="124"/>
      <c r="E4" s="124"/>
      <c r="F4" s="124"/>
      <c r="G4" s="122"/>
      <c r="H4" s="114" t="s">
        <v>404</v>
      </c>
      <c r="I4" s="114" t="s">
        <v>405</v>
      </c>
      <c r="J4" s="114" t="s">
        <v>406</v>
      </c>
      <c r="K4" s="114" t="s">
        <v>407</v>
      </c>
      <c r="L4" s="114" t="s">
        <v>408</v>
      </c>
      <c r="M4" s="114" t="s">
        <v>409</v>
      </c>
      <c r="N4" s="114" t="s">
        <v>410</v>
      </c>
      <c r="O4" s="114" t="s">
        <v>411</v>
      </c>
    </row>
    <row r="5" spans="1:15" s="53" customFormat="1" ht="35.25" customHeight="1">
      <c r="A5" s="122"/>
      <c r="B5" s="123"/>
      <c r="C5" s="122"/>
      <c r="D5" s="124"/>
      <c r="E5" s="124"/>
      <c r="F5" s="124"/>
      <c r="G5" s="122"/>
      <c r="H5" s="114"/>
      <c r="I5" s="114"/>
      <c r="J5" s="114"/>
      <c r="K5" s="114"/>
      <c r="L5" s="114"/>
      <c r="M5" s="114"/>
      <c r="N5" s="114"/>
      <c r="O5" s="114"/>
    </row>
    <row r="6" spans="1:15">
      <c r="A6" s="12" t="s">
        <v>36</v>
      </c>
      <c r="B6" s="14" t="s">
        <v>412</v>
      </c>
      <c r="C6" s="12" t="s">
        <v>413</v>
      </c>
      <c r="D6" s="54">
        <v>0.15</v>
      </c>
      <c r="E6" s="54">
        <v>0.15</v>
      </c>
      <c r="F6" s="55">
        <v>0.75</v>
      </c>
      <c r="G6" s="12" t="s">
        <v>414</v>
      </c>
      <c r="H6" s="55" t="s">
        <v>330</v>
      </c>
      <c r="I6" s="55" t="s">
        <v>330</v>
      </c>
      <c r="J6" s="55" t="s">
        <v>330</v>
      </c>
      <c r="K6" s="55" t="s">
        <v>330</v>
      </c>
      <c r="L6" s="55" t="s">
        <v>330</v>
      </c>
      <c r="M6" s="55" t="s">
        <v>330</v>
      </c>
      <c r="N6" s="55">
        <v>0.99029999999999996</v>
      </c>
      <c r="O6" s="55">
        <v>99.962900000000005</v>
      </c>
    </row>
    <row r="7" spans="1:15">
      <c r="A7" s="12" t="s">
        <v>27</v>
      </c>
      <c r="B7" s="14" t="s">
        <v>415</v>
      </c>
      <c r="C7" s="12" t="s">
        <v>416</v>
      </c>
      <c r="D7" s="54">
        <v>0.3</v>
      </c>
      <c r="E7" s="54">
        <v>0.28999999999999998</v>
      </c>
      <c r="F7" s="55">
        <v>0.625</v>
      </c>
      <c r="G7" s="12" t="s">
        <v>414</v>
      </c>
      <c r="H7" s="55" t="s">
        <v>330</v>
      </c>
      <c r="I7" s="55" t="s">
        <v>330</v>
      </c>
      <c r="J7" s="55" t="s">
        <v>330</v>
      </c>
      <c r="K7" s="55" t="s">
        <v>330</v>
      </c>
      <c r="L7" s="55" t="s">
        <v>330</v>
      </c>
      <c r="M7" s="55" t="s">
        <v>330</v>
      </c>
      <c r="N7" s="55">
        <v>0.9909</v>
      </c>
      <c r="O7" s="55">
        <v>99.891800000000003</v>
      </c>
    </row>
    <row r="8" spans="1:15">
      <c r="A8" s="12" t="s">
        <v>9</v>
      </c>
      <c r="B8" s="14" t="s">
        <v>417</v>
      </c>
      <c r="C8" s="12" t="s">
        <v>418</v>
      </c>
      <c r="D8" s="54">
        <v>0.37</v>
      </c>
      <c r="E8" s="54">
        <v>0.37</v>
      </c>
      <c r="F8" s="55">
        <v>3</v>
      </c>
      <c r="G8" s="12" t="s">
        <v>414</v>
      </c>
      <c r="H8" s="55">
        <v>1.05</v>
      </c>
      <c r="I8" s="55">
        <v>100.7124</v>
      </c>
      <c r="J8" s="55">
        <v>0.7</v>
      </c>
      <c r="K8" s="55">
        <v>100.8442</v>
      </c>
      <c r="L8" s="55" t="s">
        <v>330</v>
      </c>
      <c r="M8" s="55" t="s">
        <v>330</v>
      </c>
      <c r="N8" s="55">
        <v>0.99199999999999999</v>
      </c>
      <c r="O8" s="55">
        <v>100.7342</v>
      </c>
    </row>
    <row r="9" spans="1:15">
      <c r="A9" s="12" t="s">
        <v>51</v>
      </c>
      <c r="B9" s="14" t="s">
        <v>419</v>
      </c>
      <c r="C9" s="12" t="s">
        <v>420</v>
      </c>
      <c r="D9" s="54">
        <v>0.43</v>
      </c>
      <c r="E9" s="54">
        <v>0.42</v>
      </c>
      <c r="F9" s="55">
        <v>1.5</v>
      </c>
      <c r="G9" s="12" t="s">
        <v>414</v>
      </c>
      <c r="H9" s="55" t="s">
        <v>330</v>
      </c>
      <c r="I9" s="55" t="s">
        <v>330</v>
      </c>
      <c r="J9" s="55" t="s">
        <v>330</v>
      </c>
      <c r="K9" s="55" t="s">
        <v>330</v>
      </c>
      <c r="L9" s="55" t="s">
        <v>330</v>
      </c>
      <c r="M9" s="55" t="s">
        <v>330</v>
      </c>
      <c r="N9" s="55">
        <v>0.9929</v>
      </c>
      <c r="O9" s="55">
        <v>100.21420000000001</v>
      </c>
    </row>
    <row r="10" spans="1:15">
      <c r="A10" s="12" t="s">
        <v>229</v>
      </c>
      <c r="B10" s="14" t="s">
        <v>421</v>
      </c>
      <c r="C10" s="12" t="s">
        <v>422</v>
      </c>
      <c r="D10" s="54">
        <v>0.51</v>
      </c>
      <c r="E10" s="54">
        <v>0.5</v>
      </c>
      <c r="F10" s="55">
        <v>0.75</v>
      </c>
      <c r="G10" s="12" t="s">
        <v>414</v>
      </c>
      <c r="H10" s="55" t="s">
        <v>330</v>
      </c>
      <c r="I10" s="55" t="s">
        <v>330</v>
      </c>
      <c r="J10" s="55" t="s">
        <v>330</v>
      </c>
      <c r="K10" s="55" t="s">
        <v>330</v>
      </c>
      <c r="L10" s="55" t="s">
        <v>330</v>
      </c>
      <c r="M10" s="55" t="s">
        <v>330</v>
      </c>
      <c r="N10" s="55">
        <v>0.99409999999999998</v>
      </c>
      <c r="O10" s="55">
        <v>99.876599999999996</v>
      </c>
    </row>
    <row r="11" spans="1:15">
      <c r="A11" s="12" t="s">
        <v>5</v>
      </c>
      <c r="B11" s="14" t="s">
        <v>423</v>
      </c>
      <c r="C11" s="12" t="s">
        <v>424</v>
      </c>
      <c r="D11" s="54">
        <v>0.8</v>
      </c>
      <c r="E11" s="54">
        <v>0.79</v>
      </c>
      <c r="F11" s="55">
        <v>0.5</v>
      </c>
      <c r="G11" s="12" t="s">
        <v>414</v>
      </c>
      <c r="H11" s="55">
        <v>0.97</v>
      </c>
      <c r="I11" s="55">
        <v>99.626599999999996</v>
      </c>
      <c r="J11" s="55">
        <v>0.87</v>
      </c>
      <c r="K11" s="55">
        <v>99.705799999999996</v>
      </c>
      <c r="L11" s="55" t="s">
        <v>330</v>
      </c>
      <c r="M11" s="55" t="s">
        <v>330</v>
      </c>
      <c r="N11" s="55">
        <v>0.99829999999999997</v>
      </c>
      <c r="O11" s="55">
        <v>99.604200000000006</v>
      </c>
    </row>
    <row r="12" spans="1:15">
      <c r="A12" s="12" t="s">
        <v>41</v>
      </c>
      <c r="B12" s="14" t="s">
        <v>425</v>
      </c>
      <c r="C12" s="12" t="s">
        <v>426</v>
      </c>
      <c r="D12" s="54">
        <v>1</v>
      </c>
      <c r="E12" s="54">
        <v>0.98</v>
      </c>
      <c r="F12" s="55">
        <v>1.625</v>
      </c>
      <c r="G12" s="12" t="s">
        <v>414</v>
      </c>
      <c r="H12" s="55" t="s">
        <v>330</v>
      </c>
      <c r="I12" s="55" t="s">
        <v>330</v>
      </c>
      <c r="J12" s="55" t="s">
        <v>330</v>
      </c>
      <c r="K12" s="55" t="s">
        <v>330</v>
      </c>
      <c r="L12" s="55" t="s">
        <v>330</v>
      </c>
      <c r="M12" s="55" t="s">
        <v>330</v>
      </c>
      <c r="N12" s="55">
        <v>1.0004</v>
      </c>
      <c r="O12" s="55">
        <v>100.61499999999999</v>
      </c>
    </row>
    <row r="13" spans="1:15">
      <c r="A13" s="12" t="s">
        <v>10</v>
      </c>
      <c r="B13" s="14" t="s">
        <v>427</v>
      </c>
      <c r="C13" s="12" t="s">
        <v>428</v>
      </c>
      <c r="D13" s="54">
        <v>1.1399999999999999</v>
      </c>
      <c r="E13" s="54">
        <v>1.1000000000000001</v>
      </c>
      <c r="F13" s="55">
        <v>3</v>
      </c>
      <c r="G13" s="12" t="s">
        <v>414</v>
      </c>
      <c r="H13" s="55" t="s">
        <v>330</v>
      </c>
      <c r="I13" s="55" t="s">
        <v>330</v>
      </c>
      <c r="J13" s="55" t="s">
        <v>330</v>
      </c>
      <c r="K13" s="55" t="s">
        <v>330</v>
      </c>
      <c r="L13" s="55" t="s">
        <v>330</v>
      </c>
      <c r="M13" s="55" t="s">
        <v>330</v>
      </c>
      <c r="N13" s="55">
        <v>1.0016</v>
      </c>
      <c r="O13" s="55">
        <v>102.2517</v>
      </c>
    </row>
    <row r="14" spans="1:15">
      <c r="A14" s="12" t="s">
        <v>227</v>
      </c>
      <c r="B14" s="14" t="s">
        <v>429</v>
      </c>
      <c r="C14" s="12" t="s">
        <v>430</v>
      </c>
      <c r="D14" s="54">
        <v>1.29</v>
      </c>
      <c r="E14" s="54">
        <v>1.27</v>
      </c>
      <c r="F14" s="55">
        <v>0.5</v>
      </c>
      <c r="G14" s="12" t="s">
        <v>414</v>
      </c>
      <c r="H14" s="55">
        <v>1.06</v>
      </c>
      <c r="I14" s="55">
        <v>99.288499999999999</v>
      </c>
      <c r="J14" s="55">
        <v>0.86</v>
      </c>
      <c r="K14" s="55">
        <v>99.541499999999999</v>
      </c>
      <c r="L14" s="55" t="s">
        <v>330</v>
      </c>
      <c r="M14" s="55" t="s">
        <v>330</v>
      </c>
      <c r="N14" s="55">
        <v>1.0028999999999999</v>
      </c>
      <c r="O14" s="55">
        <v>99.360600000000005</v>
      </c>
    </row>
    <row r="15" spans="1:15">
      <c r="A15" s="12" t="s">
        <v>7</v>
      </c>
      <c r="B15" s="14" t="s">
        <v>431</v>
      </c>
      <c r="C15" s="12" t="s">
        <v>432</v>
      </c>
      <c r="D15" s="54">
        <v>1.41</v>
      </c>
      <c r="E15" s="54">
        <v>1.37</v>
      </c>
      <c r="F15" s="55">
        <v>2.375</v>
      </c>
      <c r="G15" s="12" t="s">
        <v>414</v>
      </c>
      <c r="H15" s="55" t="s">
        <v>330</v>
      </c>
      <c r="I15" s="55" t="s">
        <v>330</v>
      </c>
      <c r="J15" s="55" t="s">
        <v>330</v>
      </c>
      <c r="K15" s="55" t="s">
        <v>330</v>
      </c>
      <c r="L15" s="55" t="s">
        <v>330</v>
      </c>
      <c r="M15" s="55" t="s">
        <v>330</v>
      </c>
      <c r="N15" s="55">
        <v>1.0042</v>
      </c>
      <c r="O15" s="55">
        <v>101.9081</v>
      </c>
    </row>
    <row r="16" spans="1:15">
      <c r="A16" s="12" t="s">
        <v>269</v>
      </c>
      <c r="B16" s="14" t="s">
        <v>433</v>
      </c>
      <c r="C16" s="12" t="s">
        <v>434</v>
      </c>
      <c r="D16" s="54">
        <v>1.41</v>
      </c>
      <c r="E16" s="54">
        <v>1.38</v>
      </c>
      <c r="F16" s="55">
        <v>1</v>
      </c>
      <c r="G16" s="12" t="s">
        <v>414</v>
      </c>
      <c r="H16" s="55">
        <v>1.04</v>
      </c>
      <c r="I16" s="55">
        <v>99.943200000000004</v>
      </c>
      <c r="J16" s="55">
        <v>0.92</v>
      </c>
      <c r="K16" s="55">
        <v>100.1101</v>
      </c>
      <c r="L16" s="55" t="s">
        <v>330</v>
      </c>
      <c r="M16" s="55" t="s">
        <v>330</v>
      </c>
      <c r="N16" s="55">
        <v>1.0042</v>
      </c>
      <c r="O16" s="55">
        <v>99.992999999999995</v>
      </c>
    </row>
    <row r="17" spans="1:15">
      <c r="A17" s="12" t="s">
        <v>31</v>
      </c>
      <c r="B17" s="14" t="s">
        <v>435</v>
      </c>
      <c r="C17" s="12" t="s">
        <v>436</v>
      </c>
      <c r="D17" s="54">
        <v>1.46</v>
      </c>
      <c r="E17" s="54">
        <v>1.43</v>
      </c>
      <c r="F17" s="55">
        <v>1.625</v>
      </c>
      <c r="G17" s="12" t="s">
        <v>414</v>
      </c>
      <c r="H17" s="55" t="s">
        <v>330</v>
      </c>
      <c r="I17" s="55" t="s">
        <v>330</v>
      </c>
      <c r="J17" s="55" t="s">
        <v>330</v>
      </c>
      <c r="K17" s="55" t="s">
        <v>330</v>
      </c>
      <c r="L17" s="55" t="s">
        <v>330</v>
      </c>
      <c r="M17" s="55" t="s">
        <v>330</v>
      </c>
      <c r="N17" s="55">
        <v>1.0048999999999999</v>
      </c>
      <c r="O17" s="55">
        <v>100.8899</v>
      </c>
    </row>
    <row r="18" spans="1:15">
      <c r="A18" s="12" t="s">
        <v>230</v>
      </c>
      <c r="B18" s="14" t="s">
        <v>437</v>
      </c>
      <c r="C18" s="12" t="s">
        <v>438</v>
      </c>
      <c r="D18" s="54">
        <v>1.8</v>
      </c>
      <c r="E18" s="54">
        <v>1.78</v>
      </c>
      <c r="F18" s="55">
        <v>0.25</v>
      </c>
      <c r="G18" s="12" t="s">
        <v>414</v>
      </c>
      <c r="H18" s="55" t="s">
        <v>330</v>
      </c>
      <c r="I18" s="55" t="s">
        <v>330</v>
      </c>
      <c r="J18" s="55" t="s">
        <v>330</v>
      </c>
      <c r="K18" s="55" t="s">
        <v>330</v>
      </c>
      <c r="L18" s="55" t="s">
        <v>330</v>
      </c>
      <c r="M18" s="55" t="s">
        <v>330</v>
      </c>
      <c r="N18" s="55">
        <v>1.0124</v>
      </c>
      <c r="O18" s="55">
        <v>98.646299999999997</v>
      </c>
    </row>
    <row r="19" spans="1:15">
      <c r="A19" s="12" t="s">
        <v>37</v>
      </c>
      <c r="B19" s="14" t="s">
        <v>439</v>
      </c>
      <c r="C19" s="12" t="s">
        <v>440</v>
      </c>
      <c r="D19" s="54">
        <v>1.96</v>
      </c>
      <c r="E19" s="54">
        <v>1.92</v>
      </c>
      <c r="F19" s="55">
        <v>1.125</v>
      </c>
      <c r="G19" s="12" t="s">
        <v>414</v>
      </c>
      <c r="H19" s="55">
        <v>1.04</v>
      </c>
      <c r="I19" s="55">
        <v>100.16330000000001</v>
      </c>
      <c r="J19" s="55">
        <v>0.96</v>
      </c>
      <c r="K19" s="55">
        <v>100.3176</v>
      </c>
      <c r="L19" s="55" t="s">
        <v>330</v>
      </c>
      <c r="M19" s="55" t="s">
        <v>330</v>
      </c>
      <c r="N19" s="55">
        <v>1.0172000000000001</v>
      </c>
      <c r="O19" s="55">
        <v>100.2072</v>
      </c>
    </row>
    <row r="20" spans="1:15">
      <c r="A20" s="12" t="s">
        <v>231</v>
      </c>
      <c r="B20" s="14" t="s">
        <v>441</v>
      </c>
      <c r="C20" s="12" t="s">
        <v>442</v>
      </c>
      <c r="D20" s="54">
        <v>2.2000000000000002</v>
      </c>
      <c r="E20" s="54">
        <v>2.17</v>
      </c>
      <c r="F20" s="55">
        <v>0.125</v>
      </c>
      <c r="G20" s="12" t="s">
        <v>414</v>
      </c>
      <c r="H20" s="55">
        <v>1.07</v>
      </c>
      <c r="I20" s="55">
        <v>97.960999999999999</v>
      </c>
      <c r="J20" s="55">
        <v>0.97</v>
      </c>
      <c r="K20" s="55">
        <v>98.173900000000003</v>
      </c>
      <c r="L20" s="55" t="s">
        <v>330</v>
      </c>
      <c r="M20" s="55" t="s">
        <v>330</v>
      </c>
      <c r="N20" s="55">
        <v>1.0273000000000001</v>
      </c>
      <c r="O20" s="55">
        <v>98.051900000000003</v>
      </c>
    </row>
    <row r="21" spans="1:15">
      <c r="A21" s="12" t="s">
        <v>232</v>
      </c>
      <c r="B21" s="14" t="s">
        <v>443</v>
      </c>
      <c r="C21" s="12" t="s">
        <v>444</v>
      </c>
      <c r="D21" s="54">
        <v>2.29</v>
      </c>
      <c r="E21" s="54">
        <v>2.2599999999999998</v>
      </c>
      <c r="F21" s="55">
        <v>0.25</v>
      </c>
      <c r="G21" s="12" t="s">
        <v>414</v>
      </c>
      <c r="H21" s="55" t="s">
        <v>330</v>
      </c>
      <c r="I21" s="55" t="s">
        <v>330</v>
      </c>
      <c r="J21" s="55" t="s">
        <v>330</v>
      </c>
      <c r="K21" s="55" t="s">
        <v>330</v>
      </c>
      <c r="L21" s="55" t="s">
        <v>330</v>
      </c>
      <c r="M21" s="55" t="s">
        <v>330</v>
      </c>
      <c r="N21" s="55">
        <v>1.0322</v>
      </c>
      <c r="O21" s="55">
        <v>98.236000000000004</v>
      </c>
    </row>
    <row r="22" spans="1:15">
      <c r="A22" s="12" t="s">
        <v>8</v>
      </c>
      <c r="B22" s="14" t="s">
        <v>388</v>
      </c>
      <c r="C22" s="12" t="s">
        <v>445</v>
      </c>
      <c r="D22" s="54">
        <v>2.41</v>
      </c>
      <c r="E22" s="54">
        <v>2.33</v>
      </c>
      <c r="F22" s="55">
        <v>1.875</v>
      </c>
      <c r="G22" s="12" t="s">
        <v>414</v>
      </c>
      <c r="H22" s="55" t="s">
        <v>330</v>
      </c>
      <c r="I22" s="55" t="s">
        <v>330</v>
      </c>
      <c r="J22" s="55" t="s">
        <v>330</v>
      </c>
      <c r="K22" s="55" t="s">
        <v>330</v>
      </c>
      <c r="L22" s="55" t="s">
        <v>330</v>
      </c>
      <c r="M22" s="55" t="s">
        <v>330</v>
      </c>
      <c r="N22" s="55">
        <v>1.0382</v>
      </c>
      <c r="O22" s="55">
        <v>101.9778</v>
      </c>
    </row>
    <row r="23" spans="1:15">
      <c r="A23" s="12" t="s">
        <v>58</v>
      </c>
      <c r="B23" s="14" t="s">
        <v>365</v>
      </c>
      <c r="C23" s="12" t="s">
        <v>446</v>
      </c>
      <c r="D23" s="54">
        <v>2.4300000000000002</v>
      </c>
      <c r="E23" s="54">
        <v>2.38</v>
      </c>
      <c r="F23" s="55">
        <v>0.75</v>
      </c>
      <c r="G23" s="12" t="s">
        <v>414</v>
      </c>
      <c r="H23" s="55" t="s">
        <v>330</v>
      </c>
      <c r="I23" s="55" t="s">
        <v>330</v>
      </c>
      <c r="J23" s="55" t="s">
        <v>330</v>
      </c>
      <c r="K23" s="55" t="s">
        <v>330</v>
      </c>
      <c r="L23" s="55" t="s">
        <v>330</v>
      </c>
      <c r="M23" s="55" t="s">
        <v>330</v>
      </c>
      <c r="N23" s="55">
        <v>1.0399</v>
      </c>
      <c r="O23" s="55">
        <v>99.3065</v>
      </c>
    </row>
    <row r="24" spans="1:15">
      <c r="A24" s="12" t="s">
        <v>233</v>
      </c>
      <c r="B24" s="14" t="s">
        <v>381</v>
      </c>
      <c r="C24" s="12" t="s">
        <v>447</v>
      </c>
      <c r="D24" s="54">
        <v>2.83</v>
      </c>
      <c r="E24" s="54">
        <v>2.8</v>
      </c>
      <c r="F24" s="55">
        <v>0.25</v>
      </c>
      <c r="G24" s="12" t="s">
        <v>414</v>
      </c>
      <c r="H24" s="55" t="s">
        <v>330</v>
      </c>
      <c r="I24" s="55" t="s">
        <v>330</v>
      </c>
      <c r="J24" s="55" t="s">
        <v>330</v>
      </c>
      <c r="K24" s="55" t="s">
        <v>330</v>
      </c>
      <c r="L24" s="55" t="s">
        <v>330</v>
      </c>
      <c r="M24" s="55" t="s">
        <v>330</v>
      </c>
      <c r="N24" s="55">
        <v>1.0669</v>
      </c>
      <c r="O24" s="55">
        <v>97.731899999999996</v>
      </c>
    </row>
    <row r="25" spans="1:15">
      <c r="A25" s="12" t="s">
        <v>55</v>
      </c>
      <c r="B25" s="14" t="s">
        <v>367</v>
      </c>
      <c r="C25" s="12" t="s">
        <v>448</v>
      </c>
      <c r="D25" s="54">
        <v>2.94</v>
      </c>
      <c r="E25" s="54">
        <v>2.89</v>
      </c>
      <c r="F25" s="55">
        <v>0.625</v>
      </c>
      <c r="G25" s="12" t="s">
        <v>414</v>
      </c>
      <c r="H25" s="55" t="s">
        <v>330</v>
      </c>
      <c r="I25" s="55" t="s">
        <v>330</v>
      </c>
      <c r="J25" s="55" t="s">
        <v>330</v>
      </c>
      <c r="K25" s="55" t="s">
        <v>330</v>
      </c>
      <c r="L25" s="55" t="s">
        <v>330</v>
      </c>
      <c r="M25" s="55" t="s">
        <v>330</v>
      </c>
      <c r="N25" s="55">
        <v>1.0743</v>
      </c>
      <c r="O25" s="55">
        <v>98.705200000000005</v>
      </c>
    </row>
    <row r="26" spans="1:15">
      <c r="A26" s="12" t="s">
        <v>11</v>
      </c>
      <c r="B26" s="14" t="s">
        <v>449</v>
      </c>
      <c r="C26" s="12" t="s">
        <v>450</v>
      </c>
      <c r="D26" s="54">
        <v>3.12</v>
      </c>
      <c r="E26" s="54">
        <v>2.97</v>
      </c>
      <c r="F26" s="55">
        <v>2.125</v>
      </c>
      <c r="G26" s="12" t="s">
        <v>414</v>
      </c>
      <c r="H26" s="55" t="s">
        <v>330</v>
      </c>
      <c r="I26" s="55" t="s">
        <v>330</v>
      </c>
      <c r="J26" s="55" t="s">
        <v>330</v>
      </c>
      <c r="K26" s="55" t="s">
        <v>330</v>
      </c>
      <c r="L26" s="55" t="s">
        <v>330</v>
      </c>
      <c r="M26" s="55" t="s">
        <v>330</v>
      </c>
      <c r="N26" s="55">
        <v>1.0852999999999999</v>
      </c>
      <c r="O26" s="55">
        <v>103.16930000000001</v>
      </c>
    </row>
    <row r="27" spans="1:15">
      <c r="A27" s="12" t="s">
        <v>12</v>
      </c>
      <c r="B27" s="14" t="s">
        <v>451</v>
      </c>
      <c r="C27" s="12" t="s">
        <v>452</v>
      </c>
      <c r="D27" s="54">
        <v>3.38</v>
      </c>
      <c r="E27" s="54">
        <v>3.23</v>
      </c>
      <c r="F27" s="55">
        <v>2</v>
      </c>
      <c r="G27" s="12" t="s">
        <v>414</v>
      </c>
      <c r="H27" s="55" t="s">
        <v>330</v>
      </c>
      <c r="I27" s="55" t="s">
        <v>330</v>
      </c>
      <c r="J27" s="55" t="s">
        <v>330</v>
      </c>
      <c r="K27" s="55" t="s">
        <v>330</v>
      </c>
      <c r="L27" s="55" t="s">
        <v>330</v>
      </c>
      <c r="M27" s="55" t="s">
        <v>330</v>
      </c>
      <c r="N27" s="55">
        <v>1.1023000000000001</v>
      </c>
      <c r="O27" s="55">
        <v>102.96040000000001</v>
      </c>
    </row>
    <row r="28" spans="1:15">
      <c r="A28" s="12" t="s">
        <v>32</v>
      </c>
      <c r="B28" s="14" t="s">
        <v>368</v>
      </c>
      <c r="C28" s="12" t="s">
        <v>453</v>
      </c>
      <c r="D28" s="54">
        <v>3.42</v>
      </c>
      <c r="E28" s="54">
        <v>3.32</v>
      </c>
      <c r="F28" s="55">
        <v>1.125</v>
      </c>
      <c r="G28" s="12" t="s">
        <v>414</v>
      </c>
      <c r="H28" s="55" t="s">
        <v>330</v>
      </c>
      <c r="I28" s="55" t="s">
        <v>330</v>
      </c>
      <c r="J28" s="55" t="s">
        <v>330</v>
      </c>
      <c r="K28" s="55" t="s">
        <v>330</v>
      </c>
      <c r="L28" s="55" t="s">
        <v>330</v>
      </c>
      <c r="M28" s="55" t="s">
        <v>330</v>
      </c>
      <c r="N28" s="55">
        <v>1.1056999999999999</v>
      </c>
      <c r="O28" s="55">
        <v>100.0629</v>
      </c>
    </row>
    <row r="29" spans="1:15">
      <c r="A29" s="12" t="s">
        <v>234</v>
      </c>
      <c r="B29" s="14" t="s">
        <v>384</v>
      </c>
      <c r="C29" s="12" t="s">
        <v>454</v>
      </c>
      <c r="D29" s="54">
        <v>3.41</v>
      </c>
      <c r="E29" s="54">
        <v>3.34</v>
      </c>
      <c r="F29" s="55">
        <v>0.5</v>
      </c>
      <c r="G29" s="12" t="s">
        <v>414</v>
      </c>
      <c r="H29" s="55" t="s">
        <v>330</v>
      </c>
      <c r="I29" s="55" t="s">
        <v>330</v>
      </c>
      <c r="J29" s="55" t="s">
        <v>330</v>
      </c>
      <c r="K29" s="55" t="s">
        <v>330</v>
      </c>
      <c r="L29" s="55" t="s">
        <v>330</v>
      </c>
      <c r="M29" s="55" t="s">
        <v>330</v>
      </c>
      <c r="N29" s="55">
        <v>1.1054999999999999</v>
      </c>
      <c r="O29" s="55">
        <v>97.984999999999999</v>
      </c>
    </row>
    <row r="30" spans="1:15">
      <c r="A30" s="12" t="s">
        <v>218</v>
      </c>
      <c r="B30" s="14" t="s">
        <v>455</v>
      </c>
      <c r="C30" s="12" t="s">
        <v>456</v>
      </c>
      <c r="D30" s="54">
        <v>3.73</v>
      </c>
      <c r="E30" s="54">
        <v>3.64</v>
      </c>
      <c r="F30" s="55">
        <v>1</v>
      </c>
      <c r="G30" s="12" t="s">
        <v>414</v>
      </c>
      <c r="H30" s="55">
        <v>1.1499999999999999</v>
      </c>
      <c r="I30" s="55">
        <v>99.453599999999994</v>
      </c>
      <c r="J30" s="55">
        <v>1.1000000000000001</v>
      </c>
      <c r="K30" s="55">
        <v>99.635000000000005</v>
      </c>
      <c r="L30" s="55" t="s">
        <v>330</v>
      </c>
      <c r="M30" s="55" t="s">
        <v>330</v>
      </c>
      <c r="N30" s="55">
        <v>1.1232</v>
      </c>
      <c r="O30" s="55">
        <v>99.550899999999999</v>
      </c>
    </row>
    <row r="31" spans="1:15">
      <c r="A31" s="12" t="s">
        <v>13</v>
      </c>
      <c r="B31" s="14" t="s">
        <v>389</v>
      </c>
      <c r="C31" s="12" t="s">
        <v>457</v>
      </c>
      <c r="D31" s="54">
        <v>4.13</v>
      </c>
      <c r="E31" s="54">
        <v>3.82</v>
      </c>
      <c r="F31" s="55">
        <v>3</v>
      </c>
      <c r="G31" s="12" t="s">
        <v>414</v>
      </c>
      <c r="H31" s="55" t="s">
        <v>330</v>
      </c>
      <c r="I31" s="55" t="s">
        <v>330</v>
      </c>
      <c r="J31" s="55" t="s">
        <v>330</v>
      </c>
      <c r="K31" s="55" t="s">
        <v>330</v>
      </c>
      <c r="L31" s="55" t="s">
        <v>330</v>
      </c>
      <c r="M31" s="55" t="s">
        <v>330</v>
      </c>
      <c r="N31" s="55">
        <v>1.1367</v>
      </c>
      <c r="O31" s="55">
        <v>107.4816</v>
      </c>
    </row>
    <row r="32" spans="1:15">
      <c r="A32" s="12" t="s">
        <v>256</v>
      </c>
      <c r="B32" s="14" t="s">
        <v>458</v>
      </c>
      <c r="C32" s="12" t="s">
        <v>459</v>
      </c>
      <c r="D32" s="54">
        <v>3.99</v>
      </c>
      <c r="E32" s="54">
        <v>3.87</v>
      </c>
      <c r="F32" s="55">
        <v>1.25</v>
      </c>
      <c r="G32" s="12" t="s">
        <v>414</v>
      </c>
      <c r="H32" s="55">
        <v>1.1599999999999999</v>
      </c>
      <c r="I32" s="55">
        <v>100.3485</v>
      </c>
      <c r="J32" s="55">
        <v>1.1100000000000001</v>
      </c>
      <c r="K32" s="55">
        <v>100.5429</v>
      </c>
      <c r="L32" s="55" t="s">
        <v>330</v>
      </c>
      <c r="M32" s="55" t="s">
        <v>330</v>
      </c>
      <c r="N32" s="55">
        <v>1.1338999999999999</v>
      </c>
      <c r="O32" s="55">
        <v>100.4498</v>
      </c>
    </row>
    <row r="33" spans="1:15">
      <c r="A33" s="12" t="s">
        <v>1</v>
      </c>
      <c r="B33" s="14" t="s">
        <v>369</v>
      </c>
      <c r="C33" s="12" t="s">
        <v>460</v>
      </c>
      <c r="D33" s="54">
        <v>3.98</v>
      </c>
      <c r="E33" s="54">
        <v>3.88</v>
      </c>
      <c r="F33" s="55">
        <v>1</v>
      </c>
      <c r="G33" s="12" t="s">
        <v>414</v>
      </c>
      <c r="H33" s="55" t="s">
        <v>330</v>
      </c>
      <c r="I33" s="55" t="s">
        <v>330</v>
      </c>
      <c r="J33" s="55" t="s">
        <v>330</v>
      </c>
      <c r="K33" s="55" t="s">
        <v>330</v>
      </c>
      <c r="L33" s="55" t="s">
        <v>330</v>
      </c>
      <c r="M33" s="55" t="s">
        <v>330</v>
      </c>
      <c r="N33" s="55">
        <v>1.1339999999999999</v>
      </c>
      <c r="O33" s="55">
        <v>99.481700000000004</v>
      </c>
    </row>
    <row r="34" spans="1:15">
      <c r="A34" s="12" t="s">
        <v>59</v>
      </c>
      <c r="B34" s="14" t="s">
        <v>461</v>
      </c>
      <c r="C34" s="12" t="s">
        <v>462</v>
      </c>
      <c r="D34" s="54">
        <v>4.28</v>
      </c>
      <c r="E34" s="54">
        <v>4.0999999999999996</v>
      </c>
      <c r="F34" s="55">
        <v>1.375</v>
      </c>
      <c r="G34" s="12" t="s">
        <v>414</v>
      </c>
      <c r="H34" s="55">
        <v>1.17</v>
      </c>
      <c r="I34" s="55">
        <v>100.8498</v>
      </c>
      <c r="J34" s="55">
        <v>1.07</v>
      </c>
      <c r="K34" s="55">
        <v>101.2685</v>
      </c>
      <c r="L34" s="55" t="s">
        <v>330</v>
      </c>
      <c r="M34" s="55" t="s">
        <v>330</v>
      </c>
      <c r="N34" s="55">
        <v>1.143</v>
      </c>
      <c r="O34" s="55">
        <v>100.9627</v>
      </c>
    </row>
    <row r="35" spans="1:15">
      <c r="A35" s="12" t="s">
        <v>14</v>
      </c>
      <c r="B35" s="14" t="s">
        <v>463</v>
      </c>
      <c r="C35" s="12" t="s">
        <v>464</v>
      </c>
      <c r="D35" s="54">
        <v>4.38</v>
      </c>
      <c r="E35" s="54">
        <v>4.0999999999999996</v>
      </c>
      <c r="F35" s="55">
        <v>2.5</v>
      </c>
      <c r="G35" s="12" t="s">
        <v>414</v>
      </c>
      <c r="H35" s="55" t="s">
        <v>330</v>
      </c>
      <c r="I35" s="55" t="s">
        <v>330</v>
      </c>
      <c r="J35" s="55" t="s">
        <v>330</v>
      </c>
      <c r="K35" s="55" t="s">
        <v>330</v>
      </c>
      <c r="L35" s="55" t="s">
        <v>330</v>
      </c>
      <c r="M35" s="55" t="s">
        <v>330</v>
      </c>
      <c r="N35" s="55">
        <v>1.1437999999999999</v>
      </c>
      <c r="O35" s="55">
        <v>105.75920000000001</v>
      </c>
    </row>
    <row r="36" spans="1:15">
      <c r="A36" s="12" t="s">
        <v>272</v>
      </c>
      <c r="B36" s="14" t="s">
        <v>465</v>
      </c>
      <c r="C36" s="12" t="s">
        <v>466</v>
      </c>
      <c r="D36" s="54">
        <v>4.3</v>
      </c>
      <c r="E36" s="54">
        <v>4.16</v>
      </c>
      <c r="F36" s="55">
        <v>1</v>
      </c>
      <c r="G36" s="12" t="s">
        <v>414</v>
      </c>
      <c r="H36" s="55" t="s">
        <v>330</v>
      </c>
      <c r="I36" s="55" t="s">
        <v>330</v>
      </c>
      <c r="J36" s="55">
        <v>1.1399999999999999</v>
      </c>
      <c r="K36" s="55">
        <v>99.414000000000001</v>
      </c>
      <c r="L36" s="55" t="s">
        <v>330</v>
      </c>
      <c r="M36" s="55" t="s">
        <v>330</v>
      </c>
      <c r="N36" s="55">
        <v>1.1440999999999999</v>
      </c>
      <c r="O36" s="55">
        <v>99.396900000000002</v>
      </c>
    </row>
    <row r="37" spans="1:15">
      <c r="A37" s="12" t="s">
        <v>34</v>
      </c>
      <c r="B37" s="14" t="s">
        <v>467</v>
      </c>
      <c r="C37" s="12" t="s">
        <v>468</v>
      </c>
      <c r="D37" s="54">
        <v>4.3600000000000003</v>
      </c>
      <c r="E37" s="54">
        <v>4.22</v>
      </c>
      <c r="F37" s="55">
        <v>1</v>
      </c>
      <c r="G37" s="12" t="s">
        <v>414</v>
      </c>
      <c r="H37" s="55" t="s">
        <v>330</v>
      </c>
      <c r="I37" s="55" t="s">
        <v>330</v>
      </c>
      <c r="J37" s="55" t="s">
        <v>330</v>
      </c>
      <c r="K37" s="55" t="s">
        <v>330</v>
      </c>
      <c r="L37" s="55" t="s">
        <v>330</v>
      </c>
      <c r="M37" s="55" t="s">
        <v>330</v>
      </c>
      <c r="N37" s="55">
        <v>1.1456</v>
      </c>
      <c r="O37" s="55">
        <v>99.382400000000004</v>
      </c>
    </row>
    <row r="38" spans="1:15">
      <c r="A38" s="12" t="s">
        <v>321</v>
      </c>
      <c r="B38" s="14" t="s">
        <v>469</v>
      </c>
      <c r="C38" s="12" t="s">
        <v>470</v>
      </c>
      <c r="D38" s="54">
        <v>4.66</v>
      </c>
      <c r="E38" s="54">
        <v>4.51</v>
      </c>
      <c r="F38" s="55">
        <v>1</v>
      </c>
      <c r="G38" s="12" t="s">
        <v>414</v>
      </c>
      <c r="H38" s="55">
        <v>1.155</v>
      </c>
      <c r="I38" s="55">
        <v>99.299700000000001</v>
      </c>
      <c r="J38" s="55">
        <v>1.145</v>
      </c>
      <c r="K38" s="55">
        <v>99.3446</v>
      </c>
      <c r="L38" s="55" t="s">
        <v>330</v>
      </c>
      <c r="M38" s="55" t="s">
        <v>330</v>
      </c>
      <c r="N38" s="55">
        <v>1.1518999999999999</v>
      </c>
      <c r="O38" s="55">
        <v>99.313400000000001</v>
      </c>
    </row>
    <row r="39" spans="1:15">
      <c r="A39" s="12" t="s">
        <v>2</v>
      </c>
      <c r="B39" s="14" t="s">
        <v>471</v>
      </c>
      <c r="C39" s="12" t="s">
        <v>472</v>
      </c>
      <c r="D39" s="54">
        <v>4.7</v>
      </c>
      <c r="E39" s="54">
        <v>4.55</v>
      </c>
      <c r="F39" s="55">
        <v>0.875</v>
      </c>
      <c r="G39" s="12" t="s">
        <v>414</v>
      </c>
      <c r="H39" s="55" t="s">
        <v>330</v>
      </c>
      <c r="I39" s="55" t="s">
        <v>330</v>
      </c>
      <c r="J39" s="55" t="s">
        <v>330</v>
      </c>
      <c r="K39" s="55" t="s">
        <v>330</v>
      </c>
      <c r="L39" s="55" t="s">
        <v>330</v>
      </c>
      <c r="M39" s="55" t="s">
        <v>330</v>
      </c>
      <c r="N39" s="55">
        <v>1.1528</v>
      </c>
      <c r="O39" s="55">
        <v>98.736500000000007</v>
      </c>
    </row>
    <row r="40" spans="1:15">
      <c r="A40" s="12" t="s">
        <v>15</v>
      </c>
      <c r="B40" s="14" t="s">
        <v>473</v>
      </c>
      <c r="C40" s="12" t="s">
        <v>474</v>
      </c>
      <c r="D40" s="54">
        <v>4.88</v>
      </c>
      <c r="E40" s="54">
        <v>4.58</v>
      </c>
      <c r="F40" s="55">
        <v>2.625</v>
      </c>
      <c r="G40" s="12" t="s">
        <v>414</v>
      </c>
      <c r="H40" s="55" t="s">
        <v>330</v>
      </c>
      <c r="I40" s="55" t="s">
        <v>330</v>
      </c>
      <c r="J40" s="55" t="s">
        <v>330</v>
      </c>
      <c r="K40" s="55" t="s">
        <v>330</v>
      </c>
      <c r="L40" s="55" t="s">
        <v>330</v>
      </c>
      <c r="M40" s="55" t="s">
        <v>330</v>
      </c>
      <c r="N40" s="55">
        <v>1.1539999999999999</v>
      </c>
      <c r="O40" s="55">
        <v>106.9357</v>
      </c>
    </row>
    <row r="41" spans="1:15">
      <c r="A41" s="12" t="s">
        <v>308</v>
      </c>
      <c r="B41" s="14" t="s">
        <v>475</v>
      </c>
      <c r="C41" s="12" t="s">
        <v>476</v>
      </c>
      <c r="D41" s="54">
        <v>4.97</v>
      </c>
      <c r="E41" s="54">
        <v>4.8</v>
      </c>
      <c r="F41" s="55">
        <v>1.125</v>
      </c>
      <c r="G41" s="12" t="s">
        <v>414</v>
      </c>
      <c r="H41" s="55">
        <v>1.155</v>
      </c>
      <c r="I41" s="55">
        <v>99.855800000000002</v>
      </c>
      <c r="J41" s="55">
        <v>1.145</v>
      </c>
      <c r="K41" s="55">
        <v>99.903800000000004</v>
      </c>
      <c r="L41" s="55" t="s">
        <v>330</v>
      </c>
      <c r="M41" s="55" t="s">
        <v>330</v>
      </c>
      <c r="N41" s="55">
        <v>1.1578999999999999</v>
      </c>
      <c r="O41" s="55">
        <v>99.841800000000006</v>
      </c>
    </row>
    <row r="42" spans="1:15">
      <c r="A42" s="12" t="s">
        <v>235</v>
      </c>
      <c r="B42" s="14" t="s">
        <v>383</v>
      </c>
      <c r="C42" s="12" t="s">
        <v>477</v>
      </c>
      <c r="D42" s="54">
        <v>4.9000000000000004</v>
      </c>
      <c r="E42" s="54">
        <v>4.8099999999999996</v>
      </c>
      <c r="F42" s="55">
        <v>0.25</v>
      </c>
      <c r="G42" s="12" t="s">
        <v>414</v>
      </c>
      <c r="H42" s="55" t="s">
        <v>330</v>
      </c>
      <c r="I42" s="55" t="s">
        <v>330</v>
      </c>
      <c r="J42" s="55" t="s">
        <v>330</v>
      </c>
      <c r="K42" s="55" t="s">
        <v>330</v>
      </c>
      <c r="L42" s="55" t="s">
        <v>330</v>
      </c>
      <c r="M42" s="55" t="s">
        <v>330</v>
      </c>
      <c r="N42" s="55">
        <v>1.1577999999999999</v>
      </c>
      <c r="O42" s="55">
        <v>95.705200000000005</v>
      </c>
    </row>
    <row r="43" spans="1:15">
      <c r="A43" s="12" t="s">
        <v>28</v>
      </c>
      <c r="B43" s="14" t="s">
        <v>478</v>
      </c>
      <c r="C43" s="12" t="s">
        <v>479</v>
      </c>
      <c r="D43" s="54">
        <v>5.05</v>
      </c>
      <c r="E43" s="54">
        <v>4.87</v>
      </c>
      <c r="F43" s="55">
        <v>0.875</v>
      </c>
      <c r="G43" s="12" t="s">
        <v>414</v>
      </c>
      <c r="H43" s="55" t="s">
        <v>330</v>
      </c>
      <c r="I43" s="55" t="s">
        <v>330</v>
      </c>
      <c r="J43" s="55" t="s">
        <v>330</v>
      </c>
      <c r="K43" s="55" t="s">
        <v>330</v>
      </c>
      <c r="L43" s="55" t="s">
        <v>330</v>
      </c>
      <c r="M43" s="55" t="s">
        <v>330</v>
      </c>
      <c r="N43" s="55">
        <v>1.1601999999999999</v>
      </c>
      <c r="O43" s="55">
        <v>98.608099999999993</v>
      </c>
    </row>
    <row r="44" spans="1:15">
      <c r="A44" s="12" t="s">
        <v>16</v>
      </c>
      <c r="B44" s="14" t="s">
        <v>390</v>
      </c>
      <c r="C44" s="12" t="s">
        <v>480</v>
      </c>
      <c r="D44" s="54">
        <v>5.39</v>
      </c>
      <c r="E44" s="54">
        <v>5.03</v>
      </c>
      <c r="F44" s="55">
        <v>2.125</v>
      </c>
      <c r="G44" s="12" t="s">
        <v>414</v>
      </c>
      <c r="H44" s="55" t="s">
        <v>330</v>
      </c>
      <c r="I44" s="55" t="s">
        <v>330</v>
      </c>
      <c r="J44" s="55" t="s">
        <v>330</v>
      </c>
      <c r="K44" s="55" t="s">
        <v>330</v>
      </c>
      <c r="L44" s="55" t="s">
        <v>330</v>
      </c>
      <c r="M44" s="55" t="s">
        <v>330</v>
      </c>
      <c r="N44" s="55">
        <v>1.1658999999999999</v>
      </c>
      <c r="O44" s="55">
        <v>104.9759</v>
      </c>
    </row>
    <row r="45" spans="1:15">
      <c r="A45" s="12" t="s">
        <v>3</v>
      </c>
      <c r="B45" s="14" t="s">
        <v>481</v>
      </c>
      <c r="C45" s="12" t="s">
        <v>482</v>
      </c>
      <c r="D45" s="54">
        <v>5.38</v>
      </c>
      <c r="E45" s="54">
        <v>5.21</v>
      </c>
      <c r="F45" s="55">
        <v>0.75</v>
      </c>
      <c r="G45" s="12" t="s">
        <v>414</v>
      </c>
      <c r="H45" s="55" t="s">
        <v>330</v>
      </c>
      <c r="I45" s="55" t="s">
        <v>330</v>
      </c>
      <c r="J45" s="55" t="s">
        <v>330</v>
      </c>
      <c r="K45" s="55" t="s">
        <v>330</v>
      </c>
      <c r="L45" s="55" t="s">
        <v>330</v>
      </c>
      <c r="M45" s="55" t="s">
        <v>330</v>
      </c>
      <c r="N45" s="55">
        <v>1.1679999999999999</v>
      </c>
      <c r="O45" s="55">
        <v>97.832400000000007</v>
      </c>
    </row>
    <row r="46" spans="1:15">
      <c r="A46" s="12" t="s">
        <v>17</v>
      </c>
      <c r="B46" s="14" t="s">
        <v>483</v>
      </c>
      <c r="C46" s="12" t="s">
        <v>484</v>
      </c>
      <c r="D46" s="54">
        <v>5.88</v>
      </c>
      <c r="E46" s="54">
        <v>5.52</v>
      </c>
      <c r="F46" s="55">
        <v>2.125</v>
      </c>
      <c r="G46" s="12" t="s">
        <v>414</v>
      </c>
      <c r="H46" s="55" t="s">
        <v>330</v>
      </c>
      <c r="I46" s="55" t="s">
        <v>330</v>
      </c>
      <c r="J46" s="55" t="s">
        <v>330</v>
      </c>
      <c r="K46" s="55" t="s">
        <v>330</v>
      </c>
      <c r="L46" s="55" t="s">
        <v>330</v>
      </c>
      <c r="M46" s="55" t="s">
        <v>330</v>
      </c>
      <c r="N46" s="55">
        <v>1.1782999999999999</v>
      </c>
      <c r="O46" s="55">
        <v>105.34139999999999</v>
      </c>
    </row>
    <row r="47" spans="1:15">
      <c r="A47" s="12" t="s">
        <v>4</v>
      </c>
      <c r="B47" s="14" t="s">
        <v>485</v>
      </c>
      <c r="C47" s="12" t="s">
        <v>486</v>
      </c>
      <c r="D47" s="54">
        <v>5.74</v>
      </c>
      <c r="E47" s="54">
        <v>5.58</v>
      </c>
      <c r="F47" s="55">
        <v>0.625</v>
      </c>
      <c r="G47" s="12" t="s">
        <v>414</v>
      </c>
      <c r="H47" s="55" t="s">
        <v>330</v>
      </c>
      <c r="I47" s="55" t="s">
        <v>330</v>
      </c>
      <c r="J47" s="55" t="s">
        <v>330</v>
      </c>
      <c r="K47" s="55" t="s">
        <v>330</v>
      </c>
      <c r="L47" s="55" t="s">
        <v>330</v>
      </c>
      <c r="M47" s="55" t="s">
        <v>330</v>
      </c>
      <c r="N47" s="55">
        <v>1.1776</v>
      </c>
      <c r="O47" s="55">
        <v>96.947800000000001</v>
      </c>
    </row>
    <row r="48" spans="1:15">
      <c r="A48" s="12" t="s">
        <v>6</v>
      </c>
      <c r="B48" s="14" t="s">
        <v>487</v>
      </c>
      <c r="C48" s="12" t="s">
        <v>488</v>
      </c>
      <c r="D48" s="54">
        <v>6.05</v>
      </c>
      <c r="E48" s="54">
        <v>5.84</v>
      </c>
      <c r="F48" s="55">
        <v>0.625</v>
      </c>
      <c r="G48" s="12" t="s">
        <v>414</v>
      </c>
      <c r="H48" s="55" t="s">
        <v>330</v>
      </c>
      <c r="I48" s="55" t="s">
        <v>330</v>
      </c>
      <c r="J48" s="55" t="s">
        <v>330</v>
      </c>
      <c r="K48" s="55" t="s">
        <v>330</v>
      </c>
      <c r="L48" s="55" t="s">
        <v>330</v>
      </c>
      <c r="M48" s="55" t="s">
        <v>330</v>
      </c>
      <c r="N48" s="55">
        <v>1.1854</v>
      </c>
      <c r="O48" s="55">
        <v>96.750200000000007</v>
      </c>
    </row>
    <row r="49" spans="1:15">
      <c r="A49" s="12" t="s">
        <v>18</v>
      </c>
      <c r="B49" s="14" t="s">
        <v>391</v>
      </c>
      <c r="C49" s="12" t="s">
        <v>489</v>
      </c>
      <c r="D49" s="54">
        <v>6.4</v>
      </c>
      <c r="E49" s="54">
        <v>5.97</v>
      </c>
      <c r="F49" s="55">
        <v>1.875</v>
      </c>
      <c r="G49" s="12" t="s">
        <v>414</v>
      </c>
      <c r="H49" s="55" t="s">
        <v>330</v>
      </c>
      <c r="I49" s="55" t="s">
        <v>330</v>
      </c>
      <c r="J49" s="55" t="s">
        <v>330</v>
      </c>
      <c r="K49" s="55" t="s">
        <v>330</v>
      </c>
      <c r="L49" s="55" t="s">
        <v>330</v>
      </c>
      <c r="M49" s="55" t="s">
        <v>330</v>
      </c>
      <c r="N49" s="55">
        <v>1.1916</v>
      </c>
      <c r="O49" s="55">
        <v>104.1865</v>
      </c>
    </row>
    <row r="50" spans="1:15">
      <c r="A50" s="12" t="s">
        <v>236</v>
      </c>
      <c r="B50" s="14" t="s">
        <v>376</v>
      </c>
      <c r="C50" s="12" t="s">
        <v>490</v>
      </c>
      <c r="D50" s="54">
        <v>6.4</v>
      </c>
      <c r="E50" s="54">
        <v>6.22</v>
      </c>
      <c r="F50" s="55">
        <v>0.5</v>
      </c>
      <c r="G50" s="12" t="s">
        <v>414</v>
      </c>
      <c r="H50" s="55" t="s">
        <v>330</v>
      </c>
      <c r="I50" s="55" t="s">
        <v>330</v>
      </c>
      <c r="J50" s="55" t="s">
        <v>330</v>
      </c>
      <c r="K50" s="55" t="s">
        <v>330</v>
      </c>
      <c r="L50" s="55" t="s">
        <v>330</v>
      </c>
      <c r="M50" s="55" t="s">
        <v>330</v>
      </c>
      <c r="N50" s="55">
        <v>1.1942999999999999</v>
      </c>
      <c r="O50" s="55">
        <v>95.745800000000003</v>
      </c>
    </row>
    <row r="51" spans="1:15">
      <c r="A51" s="12" t="s">
        <v>19</v>
      </c>
      <c r="B51" s="14" t="s">
        <v>491</v>
      </c>
      <c r="C51" s="12" t="s">
        <v>492</v>
      </c>
      <c r="D51" s="54">
        <v>6.87</v>
      </c>
      <c r="E51" s="54">
        <v>6.45</v>
      </c>
      <c r="F51" s="55">
        <v>1.75</v>
      </c>
      <c r="G51" s="12" t="s">
        <v>414</v>
      </c>
      <c r="H51" s="55">
        <v>1.22</v>
      </c>
      <c r="I51" s="55">
        <v>103.47199999999999</v>
      </c>
      <c r="J51" s="55">
        <v>1.1200000000000001</v>
      </c>
      <c r="K51" s="55">
        <v>104.1433</v>
      </c>
      <c r="L51" s="55" t="s">
        <v>330</v>
      </c>
      <c r="M51" s="55" t="s">
        <v>330</v>
      </c>
      <c r="N51" s="55">
        <v>1.2016</v>
      </c>
      <c r="O51" s="55">
        <v>103.5949</v>
      </c>
    </row>
    <row r="52" spans="1:15">
      <c r="A52" s="12" t="s">
        <v>237</v>
      </c>
      <c r="B52" s="14" t="s">
        <v>493</v>
      </c>
      <c r="C52" s="12" t="s">
        <v>494</v>
      </c>
      <c r="D52" s="54">
        <v>6.7</v>
      </c>
      <c r="E52" s="54">
        <v>6.54</v>
      </c>
      <c r="F52" s="55">
        <v>0.375</v>
      </c>
      <c r="G52" s="12" t="s">
        <v>414</v>
      </c>
      <c r="H52" s="55" t="s">
        <v>330</v>
      </c>
      <c r="I52" s="55" t="s">
        <v>330</v>
      </c>
      <c r="J52" s="55" t="s">
        <v>330</v>
      </c>
      <c r="K52" s="55" t="s">
        <v>330</v>
      </c>
      <c r="L52" s="55" t="s">
        <v>330</v>
      </c>
      <c r="M52" s="55" t="s">
        <v>330</v>
      </c>
      <c r="N52" s="55">
        <v>1.2013</v>
      </c>
      <c r="O52" s="55">
        <v>94.7089</v>
      </c>
    </row>
    <row r="53" spans="1:15">
      <c r="A53" s="12" t="s">
        <v>49</v>
      </c>
      <c r="B53" s="14" t="s">
        <v>355</v>
      </c>
      <c r="C53" s="12" t="s">
        <v>495</v>
      </c>
      <c r="D53" s="54">
        <v>7.29</v>
      </c>
      <c r="E53" s="54">
        <v>6.68</v>
      </c>
      <c r="F53" s="55">
        <v>2.125</v>
      </c>
      <c r="G53" s="12" t="s">
        <v>414</v>
      </c>
      <c r="H53" s="55" t="s">
        <v>330</v>
      </c>
      <c r="I53" s="55" t="s">
        <v>330</v>
      </c>
      <c r="J53" s="55" t="s">
        <v>330</v>
      </c>
      <c r="K53" s="55" t="s">
        <v>330</v>
      </c>
      <c r="L53" s="55" t="s">
        <v>330</v>
      </c>
      <c r="M53" s="55" t="s">
        <v>330</v>
      </c>
      <c r="N53" s="55">
        <v>1.2076</v>
      </c>
      <c r="O53" s="55">
        <v>106.3652</v>
      </c>
    </row>
    <row r="54" spans="1:15">
      <c r="A54" s="12" t="s">
        <v>238</v>
      </c>
      <c r="B54" s="14" t="s">
        <v>496</v>
      </c>
      <c r="C54" s="12" t="s">
        <v>497</v>
      </c>
      <c r="D54" s="54">
        <v>7.04</v>
      </c>
      <c r="E54" s="54">
        <v>6.89</v>
      </c>
      <c r="F54" s="55">
        <v>0.25</v>
      </c>
      <c r="G54" s="12" t="s">
        <v>414</v>
      </c>
      <c r="H54" s="55" t="s">
        <v>330</v>
      </c>
      <c r="I54" s="55" t="s">
        <v>330</v>
      </c>
      <c r="J54" s="55" t="s">
        <v>330</v>
      </c>
      <c r="K54" s="55" t="s">
        <v>330</v>
      </c>
      <c r="L54" s="55" t="s">
        <v>330</v>
      </c>
      <c r="M54" s="55" t="s">
        <v>330</v>
      </c>
      <c r="N54" s="55">
        <v>1.2081</v>
      </c>
      <c r="O54" s="55">
        <v>93.567599999999999</v>
      </c>
    </row>
    <row r="55" spans="1:15">
      <c r="A55" s="12" t="s">
        <v>20</v>
      </c>
      <c r="B55" s="14" t="s">
        <v>498</v>
      </c>
      <c r="C55" s="12" t="s">
        <v>499</v>
      </c>
      <c r="D55" s="54">
        <v>7.8</v>
      </c>
      <c r="E55" s="54">
        <v>6.89</v>
      </c>
      <c r="F55" s="55">
        <v>3.625</v>
      </c>
      <c r="G55" s="12" t="s">
        <v>414</v>
      </c>
      <c r="H55" s="55" t="s">
        <v>330</v>
      </c>
      <c r="I55" s="55" t="s">
        <v>330</v>
      </c>
      <c r="J55" s="55" t="s">
        <v>330</v>
      </c>
      <c r="K55" s="55" t="s">
        <v>330</v>
      </c>
      <c r="L55" s="55" t="s">
        <v>330</v>
      </c>
      <c r="M55" s="55" t="s">
        <v>330</v>
      </c>
      <c r="N55" s="55">
        <v>1.2113</v>
      </c>
      <c r="O55" s="55">
        <v>117.8596</v>
      </c>
    </row>
    <row r="56" spans="1:15">
      <c r="A56" s="12" t="s">
        <v>57</v>
      </c>
      <c r="B56" s="14" t="s">
        <v>500</v>
      </c>
      <c r="C56" s="12" t="s">
        <v>501</v>
      </c>
      <c r="D56" s="54">
        <v>7.66</v>
      </c>
      <c r="E56" s="54">
        <v>7.12</v>
      </c>
      <c r="F56" s="55">
        <v>1.75</v>
      </c>
      <c r="G56" s="12" t="s">
        <v>414</v>
      </c>
      <c r="H56" s="55" t="s">
        <v>330</v>
      </c>
      <c r="I56" s="55" t="s">
        <v>330</v>
      </c>
      <c r="J56" s="55" t="s">
        <v>330</v>
      </c>
      <c r="K56" s="55" t="s">
        <v>330</v>
      </c>
      <c r="L56" s="55" t="s">
        <v>330</v>
      </c>
      <c r="M56" s="55" t="s">
        <v>330</v>
      </c>
      <c r="N56" s="55">
        <v>1.2134</v>
      </c>
      <c r="O56" s="55">
        <v>103.8995</v>
      </c>
    </row>
    <row r="57" spans="1:15">
      <c r="A57" s="12" t="s">
        <v>239</v>
      </c>
      <c r="B57" s="14" t="s">
        <v>502</v>
      </c>
      <c r="C57" s="12" t="s">
        <v>503</v>
      </c>
      <c r="D57" s="54">
        <v>7.4</v>
      </c>
      <c r="E57" s="54">
        <v>7.24</v>
      </c>
      <c r="F57" s="55">
        <v>0.25</v>
      </c>
      <c r="G57" s="12" t="s">
        <v>414</v>
      </c>
      <c r="H57" s="55" t="s">
        <v>330</v>
      </c>
      <c r="I57" s="55" t="s">
        <v>330</v>
      </c>
      <c r="J57" s="55" t="s">
        <v>330</v>
      </c>
      <c r="K57" s="55" t="s">
        <v>330</v>
      </c>
      <c r="L57" s="55" t="s">
        <v>330</v>
      </c>
      <c r="M57" s="55" t="s">
        <v>330</v>
      </c>
      <c r="N57" s="55">
        <v>1.2136</v>
      </c>
      <c r="O57" s="55">
        <v>93.216899999999995</v>
      </c>
    </row>
    <row r="58" spans="1:15">
      <c r="A58" s="12" t="s">
        <v>60</v>
      </c>
      <c r="B58" s="14" t="s">
        <v>504</v>
      </c>
      <c r="C58" s="12" t="s">
        <v>505</v>
      </c>
      <c r="D58" s="54">
        <v>7.84</v>
      </c>
      <c r="E58" s="54">
        <v>7.27</v>
      </c>
      <c r="F58" s="55">
        <v>1.875</v>
      </c>
      <c r="G58" s="12" t="s">
        <v>414</v>
      </c>
      <c r="H58" s="55" t="s">
        <v>330</v>
      </c>
      <c r="I58" s="55" t="s">
        <v>330</v>
      </c>
      <c r="J58" s="55" t="s">
        <v>330</v>
      </c>
      <c r="K58" s="55" t="s">
        <v>330</v>
      </c>
      <c r="L58" s="55" t="s">
        <v>330</v>
      </c>
      <c r="M58" s="55" t="s">
        <v>330</v>
      </c>
      <c r="N58" s="55">
        <v>1.2156</v>
      </c>
      <c r="O58" s="55">
        <v>104.90389999999999</v>
      </c>
    </row>
    <row r="59" spans="1:15">
      <c r="A59" s="12" t="s">
        <v>240</v>
      </c>
      <c r="B59" s="14" t="s">
        <v>506</v>
      </c>
      <c r="C59" s="12" t="s">
        <v>507</v>
      </c>
      <c r="D59" s="54">
        <v>7.61</v>
      </c>
      <c r="E59" s="54">
        <v>7.41</v>
      </c>
      <c r="F59" s="55">
        <v>0.375</v>
      </c>
      <c r="G59" s="12" t="s">
        <v>414</v>
      </c>
      <c r="H59" s="55" t="s">
        <v>330</v>
      </c>
      <c r="I59" s="55" t="s">
        <v>330</v>
      </c>
      <c r="J59" s="55" t="s">
        <v>330</v>
      </c>
      <c r="K59" s="55" t="s">
        <v>330</v>
      </c>
      <c r="L59" s="55" t="s">
        <v>330</v>
      </c>
      <c r="M59" s="55" t="s">
        <v>330</v>
      </c>
      <c r="N59" s="55">
        <v>1.216</v>
      </c>
      <c r="O59" s="55">
        <v>93.924300000000002</v>
      </c>
    </row>
    <row r="60" spans="1:15">
      <c r="A60" s="12" t="s">
        <v>228</v>
      </c>
      <c r="B60" s="14" t="s">
        <v>508</v>
      </c>
      <c r="C60" s="12" t="s">
        <v>509</v>
      </c>
      <c r="D60" s="54">
        <v>7.73</v>
      </c>
      <c r="E60" s="54">
        <v>7.54</v>
      </c>
      <c r="F60" s="55">
        <v>0.375</v>
      </c>
      <c r="G60" s="12" t="s">
        <v>414</v>
      </c>
      <c r="H60" s="55" t="s">
        <v>330</v>
      </c>
      <c r="I60" s="55" t="s">
        <v>330</v>
      </c>
      <c r="J60" s="55" t="s">
        <v>330</v>
      </c>
      <c r="K60" s="55" t="s">
        <v>330</v>
      </c>
      <c r="L60" s="55" t="s">
        <v>330</v>
      </c>
      <c r="M60" s="55" t="s">
        <v>330</v>
      </c>
      <c r="N60" s="55">
        <v>1.2177</v>
      </c>
      <c r="O60" s="55">
        <v>93.814599999999999</v>
      </c>
    </row>
    <row r="61" spans="1:15">
      <c r="A61" s="12" t="s">
        <v>42</v>
      </c>
      <c r="B61" s="14" t="s">
        <v>510</v>
      </c>
      <c r="C61" s="12" t="s">
        <v>511</v>
      </c>
      <c r="D61" s="54">
        <v>8.31</v>
      </c>
      <c r="E61" s="54">
        <v>7.68</v>
      </c>
      <c r="F61" s="55">
        <v>1.625</v>
      </c>
      <c r="G61" s="12" t="s">
        <v>414</v>
      </c>
      <c r="H61" s="55" t="s">
        <v>330</v>
      </c>
      <c r="I61" s="55" t="s">
        <v>330</v>
      </c>
      <c r="J61" s="55" t="s">
        <v>330</v>
      </c>
      <c r="K61" s="55" t="s">
        <v>330</v>
      </c>
      <c r="L61" s="55" t="s">
        <v>330</v>
      </c>
      <c r="M61" s="55" t="s">
        <v>330</v>
      </c>
      <c r="N61" s="55">
        <v>1.2229000000000001</v>
      </c>
      <c r="O61" s="55">
        <v>103.1575</v>
      </c>
    </row>
    <row r="62" spans="1:15">
      <c r="A62" s="12" t="s">
        <v>241</v>
      </c>
      <c r="B62" s="14" t="s">
        <v>512</v>
      </c>
      <c r="C62" s="12" t="s">
        <v>513</v>
      </c>
      <c r="D62" s="54">
        <v>8.07</v>
      </c>
      <c r="E62" s="54">
        <v>7.79</v>
      </c>
      <c r="F62" s="55">
        <v>0.5</v>
      </c>
      <c r="G62" s="12" t="s">
        <v>414</v>
      </c>
      <c r="H62" s="55" t="s">
        <v>330</v>
      </c>
      <c r="I62" s="55" t="s">
        <v>330</v>
      </c>
      <c r="J62" s="55" t="s">
        <v>330</v>
      </c>
      <c r="K62" s="55" t="s">
        <v>330</v>
      </c>
      <c r="L62" s="55" t="s">
        <v>330</v>
      </c>
      <c r="M62" s="55" t="s">
        <v>330</v>
      </c>
      <c r="N62" s="55">
        <v>1.2221</v>
      </c>
      <c r="O62" s="55">
        <v>94.485600000000005</v>
      </c>
    </row>
    <row r="63" spans="1:15">
      <c r="A63" s="12" t="s">
        <v>25</v>
      </c>
      <c r="B63" s="14" t="s">
        <v>356</v>
      </c>
      <c r="C63" s="12" t="s">
        <v>514</v>
      </c>
      <c r="D63" s="54">
        <v>8.4700000000000006</v>
      </c>
      <c r="E63" s="54">
        <v>7.83</v>
      </c>
      <c r="F63" s="55">
        <v>1.625</v>
      </c>
      <c r="G63" s="12" t="s">
        <v>414</v>
      </c>
      <c r="H63" s="55" t="s">
        <v>330</v>
      </c>
      <c r="I63" s="55" t="s">
        <v>330</v>
      </c>
      <c r="J63" s="55" t="s">
        <v>330</v>
      </c>
      <c r="K63" s="55" t="s">
        <v>330</v>
      </c>
      <c r="L63" s="55" t="s">
        <v>330</v>
      </c>
      <c r="M63" s="55" t="s">
        <v>330</v>
      </c>
      <c r="N63" s="55">
        <v>1.2254</v>
      </c>
      <c r="O63" s="55">
        <v>103.1917</v>
      </c>
    </row>
    <row r="64" spans="1:15">
      <c r="A64" s="12" t="s">
        <v>242</v>
      </c>
      <c r="B64" s="14" t="s">
        <v>515</v>
      </c>
      <c r="C64" s="12" t="s">
        <v>516</v>
      </c>
      <c r="D64" s="54">
        <v>8.2899999999999991</v>
      </c>
      <c r="E64" s="54">
        <v>7.92</v>
      </c>
      <c r="F64" s="55">
        <v>0.75</v>
      </c>
      <c r="G64" s="12" t="s">
        <v>414</v>
      </c>
      <c r="H64" s="55" t="s">
        <v>330</v>
      </c>
      <c r="I64" s="55" t="s">
        <v>330</v>
      </c>
      <c r="J64" s="55" t="s">
        <v>330</v>
      </c>
      <c r="K64" s="55" t="s">
        <v>330</v>
      </c>
      <c r="L64" s="55" t="s">
        <v>330</v>
      </c>
      <c r="M64" s="55" t="s">
        <v>330</v>
      </c>
      <c r="N64" s="55">
        <v>1.2248000000000001</v>
      </c>
      <c r="O64" s="55">
        <v>96.280299999999997</v>
      </c>
    </row>
    <row r="65" spans="1:15">
      <c r="A65" s="12" t="s">
        <v>205</v>
      </c>
      <c r="B65" s="14" t="s">
        <v>517</v>
      </c>
      <c r="C65" s="12" t="s">
        <v>518</v>
      </c>
      <c r="D65" s="54">
        <v>8.39</v>
      </c>
      <c r="E65" s="54">
        <v>8.07</v>
      </c>
      <c r="F65" s="55">
        <v>0.625</v>
      </c>
      <c r="G65" s="12" t="s">
        <v>414</v>
      </c>
      <c r="H65" s="55">
        <v>1.24</v>
      </c>
      <c r="I65" s="55">
        <v>95.126199999999997</v>
      </c>
      <c r="J65" s="55">
        <v>1.19</v>
      </c>
      <c r="K65" s="55">
        <v>95.512200000000007</v>
      </c>
      <c r="L65" s="55" t="s">
        <v>330</v>
      </c>
      <c r="M65" s="55" t="s">
        <v>330</v>
      </c>
      <c r="N65" s="55">
        <v>1.2269000000000001</v>
      </c>
      <c r="O65" s="55">
        <v>95.227500000000006</v>
      </c>
    </row>
    <row r="66" spans="1:15">
      <c r="A66" s="12" t="s">
        <v>219</v>
      </c>
      <c r="B66" s="14" t="s">
        <v>519</v>
      </c>
      <c r="C66" s="12" t="s">
        <v>520</v>
      </c>
      <c r="D66" s="54">
        <v>8.76</v>
      </c>
      <c r="E66" s="54">
        <v>8.2200000000000006</v>
      </c>
      <c r="F66" s="55">
        <v>1.25</v>
      </c>
      <c r="G66" s="12" t="s">
        <v>414</v>
      </c>
      <c r="H66" s="55">
        <v>1.2450000000000001</v>
      </c>
      <c r="I66" s="55">
        <v>100.0398</v>
      </c>
      <c r="J66" s="55">
        <v>1.2</v>
      </c>
      <c r="K66" s="55">
        <v>100.4118</v>
      </c>
      <c r="L66" s="55" t="s">
        <v>330</v>
      </c>
      <c r="M66" s="55" t="s">
        <v>330</v>
      </c>
      <c r="N66" s="55">
        <v>1.2317</v>
      </c>
      <c r="O66" s="55">
        <v>100.1495</v>
      </c>
    </row>
    <row r="67" spans="1:15">
      <c r="A67" s="12" t="s">
        <v>262</v>
      </c>
      <c r="B67" s="14" t="s">
        <v>521</v>
      </c>
      <c r="C67" s="12" t="s">
        <v>522</v>
      </c>
      <c r="D67" s="54">
        <v>9.0500000000000007</v>
      </c>
      <c r="E67" s="54">
        <v>8.23</v>
      </c>
      <c r="F67" s="55">
        <v>1.75</v>
      </c>
      <c r="G67" s="12" t="s">
        <v>414</v>
      </c>
      <c r="H67" s="55">
        <v>1.25</v>
      </c>
      <c r="I67" s="55">
        <v>104.2538</v>
      </c>
      <c r="J67" s="55">
        <v>1.21</v>
      </c>
      <c r="K67" s="55">
        <v>104.6031</v>
      </c>
      <c r="L67" s="55" t="s">
        <v>330</v>
      </c>
      <c r="M67" s="55" t="s">
        <v>330</v>
      </c>
      <c r="N67" s="55">
        <v>1.2361</v>
      </c>
      <c r="O67" s="55">
        <v>104.3746</v>
      </c>
    </row>
    <row r="68" spans="1:15">
      <c r="A68" s="12" t="s">
        <v>29</v>
      </c>
      <c r="B68" s="14" t="s">
        <v>523</v>
      </c>
      <c r="C68" s="12" t="s">
        <v>524</v>
      </c>
      <c r="D68" s="54">
        <v>8.8699999999999992</v>
      </c>
      <c r="E68" s="54">
        <v>8.26</v>
      </c>
      <c r="F68" s="55">
        <v>1.5</v>
      </c>
      <c r="G68" s="12" t="s">
        <v>414</v>
      </c>
      <c r="H68" s="55" t="s">
        <v>330</v>
      </c>
      <c r="I68" s="55" t="s">
        <v>330</v>
      </c>
      <c r="J68" s="55" t="s">
        <v>330</v>
      </c>
      <c r="K68" s="55" t="s">
        <v>330</v>
      </c>
      <c r="L68" s="55" t="s">
        <v>330</v>
      </c>
      <c r="M68" s="55" t="s">
        <v>330</v>
      </c>
      <c r="N68" s="55">
        <v>1.2332000000000001</v>
      </c>
      <c r="O68" s="55">
        <v>102.2269</v>
      </c>
    </row>
    <row r="69" spans="1:15">
      <c r="A69" s="12" t="s">
        <v>52</v>
      </c>
      <c r="B69" s="14" t="s">
        <v>525</v>
      </c>
      <c r="C69" s="12" t="s">
        <v>526</v>
      </c>
      <c r="D69" s="54">
        <v>9.34</v>
      </c>
      <c r="E69" s="54">
        <v>8.6</v>
      </c>
      <c r="F69" s="55">
        <v>1.5</v>
      </c>
      <c r="G69" s="12" t="s">
        <v>414</v>
      </c>
      <c r="H69" s="55">
        <v>1.27</v>
      </c>
      <c r="I69" s="55">
        <v>102.0104</v>
      </c>
      <c r="J69" s="55">
        <v>1.2</v>
      </c>
      <c r="K69" s="55">
        <v>102.6322</v>
      </c>
      <c r="L69" s="55" t="s">
        <v>330</v>
      </c>
      <c r="M69" s="55" t="s">
        <v>330</v>
      </c>
      <c r="N69" s="55">
        <v>1.2424999999999999</v>
      </c>
      <c r="O69" s="55">
        <v>102.254</v>
      </c>
    </row>
    <row r="70" spans="1:15">
      <c r="A70" s="12" t="s">
        <v>275</v>
      </c>
      <c r="B70" s="14" t="s">
        <v>386</v>
      </c>
      <c r="C70" s="12" t="s">
        <v>527</v>
      </c>
      <c r="D70" s="54">
        <v>9.2899999999999991</v>
      </c>
      <c r="E70" s="54">
        <v>8.64</v>
      </c>
      <c r="F70" s="55">
        <v>1.25</v>
      </c>
      <c r="G70" s="12" t="s">
        <v>414</v>
      </c>
      <c r="H70" s="55" t="s">
        <v>330</v>
      </c>
      <c r="I70" s="55" t="s">
        <v>330</v>
      </c>
      <c r="J70" s="55" t="s">
        <v>330</v>
      </c>
      <c r="K70" s="55" t="s">
        <v>330</v>
      </c>
      <c r="L70" s="55" t="s">
        <v>330</v>
      </c>
      <c r="M70" s="55" t="s">
        <v>330</v>
      </c>
      <c r="N70" s="55">
        <v>1.2423</v>
      </c>
      <c r="O70" s="55">
        <v>100.0655</v>
      </c>
    </row>
    <row r="71" spans="1:15">
      <c r="A71" s="12" t="s">
        <v>61</v>
      </c>
      <c r="B71" s="14" t="s">
        <v>528</v>
      </c>
      <c r="C71" s="12" t="s">
        <v>529</v>
      </c>
      <c r="D71" s="54">
        <v>9.48</v>
      </c>
      <c r="E71" s="54">
        <v>8.65</v>
      </c>
      <c r="F71" s="55">
        <v>1.75</v>
      </c>
      <c r="G71" s="12" t="s">
        <v>414</v>
      </c>
      <c r="H71" s="55" t="s">
        <v>330</v>
      </c>
      <c r="I71" s="55" t="s">
        <v>330</v>
      </c>
      <c r="J71" s="55" t="s">
        <v>330</v>
      </c>
      <c r="K71" s="55" t="s">
        <v>330</v>
      </c>
      <c r="L71" s="55" t="s">
        <v>330</v>
      </c>
      <c r="M71" s="55" t="s">
        <v>330</v>
      </c>
      <c r="N71" s="55">
        <v>1.2446999999999999</v>
      </c>
      <c r="O71" s="55">
        <v>104.4884</v>
      </c>
    </row>
    <row r="72" spans="1:15">
      <c r="A72" s="12" t="s">
        <v>273</v>
      </c>
      <c r="B72" s="14" t="s">
        <v>530</v>
      </c>
      <c r="C72" s="12" t="s">
        <v>531</v>
      </c>
      <c r="D72" s="54">
        <v>9.39</v>
      </c>
      <c r="E72" s="54">
        <v>8.7899999999999991</v>
      </c>
      <c r="F72" s="55">
        <v>1.125</v>
      </c>
      <c r="G72" s="12" t="s">
        <v>414</v>
      </c>
      <c r="H72" s="55">
        <v>1.27</v>
      </c>
      <c r="I72" s="55">
        <v>98.722499999999997</v>
      </c>
      <c r="J72" s="55">
        <v>1.204</v>
      </c>
      <c r="K72" s="55">
        <v>99.301000000000002</v>
      </c>
      <c r="L72" s="55" t="s">
        <v>330</v>
      </c>
      <c r="M72" s="55" t="s">
        <v>330</v>
      </c>
      <c r="N72" s="55">
        <v>1.2447999999999999</v>
      </c>
      <c r="O72" s="55">
        <v>98.942899999999995</v>
      </c>
    </row>
    <row r="73" spans="1:15">
      <c r="A73" s="12" t="s">
        <v>30</v>
      </c>
      <c r="B73" s="14" t="s">
        <v>532</v>
      </c>
      <c r="C73" s="12" t="s">
        <v>533</v>
      </c>
      <c r="D73" s="54">
        <v>9.83</v>
      </c>
      <c r="E73" s="54">
        <v>8.91</v>
      </c>
      <c r="F73" s="55">
        <v>2</v>
      </c>
      <c r="G73" s="12" t="s">
        <v>414</v>
      </c>
      <c r="H73" s="55" t="s">
        <v>330</v>
      </c>
      <c r="I73" s="55" t="s">
        <v>330</v>
      </c>
      <c r="J73" s="55" t="s">
        <v>330</v>
      </c>
      <c r="K73" s="55" t="s">
        <v>330</v>
      </c>
      <c r="L73" s="55" t="s">
        <v>330</v>
      </c>
      <c r="M73" s="55" t="s">
        <v>330</v>
      </c>
      <c r="N73" s="55">
        <v>1.2509999999999999</v>
      </c>
      <c r="O73" s="55">
        <v>106.8827</v>
      </c>
    </row>
    <row r="74" spans="1:15">
      <c r="A74" s="12" t="s">
        <v>21</v>
      </c>
      <c r="B74" s="14" t="s">
        <v>387</v>
      </c>
      <c r="C74" s="12" t="s">
        <v>534</v>
      </c>
      <c r="D74" s="54">
        <v>10.66</v>
      </c>
      <c r="E74" s="54">
        <v>8.9499999999999993</v>
      </c>
      <c r="F74" s="55">
        <v>3.875</v>
      </c>
      <c r="G74" s="12" t="s">
        <v>414</v>
      </c>
      <c r="H74" s="55" t="s">
        <v>330</v>
      </c>
      <c r="I74" s="55" t="s">
        <v>330</v>
      </c>
      <c r="J74" s="55" t="s">
        <v>330</v>
      </c>
      <c r="K74" s="55" t="s">
        <v>330</v>
      </c>
      <c r="L74" s="55" t="s">
        <v>330</v>
      </c>
      <c r="M74" s="55" t="s">
        <v>330</v>
      </c>
      <c r="N74" s="55">
        <v>1.2608999999999999</v>
      </c>
      <c r="O74" s="55">
        <v>125.91930000000001</v>
      </c>
    </row>
    <row r="75" spans="1:15">
      <c r="A75" s="12" t="s">
        <v>324</v>
      </c>
      <c r="B75" s="14" t="s">
        <v>535</v>
      </c>
      <c r="C75" s="12" t="s">
        <v>536</v>
      </c>
      <c r="D75" s="54">
        <v>9.6999999999999993</v>
      </c>
      <c r="E75" s="54">
        <v>9.09</v>
      </c>
      <c r="F75" s="55">
        <v>1.125</v>
      </c>
      <c r="G75" s="12" t="s">
        <v>414</v>
      </c>
      <c r="H75" s="55">
        <v>1.2430000000000001</v>
      </c>
      <c r="I75" s="55">
        <v>98.9268</v>
      </c>
      <c r="J75" s="55">
        <v>1.2101</v>
      </c>
      <c r="K75" s="55">
        <v>99.224400000000003</v>
      </c>
      <c r="L75" s="55" t="s">
        <v>330</v>
      </c>
      <c r="M75" s="55" t="s">
        <v>330</v>
      </c>
      <c r="N75" s="55">
        <v>1.2512000000000001</v>
      </c>
      <c r="O75" s="55">
        <v>98.852999999999994</v>
      </c>
    </row>
    <row r="76" spans="1:15">
      <c r="A76" s="12" t="s">
        <v>537</v>
      </c>
      <c r="B76" s="14" t="s">
        <v>538</v>
      </c>
      <c r="C76" s="12" t="s">
        <v>539</v>
      </c>
      <c r="D76" s="54">
        <v>10</v>
      </c>
      <c r="E76" s="54">
        <v>9.2100000000000009</v>
      </c>
      <c r="F76" s="55">
        <v>1.125</v>
      </c>
      <c r="G76" s="12" t="s">
        <v>414</v>
      </c>
      <c r="H76" s="55">
        <v>1.32</v>
      </c>
      <c r="I76" s="55">
        <v>98.2149</v>
      </c>
      <c r="J76" s="55">
        <v>1.2222</v>
      </c>
      <c r="K76" s="55">
        <v>99.105099999999993</v>
      </c>
      <c r="L76" s="55" t="s">
        <v>330</v>
      </c>
      <c r="M76" s="55" t="s">
        <v>330</v>
      </c>
      <c r="N76" s="55">
        <v>1.2536</v>
      </c>
      <c r="O76" s="55">
        <v>98.818399999999997</v>
      </c>
    </row>
    <row r="77" spans="1:15">
      <c r="A77" s="12" t="s">
        <v>62</v>
      </c>
      <c r="B77" s="14" t="s">
        <v>358</v>
      </c>
      <c r="C77" s="12" t="s">
        <v>540</v>
      </c>
      <c r="D77" s="54">
        <v>10.34</v>
      </c>
      <c r="E77" s="54">
        <v>9.25</v>
      </c>
      <c r="F77" s="55">
        <v>2</v>
      </c>
      <c r="G77" s="12" t="s">
        <v>414</v>
      </c>
      <c r="H77" s="55" t="s">
        <v>330</v>
      </c>
      <c r="I77" s="55" t="s">
        <v>330</v>
      </c>
      <c r="J77" s="55" t="s">
        <v>330</v>
      </c>
      <c r="K77" s="55" t="s">
        <v>330</v>
      </c>
      <c r="L77" s="55" t="s">
        <v>330</v>
      </c>
      <c r="M77" s="55" t="s">
        <v>330</v>
      </c>
      <c r="N77" s="55">
        <v>1.2608999999999999</v>
      </c>
      <c r="O77" s="55">
        <v>107.1183</v>
      </c>
    </row>
    <row r="78" spans="1:15">
      <c r="A78" s="12" t="s">
        <v>541</v>
      </c>
      <c r="B78" s="14" t="s">
        <v>538</v>
      </c>
      <c r="C78" s="12" t="s">
        <v>539</v>
      </c>
      <c r="D78" s="54">
        <v>10</v>
      </c>
      <c r="E78" s="54">
        <v>9.39</v>
      </c>
      <c r="F78" s="55">
        <v>1.125</v>
      </c>
      <c r="G78" s="12" t="s">
        <v>414</v>
      </c>
      <c r="H78" s="55">
        <v>1.32</v>
      </c>
      <c r="I78" s="55">
        <v>98.184399999999997</v>
      </c>
      <c r="J78" s="55">
        <v>1.2350000000000001</v>
      </c>
      <c r="K78" s="55">
        <v>98.971199999999996</v>
      </c>
      <c r="L78" s="55" t="s">
        <v>330</v>
      </c>
      <c r="M78" s="55" t="s">
        <v>330</v>
      </c>
      <c r="N78" s="55">
        <v>1.2574000000000001</v>
      </c>
      <c r="O78" s="55">
        <v>98.763300000000001</v>
      </c>
    </row>
    <row r="79" spans="1:15">
      <c r="A79" s="12" t="s">
        <v>43</v>
      </c>
      <c r="B79" s="14" t="s">
        <v>542</v>
      </c>
      <c r="C79" s="12" t="s">
        <v>543</v>
      </c>
      <c r="D79" s="54">
        <v>10.57</v>
      </c>
      <c r="E79" s="54">
        <v>9.5299999999999994</v>
      </c>
      <c r="F79" s="55">
        <v>1.875</v>
      </c>
      <c r="G79" s="12" t="s">
        <v>414</v>
      </c>
      <c r="H79" s="55" t="s">
        <v>330</v>
      </c>
      <c r="I79" s="55" t="s">
        <v>330</v>
      </c>
      <c r="J79" s="55" t="s">
        <v>330</v>
      </c>
      <c r="K79" s="55" t="s">
        <v>330</v>
      </c>
      <c r="L79" s="55" t="s">
        <v>330</v>
      </c>
      <c r="M79" s="55" t="s">
        <v>330</v>
      </c>
      <c r="N79" s="55">
        <v>1.2657</v>
      </c>
      <c r="O79" s="55">
        <v>105.9914</v>
      </c>
    </row>
    <row r="80" spans="1:15">
      <c r="A80" s="12" t="s">
        <v>63</v>
      </c>
      <c r="B80" s="14" t="s">
        <v>361</v>
      </c>
      <c r="C80" s="12" t="s">
        <v>544</v>
      </c>
      <c r="D80" s="54">
        <v>11.01</v>
      </c>
      <c r="E80" s="54">
        <v>9.6199999999999992</v>
      </c>
      <c r="F80" s="55">
        <v>2.25</v>
      </c>
      <c r="G80" s="12" t="s">
        <v>414</v>
      </c>
      <c r="H80" s="55" t="s">
        <v>330</v>
      </c>
      <c r="I80" s="55" t="s">
        <v>330</v>
      </c>
      <c r="J80" s="55" t="s">
        <v>330</v>
      </c>
      <c r="K80" s="55" t="s">
        <v>330</v>
      </c>
      <c r="L80" s="55" t="s">
        <v>330</v>
      </c>
      <c r="M80" s="55" t="s">
        <v>330</v>
      </c>
      <c r="N80" s="55">
        <v>1.2724</v>
      </c>
      <c r="O80" s="55">
        <v>109.98480000000001</v>
      </c>
    </row>
    <row r="81" spans="1:15">
      <c r="A81" s="12" t="s">
        <v>64</v>
      </c>
      <c r="B81" s="14" t="s">
        <v>360</v>
      </c>
      <c r="C81" s="12" t="s">
        <v>545</v>
      </c>
      <c r="D81" s="54">
        <v>10.84</v>
      </c>
      <c r="E81" s="54">
        <v>9.69</v>
      </c>
      <c r="F81" s="55">
        <v>2.125</v>
      </c>
      <c r="G81" s="12" t="s">
        <v>414</v>
      </c>
      <c r="H81" s="55" t="s">
        <v>330</v>
      </c>
      <c r="I81" s="55" t="s">
        <v>330</v>
      </c>
      <c r="J81" s="55" t="s">
        <v>330</v>
      </c>
      <c r="K81" s="55" t="s">
        <v>330</v>
      </c>
      <c r="L81" s="55" t="s">
        <v>330</v>
      </c>
      <c r="M81" s="55" t="s">
        <v>330</v>
      </c>
      <c r="N81" s="55">
        <v>1.2698</v>
      </c>
      <c r="O81" s="55">
        <v>108.6075</v>
      </c>
    </row>
    <row r="82" spans="1:15">
      <c r="A82" s="12" t="s">
        <v>26</v>
      </c>
      <c r="B82" s="14" t="s">
        <v>362</v>
      </c>
      <c r="C82" s="12" t="s">
        <v>546</v>
      </c>
      <c r="D82" s="54">
        <v>11.32</v>
      </c>
      <c r="E82" s="54">
        <v>10.029999999999999</v>
      </c>
      <c r="F82" s="55">
        <v>2</v>
      </c>
      <c r="G82" s="12" t="s">
        <v>414</v>
      </c>
      <c r="H82" s="55" t="s">
        <v>330</v>
      </c>
      <c r="I82" s="55" t="s">
        <v>330</v>
      </c>
      <c r="J82" s="55" t="s">
        <v>330</v>
      </c>
      <c r="K82" s="55" t="s">
        <v>330</v>
      </c>
      <c r="L82" s="55" t="s">
        <v>330</v>
      </c>
      <c r="M82" s="55" t="s">
        <v>330</v>
      </c>
      <c r="N82" s="55">
        <v>1.2786999999999999</v>
      </c>
      <c r="O82" s="55">
        <v>107.55459999999999</v>
      </c>
    </row>
    <row r="83" spans="1:15">
      <c r="A83" s="12" t="s">
        <v>48</v>
      </c>
      <c r="B83" s="14" t="s">
        <v>363</v>
      </c>
      <c r="C83" s="12" t="s">
        <v>547</v>
      </c>
      <c r="D83" s="54">
        <v>11.55</v>
      </c>
      <c r="E83" s="54">
        <v>10.199999999999999</v>
      </c>
      <c r="F83" s="55">
        <v>2.125</v>
      </c>
      <c r="G83" s="12" t="s">
        <v>414</v>
      </c>
      <c r="H83" s="55" t="s">
        <v>330</v>
      </c>
      <c r="I83" s="55" t="s">
        <v>330</v>
      </c>
      <c r="J83" s="55" t="s">
        <v>330</v>
      </c>
      <c r="K83" s="55" t="s">
        <v>330</v>
      </c>
      <c r="L83" s="55" t="s">
        <v>330</v>
      </c>
      <c r="M83" s="55" t="s">
        <v>330</v>
      </c>
      <c r="N83" s="55">
        <v>1.2821</v>
      </c>
      <c r="O83" s="55">
        <v>108.9896</v>
      </c>
    </row>
    <row r="84" spans="1:15">
      <c r="A84" s="12" t="s">
        <v>53</v>
      </c>
      <c r="B84" s="14" t="s">
        <v>548</v>
      </c>
      <c r="C84" s="12" t="s">
        <v>549</v>
      </c>
      <c r="D84" s="54">
        <v>12.08</v>
      </c>
      <c r="E84" s="54">
        <v>10.72</v>
      </c>
      <c r="F84" s="55">
        <v>1.75</v>
      </c>
      <c r="G84" s="12" t="s">
        <v>414</v>
      </c>
      <c r="H84" s="55" t="s">
        <v>330</v>
      </c>
      <c r="I84" s="55" t="s">
        <v>330</v>
      </c>
      <c r="J84" s="55" t="s">
        <v>330</v>
      </c>
      <c r="K84" s="55" t="s">
        <v>330</v>
      </c>
      <c r="L84" s="55" t="s">
        <v>330</v>
      </c>
      <c r="M84" s="55" t="s">
        <v>330</v>
      </c>
      <c r="N84" s="55">
        <v>1.2927</v>
      </c>
      <c r="O84" s="55">
        <v>105.0825</v>
      </c>
    </row>
    <row r="85" spans="1:15">
      <c r="A85" s="12" t="s">
        <v>38</v>
      </c>
      <c r="B85" s="14" t="s">
        <v>364</v>
      </c>
      <c r="C85" s="12" t="s">
        <v>550</v>
      </c>
      <c r="D85" s="54">
        <v>12.32</v>
      </c>
      <c r="E85" s="54">
        <v>11.17</v>
      </c>
      <c r="F85" s="55">
        <v>1.375</v>
      </c>
      <c r="G85" s="12" t="s">
        <v>414</v>
      </c>
      <c r="H85" s="55" t="s">
        <v>330</v>
      </c>
      <c r="I85" s="55" t="s">
        <v>330</v>
      </c>
      <c r="J85" s="55" t="s">
        <v>330</v>
      </c>
      <c r="K85" s="55" t="s">
        <v>330</v>
      </c>
      <c r="L85" s="55" t="s">
        <v>330</v>
      </c>
      <c r="M85" s="55" t="s">
        <v>330</v>
      </c>
      <c r="N85" s="55">
        <v>1.2983</v>
      </c>
      <c r="O85" s="55">
        <v>100.8661</v>
      </c>
    </row>
    <row r="86" spans="1:15">
      <c r="A86" s="12" t="s">
        <v>33</v>
      </c>
      <c r="B86" s="14" t="s">
        <v>551</v>
      </c>
      <c r="C86" s="12" t="s">
        <v>552</v>
      </c>
      <c r="D86" s="54">
        <v>12.53</v>
      </c>
      <c r="E86" s="54">
        <v>11.45</v>
      </c>
      <c r="F86" s="55">
        <v>1.25</v>
      </c>
      <c r="G86" s="12" t="s">
        <v>414</v>
      </c>
      <c r="H86" s="55" t="s">
        <v>330</v>
      </c>
      <c r="I86" s="55" t="s">
        <v>330</v>
      </c>
      <c r="J86" s="55" t="s">
        <v>330</v>
      </c>
      <c r="K86" s="55" t="s">
        <v>330</v>
      </c>
      <c r="L86" s="55" t="s">
        <v>330</v>
      </c>
      <c r="M86" s="55" t="s">
        <v>330</v>
      </c>
      <c r="N86" s="55">
        <v>1.3023</v>
      </c>
      <c r="O86" s="55">
        <v>99.397000000000006</v>
      </c>
    </row>
    <row r="87" spans="1:15">
      <c r="A87" s="12" t="s">
        <v>44</v>
      </c>
      <c r="B87" s="14" t="s">
        <v>366</v>
      </c>
      <c r="C87" s="12" t="s">
        <v>553</v>
      </c>
      <c r="D87" s="54">
        <v>12.81</v>
      </c>
      <c r="E87" s="54">
        <v>11.81</v>
      </c>
      <c r="F87" s="55">
        <v>1.125</v>
      </c>
      <c r="G87" s="12" t="s">
        <v>414</v>
      </c>
      <c r="H87" s="55" t="s">
        <v>330</v>
      </c>
      <c r="I87" s="55" t="s">
        <v>330</v>
      </c>
      <c r="J87" s="55" t="s">
        <v>330</v>
      </c>
      <c r="K87" s="55" t="s">
        <v>330</v>
      </c>
      <c r="L87" s="55" t="s">
        <v>330</v>
      </c>
      <c r="M87" s="55" t="s">
        <v>330</v>
      </c>
      <c r="N87" s="55">
        <v>1.3075000000000001</v>
      </c>
      <c r="O87" s="55">
        <v>97.859499999999997</v>
      </c>
    </row>
    <row r="88" spans="1:15">
      <c r="A88" s="12" t="s">
        <v>35</v>
      </c>
      <c r="B88" s="14" t="s">
        <v>554</v>
      </c>
      <c r="C88" s="12" t="s">
        <v>555</v>
      </c>
      <c r="D88" s="54">
        <v>13.4</v>
      </c>
      <c r="E88" s="54">
        <v>11.83</v>
      </c>
      <c r="F88" s="55">
        <v>1.75</v>
      </c>
      <c r="G88" s="12" t="s">
        <v>414</v>
      </c>
      <c r="H88" s="55" t="s">
        <v>330</v>
      </c>
      <c r="I88" s="55" t="s">
        <v>330</v>
      </c>
      <c r="J88" s="55" t="s">
        <v>330</v>
      </c>
      <c r="K88" s="55" t="s">
        <v>330</v>
      </c>
      <c r="L88" s="55" t="s">
        <v>330</v>
      </c>
      <c r="M88" s="55" t="s">
        <v>330</v>
      </c>
      <c r="N88" s="55">
        <v>1.3136000000000001</v>
      </c>
      <c r="O88" s="55">
        <v>105.32680000000001</v>
      </c>
    </row>
    <row r="89" spans="1:15">
      <c r="A89" s="12" t="s">
        <v>65</v>
      </c>
      <c r="B89" s="14" t="s">
        <v>556</v>
      </c>
      <c r="C89" s="12" t="s">
        <v>557</v>
      </c>
      <c r="D89" s="54">
        <v>13.89</v>
      </c>
      <c r="E89" s="54">
        <v>12.47</v>
      </c>
      <c r="F89" s="55">
        <v>1.5</v>
      </c>
      <c r="G89" s="12" t="s">
        <v>414</v>
      </c>
      <c r="H89" s="55" t="s">
        <v>330</v>
      </c>
      <c r="I89" s="55" t="s">
        <v>330</v>
      </c>
      <c r="J89" s="55" t="s">
        <v>330</v>
      </c>
      <c r="K89" s="55" t="s">
        <v>330</v>
      </c>
      <c r="L89" s="55" t="s">
        <v>330</v>
      </c>
      <c r="M89" s="55" t="s">
        <v>330</v>
      </c>
      <c r="N89" s="55">
        <v>1.3224</v>
      </c>
      <c r="O89" s="55">
        <v>102.239</v>
      </c>
    </row>
    <row r="90" spans="1:15">
      <c r="A90" s="12" t="s">
        <v>66</v>
      </c>
      <c r="B90" s="14" t="s">
        <v>371</v>
      </c>
      <c r="C90" s="12" t="s">
        <v>558</v>
      </c>
      <c r="D90" s="54">
        <v>14.46</v>
      </c>
      <c r="E90" s="54">
        <v>12.95</v>
      </c>
      <c r="F90" s="55">
        <v>1.375</v>
      </c>
      <c r="G90" s="12" t="s">
        <v>414</v>
      </c>
      <c r="H90" s="55" t="s">
        <v>330</v>
      </c>
      <c r="I90" s="55" t="s">
        <v>330</v>
      </c>
      <c r="J90" s="55" t="s">
        <v>330</v>
      </c>
      <c r="K90" s="55" t="s">
        <v>330</v>
      </c>
      <c r="L90" s="55" t="s">
        <v>330</v>
      </c>
      <c r="M90" s="55" t="s">
        <v>330</v>
      </c>
      <c r="N90" s="55">
        <v>1.3313999999999999</v>
      </c>
      <c r="O90" s="55">
        <v>100.5673</v>
      </c>
    </row>
    <row r="91" spans="1:15">
      <c r="A91" s="12" t="s">
        <v>67</v>
      </c>
      <c r="B91" s="14" t="s">
        <v>372</v>
      </c>
      <c r="C91" s="12" t="s">
        <v>559</v>
      </c>
      <c r="D91" s="54">
        <v>14.98</v>
      </c>
      <c r="E91" s="54">
        <v>13.66</v>
      </c>
      <c r="F91" s="55">
        <v>1.125</v>
      </c>
      <c r="G91" s="12" t="s">
        <v>414</v>
      </c>
      <c r="H91" s="55" t="s">
        <v>330</v>
      </c>
      <c r="I91" s="55" t="s">
        <v>330</v>
      </c>
      <c r="J91" s="55" t="s">
        <v>330</v>
      </c>
      <c r="K91" s="55" t="s">
        <v>330</v>
      </c>
      <c r="L91" s="55" t="s">
        <v>330</v>
      </c>
      <c r="M91" s="55" t="s">
        <v>330</v>
      </c>
      <c r="N91" s="55">
        <v>1.3407</v>
      </c>
      <c r="O91" s="55">
        <v>97.090400000000002</v>
      </c>
    </row>
    <row r="92" spans="1:15">
      <c r="A92" s="12" t="s">
        <v>22</v>
      </c>
      <c r="B92" s="14" t="s">
        <v>560</v>
      </c>
      <c r="C92" s="12" t="s">
        <v>561</v>
      </c>
      <c r="D92" s="54">
        <v>16.329999999999998</v>
      </c>
      <c r="E92" s="54">
        <v>13.66</v>
      </c>
      <c r="F92" s="55">
        <v>2.25</v>
      </c>
      <c r="G92" s="12" t="s">
        <v>414</v>
      </c>
      <c r="H92" s="55" t="s">
        <v>330</v>
      </c>
      <c r="I92" s="55" t="s">
        <v>330</v>
      </c>
      <c r="J92" s="55" t="s">
        <v>330</v>
      </c>
      <c r="K92" s="55" t="s">
        <v>330</v>
      </c>
      <c r="L92" s="55" t="s">
        <v>330</v>
      </c>
      <c r="M92" s="55" t="s">
        <v>330</v>
      </c>
      <c r="N92" s="55">
        <v>1.3521000000000001</v>
      </c>
      <c r="O92" s="55">
        <v>113.07729999999999</v>
      </c>
    </row>
    <row r="93" spans="1:15">
      <c r="A93" s="12" t="s">
        <v>243</v>
      </c>
      <c r="B93" s="14" t="s">
        <v>562</v>
      </c>
      <c r="C93" s="12" t="s">
        <v>563</v>
      </c>
      <c r="D93" s="54">
        <v>15.34</v>
      </c>
      <c r="E93" s="54">
        <v>13.85</v>
      </c>
      <c r="F93" s="55">
        <v>1.125</v>
      </c>
      <c r="G93" s="12" t="s">
        <v>414</v>
      </c>
      <c r="H93" s="55" t="s">
        <v>330</v>
      </c>
      <c r="I93" s="55" t="s">
        <v>330</v>
      </c>
      <c r="J93" s="55" t="s">
        <v>330</v>
      </c>
      <c r="K93" s="55" t="s">
        <v>330</v>
      </c>
      <c r="L93" s="55" t="s">
        <v>330</v>
      </c>
      <c r="M93" s="55" t="s">
        <v>330</v>
      </c>
      <c r="N93" s="55">
        <v>1.3456999999999999</v>
      </c>
      <c r="O93" s="55">
        <v>96.958299999999994</v>
      </c>
    </row>
    <row r="94" spans="1:15">
      <c r="A94" s="12" t="s">
        <v>244</v>
      </c>
      <c r="B94" s="14" t="s">
        <v>374</v>
      </c>
      <c r="C94" s="12" t="s">
        <v>564</v>
      </c>
      <c r="D94" s="54">
        <v>15.43</v>
      </c>
      <c r="E94" s="54">
        <v>13.95</v>
      </c>
      <c r="F94" s="55">
        <v>1.125</v>
      </c>
      <c r="G94" s="12" t="s">
        <v>414</v>
      </c>
      <c r="H94" s="55" t="s">
        <v>330</v>
      </c>
      <c r="I94" s="55" t="s">
        <v>330</v>
      </c>
      <c r="J94" s="55" t="s">
        <v>330</v>
      </c>
      <c r="K94" s="55" t="s">
        <v>330</v>
      </c>
      <c r="L94" s="55" t="s">
        <v>330</v>
      </c>
      <c r="M94" s="55" t="s">
        <v>330</v>
      </c>
      <c r="N94" s="55">
        <v>1.3471</v>
      </c>
      <c r="O94" s="55">
        <v>96.922700000000006</v>
      </c>
    </row>
    <row r="95" spans="1:15">
      <c r="A95" s="56" t="s">
        <v>45</v>
      </c>
      <c r="B95" s="57" t="s">
        <v>565</v>
      </c>
      <c r="C95" s="56" t="s">
        <v>566</v>
      </c>
      <c r="D95" s="58">
        <v>17.25</v>
      </c>
      <c r="E95" s="58">
        <v>14.39</v>
      </c>
      <c r="F95" s="59">
        <v>2.125</v>
      </c>
      <c r="G95" s="56" t="s">
        <v>414</v>
      </c>
      <c r="H95" s="59">
        <v>1.4</v>
      </c>
      <c r="I95" s="59">
        <v>111.0393</v>
      </c>
      <c r="J95" s="59">
        <v>1.3</v>
      </c>
      <c r="K95" s="59">
        <v>112.6721</v>
      </c>
      <c r="L95" s="59" t="s">
        <v>330</v>
      </c>
      <c r="M95" s="59" t="s">
        <v>330</v>
      </c>
      <c r="N95" s="59">
        <v>1.3647</v>
      </c>
      <c r="O95" s="59">
        <v>111.6122</v>
      </c>
    </row>
    <row r="96" spans="1:15">
      <c r="A96" s="12" t="s">
        <v>23</v>
      </c>
      <c r="B96" s="14" t="s">
        <v>567</v>
      </c>
      <c r="C96" s="12" t="s">
        <v>568</v>
      </c>
      <c r="D96" s="54">
        <v>17.399999999999999</v>
      </c>
      <c r="E96" s="54">
        <v>14.65</v>
      </c>
      <c r="F96" s="55">
        <v>2</v>
      </c>
      <c r="G96" s="12" t="s">
        <v>414</v>
      </c>
      <c r="H96" s="55" t="s">
        <v>330</v>
      </c>
      <c r="I96" s="55" t="s">
        <v>330</v>
      </c>
      <c r="J96" s="55" t="s">
        <v>330</v>
      </c>
      <c r="K96" s="55" t="s">
        <v>330</v>
      </c>
      <c r="L96" s="55" t="s">
        <v>330</v>
      </c>
      <c r="M96" s="55" t="s">
        <v>330</v>
      </c>
      <c r="N96" s="55">
        <v>1.3674999999999999</v>
      </c>
      <c r="O96" s="55">
        <v>109.7329</v>
      </c>
    </row>
    <row r="97" spans="1:15">
      <c r="A97" s="12" t="s">
        <v>39</v>
      </c>
      <c r="B97" s="14" t="s">
        <v>569</v>
      </c>
      <c r="C97" s="12" t="s">
        <v>570</v>
      </c>
      <c r="D97" s="54">
        <v>15.94</v>
      </c>
      <c r="E97" s="54">
        <v>14.82</v>
      </c>
      <c r="F97" s="55">
        <v>0.75</v>
      </c>
      <c r="G97" s="12" t="s">
        <v>414</v>
      </c>
      <c r="H97" s="55" t="s">
        <v>330</v>
      </c>
      <c r="I97" s="55" t="s">
        <v>330</v>
      </c>
      <c r="J97" s="55" t="s">
        <v>330</v>
      </c>
      <c r="K97" s="55" t="s">
        <v>330</v>
      </c>
      <c r="L97" s="55" t="s">
        <v>330</v>
      </c>
      <c r="M97" s="55" t="s">
        <v>330</v>
      </c>
      <c r="N97" s="55">
        <v>1.357</v>
      </c>
      <c r="O97" s="55">
        <v>91.351600000000005</v>
      </c>
    </row>
    <row r="98" spans="1:15">
      <c r="A98" s="12" t="s">
        <v>245</v>
      </c>
      <c r="B98" s="14" t="s">
        <v>571</v>
      </c>
      <c r="C98" s="12" t="s">
        <v>572</v>
      </c>
      <c r="D98" s="54">
        <v>16.3</v>
      </c>
      <c r="E98" s="54">
        <v>15.06</v>
      </c>
      <c r="F98" s="55">
        <v>0.75</v>
      </c>
      <c r="G98" s="12" t="s">
        <v>414</v>
      </c>
      <c r="H98" s="55" t="s">
        <v>330</v>
      </c>
      <c r="I98" s="55" t="s">
        <v>330</v>
      </c>
      <c r="J98" s="55" t="s">
        <v>330</v>
      </c>
      <c r="K98" s="55" t="s">
        <v>330</v>
      </c>
      <c r="L98" s="55" t="s">
        <v>330</v>
      </c>
      <c r="M98" s="55" t="s">
        <v>330</v>
      </c>
      <c r="N98" s="55">
        <v>1.3621000000000001</v>
      </c>
      <c r="O98" s="55">
        <v>91.104100000000003</v>
      </c>
    </row>
    <row r="99" spans="1:15">
      <c r="A99" s="12" t="s">
        <v>46</v>
      </c>
      <c r="B99" s="14" t="s">
        <v>573</v>
      </c>
      <c r="C99" s="12" t="s">
        <v>574</v>
      </c>
      <c r="D99" s="54">
        <v>17.899999999999999</v>
      </c>
      <c r="E99" s="54">
        <v>15.25</v>
      </c>
      <c r="F99" s="55">
        <v>1.875</v>
      </c>
      <c r="G99" s="12" t="s">
        <v>414</v>
      </c>
      <c r="H99" s="55">
        <v>1.39</v>
      </c>
      <c r="I99" s="55">
        <v>107.6375</v>
      </c>
      <c r="J99" s="55">
        <v>1.35</v>
      </c>
      <c r="K99" s="55">
        <v>108.2972</v>
      </c>
      <c r="L99" s="55" t="s">
        <v>330</v>
      </c>
      <c r="M99" s="55" t="s">
        <v>330</v>
      </c>
      <c r="N99" s="55">
        <v>1.3747</v>
      </c>
      <c r="O99" s="55">
        <v>107.8895</v>
      </c>
    </row>
    <row r="100" spans="1:15">
      <c r="A100" s="12" t="s">
        <v>246</v>
      </c>
      <c r="B100" s="14" t="s">
        <v>575</v>
      </c>
      <c r="C100" s="12" t="s">
        <v>576</v>
      </c>
      <c r="D100" s="54">
        <v>16.45</v>
      </c>
      <c r="E100" s="54">
        <v>15.51</v>
      </c>
      <c r="F100" s="55">
        <v>0.5</v>
      </c>
      <c r="G100" s="12" t="s">
        <v>414</v>
      </c>
      <c r="H100" s="55" t="s">
        <v>330</v>
      </c>
      <c r="I100" s="55" t="s">
        <v>330</v>
      </c>
      <c r="J100" s="55" t="s">
        <v>330</v>
      </c>
      <c r="K100" s="55" t="s">
        <v>330</v>
      </c>
      <c r="L100" s="55" t="s">
        <v>330</v>
      </c>
      <c r="M100" s="55" t="s">
        <v>330</v>
      </c>
      <c r="N100" s="55">
        <v>1.3661000000000001</v>
      </c>
      <c r="O100" s="55">
        <v>87.319599999999994</v>
      </c>
    </row>
    <row r="101" spans="1:15">
      <c r="A101" s="12" t="s">
        <v>24</v>
      </c>
      <c r="B101" s="14" t="s">
        <v>577</v>
      </c>
      <c r="C101" s="12" t="s">
        <v>578</v>
      </c>
      <c r="D101" s="54">
        <v>18.38</v>
      </c>
      <c r="E101" s="54">
        <v>15.58</v>
      </c>
      <c r="F101" s="55">
        <v>1.75</v>
      </c>
      <c r="G101" s="12" t="s">
        <v>414</v>
      </c>
      <c r="H101" s="55">
        <v>1.42</v>
      </c>
      <c r="I101" s="55">
        <v>105.3022</v>
      </c>
      <c r="J101" s="55">
        <v>1.32</v>
      </c>
      <c r="K101" s="55">
        <v>106.9738</v>
      </c>
      <c r="L101" s="55" t="s">
        <v>330</v>
      </c>
      <c r="M101" s="55" t="s">
        <v>330</v>
      </c>
      <c r="N101" s="55">
        <v>1.3815999999999999</v>
      </c>
      <c r="O101" s="55">
        <v>105.94119999999999</v>
      </c>
    </row>
    <row r="102" spans="1:15">
      <c r="A102" s="12" t="s">
        <v>261</v>
      </c>
      <c r="B102" s="14" t="s">
        <v>579</v>
      </c>
      <c r="C102" s="12" t="s">
        <v>580</v>
      </c>
      <c r="D102" s="54">
        <v>19.010000000000002</v>
      </c>
      <c r="E102" s="54">
        <v>15.8</v>
      </c>
      <c r="F102" s="55">
        <v>1.875</v>
      </c>
      <c r="G102" s="12" t="s">
        <v>414</v>
      </c>
      <c r="H102" s="55" t="s">
        <v>330</v>
      </c>
      <c r="I102" s="55" t="s">
        <v>330</v>
      </c>
      <c r="J102" s="55" t="s">
        <v>330</v>
      </c>
      <c r="K102" s="55" t="s">
        <v>330</v>
      </c>
      <c r="L102" s="55" t="s">
        <v>330</v>
      </c>
      <c r="M102" s="55" t="s">
        <v>330</v>
      </c>
      <c r="N102" s="55">
        <v>1.3883000000000001</v>
      </c>
      <c r="O102" s="55">
        <v>108.081</v>
      </c>
    </row>
    <row r="103" spans="1:15">
      <c r="A103" s="12" t="s">
        <v>68</v>
      </c>
      <c r="B103" s="14" t="s">
        <v>357</v>
      </c>
      <c r="C103" s="12" t="s">
        <v>581</v>
      </c>
      <c r="D103" s="54">
        <v>19.84</v>
      </c>
      <c r="E103" s="54">
        <v>16</v>
      </c>
      <c r="F103" s="55">
        <v>2.5</v>
      </c>
      <c r="G103" s="12" t="s">
        <v>414</v>
      </c>
      <c r="H103" s="55" t="s">
        <v>330</v>
      </c>
      <c r="I103" s="55" t="s">
        <v>330</v>
      </c>
      <c r="J103" s="55" t="s">
        <v>330</v>
      </c>
      <c r="K103" s="55" t="s">
        <v>330</v>
      </c>
      <c r="L103" s="55" t="s">
        <v>330</v>
      </c>
      <c r="M103" s="55" t="s">
        <v>330</v>
      </c>
      <c r="N103" s="55">
        <v>1.3934</v>
      </c>
      <c r="O103" s="55">
        <v>119.06699999999999</v>
      </c>
    </row>
    <row r="104" spans="1:15">
      <c r="A104" s="12" t="s">
        <v>247</v>
      </c>
      <c r="B104" s="14" t="s">
        <v>378</v>
      </c>
      <c r="C104" s="12" t="s">
        <v>582</v>
      </c>
      <c r="D104" s="54">
        <v>16.98</v>
      </c>
      <c r="E104" s="54">
        <v>16.03</v>
      </c>
      <c r="F104" s="55">
        <v>0.5</v>
      </c>
      <c r="G104" s="12" t="s">
        <v>414</v>
      </c>
      <c r="H104" s="55" t="s">
        <v>330</v>
      </c>
      <c r="I104" s="55" t="s">
        <v>330</v>
      </c>
      <c r="J104" s="55" t="s">
        <v>330</v>
      </c>
      <c r="K104" s="55" t="s">
        <v>330</v>
      </c>
      <c r="L104" s="55" t="s">
        <v>330</v>
      </c>
      <c r="M104" s="55" t="s">
        <v>330</v>
      </c>
      <c r="N104" s="55">
        <v>1.3734</v>
      </c>
      <c r="O104" s="55">
        <v>86.856999999999999</v>
      </c>
    </row>
    <row r="105" spans="1:15">
      <c r="A105" s="12" t="s">
        <v>69</v>
      </c>
      <c r="B105" s="14" t="s">
        <v>583</v>
      </c>
      <c r="C105" s="12" t="s">
        <v>584</v>
      </c>
      <c r="D105" s="54">
        <v>18.91</v>
      </c>
      <c r="E105" s="54">
        <v>16.239999999999998</v>
      </c>
      <c r="F105" s="55">
        <v>1.625</v>
      </c>
      <c r="G105" s="12" t="s">
        <v>414</v>
      </c>
      <c r="H105" s="55" t="s">
        <v>330</v>
      </c>
      <c r="I105" s="55" t="s">
        <v>330</v>
      </c>
      <c r="J105" s="55" t="s">
        <v>330</v>
      </c>
      <c r="K105" s="55" t="s">
        <v>330</v>
      </c>
      <c r="L105" s="55" t="s">
        <v>330</v>
      </c>
      <c r="M105" s="55" t="s">
        <v>330</v>
      </c>
      <c r="N105" s="55">
        <v>1.3891</v>
      </c>
      <c r="O105" s="55">
        <v>103.8972</v>
      </c>
    </row>
    <row r="106" spans="1:15">
      <c r="A106" s="12" t="s">
        <v>249</v>
      </c>
      <c r="B106" s="14" t="s">
        <v>379</v>
      </c>
      <c r="C106" s="12" t="s">
        <v>585</v>
      </c>
      <c r="D106" s="54">
        <v>17.34</v>
      </c>
      <c r="E106" s="54">
        <v>16.3</v>
      </c>
      <c r="F106" s="55">
        <v>0.5</v>
      </c>
      <c r="G106" s="12" t="s">
        <v>414</v>
      </c>
      <c r="H106" s="55" t="s">
        <v>330</v>
      </c>
      <c r="I106" s="55" t="s">
        <v>330</v>
      </c>
      <c r="J106" s="55" t="s">
        <v>330</v>
      </c>
      <c r="K106" s="55" t="s">
        <v>330</v>
      </c>
      <c r="L106" s="55" t="s">
        <v>330</v>
      </c>
      <c r="M106" s="55" t="s">
        <v>330</v>
      </c>
      <c r="N106" s="55">
        <v>1.3784000000000001</v>
      </c>
      <c r="O106" s="55">
        <v>86.5351</v>
      </c>
    </row>
    <row r="107" spans="1:15">
      <c r="A107" s="12" t="s">
        <v>40</v>
      </c>
      <c r="B107" s="14" t="s">
        <v>586</v>
      </c>
      <c r="C107" s="12" t="s">
        <v>587</v>
      </c>
      <c r="D107" s="54">
        <v>19.41</v>
      </c>
      <c r="E107" s="54">
        <v>16.34</v>
      </c>
      <c r="F107" s="55">
        <v>1.75</v>
      </c>
      <c r="G107" s="12" t="s">
        <v>414</v>
      </c>
      <c r="H107" s="55" t="s">
        <v>330</v>
      </c>
      <c r="I107" s="55" t="s">
        <v>330</v>
      </c>
      <c r="J107" s="55" t="s">
        <v>330</v>
      </c>
      <c r="K107" s="55" t="s">
        <v>330</v>
      </c>
      <c r="L107" s="55" t="s">
        <v>330</v>
      </c>
      <c r="M107" s="55" t="s">
        <v>330</v>
      </c>
      <c r="N107" s="55">
        <v>1.3942000000000001</v>
      </c>
      <c r="O107" s="55">
        <v>106.0119</v>
      </c>
    </row>
    <row r="108" spans="1:15">
      <c r="A108" s="12" t="s">
        <v>216</v>
      </c>
      <c r="B108" s="14" t="s">
        <v>588</v>
      </c>
      <c r="C108" s="12" t="s">
        <v>589</v>
      </c>
      <c r="D108" s="54">
        <v>17.25</v>
      </c>
      <c r="E108" s="54">
        <v>16.399999999999999</v>
      </c>
      <c r="F108" s="55">
        <v>0.375</v>
      </c>
      <c r="G108" s="12" t="s">
        <v>414</v>
      </c>
      <c r="H108" s="55">
        <v>1.415</v>
      </c>
      <c r="I108" s="55">
        <v>84.178100000000001</v>
      </c>
      <c r="J108" s="55">
        <v>1.3149999999999999</v>
      </c>
      <c r="K108" s="55">
        <v>85.5749</v>
      </c>
      <c r="L108" s="55" t="s">
        <v>330</v>
      </c>
      <c r="M108" s="55" t="s">
        <v>330</v>
      </c>
      <c r="N108" s="55">
        <v>1.3784000000000001</v>
      </c>
      <c r="O108" s="55">
        <v>84.686800000000005</v>
      </c>
    </row>
    <row r="109" spans="1:15">
      <c r="A109" s="12" t="s">
        <v>213</v>
      </c>
      <c r="B109" s="14" t="s">
        <v>590</v>
      </c>
      <c r="C109" s="12" t="s">
        <v>591</v>
      </c>
      <c r="D109" s="54">
        <v>18.309999999999999</v>
      </c>
      <c r="E109" s="54">
        <v>16.41</v>
      </c>
      <c r="F109" s="55">
        <v>1</v>
      </c>
      <c r="G109" s="12" t="s">
        <v>414</v>
      </c>
      <c r="H109" s="55" t="s">
        <v>330</v>
      </c>
      <c r="I109" s="55" t="s">
        <v>330</v>
      </c>
      <c r="J109" s="55" t="s">
        <v>330</v>
      </c>
      <c r="K109" s="55" t="s">
        <v>330</v>
      </c>
      <c r="L109" s="55" t="s">
        <v>330</v>
      </c>
      <c r="M109" s="55" t="s">
        <v>330</v>
      </c>
      <c r="N109" s="55">
        <v>1.3869</v>
      </c>
      <c r="O109" s="55">
        <v>93.781199999999998</v>
      </c>
    </row>
    <row r="110" spans="1:15">
      <c r="A110" s="12" t="s">
        <v>248</v>
      </c>
      <c r="B110" s="14" t="s">
        <v>380</v>
      </c>
      <c r="C110" s="12" t="s">
        <v>592</v>
      </c>
      <c r="D110" s="54">
        <v>17.649999999999999</v>
      </c>
      <c r="E110" s="54">
        <v>16.420000000000002</v>
      </c>
      <c r="F110" s="55">
        <v>0.625</v>
      </c>
      <c r="G110" s="12" t="s">
        <v>414</v>
      </c>
      <c r="H110" s="55" t="s">
        <v>330</v>
      </c>
      <c r="I110" s="55" t="s">
        <v>330</v>
      </c>
      <c r="J110" s="55" t="s">
        <v>330</v>
      </c>
      <c r="K110" s="55" t="s">
        <v>330</v>
      </c>
      <c r="L110" s="55" t="s">
        <v>330</v>
      </c>
      <c r="M110" s="55" t="s">
        <v>330</v>
      </c>
      <c r="N110" s="55">
        <v>1.3815</v>
      </c>
      <c r="O110" s="55">
        <v>88.225399999999993</v>
      </c>
    </row>
    <row r="111" spans="1:15">
      <c r="A111" s="12" t="s">
        <v>47</v>
      </c>
      <c r="B111" s="14" t="s">
        <v>359</v>
      </c>
      <c r="C111" s="12" t="s">
        <v>593</v>
      </c>
      <c r="D111" s="54">
        <v>20.41</v>
      </c>
      <c r="E111" s="54">
        <v>16.61</v>
      </c>
      <c r="F111" s="55">
        <v>2.125</v>
      </c>
      <c r="G111" s="12" t="s">
        <v>414</v>
      </c>
      <c r="H111" s="55" t="s">
        <v>330</v>
      </c>
      <c r="I111" s="55" t="s">
        <v>330</v>
      </c>
      <c r="J111" s="55" t="s">
        <v>330</v>
      </c>
      <c r="K111" s="55" t="s">
        <v>330</v>
      </c>
      <c r="L111" s="55" t="s">
        <v>330</v>
      </c>
      <c r="M111" s="55" t="s">
        <v>330</v>
      </c>
      <c r="N111" s="55">
        <v>1.4029</v>
      </c>
      <c r="O111" s="55">
        <v>112.73739999999999</v>
      </c>
    </row>
    <row r="112" spans="1:15">
      <c r="A112" s="12" t="s">
        <v>215</v>
      </c>
      <c r="B112" s="14" t="s">
        <v>594</v>
      </c>
      <c r="C112" s="12" t="s">
        <v>595</v>
      </c>
      <c r="D112" s="54">
        <v>18.43</v>
      </c>
      <c r="E112" s="54">
        <v>16.7</v>
      </c>
      <c r="F112" s="55">
        <v>0.875</v>
      </c>
      <c r="G112" s="12" t="s">
        <v>414</v>
      </c>
      <c r="H112" s="55" t="s">
        <v>330</v>
      </c>
      <c r="I112" s="55" t="s">
        <v>330</v>
      </c>
      <c r="J112" s="55" t="s">
        <v>330</v>
      </c>
      <c r="K112" s="55" t="s">
        <v>330</v>
      </c>
      <c r="L112" s="55" t="s">
        <v>330</v>
      </c>
      <c r="M112" s="55" t="s">
        <v>330</v>
      </c>
      <c r="N112" s="55">
        <v>1.3895999999999999</v>
      </c>
      <c r="O112" s="55">
        <v>91.681299999999993</v>
      </c>
    </row>
    <row r="113" spans="1:15">
      <c r="A113" s="12" t="s">
        <v>250</v>
      </c>
      <c r="B113" s="14" t="s">
        <v>382</v>
      </c>
      <c r="C113" s="12" t="s">
        <v>596</v>
      </c>
      <c r="D113" s="54">
        <v>18.13</v>
      </c>
      <c r="E113" s="54">
        <v>16.77</v>
      </c>
      <c r="F113" s="55">
        <v>0.625</v>
      </c>
      <c r="G113" s="12" t="s">
        <v>414</v>
      </c>
      <c r="H113" s="55" t="s">
        <v>330</v>
      </c>
      <c r="I113" s="55" t="s">
        <v>330</v>
      </c>
      <c r="J113" s="55" t="s">
        <v>330</v>
      </c>
      <c r="K113" s="55" t="s">
        <v>330</v>
      </c>
      <c r="L113" s="55" t="s">
        <v>330</v>
      </c>
      <c r="M113" s="55" t="s">
        <v>330</v>
      </c>
      <c r="N113" s="55">
        <v>1.3877999999999999</v>
      </c>
      <c r="O113" s="55">
        <v>87.850300000000004</v>
      </c>
    </row>
    <row r="114" spans="1:15">
      <c r="A114" s="12" t="s">
        <v>277</v>
      </c>
      <c r="B114" s="14" t="s">
        <v>597</v>
      </c>
      <c r="C114" s="12" t="s">
        <v>598</v>
      </c>
      <c r="D114" s="54">
        <v>19.43</v>
      </c>
      <c r="E114" s="54">
        <v>16.809999999999999</v>
      </c>
      <c r="F114" s="55">
        <v>1.375</v>
      </c>
      <c r="G114" s="12" t="s">
        <v>414</v>
      </c>
      <c r="H114" s="55">
        <v>1.42</v>
      </c>
      <c r="I114" s="55">
        <v>99.238200000000006</v>
      </c>
      <c r="J114" s="55">
        <v>1.38</v>
      </c>
      <c r="K114" s="55">
        <v>99.912999999999997</v>
      </c>
      <c r="L114" s="55" t="s">
        <v>330</v>
      </c>
      <c r="M114" s="55" t="s">
        <v>330</v>
      </c>
      <c r="N114" s="55">
        <v>1.3976</v>
      </c>
      <c r="O114" s="55">
        <v>99.615399999999994</v>
      </c>
    </row>
    <row r="115" spans="1:15">
      <c r="A115" s="12" t="s">
        <v>251</v>
      </c>
      <c r="B115" s="14" t="s">
        <v>599</v>
      </c>
      <c r="C115" s="12" t="s">
        <v>600</v>
      </c>
      <c r="D115" s="54">
        <v>18</v>
      </c>
      <c r="E115" s="54">
        <v>16.850000000000001</v>
      </c>
      <c r="F115" s="55">
        <v>0.5</v>
      </c>
      <c r="G115" s="12" t="s">
        <v>414</v>
      </c>
      <c r="H115" s="55" t="s">
        <v>330</v>
      </c>
      <c r="I115" s="55" t="s">
        <v>330</v>
      </c>
      <c r="J115" s="55" t="s">
        <v>330</v>
      </c>
      <c r="K115" s="55" t="s">
        <v>330</v>
      </c>
      <c r="L115" s="55" t="s">
        <v>330</v>
      </c>
      <c r="M115" s="55" t="s">
        <v>330</v>
      </c>
      <c r="N115" s="55">
        <v>1.3875</v>
      </c>
      <c r="O115" s="55">
        <v>85.948099999999997</v>
      </c>
    </row>
    <row r="116" spans="1:15">
      <c r="A116" s="12" t="s">
        <v>70</v>
      </c>
      <c r="B116" s="14" t="s">
        <v>601</v>
      </c>
      <c r="C116" s="12" t="s">
        <v>602</v>
      </c>
      <c r="D116" s="54">
        <v>21.16</v>
      </c>
      <c r="E116" s="54">
        <v>16.88</v>
      </c>
      <c r="F116" s="55">
        <v>2.25</v>
      </c>
      <c r="G116" s="12" t="s">
        <v>414</v>
      </c>
      <c r="H116" s="55" t="s">
        <v>330</v>
      </c>
      <c r="I116" s="55" t="s">
        <v>330</v>
      </c>
      <c r="J116" s="55" t="s">
        <v>330</v>
      </c>
      <c r="K116" s="55" t="s">
        <v>330</v>
      </c>
      <c r="L116" s="55" t="s">
        <v>330</v>
      </c>
      <c r="M116" s="55" t="s">
        <v>330</v>
      </c>
      <c r="N116" s="55">
        <v>1.4104000000000001</v>
      </c>
      <c r="O116" s="55">
        <v>115.2672</v>
      </c>
    </row>
    <row r="117" spans="1:15">
      <c r="A117" s="12" t="s">
        <v>71</v>
      </c>
      <c r="B117" s="14" t="s">
        <v>603</v>
      </c>
      <c r="C117" s="12" t="s">
        <v>604</v>
      </c>
      <c r="D117" s="54">
        <v>20.85</v>
      </c>
      <c r="E117" s="54">
        <v>16.899999999999999</v>
      </c>
      <c r="F117" s="55">
        <v>2.25</v>
      </c>
      <c r="G117" s="12" t="s">
        <v>414</v>
      </c>
      <c r="H117" s="55" t="s">
        <v>330</v>
      </c>
      <c r="I117" s="55" t="s">
        <v>330</v>
      </c>
      <c r="J117" s="55" t="s">
        <v>330</v>
      </c>
      <c r="K117" s="55" t="s">
        <v>330</v>
      </c>
      <c r="L117" s="55" t="s">
        <v>330</v>
      </c>
      <c r="M117" s="55" t="s">
        <v>330</v>
      </c>
      <c r="N117" s="55">
        <v>1.4069</v>
      </c>
      <c r="O117" s="55">
        <v>115.1416</v>
      </c>
    </row>
    <row r="118" spans="1:15">
      <c r="A118" s="12" t="s">
        <v>54</v>
      </c>
      <c r="B118" s="14" t="s">
        <v>605</v>
      </c>
      <c r="C118" s="12" t="s">
        <v>606</v>
      </c>
      <c r="D118" s="54">
        <v>21.38</v>
      </c>
      <c r="E118" s="54">
        <v>16.96</v>
      </c>
      <c r="F118" s="55">
        <v>2.375</v>
      </c>
      <c r="G118" s="12" t="s">
        <v>414</v>
      </c>
      <c r="H118" s="55" t="s">
        <v>330</v>
      </c>
      <c r="I118" s="55" t="s">
        <v>330</v>
      </c>
      <c r="J118" s="55" t="s">
        <v>330</v>
      </c>
      <c r="K118" s="55" t="s">
        <v>330</v>
      </c>
      <c r="L118" s="55" t="s">
        <v>330</v>
      </c>
      <c r="M118" s="55" t="s">
        <v>330</v>
      </c>
      <c r="N118" s="55">
        <v>1.4117</v>
      </c>
      <c r="O118" s="55">
        <v>117.6651</v>
      </c>
    </row>
    <row r="119" spans="1:15">
      <c r="A119" s="12" t="s">
        <v>72</v>
      </c>
      <c r="B119" s="14" t="s">
        <v>607</v>
      </c>
      <c r="C119" s="12" t="s">
        <v>608</v>
      </c>
      <c r="D119" s="54">
        <v>20.67</v>
      </c>
      <c r="E119" s="54">
        <v>16.989999999999998</v>
      </c>
      <c r="F119" s="55">
        <v>2</v>
      </c>
      <c r="G119" s="12" t="s">
        <v>414</v>
      </c>
      <c r="H119" s="55" t="s">
        <v>330</v>
      </c>
      <c r="I119" s="55" t="s">
        <v>330</v>
      </c>
      <c r="J119" s="55" t="s">
        <v>330</v>
      </c>
      <c r="K119" s="55" t="s">
        <v>330</v>
      </c>
      <c r="L119" s="55" t="s">
        <v>330</v>
      </c>
      <c r="M119" s="55" t="s">
        <v>330</v>
      </c>
      <c r="N119" s="55">
        <v>1.4069</v>
      </c>
      <c r="O119" s="55">
        <v>110.5689</v>
      </c>
    </row>
    <row r="120" spans="1:15">
      <c r="A120" s="12" t="s">
        <v>73</v>
      </c>
      <c r="B120" s="14" t="s">
        <v>609</v>
      </c>
      <c r="C120" s="12" t="s">
        <v>610</v>
      </c>
      <c r="D120" s="54">
        <v>21.63</v>
      </c>
      <c r="E120" s="54">
        <v>17.2</v>
      </c>
      <c r="F120" s="55">
        <v>2.375</v>
      </c>
      <c r="G120" s="12" t="s">
        <v>414</v>
      </c>
      <c r="H120" s="55" t="s">
        <v>330</v>
      </c>
      <c r="I120" s="55" t="s">
        <v>330</v>
      </c>
      <c r="J120" s="55" t="s">
        <v>330</v>
      </c>
      <c r="K120" s="55" t="s">
        <v>330</v>
      </c>
      <c r="L120" s="55" t="s">
        <v>330</v>
      </c>
      <c r="M120" s="55" t="s">
        <v>330</v>
      </c>
      <c r="N120" s="55">
        <v>1.4145000000000001</v>
      </c>
      <c r="O120" s="55">
        <v>117.78570000000001</v>
      </c>
    </row>
    <row r="121" spans="1:15">
      <c r="A121" s="12" t="s">
        <v>326</v>
      </c>
      <c r="B121" s="14" t="s">
        <v>611</v>
      </c>
      <c r="C121" s="12" t="s">
        <v>612</v>
      </c>
      <c r="D121" s="54">
        <v>19.98</v>
      </c>
      <c r="E121" s="54">
        <v>17.350000000000001</v>
      </c>
      <c r="F121" s="55">
        <v>1.375</v>
      </c>
      <c r="G121" s="12" t="s">
        <v>414</v>
      </c>
      <c r="H121" s="55">
        <v>1.43</v>
      </c>
      <c r="I121" s="55">
        <v>99.049700000000001</v>
      </c>
      <c r="J121" s="55">
        <v>1.33</v>
      </c>
      <c r="K121" s="55">
        <v>100.785</v>
      </c>
      <c r="L121" s="55" t="s">
        <v>330</v>
      </c>
      <c r="M121" s="55" t="s">
        <v>330</v>
      </c>
      <c r="N121" s="55">
        <v>1.4044000000000001</v>
      </c>
      <c r="O121" s="55">
        <v>99.490200000000002</v>
      </c>
    </row>
    <row r="122" spans="1:15">
      <c r="A122" s="12" t="s">
        <v>74</v>
      </c>
      <c r="B122" s="14" t="s">
        <v>613</v>
      </c>
      <c r="C122" s="12" t="s">
        <v>614</v>
      </c>
      <c r="D122" s="54">
        <v>21.87</v>
      </c>
      <c r="E122" s="54">
        <v>17.57</v>
      </c>
      <c r="F122" s="55">
        <v>2.25</v>
      </c>
      <c r="G122" s="12" t="s">
        <v>414</v>
      </c>
      <c r="H122" s="55" t="s">
        <v>330</v>
      </c>
      <c r="I122" s="55" t="s">
        <v>330</v>
      </c>
      <c r="J122" s="55" t="s">
        <v>330</v>
      </c>
      <c r="K122" s="55" t="s">
        <v>330</v>
      </c>
      <c r="L122" s="55" t="s">
        <v>330</v>
      </c>
      <c r="M122" s="55" t="s">
        <v>330</v>
      </c>
      <c r="N122" s="55">
        <v>1.4181999999999999</v>
      </c>
      <c r="O122" s="55">
        <v>115.5427</v>
      </c>
    </row>
    <row r="123" spans="1:15">
      <c r="A123" s="12" t="s">
        <v>75</v>
      </c>
      <c r="B123" s="14" t="s">
        <v>615</v>
      </c>
      <c r="C123" s="12" t="s">
        <v>616</v>
      </c>
      <c r="D123" s="54">
        <v>23.16</v>
      </c>
      <c r="E123" s="54">
        <v>18.48</v>
      </c>
      <c r="F123" s="55">
        <v>2</v>
      </c>
      <c r="G123" s="12" t="s">
        <v>414</v>
      </c>
      <c r="H123" s="55" t="s">
        <v>330</v>
      </c>
      <c r="I123" s="55" t="s">
        <v>330</v>
      </c>
      <c r="J123" s="55" t="s">
        <v>330</v>
      </c>
      <c r="K123" s="55" t="s">
        <v>330</v>
      </c>
      <c r="L123" s="55" t="s">
        <v>330</v>
      </c>
      <c r="M123" s="55" t="s">
        <v>330</v>
      </c>
      <c r="N123" s="55">
        <v>1.4346000000000001</v>
      </c>
      <c r="O123" s="55">
        <v>111.07299999999999</v>
      </c>
    </row>
    <row r="124" spans="1:15">
      <c r="A124" s="12" t="s">
        <v>76</v>
      </c>
      <c r="B124" s="14" t="s">
        <v>617</v>
      </c>
      <c r="C124" s="12" t="s">
        <v>618</v>
      </c>
      <c r="D124" s="54">
        <v>22.64</v>
      </c>
      <c r="E124" s="54">
        <v>18.829999999999998</v>
      </c>
      <c r="F124" s="55">
        <v>1.625</v>
      </c>
      <c r="G124" s="12" t="s">
        <v>414</v>
      </c>
      <c r="H124" s="55" t="s">
        <v>330</v>
      </c>
      <c r="I124" s="55" t="s">
        <v>330</v>
      </c>
      <c r="J124" s="55" t="s">
        <v>330</v>
      </c>
      <c r="K124" s="55" t="s">
        <v>330</v>
      </c>
      <c r="L124" s="55" t="s">
        <v>330</v>
      </c>
      <c r="M124" s="55" t="s">
        <v>330</v>
      </c>
      <c r="N124" s="55">
        <v>1.4327000000000001</v>
      </c>
      <c r="O124" s="55">
        <v>103.69329999999999</v>
      </c>
    </row>
    <row r="125" spans="1:15">
      <c r="A125" s="12" t="s">
        <v>77</v>
      </c>
      <c r="B125" s="14" t="s">
        <v>619</v>
      </c>
      <c r="C125" s="12" t="s">
        <v>620</v>
      </c>
      <c r="D125" s="54">
        <v>23.66</v>
      </c>
      <c r="E125" s="54">
        <v>19.149999999999999</v>
      </c>
      <c r="F125" s="55">
        <v>1.875</v>
      </c>
      <c r="G125" s="12" t="s">
        <v>414</v>
      </c>
      <c r="H125" s="55" t="s">
        <v>330</v>
      </c>
      <c r="I125" s="55" t="s">
        <v>330</v>
      </c>
      <c r="J125" s="55" t="s">
        <v>330</v>
      </c>
      <c r="K125" s="55" t="s">
        <v>330</v>
      </c>
      <c r="L125" s="55" t="s">
        <v>330</v>
      </c>
      <c r="M125" s="55" t="s">
        <v>330</v>
      </c>
      <c r="N125" s="55">
        <v>1.4412</v>
      </c>
      <c r="O125" s="55">
        <v>108.64109999999999</v>
      </c>
    </row>
    <row r="126" spans="1:15">
      <c r="A126" s="12" t="s">
        <v>78</v>
      </c>
      <c r="B126" s="14" t="s">
        <v>621</v>
      </c>
      <c r="C126" s="12" t="s">
        <v>622</v>
      </c>
      <c r="D126" s="54">
        <v>22.85</v>
      </c>
      <c r="E126" s="54">
        <v>19.420000000000002</v>
      </c>
      <c r="F126" s="55">
        <v>1.375</v>
      </c>
      <c r="G126" s="12" t="s">
        <v>414</v>
      </c>
      <c r="H126" s="55" t="s">
        <v>330</v>
      </c>
      <c r="I126" s="55" t="s">
        <v>330</v>
      </c>
      <c r="J126" s="55" t="s">
        <v>330</v>
      </c>
      <c r="K126" s="55" t="s">
        <v>330</v>
      </c>
      <c r="L126" s="55" t="s">
        <v>330</v>
      </c>
      <c r="M126" s="55" t="s">
        <v>330</v>
      </c>
      <c r="N126" s="55">
        <v>1.4377</v>
      </c>
      <c r="O126" s="55">
        <v>98.784199999999998</v>
      </c>
    </row>
    <row r="127" spans="1:15">
      <c r="A127" s="12" t="s">
        <v>79</v>
      </c>
      <c r="B127" s="14" t="s">
        <v>370</v>
      </c>
      <c r="C127" s="12" t="s">
        <v>623</v>
      </c>
      <c r="D127" s="54">
        <v>24.16</v>
      </c>
      <c r="E127" s="54">
        <v>19.71</v>
      </c>
      <c r="F127" s="55">
        <v>1.625</v>
      </c>
      <c r="G127" s="12" t="s">
        <v>414</v>
      </c>
      <c r="H127" s="55" t="s">
        <v>330</v>
      </c>
      <c r="I127" s="55" t="s">
        <v>330</v>
      </c>
      <c r="J127" s="55" t="s">
        <v>330</v>
      </c>
      <c r="K127" s="55" t="s">
        <v>330</v>
      </c>
      <c r="L127" s="55" t="s">
        <v>330</v>
      </c>
      <c r="M127" s="55" t="s">
        <v>330</v>
      </c>
      <c r="N127" s="55">
        <v>1.4492</v>
      </c>
      <c r="O127" s="55">
        <v>103.56010000000001</v>
      </c>
    </row>
    <row r="128" spans="1:15">
      <c r="A128" s="12" t="s">
        <v>80</v>
      </c>
      <c r="B128" s="14" t="s">
        <v>624</v>
      </c>
      <c r="C128" s="12" t="s">
        <v>625</v>
      </c>
      <c r="D128" s="54">
        <v>24.64</v>
      </c>
      <c r="E128" s="54">
        <v>20.39</v>
      </c>
      <c r="F128" s="55">
        <v>1.5</v>
      </c>
      <c r="G128" s="12" t="s">
        <v>414</v>
      </c>
      <c r="H128" s="55" t="s">
        <v>330</v>
      </c>
      <c r="I128" s="55" t="s">
        <v>330</v>
      </c>
      <c r="J128" s="55" t="s">
        <v>330</v>
      </c>
      <c r="K128" s="55" t="s">
        <v>330</v>
      </c>
      <c r="L128" s="55" t="s">
        <v>330</v>
      </c>
      <c r="M128" s="55" t="s">
        <v>330</v>
      </c>
      <c r="N128" s="55">
        <v>1.4558</v>
      </c>
      <c r="O128" s="55">
        <v>100.9064</v>
      </c>
    </row>
    <row r="129" spans="1:15">
      <c r="A129" s="12" t="s">
        <v>56</v>
      </c>
      <c r="B129" s="14" t="s">
        <v>373</v>
      </c>
      <c r="C129" s="12" t="s">
        <v>626</v>
      </c>
      <c r="D129" s="54">
        <v>25.12</v>
      </c>
      <c r="E129" s="54">
        <v>20.8</v>
      </c>
      <c r="F129" s="55">
        <v>1.375</v>
      </c>
      <c r="G129" s="12" t="s">
        <v>414</v>
      </c>
      <c r="H129" s="55" t="s">
        <v>330</v>
      </c>
      <c r="I129" s="55" t="s">
        <v>330</v>
      </c>
      <c r="J129" s="55" t="s">
        <v>330</v>
      </c>
      <c r="K129" s="55" t="s">
        <v>330</v>
      </c>
      <c r="L129" s="55" t="s">
        <v>330</v>
      </c>
      <c r="M129" s="55" t="s">
        <v>330</v>
      </c>
      <c r="N129" s="55">
        <v>1.4623999999999999</v>
      </c>
      <c r="O129" s="55">
        <v>98.171899999999994</v>
      </c>
    </row>
    <row r="130" spans="1:15">
      <c r="A130" s="12" t="s">
        <v>267</v>
      </c>
      <c r="B130" s="14" t="s">
        <v>385</v>
      </c>
      <c r="C130" s="12" t="s">
        <v>627</v>
      </c>
      <c r="D130" s="54">
        <v>29.12</v>
      </c>
      <c r="E130" s="54">
        <v>21.45</v>
      </c>
      <c r="F130" s="55">
        <v>2.375</v>
      </c>
      <c r="G130" s="12" t="s">
        <v>414</v>
      </c>
      <c r="H130" s="55" t="s">
        <v>330</v>
      </c>
      <c r="I130" s="55" t="s">
        <v>330</v>
      </c>
      <c r="J130" s="55" t="s">
        <v>330</v>
      </c>
      <c r="K130" s="55" t="s">
        <v>330</v>
      </c>
      <c r="L130" s="55" t="s">
        <v>330</v>
      </c>
      <c r="M130" s="55" t="s">
        <v>330</v>
      </c>
      <c r="N130" s="55">
        <v>1.4898</v>
      </c>
      <c r="O130" s="55">
        <v>120.7898</v>
      </c>
    </row>
    <row r="131" spans="1:15">
      <c r="A131" s="12" t="s">
        <v>81</v>
      </c>
      <c r="B131" s="14" t="s">
        <v>628</v>
      </c>
      <c r="C131" s="12" t="s">
        <v>629</v>
      </c>
      <c r="D131" s="54">
        <v>25.63</v>
      </c>
      <c r="E131" s="54">
        <v>21.84</v>
      </c>
      <c r="F131" s="55">
        <v>1.125</v>
      </c>
      <c r="G131" s="12" t="s">
        <v>414</v>
      </c>
      <c r="H131" s="55" t="s">
        <v>330</v>
      </c>
      <c r="I131" s="55" t="s">
        <v>330</v>
      </c>
      <c r="J131" s="55" t="s">
        <v>330</v>
      </c>
      <c r="K131" s="55" t="s">
        <v>330</v>
      </c>
      <c r="L131" s="55" t="s">
        <v>330</v>
      </c>
      <c r="M131" s="55" t="s">
        <v>330</v>
      </c>
      <c r="N131" s="55">
        <v>1.4713000000000001</v>
      </c>
      <c r="O131" s="55">
        <v>92.647599999999997</v>
      </c>
    </row>
    <row r="132" spans="1:15">
      <c r="A132" s="12" t="s">
        <v>223</v>
      </c>
      <c r="B132" s="14" t="s">
        <v>630</v>
      </c>
      <c r="C132" s="12" t="s">
        <v>631</v>
      </c>
      <c r="D132" s="54">
        <v>28.64</v>
      </c>
      <c r="E132" s="54">
        <v>22.03</v>
      </c>
      <c r="F132" s="55">
        <v>2</v>
      </c>
      <c r="G132" s="12" t="s">
        <v>414</v>
      </c>
      <c r="H132" s="55" t="s">
        <v>330</v>
      </c>
      <c r="I132" s="55" t="s">
        <v>330</v>
      </c>
      <c r="J132" s="55" t="s">
        <v>330</v>
      </c>
      <c r="K132" s="55" t="s">
        <v>330</v>
      </c>
      <c r="L132" s="55" t="s">
        <v>330</v>
      </c>
      <c r="M132" s="55" t="s">
        <v>330</v>
      </c>
      <c r="N132" s="55">
        <v>1.4899</v>
      </c>
      <c r="O132" s="55">
        <v>111.81910000000001</v>
      </c>
    </row>
    <row r="133" spans="1:15">
      <c r="A133" s="12" t="s">
        <v>50</v>
      </c>
      <c r="B133" s="14" t="s">
        <v>375</v>
      </c>
      <c r="C133" s="12" t="s">
        <v>632</v>
      </c>
      <c r="D133" s="54">
        <v>26.11</v>
      </c>
      <c r="E133" s="54">
        <v>22.34</v>
      </c>
      <c r="F133" s="55">
        <v>1</v>
      </c>
      <c r="G133" s="12" t="s">
        <v>414</v>
      </c>
      <c r="H133" s="55" t="s">
        <v>330</v>
      </c>
      <c r="I133" s="55" t="s">
        <v>330</v>
      </c>
      <c r="J133" s="55" t="s">
        <v>330</v>
      </c>
      <c r="K133" s="55" t="s">
        <v>330</v>
      </c>
      <c r="L133" s="55" t="s">
        <v>330</v>
      </c>
      <c r="M133" s="55" t="s">
        <v>330</v>
      </c>
      <c r="N133" s="55">
        <v>1.4782999999999999</v>
      </c>
      <c r="O133" s="55">
        <v>89.700999999999993</v>
      </c>
    </row>
    <row r="134" spans="1:15">
      <c r="A134" s="12" t="s">
        <v>252</v>
      </c>
      <c r="B134" s="14" t="s">
        <v>377</v>
      </c>
      <c r="C134" s="12" t="s">
        <v>633</v>
      </c>
      <c r="D134" s="54">
        <v>26.62</v>
      </c>
      <c r="E134" s="54">
        <v>23.52</v>
      </c>
      <c r="F134" s="55">
        <v>0.75</v>
      </c>
      <c r="G134" s="12" t="s">
        <v>414</v>
      </c>
      <c r="H134" s="55" t="s">
        <v>330</v>
      </c>
      <c r="I134" s="55" t="s">
        <v>330</v>
      </c>
      <c r="J134" s="55" t="s">
        <v>330</v>
      </c>
      <c r="K134" s="55" t="s">
        <v>330</v>
      </c>
      <c r="L134" s="55" t="s">
        <v>330</v>
      </c>
      <c r="M134" s="55" t="s">
        <v>330</v>
      </c>
      <c r="N134" s="55">
        <v>1.4875</v>
      </c>
      <c r="O134" s="55">
        <v>83.884100000000004</v>
      </c>
    </row>
    <row r="135" spans="1:15">
      <c r="A135" s="12" t="s">
        <v>253</v>
      </c>
      <c r="B135" s="14" t="s">
        <v>634</v>
      </c>
      <c r="C135" s="12" t="s">
        <v>635</v>
      </c>
      <c r="D135" s="54">
        <v>28.24</v>
      </c>
      <c r="E135" s="54">
        <v>23.55</v>
      </c>
      <c r="F135" s="55">
        <v>1.125</v>
      </c>
      <c r="G135" s="12" t="s">
        <v>414</v>
      </c>
      <c r="H135" s="55" t="s">
        <v>330</v>
      </c>
      <c r="I135" s="55" t="s">
        <v>330</v>
      </c>
      <c r="J135" s="55" t="s">
        <v>330</v>
      </c>
      <c r="K135" s="55" t="s">
        <v>330</v>
      </c>
      <c r="L135" s="55" t="s">
        <v>330</v>
      </c>
      <c r="M135" s="55" t="s">
        <v>330</v>
      </c>
      <c r="N135" s="55">
        <v>1.4984999999999999</v>
      </c>
      <c r="O135" s="55">
        <v>91.451599999999999</v>
      </c>
    </row>
    <row r="136" spans="1:15">
      <c r="A136" s="12" t="s">
        <v>328</v>
      </c>
      <c r="B136" s="14" t="s">
        <v>636</v>
      </c>
      <c r="C136" s="12" t="s">
        <v>637</v>
      </c>
      <c r="D136" s="54">
        <v>29.62</v>
      </c>
      <c r="E136" s="54">
        <v>23.64</v>
      </c>
      <c r="F136" s="55">
        <v>1.5</v>
      </c>
      <c r="G136" s="12" t="s">
        <v>414</v>
      </c>
      <c r="H136" s="55">
        <v>1.62</v>
      </c>
      <c r="I136" s="55">
        <v>97.191699999999997</v>
      </c>
      <c r="J136" s="55">
        <v>1.54</v>
      </c>
      <c r="K136" s="55">
        <v>99.051699999999997</v>
      </c>
      <c r="L136" s="55" t="s">
        <v>330</v>
      </c>
      <c r="M136" s="55" t="s">
        <v>330</v>
      </c>
      <c r="N136" s="55">
        <v>1.5062</v>
      </c>
      <c r="O136" s="55">
        <v>99.849599999999995</v>
      </c>
    </row>
    <row r="137" spans="1:15">
      <c r="A137" s="12" t="s">
        <v>638</v>
      </c>
      <c r="B137" s="14" t="s">
        <v>639</v>
      </c>
      <c r="C137" s="12" t="s">
        <v>640</v>
      </c>
      <c r="D137" s="54">
        <v>30</v>
      </c>
      <c r="E137" s="54">
        <v>24.01</v>
      </c>
      <c r="F137" s="55">
        <v>1.5</v>
      </c>
      <c r="G137" s="12" t="s">
        <v>414</v>
      </c>
      <c r="H137" s="55" t="s">
        <v>330</v>
      </c>
      <c r="I137" s="55" t="s">
        <v>330</v>
      </c>
      <c r="J137" s="55" t="s">
        <v>330</v>
      </c>
      <c r="K137" s="55" t="s">
        <v>330</v>
      </c>
      <c r="L137" s="55" t="s">
        <v>330</v>
      </c>
      <c r="M137" s="55" t="s">
        <v>330</v>
      </c>
      <c r="N137" s="55">
        <v>1.5099</v>
      </c>
      <c r="O137" s="55">
        <v>99.763499999999993</v>
      </c>
    </row>
    <row r="138" spans="1:15">
      <c r="A138" s="12" t="s">
        <v>254</v>
      </c>
      <c r="B138" s="14" t="s">
        <v>641</v>
      </c>
      <c r="C138" s="12" t="s">
        <v>642</v>
      </c>
      <c r="D138" s="54">
        <v>27.41</v>
      </c>
      <c r="E138" s="54">
        <v>24.48</v>
      </c>
      <c r="F138" s="55">
        <v>0.625</v>
      </c>
      <c r="G138" s="12" t="s">
        <v>414</v>
      </c>
      <c r="H138" s="55" t="s">
        <v>330</v>
      </c>
      <c r="I138" s="55" t="s">
        <v>330</v>
      </c>
      <c r="J138" s="55" t="s">
        <v>330</v>
      </c>
      <c r="K138" s="55" t="s">
        <v>330</v>
      </c>
      <c r="L138" s="55" t="s">
        <v>330</v>
      </c>
      <c r="M138" s="55" t="s">
        <v>330</v>
      </c>
      <c r="N138" s="55">
        <v>1.4982</v>
      </c>
      <c r="O138" s="55">
        <v>80.487200000000001</v>
      </c>
    </row>
    <row r="139" spans="1:15">
      <c r="A139" s="13" t="s">
        <v>255</v>
      </c>
      <c r="B139" s="60" t="s">
        <v>643</v>
      </c>
      <c r="C139" s="13" t="s">
        <v>644</v>
      </c>
      <c r="D139" s="61">
        <v>27.17</v>
      </c>
      <c r="E139" s="61">
        <v>25.13</v>
      </c>
      <c r="F139" s="62">
        <v>0.375</v>
      </c>
      <c r="G139" s="13" t="s">
        <v>414</v>
      </c>
      <c r="H139" s="62" t="s">
        <v>330</v>
      </c>
      <c r="I139" s="62" t="s">
        <v>330</v>
      </c>
      <c r="J139" s="62" t="s">
        <v>330</v>
      </c>
      <c r="K139" s="62" t="s">
        <v>330</v>
      </c>
      <c r="L139" s="62" t="s">
        <v>330</v>
      </c>
      <c r="M139" s="62" t="s">
        <v>330</v>
      </c>
      <c r="N139" s="62">
        <v>1.5001</v>
      </c>
      <c r="O139" s="62">
        <v>75.048699999999997</v>
      </c>
    </row>
    <row r="140" spans="1:15">
      <c r="A140" s="63" t="s">
        <v>645</v>
      </c>
      <c r="B140" s="8"/>
      <c r="D140" s="8"/>
      <c r="E140" s="8"/>
      <c r="F140" s="8"/>
      <c r="G140" s="8"/>
      <c r="H140" s="8"/>
      <c r="I140" s="8"/>
      <c r="J140" s="8"/>
      <c r="K140" s="8"/>
      <c r="L140" s="8"/>
      <c r="M140" s="8"/>
      <c r="N140" s="8"/>
      <c r="O140" s="8"/>
    </row>
    <row r="141" spans="1:15">
      <c r="A141" s="64" t="s">
        <v>646</v>
      </c>
      <c r="B141" s="65"/>
      <c r="C141" s="65"/>
      <c r="D141" s="65"/>
      <c r="E141" s="65"/>
      <c r="F141" s="65"/>
      <c r="G141" s="65"/>
      <c r="H141" s="8"/>
      <c r="I141" s="8"/>
      <c r="J141" s="8"/>
      <c r="K141" s="8"/>
      <c r="L141" s="8"/>
      <c r="M141" s="8"/>
      <c r="N141" s="8"/>
      <c r="O141" s="8"/>
    </row>
    <row r="142" spans="1:15">
      <c r="A142" s="66" t="s">
        <v>647</v>
      </c>
      <c r="B142" s="65"/>
      <c r="C142" s="65"/>
      <c r="D142" s="65"/>
      <c r="E142" s="65"/>
      <c r="F142" s="65"/>
      <c r="G142" s="65"/>
      <c r="H142" s="8"/>
      <c r="I142" s="8"/>
      <c r="J142" s="8"/>
      <c r="K142" s="8"/>
      <c r="L142" s="8"/>
      <c r="M142" s="8"/>
      <c r="N142" s="8"/>
      <c r="O142" s="8"/>
    </row>
    <row r="143" spans="1:15">
      <c r="A143" s="66" t="s">
        <v>648</v>
      </c>
      <c r="B143" s="65"/>
      <c r="C143" s="65"/>
      <c r="D143" s="65"/>
      <c r="E143" s="65"/>
      <c r="F143" s="65"/>
      <c r="G143" s="65"/>
      <c r="H143" s="8"/>
      <c r="I143" s="8"/>
      <c r="J143" s="8"/>
      <c r="K143" s="8"/>
      <c r="L143" s="8"/>
      <c r="M143" s="8"/>
      <c r="N143" s="8"/>
      <c r="O143" s="8"/>
    </row>
    <row r="144" spans="1:15">
      <c r="A144" s="66" t="s">
        <v>649</v>
      </c>
      <c r="B144" s="65"/>
      <c r="C144" s="65"/>
      <c r="D144" s="65"/>
      <c r="E144" s="65"/>
      <c r="F144" s="65"/>
      <c r="G144" s="65"/>
      <c r="H144" s="8"/>
      <c r="I144" s="8"/>
      <c r="J144" s="8"/>
      <c r="K144" s="8"/>
      <c r="L144" s="8"/>
      <c r="M144" s="8"/>
      <c r="N144" s="8"/>
      <c r="O144" s="8"/>
    </row>
  </sheetData>
  <mergeCells count="19">
    <mergeCell ref="K4:K5"/>
    <mergeCell ref="L4:L5"/>
    <mergeCell ref="M4:M5"/>
    <mergeCell ref="N4:N5"/>
    <mergeCell ref="O4:O5"/>
    <mergeCell ref="A1:O1"/>
    <mergeCell ref="A3:A5"/>
    <mergeCell ref="B3:B5"/>
    <mergeCell ref="C3:C5"/>
    <mergeCell ref="D3:D5"/>
    <mergeCell ref="E3:E5"/>
    <mergeCell ref="F3:F5"/>
    <mergeCell ref="G3:G5"/>
    <mergeCell ref="H3:K3"/>
    <mergeCell ref="L3:M3"/>
    <mergeCell ref="N3:O3"/>
    <mergeCell ref="H4:H5"/>
    <mergeCell ref="I4:I5"/>
    <mergeCell ref="J4:J5"/>
  </mergeCells>
  <phoneticPr fontId="1" type="noConversion"/>
  <hyperlinks>
    <hyperlink ref="M2" location="首頁!A1" display="首頁"/>
    <hyperlink ref="O2" location="首頁!A1" display="首頁"/>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I132"/>
  <sheetViews>
    <sheetView workbookViewId="0">
      <selection activeCell="J14" sqref="J14"/>
    </sheetView>
  </sheetViews>
  <sheetFormatPr defaultRowHeight="16.5"/>
  <cols>
    <col min="2" max="2" width="11.625" bestFit="1" customWidth="1"/>
    <col min="4" max="5" width="10.5" bestFit="1" customWidth="1"/>
    <col min="7" max="7" width="11.625" bestFit="1" customWidth="1"/>
  </cols>
  <sheetData>
    <row r="1" spans="1:9">
      <c r="A1" s="7" t="s">
        <v>295</v>
      </c>
      <c r="B1" s="19">
        <v>8</v>
      </c>
      <c r="C1" s="8">
        <v>50000000</v>
      </c>
      <c r="D1" s="17">
        <f ca="1">TODAY()</f>
        <v>45215</v>
      </c>
      <c r="E1" s="17">
        <f ca="1">WORKDAY(D1,2)</f>
        <v>45217</v>
      </c>
      <c r="G1" s="17"/>
      <c r="H1" s="17"/>
    </row>
    <row r="2" spans="1:9">
      <c r="A2" s="7" t="s">
        <v>293</v>
      </c>
      <c r="B2" s="8">
        <v>0.7</v>
      </c>
      <c r="I2" s="21"/>
    </row>
    <row r="3" spans="1:9">
      <c r="B3" s="8" t="s">
        <v>285</v>
      </c>
      <c r="C3" s="8" t="s">
        <v>284</v>
      </c>
      <c r="F3" s="17" t="s">
        <v>294</v>
      </c>
      <c r="I3" s="9" t="s">
        <v>98</v>
      </c>
    </row>
    <row r="4" spans="1:9">
      <c r="A4" s="12" t="s">
        <v>36</v>
      </c>
      <c r="B4" s="16">
        <v>45253</v>
      </c>
      <c r="C4" s="11">
        <v>0.75</v>
      </c>
      <c r="D4" s="18">
        <f t="shared" ref="D4:D12" ca="1" si="0">B4-$D$1</f>
        <v>38</v>
      </c>
      <c r="E4" s="18">
        <f t="shared" ref="E4:E11" ca="1" si="1">B4-$E$1</f>
        <v>36</v>
      </c>
      <c r="F4" s="22">
        <v>0.72</v>
      </c>
      <c r="G4" s="23">
        <f t="shared" ref="G4:G11" ca="1" si="2">$B$1*$C$1*(F4-$B$2)/100*E4/365</f>
        <v>7890.4109589041173</v>
      </c>
      <c r="H4" s="23">
        <f t="shared" ref="H4:H11" ca="1" si="3">G4/E4</f>
        <v>219.17808219178104</v>
      </c>
      <c r="I4" s="10">
        <v>0.67</v>
      </c>
    </row>
    <row r="5" spans="1:9">
      <c r="A5" s="12" t="s">
        <v>27</v>
      </c>
      <c r="B5" s="16">
        <v>45305</v>
      </c>
      <c r="C5" s="11">
        <v>0.625</v>
      </c>
      <c r="D5" s="18">
        <f t="shared" ca="1" si="0"/>
        <v>90</v>
      </c>
      <c r="E5" s="18">
        <f t="shared" ca="1" si="1"/>
        <v>88</v>
      </c>
      <c r="F5" s="22">
        <v>0.88</v>
      </c>
      <c r="G5" s="23">
        <f t="shared" ca="1" si="2"/>
        <v>173589.04109589042</v>
      </c>
      <c r="H5" s="23">
        <f t="shared" ca="1" si="3"/>
        <v>1972.6027397260275</v>
      </c>
      <c r="I5" s="10">
        <v>0.81</v>
      </c>
    </row>
    <row r="6" spans="1:9">
      <c r="A6" s="12" t="s">
        <v>9</v>
      </c>
      <c r="B6" s="16">
        <v>45332</v>
      </c>
      <c r="C6" s="11">
        <v>3</v>
      </c>
      <c r="D6" s="18">
        <f t="shared" ca="1" si="0"/>
        <v>117</v>
      </c>
      <c r="E6" s="18">
        <f t="shared" ca="1" si="1"/>
        <v>115</v>
      </c>
      <c r="F6" s="22">
        <v>0.9</v>
      </c>
      <c r="G6" s="23">
        <f t="shared" ca="1" si="2"/>
        <v>252054.79452054808</v>
      </c>
      <c r="H6" s="23">
        <f t="shared" ca="1" si="3"/>
        <v>2191.7808219178096</v>
      </c>
      <c r="I6" s="10">
        <v>0.88</v>
      </c>
    </row>
    <row r="7" spans="1:9">
      <c r="A7" s="12" t="s">
        <v>51</v>
      </c>
      <c r="B7" s="16">
        <v>45354</v>
      </c>
      <c r="C7" s="11">
        <v>1.5</v>
      </c>
      <c r="D7" s="18">
        <f t="shared" ca="1" si="0"/>
        <v>139</v>
      </c>
      <c r="E7" s="18">
        <f t="shared" ca="1" si="1"/>
        <v>137</v>
      </c>
      <c r="F7" s="22">
        <v>1</v>
      </c>
      <c r="G7" s="23">
        <f t="shared" ca="1" si="2"/>
        <v>450410.95890410966</v>
      </c>
      <c r="H7" s="23">
        <f t="shared" ca="1" si="3"/>
        <v>3287.671232876713</v>
      </c>
      <c r="I7" s="10">
        <v>0.94</v>
      </c>
    </row>
    <row r="8" spans="1:9">
      <c r="A8" s="12" t="s">
        <v>229</v>
      </c>
      <c r="B8" s="16">
        <v>45382</v>
      </c>
      <c r="C8" s="11">
        <v>0.75</v>
      </c>
      <c r="D8" s="18">
        <f t="shared" ca="1" si="0"/>
        <v>167</v>
      </c>
      <c r="E8" s="18">
        <f t="shared" ca="1" si="1"/>
        <v>165</v>
      </c>
      <c r="F8" s="22">
        <v>1</v>
      </c>
      <c r="G8" s="23">
        <f t="shared" ca="1" si="2"/>
        <v>542465.75342465763</v>
      </c>
      <c r="H8" s="23">
        <f t="shared" ca="1" si="3"/>
        <v>3287.671232876713</v>
      </c>
      <c r="I8" s="10">
        <v>1.01</v>
      </c>
    </row>
    <row r="9" spans="1:9">
      <c r="A9" s="12" t="s">
        <v>5</v>
      </c>
      <c r="B9" s="16">
        <v>45490</v>
      </c>
      <c r="C9" s="11">
        <v>0.5</v>
      </c>
      <c r="D9" s="18">
        <f t="shared" ca="1" si="0"/>
        <v>275</v>
      </c>
      <c r="E9" s="18">
        <f t="shared" ca="1" si="1"/>
        <v>273</v>
      </c>
      <c r="F9" s="22">
        <v>1</v>
      </c>
      <c r="G9" s="23">
        <f t="shared" ca="1" si="2"/>
        <v>897534.24657534261</v>
      </c>
      <c r="H9" s="23">
        <f t="shared" ca="1" si="3"/>
        <v>3287.671232876713</v>
      </c>
      <c r="I9" s="10">
        <v>1.3</v>
      </c>
    </row>
    <row r="10" spans="1:9">
      <c r="A10" s="12" t="s">
        <v>41</v>
      </c>
      <c r="B10" s="16">
        <v>45561</v>
      </c>
      <c r="C10" s="11">
        <v>1.625</v>
      </c>
      <c r="D10" s="18">
        <f t="shared" ca="1" si="0"/>
        <v>346</v>
      </c>
      <c r="E10" s="18">
        <f t="shared" ca="1" si="1"/>
        <v>344</v>
      </c>
      <c r="F10" s="22">
        <v>1</v>
      </c>
      <c r="G10" s="23">
        <f t="shared" ca="1" si="2"/>
        <v>1130958.9041095893</v>
      </c>
      <c r="H10" s="23">
        <f t="shared" ca="1" si="3"/>
        <v>3287.671232876713</v>
      </c>
      <c r="I10" s="10">
        <v>1.48</v>
      </c>
    </row>
    <row r="11" spans="1:9">
      <c r="A11" s="12" t="s">
        <v>10</v>
      </c>
      <c r="B11" s="16">
        <v>45614</v>
      </c>
      <c r="C11" s="11">
        <v>3</v>
      </c>
      <c r="D11" s="18">
        <f t="shared" ca="1" si="0"/>
        <v>399</v>
      </c>
      <c r="E11" s="18">
        <f t="shared" ca="1" si="1"/>
        <v>397</v>
      </c>
      <c r="F11" s="22">
        <v>1</v>
      </c>
      <c r="G11" s="23">
        <f t="shared" ca="1" si="2"/>
        <v>1305205.4794520552</v>
      </c>
      <c r="H11" s="23">
        <f t="shared" ca="1" si="3"/>
        <v>3287.6712328767135</v>
      </c>
      <c r="I11" s="10">
        <v>1.62</v>
      </c>
    </row>
    <row r="12" spans="1:9">
      <c r="A12" s="12" t="s">
        <v>227</v>
      </c>
      <c r="B12" s="16">
        <v>45667</v>
      </c>
      <c r="C12" s="11">
        <v>0.5</v>
      </c>
      <c r="D12" s="18">
        <f t="shared" ca="1" si="0"/>
        <v>452</v>
      </c>
      <c r="E12" s="18">
        <f t="shared" ref="E12" ca="1" si="4">B12-$E$1</f>
        <v>450</v>
      </c>
      <c r="F12" s="22">
        <v>1.03</v>
      </c>
      <c r="G12" s="23">
        <f t="shared" ref="G12" ca="1" si="5">$B$1*$C$1*(F12-$B$2)/100*E12/365</f>
        <v>1627397.260273973</v>
      </c>
      <c r="H12" s="23">
        <f t="shared" ref="H12" ca="1" si="6">G12/E12</f>
        <v>3616.4383561643845</v>
      </c>
      <c r="I12" s="10">
        <v>1.78</v>
      </c>
    </row>
    <row r="13" spans="1:9">
      <c r="A13" s="12" t="s">
        <v>269</v>
      </c>
      <c r="B13" s="16">
        <v>45711</v>
      </c>
      <c r="C13" s="11">
        <v>1</v>
      </c>
      <c r="D13" s="18">
        <f t="shared" ref="D13:D18" ca="1" si="7">B13-$D$1</f>
        <v>496</v>
      </c>
      <c r="E13" s="18">
        <f t="shared" ref="E13:E18" ca="1" si="8">B13-$E$1</f>
        <v>494</v>
      </c>
      <c r="F13" s="22">
        <v>1.03</v>
      </c>
      <c r="G13" s="23">
        <f t="shared" ref="G13:G18" ca="1" si="9">$B$1*$C$1*(F13-$B$2)/100*E13/365</f>
        <v>1786520.5479452058</v>
      </c>
      <c r="H13" s="23">
        <f t="shared" ref="H13:H18" ca="1" si="10">G13/E13</f>
        <v>3616.4383561643845</v>
      </c>
      <c r="I13" s="10">
        <v>1.9</v>
      </c>
    </row>
    <row r="14" spans="1:9">
      <c r="A14" s="12" t="s">
        <v>7</v>
      </c>
      <c r="B14" s="16">
        <v>45713</v>
      </c>
      <c r="C14" s="11">
        <v>2.375</v>
      </c>
      <c r="D14" s="18">
        <f t="shared" ca="1" si="7"/>
        <v>498</v>
      </c>
      <c r="E14" s="18">
        <f t="shared" ca="1" si="8"/>
        <v>496</v>
      </c>
      <c r="F14" s="22">
        <v>1.03</v>
      </c>
      <c r="G14" s="23">
        <f t="shared" ca="1" si="9"/>
        <v>1793753.4246575346</v>
      </c>
      <c r="H14" s="23">
        <f t="shared" ca="1" si="10"/>
        <v>3616.438356164384</v>
      </c>
      <c r="I14" s="10">
        <v>1.89</v>
      </c>
    </row>
    <row r="15" spans="1:9">
      <c r="A15" s="12" t="s">
        <v>31</v>
      </c>
      <c r="B15" s="16">
        <v>45729</v>
      </c>
      <c r="C15" s="11">
        <v>1.625</v>
      </c>
      <c r="D15" s="18">
        <f t="shared" ca="1" si="7"/>
        <v>514</v>
      </c>
      <c r="E15" s="18">
        <f t="shared" ca="1" si="8"/>
        <v>512</v>
      </c>
      <c r="F15" s="22">
        <v>1.03</v>
      </c>
      <c r="G15" s="23">
        <f t="shared" ca="1" si="9"/>
        <v>1851616.4383561646</v>
      </c>
      <c r="H15" s="23">
        <f t="shared" ca="1" si="10"/>
        <v>3616.438356164384</v>
      </c>
      <c r="I15" s="10">
        <v>1.94</v>
      </c>
    </row>
    <row r="16" spans="1:9">
      <c r="A16" s="12" t="s">
        <v>230</v>
      </c>
      <c r="B16" s="16">
        <v>45855</v>
      </c>
      <c r="C16" s="11">
        <v>0.25</v>
      </c>
      <c r="D16" s="18">
        <f t="shared" ca="1" si="7"/>
        <v>640</v>
      </c>
      <c r="E16" s="18">
        <f t="shared" ca="1" si="8"/>
        <v>638</v>
      </c>
      <c r="F16" s="22">
        <v>1.03</v>
      </c>
      <c r="G16" s="23">
        <f t="shared" ca="1" si="9"/>
        <v>2307287.6712328768</v>
      </c>
      <c r="H16" s="23">
        <f t="shared" ca="1" si="10"/>
        <v>3616.4383561643835</v>
      </c>
      <c r="I16" s="10">
        <v>2.29</v>
      </c>
    </row>
    <row r="17" spans="1:9">
      <c r="A17" s="12" t="s">
        <v>37</v>
      </c>
      <c r="B17" s="16">
        <v>45911</v>
      </c>
      <c r="C17" s="11">
        <v>1.125</v>
      </c>
      <c r="D17" s="18">
        <f t="shared" ca="1" si="7"/>
        <v>696</v>
      </c>
      <c r="E17" s="18">
        <f t="shared" ca="1" si="8"/>
        <v>694</v>
      </c>
      <c r="F17" s="22">
        <v>1.03</v>
      </c>
      <c r="G17" s="23">
        <f t="shared" ca="1" si="9"/>
        <v>2509808.2191780824</v>
      </c>
      <c r="H17" s="23">
        <f t="shared" ca="1" si="10"/>
        <v>3616.438356164384</v>
      </c>
      <c r="I17" s="10">
        <v>2.42</v>
      </c>
    </row>
    <row r="18" spans="1:9">
      <c r="A18" s="12" t="s">
        <v>231</v>
      </c>
      <c r="B18" s="16">
        <v>45999</v>
      </c>
      <c r="C18" s="11">
        <v>0.125</v>
      </c>
      <c r="D18" s="18">
        <f t="shared" ca="1" si="7"/>
        <v>784</v>
      </c>
      <c r="E18" s="18">
        <f t="shared" ca="1" si="8"/>
        <v>782</v>
      </c>
      <c r="F18" s="22">
        <v>1.05</v>
      </c>
      <c r="G18" s="23">
        <f t="shared" ca="1" si="9"/>
        <v>2999452.0547945211</v>
      </c>
      <c r="H18" s="23">
        <f t="shared" ca="1" si="10"/>
        <v>3835.616438356165</v>
      </c>
      <c r="I18" s="10">
        <v>2.68</v>
      </c>
    </row>
    <row r="19" spans="1:9">
      <c r="A19" s="12" t="s">
        <v>232</v>
      </c>
      <c r="B19" s="10" t="s">
        <v>100</v>
      </c>
      <c r="C19" s="11">
        <v>0.25</v>
      </c>
      <c r="D19" s="11"/>
      <c r="E19" s="18"/>
      <c r="F19" s="20"/>
      <c r="G19" s="20"/>
      <c r="H19" s="20"/>
      <c r="I19" s="10">
        <v>2.78</v>
      </c>
    </row>
    <row r="20" spans="1:9">
      <c r="A20" s="12" t="s">
        <v>8</v>
      </c>
      <c r="B20" s="10" t="s">
        <v>99</v>
      </c>
      <c r="C20" s="11">
        <v>1.875</v>
      </c>
      <c r="D20" s="11"/>
      <c r="E20" s="18"/>
      <c r="F20" s="20"/>
      <c r="G20" s="20"/>
      <c r="H20" s="20"/>
      <c r="I20" s="10">
        <v>2.85</v>
      </c>
    </row>
    <row r="21" spans="1:9">
      <c r="A21" s="12" t="s">
        <v>58</v>
      </c>
      <c r="B21" s="10" t="s">
        <v>101</v>
      </c>
      <c r="C21" s="11">
        <v>0.75</v>
      </c>
      <c r="D21" s="11"/>
      <c r="E21" s="18"/>
      <c r="F21" s="18"/>
      <c r="G21" s="18"/>
      <c r="H21" s="18"/>
      <c r="I21" s="10">
        <v>2.9</v>
      </c>
    </row>
    <row r="22" spans="1:9">
      <c r="A22" s="12" t="s">
        <v>233</v>
      </c>
      <c r="B22" s="10" t="s">
        <v>192</v>
      </c>
      <c r="C22" s="11">
        <v>0.25</v>
      </c>
      <c r="D22" s="11"/>
      <c r="E22" s="18"/>
      <c r="F22" s="18"/>
      <c r="G22" s="18"/>
      <c r="H22" s="18"/>
      <c r="I22" s="10">
        <v>3.3</v>
      </c>
    </row>
    <row r="23" spans="1:9">
      <c r="A23" s="12" t="s">
        <v>55</v>
      </c>
      <c r="B23" s="10" t="s">
        <v>103</v>
      </c>
      <c r="C23" s="11">
        <v>0.625</v>
      </c>
      <c r="D23" s="11"/>
      <c r="E23" s="18"/>
      <c r="F23" s="18"/>
      <c r="G23" s="18"/>
      <c r="H23" s="18"/>
      <c r="I23" s="10">
        <v>3.39</v>
      </c>
    </row>
    <row r="24" spans="1:9">
      <c r="A24" s="12" t="s">
        <v>11</v>
      </c>
      <c r="B24" s="10" t="s">
        <v>102</v>
      </c>
      <c r="C24" s="11">
        <v>2.125</v>
      </c>
      <c r="D24" s="11"/>
      <c r="E24" s="18"/>
      <c r="F24" s="18"/>
      <c r="G24" s="18"/>
      <c r="H24" s="18"/>
      <c r="I24" s="10">
        <v>3.48</v>
      </c>
    </row>
    <row r="25" spans="1:9">
      <c r="A25" s="12" t="s">
        <v>12</v>
      </c>
      <c r="B25" s="10" t="s">
        <v>104</v>
      </c>
      <c r="C25" s="11">
        <v>2</v>
      </c>
      <c r="D25" s="11"/>
      <c r="E25" s="18"/>
      <c r="F25" s="18"/>
      <c r="G25" s="18"/>
      <c r="H25" s="18"/>
      <c r="I25" s="10">
        <v>3.75</v>
      </c>
    </row>
    <row r="26" spans="1:9">
      <c r="A26" s="12" t="s">
        <v>32</v>
      </c>
      <c r="B26" s="10" t="s">
        <v>105</v>
      </c>
      <c r="C26" s="11">
        <v>1.125</v>
      </c>
      <c r="D26" s="11"/>
      <c r="E26" s="18"/>
      <c r="F26" s="18"/>
      <c r="G26" s="18"/>
      <c r="H26" s="18"/>
      <c r="I26" s="10">
        <v>3.84</v>
      </c>
    </row>
    <row r="27" spans="1:9">
      <c r="A27" s="12" t="s">
        <v>234</v>
      </c>
      <c r="B27" s="10" t="s">
        <v>206</v>
      </c>
      <c r="C27" s="11">
        <v>0.5</v>
      </c>
      <c r="D27" s="11"/>
      <c r="E27" s="18"/>
      <c r="F27" s="18"/>
      <c r="G27" s="18"/>
      <c r="H27" s="18"/>
      <c r="I27" s="10">
        <v>3.86</v>
      </c>
    </row>
    <row r="28" spans="1:9">
      <c r="A28" s="12" t="s">
        <v>218</v>
      </c>
      <c r="B28" s="10" t="s">
        <v>220</v>
      </c>
      <c r="C28" s="11">
        <v>1</v>
      </c>
      <c r="D28" s="11"/>
      <c r="E28" s="18"/>
      <c r="F28" s="18"/>
      <c r="G28" s="18"/>
      <c r="H28" s="18"/>
      <c r="I28" s="10">
        <v>4.1100000000000003</v>
      </c>
    </row>
    <row r="29" spans="1:9">
      <c r="A29" s="12" t="s">
        <v>256</v>
      </c>
      <c r="B29" s="10" t="s">
        <v>257</v>
      </c>
      <c r="C29" s="11">
        <v>1.25</v>
      </c>
      <c r="D29" s="11"/>
      <c r="E29" s="18"/>
      <c r="F29" s="18"/>
      <c r="G29" s="18"/>
      <c r="H29" s="18"/>
      <c r="I29" s="10">
        <v>4.34</v>
      </c>
    </row>
    <row r="30" spans="1:9">
      <c r="A30" s="12" t="s">
        <v>13</v>
      </c>
      <c r="B30" s="10" t="s">
        <v>106</v>
      </c>
      <c r="C30" s="11">
        <v>3</v>
      </c>
      <c r="D30" s="11"/>
      <c r="E30" s="18"/>
      <c r="F30" s="18"/>
      <c r="G30" s="18"/>
      <c r="H30" s="18"/>
      <c r="I30" s="10">
        <v>4.34</v>
      </c>
    </row>
    <row r="31" spans="1:9">
      <c r="A31" s="12" t="s">
        <v>1</v>
      </c>
      <c r="B31" s="10" t="s">
        <v>107</v>
      </c>
      <c r="C31" s="11">
        <v>1</v>
      </c>
      <c r="D31" s="11"/>
      <c r="E31" s="18"/>
      <c r="F31" s="18"/>
      <c r="G31" s="18"/>
      <c r="H31" s="18"/>
      <c r="I31" s="10">
        <v>4.3499999999999996</v>
      </c>
    </row>
    <row r="32" spans="1:9">
      <c r="A32" s="12" t="s">
        <v>270</v>
      </c>
      <c r="B32" s="10" t="s">
        <v>271</v>
      </c>
      <c r="C32" s="11">
        <v>1</v>
      </c>
      <c r="D32" s="11"/>
      <c r="E32" s="18"/>
      <c r="F32" s="18"/>
      <c r="G32" s="18"/>
      <c r="H32" s="18"/>
      <c r="I32" s="10">
        <v>4.67</v>
      </c>
    </row>
    <row r="33" spans="1:9">
      <c r="A33" s="12" t="s">
        <v>14</v>
      </c>
      <c r="B33" s="10" t="s">
        <v>108</v>
      </c>
      <c r="C33" s="11">
        <v>2.5</v>
      </c>
      <c r="D33" s="11"/>
      <c r="E33" s="18"/>
      <c r="F33" s="18"/>
      <c r="G33" s="18"/>
      <c r="H33" s="18"/>
      <c r="I33" s="10">
        <v>4.62</v>
      </c>
    </row>
    <row r="34" spans="1:9">
      <c r="A34" s="12" t="s">
        <v>59</v>
      </c>
      <c r="B34" s="10" t="s">
        <v>109</v>
      </c>
      <c r="C34" s="11">
        <v>1.375</v>
      </c>
      <c r="D34" s="11"/>
      <c r="E34" s="18"/>
      <c r="F34" s="18"/>
      <c r="G34" s="18"/>
      <c r="H34" s="18"/>
      <c r="I34" s="10">
        <v>4.62</v>
      </c>
    </row>
    <row r="35" spans="1:9">
      <c r="A35" s="12" t="s">
        <v>272</v>
      </c>
      <c r="B35" s="10" t="s">
        <v>271</v>
      </c>
      <c r="C35" s="11">
        <v>1</v>
      </c>
      <c r="D35" s="11"/>
      <c r="E35" s="18"/>
      <c r="F35" s="18"/>
      <c r="G35" s="18"/>
      <c r="H35" s="18"/>
      <c r="I35" s="10">
        <v>4.68</v>
      </c>
    </row>
    <row r="36" spans="1:9">
      <c r="A36" s="12" t="s">
        <v>34</v>
      </c>
      <c r="B36" s="10" t="s">
        <v>110</v>
      </c>
      <c r="C36" s="11">
        <v>1</v>
      </c>
      <c r="D36" s="11"/>
      <c r="E36" s="18"/>
      <c r="F36" s="18"/>
      <c r="G36" s="18"/>
      <c r="H36" s="18"/>
      <c r="I36" s="10">
        <v>4.74</v>
      </c>
    </row>
    <row r="37" spans="1:9">
      <c r="A37" s="12" t="s">
        <v>15</v>
      </c>
      <c r="B37" s="10" t="s">
        <v>111</v>
      </c>
      <c r="C37" s="11">
        <v>2.625</v>
      </c>
      <c r="D37" s="11"/>
      <c r="E37" s="18"/>
      <c r="F37" s="18"/>
      <c r="G37" s="18"/>
      <c r="H37" s="18"/>
      <c r="I37" s="10">
        <v>4.99</v>
      </c>
    </row>
    <row r="38" spans="1:9">
      <c r="A38" s="12" t="s">
        <v>2</v>
      </c>
      <c r="B38" s="10" t="s">
        <v>112</v>
      </c>
      <c r="C38" s="11">
        <v>0.875</v>
      </c>
      <c r="D38" s="11"/>
      <c r="E38" s="18"/>
      <c r="F38" s="18"/>
      <c r="G38" s="18"/>
      <c r="H38" s="18"/>
      <c r="I38" s="10">
        <v>5.03</v>
      </c>
    </row>
    <row r="39" spans="1:9">
      <c r="A39" s="12" t="s">
        <v>235</v>
      </c>
      <c r="B39" s="10" t="s">
        <v>193</v>
      </c>
      <c r="C39" s="11">
        <v>0.25</v>
      </c>
      <c r="D39" s="11"/>
      <c r="E39" s="18"/>
      <c r="F39" s="18"/>
      <c r="G39" s="18"/>
      <c r="H39" s="18"/>
      <c r="I39" s="10">
        <v>5.32</v>
      </c>
    </row>
    <row r="40" spans="1:9">
      <c r="A40" s="12" t="s">
        <v>28</v>
      </c>
      <c r="B40" s="10" t="s">
        <v>114</v>
      </c>
      <c r="C40" s="11">
        <v>0.875</v>
      </c>
      <c r="D40" s="11"/>
      <c r="E40" s="18"/>
      <c r="F40" s="18"/>
      <c r="G40" s="18"/>
      <c r="H40" s="18"/>
      <c r="I40" s="10">
        <v>5.39</v>
      </c>
    </row>
    <row r="41" spans="1:9">
      <c r="A41" s="12" t="s">
        <v>16</v>
      </c>
      <c r="B41" s="10" t="s">
        <v>113</v>
      </c>
      <c r="C41" s="11">
        <v>2.125</v>
      </c>
      <c r="D41" s="11"/>
      <c r="E41" s="18"/>
      <c r="F41" s="18"/>
      <c r="G41" s="18"/>
      <c r="H41" s="18"/>
      <c r="I41" s="10">
        <v>5.55</v>
      </c>
    </row>
    <row r="42" spans="1:9">
      <c r="A42" s="12" t="s">
        <v>3</v>
      </c>
      <c r="B42" s="10" t="s">
        <v>115</v>
      </c>
      <c r="C42" s="11">
        <v>0.75</v>
      </c>
      <c r="D42" s="11"/>
      <c r="E42" s="18"/>
      <c r="F42" s="18"/>
      <c r="G42" s="18"/>
      <c r="H42" s="18"/>
      <c r="I42" s="10">
        <v>5.72</v>
      </c>
    </row>
    <row r="43" spans="1:9">
      <c r="A43" s="12" t="s">
        <v>17</v>
      </c>
      <c r="B43" s="10" t="s">
        <v>116</v>
      </c>
      <c r="C43" s="11">
        <v>2.125</v>
      </c>
      <c r="D43" s="11"/>
      <c r="E43" s="18"/>
      <c r="F43" s="18"/>
      <c r="G43" s="18"/>
      <c r="H43" s="18"/>
      <c r="I43" s="10">
        <v>5.92</v>
      </c>
    </row>
    <row r="44" spans="1:9">
      <c r="A44" s="12" t="s">
        <v>4</v>
      </c>
      <c r="B44" s="10" t="s">
        <v>117</v>
      </c>
      <c r="C44" s="11">
        <v>0.625</v>
      </c>
      <c r="D44" s="11"/>
      <c r="E44" s="18"/>
      <c r="F44" s="18"/>
      <c r="G44" s="18"/>
      <c r="H44" s="18"/>
      <c r="I44" s="10">
        <v>6.07</v>
      </c>
    </row>
    <row r="45" spans="1:9">
      <c r="A45" s="12" t="s">
        <v>6</v>
      </c>
      <c r="B45" s="10" t="s">
        <v>119</v>
      </c>
      <c r="C45" s="11">
        <v>0.625</v>
      </c>
      <c r="D45" s="11"/>
      <c r="E45" s="18"/>
      <c r="F45" s="18"/>
      <c r="G45" s="18"/>
      <c r="H45" s="18"/>
      <c r="I45" s="10">
        <v>6.36</v>
      </c>
    </row>
    <row r="46" spans="1:9">
      <c r="A46" s="12" t="s">
        <v>18</v>
      </c>
      <c r="B46" s="10" t="s">
        <v>118</v>
      </c>
      <c r="C46" s="11">
        <v>1.875</v>
      </c>
      <c r="D46" s="11"/>
      <c r="E46" s="18"/>
      <c r="F46" s="18"/>
      <c r="G46" s="18"/>
      <c r="H46" s="18"/>
      <c r="I46" s="10">
        <v>6.49</v>
      </c>
    </row>
    <row r="47" spans="1:9">
      <c r="A47" s="12" t="s">
        <v>236</v>
      </c>
      <c r="B47" s="10" t="s">
        <v>120</v>
      </c>
      <c r="C47" s="11">
        <v>0.5</v>
      </c>
      <c r="D47" s="11"/>
      <c r="E47" s="18"/>
      <c r="F47" s="18"/>
      <c r="G47" s="18"/>
      <c r="H47" s="18"/>
      <c r="I47" s="10">
        <v>6.74</v>
      </c>
    </row>
    <row r="48" spans="1:9">
      <c r="A48" s="12" t="s">
        <v>19</v>
      </c>
      <c r="B48" s="10" t="s">
        <v>121</v>
      </c>
      <c r="C48" s="11">
        <v>1.75</v>
      </c>
      <c r="D48" s="11"/>
      <c r="E48" s="18"/>
      <c r="F48" s="18"/>
      <c r="G48" s="18"/>
      <c r="H48" s="18"/>
      <c r="I48" s="10">
        <v>6.86</v>
      </c>
    </row>
    <row r="49" spans="1:9">
      <c r="A49" s="12" t="s">
        <v>237</v>
      </c>
      <c r="B49" s="10" t="s">
        <v>124</v>
      </c>
      <c r="C49" s="11">
        <v>0.375</v>
      </c>
      <c r="D49" s="11"/>
      <c r="E49" s="18"/>
      <c r="F49" s="18"/>
      <c r="G49" s="18"/>
      <c r="H49" s="18"/>
      <c r="I49" s="10">
        <v>7.04</v>
      </c>
    </row>
    <row r="50" spans="1:9">
      <c r="A50" s="12" t="s">
        <v>49</v>
      </c>
      <c r="B50" s="10" t="s">
        <v>122</v>
      </c>
      <c r="C50" s="11">
        <v>2.125</v>
      </c>
      <c r="D50" s="11"/>
      <c r="E50" s="18"/>
      <c r="F50" s="18"/>
      <c r="G50" s="18"/>
      <c r="H50" s="18"/>
      <c r="I50" s="10">
        <v>7.2</v>
      </c>
    </row>
    <row r="51" spans="1:9">
      <c r="A51" s="12" t="s">
        <v>20</v>
      </c>
      <c r="B51" s="10" t="s">
        <v>123</v>
      </c>
      <c r="C51" s="11">
        <v>3.625</v>
      </c>
      <c r="D51" s="11"/>
      <c r="E51" s="18"/>
      <c r="F51" s="18"/>
      <c r="G51" s="18"/>
      <c r="H51" s="18"/>
      <c r="I51" s="10">
        <v>7.2</v>
      </c>
    </row>
    <row r="52" spans="1:9">
      <c r="A52" s="12" t="s">
        <v>238</v>
      </c>
      <c r="B52" s="10" t="s">
        <v>126</v>
      </c>
      <c r="C52" s="11">
        <v>0.25</v>
      </c>
      <c r="D52" s="11"/>
      <c r="E52" s="18"/>
      <c r="F52" s="18"/>
      <c r="G52" s="18"/>
      <c r="H52" s="18"/>
      <c r="I52" s="10">
        <v>7.41</v>
      </c>
    </row>
    <row r="53" spans="1:9">
      <c r="A53" s="12" t="s">
        <v>57</v>
      </c>
      <c r="B53" s="10" t="s">
        <v>125</v>
      </c>
      <c r="C53" s="11">
        <v>1.75</v>
      </c>
      <c r="D53" s="11"/>
      <c r="E53" s="18"/>
      <c r="F53" s="18"/>
      <c r="G53" s="18"/>
      <c r="H53" s="18"/>
      <c r="I53" s="10">
        <v>7.52</v>
      </c>
    </row>
    <row r="54" spans="1:9">
      <c r="A54" s="12" t="s">
        <v>60</v>
      </c>
      <c r="B54" s="10" t="s">
        <v>128</v>
      </c>
      <c r="C54" s="11">
        <v>1.875</v>
      </c>
      <c r="D54" s="11"/>
      <c r="E54" s="18"/>
      <c r="F54" s="18"/>
      <c r="G54" s="18"/>
      <c r="H54" s="18"/>
      <c r="I54" s="10">
        <v>7.67</v>
      </c>
    </row>
    <row r="55" spans="1:9">
      <c r="A55" s="12" t="s">
        <v>239</v>
      </c>
      <c r="B55" s="10" t="s">
        <v>127</v>
      </c>
      <c r="C55" s="11">
        <v>0.25</v>
      </c>
      <c r="D55" s="11"/>
      <c r="E55" s="18"/>
      <c r="F55" s="18"/>
      <c r="G55" s="18"/>
      <c r="H55" s="18"/>
      <c r="I55" s="10">
        <v>7.76</v>
      </c>
    </row>
    <row r="56" spans="1:9">
      <c r="A56" s="12" t="s">
        <v>240</v>
      </c>
      <c r="B56" s="10" t="s">
        <v>186</v>
      </c>
      <c r="C56" s="11">
        <v>0.375</v>
      </c>
      <c r="D56" s="11"/>
      <c r="E56" s="18"/>
      <c r="F56" s="18"/>
      <c r="G56" s="18"/>
      <c r="H56" s="18"/>
      <c r="I56" s="10">
        <v>7.9</v>
      </c>
    </row>
    <row r="57" spans="1:9">
      <c r="A57" s="12" t="s">
        <v>228</v>
      </c>
      <c r="B57" s="10" t="s">
        <v>189</v>
      </c>
      <c r="C57" s="11">
        <v>0.375</v>
      </c>
      <c r="D57" s="11"/>
      <c r="E57" s="18"/>
      <c r="F57" s="18"/>
      <c r="G57" s="18"/>
      <c r="H57" s="18"/>
      <c r="I57" s="10">
        <v>8.02</v>
      </c>
    </row>
    <row r="58" spans="1:9">
      <c r="A58" s="12" t="s">
        <v>42</v>
      </c>
      <c r="B58" s="10" t="s">
        <v>129</v>
      </c>
      <c r="C58" s="11">
        <v>1.625</v>
      </c>
      <c r="D58" s="11"/>
      <c r="E58" s="18"/>
      <c r="F58" s="18"/>
      <c r="G58" s="18"/>
      <c r="H58" s="18"/>
      <c r="I58" s="10">
        <v>8.1999999999999993</v>
      </c>
    </row>
    <row r="59" spans="1:9">
      <c r="A59" s="12" t="s">
        <v>25</v>
      </c>
      <c r="B59" s="10" t="s">
        <v>130</v>
      </c>
      <c r="C59" s="11">
        <v>1.625</v>
      </c>
      <c r="D59" s="11"/>
      <c r="E59" s="18"/>
      <c r="F59" s="18"/>
      <c r="G59" s="18"/>
      <c r="H59" s="18"/>
      <c r="I59" s="10">
        <v>8.35</v>
      </c>
    </row>
    <row r="60" spans="1:9">
      <c r="A60" s="12" t="s">
        <v>241</v>
      </c>
      <c r="B60" s="10" t="s">
        <v>198</v>
      </c>
      <c r="C60" s="11">
        <v>0.5</v>
      </c>
      <c r="D60" s="11"/>
      <c r="E60" s="18"/>
      <c r="F60" s="18"/>
      <c r="G60" s="18"/>
      <c r="H60" s="18"/>
      <c r="I60" s="10">
        <v>8.31</v>
      </c>
    </row>
    <row r="61" spans="1:9">
      <c r="A61" s="12" t="s">
        <v>242</v>
      </c>
      <c r="B61" s="10" t="s">
        <v>207</v>
      </c>
      <c r="C61" s="11">
        <v>0.75</v>
      </c>
      <c r="D61" s="11"/>
      <c r="E61" s="18"/>
      <c r="F61" s="18"/>
      <c r="G61" s="18"/>
      <c r="H61" s="18"/>
      <c r="I61" s="10">
        <v>8.44</v>
      </c>
    </row>
    <row r="62" spans="1:9">
      <c r="A62" s="12" t="s">
        <v>205</v>
      </c>
      <c r="B62" s="10" t="s">
        <v>208</v>
      </c>
      <c r="C62" s="11">
        <v>0.625</v>
      </c>
      <c r="D62" s="11"/>
      <c r="E62" s="18"/>
      <c r="F62" s="18"/>
      <c r="G62" s="18"/>
      <c r="H62" s="18"/>
      <c r="I62" s="10">
        <v>8.59</v>
      </c>
    </row>
    <row r="63" spans="1:9">
      <c r="A63" s="12" t="s">
        <v>219</v>
      </c>
      <c r="B63" s="10" t="s">
        <v>221</v>
      </c>
      <c r="C63" s="11">
        <v>1.25</v>
      </c>
      <c r="D63" s="11"/>
      <c r="E63" s="18"/>
      <c r="F63" s="18"/>
      <c r="G63" s="18"/>
      <c r="H63" s="18"/>
      <c r="I63" s="10">
        <v>8.64</v>
      </c>
    </row>
    <row r="64" spans="1:9">
      <c r="A64" s="12" t="s">
        <v>29</v>
      </c>
      <c r="B64" s="10" t="s">
        <v>131</v>
      </c>
      <c r="C64" s="11">
        <v>1.5</v>
      </c>
      <c r="D64" s="11"/>
      <c r="E64" s="18"/>
      <c r="F64" s="18"/>
      <c r="G64" s="18"/>
      <c r="H64" s="18"/>
      <c r="I64" s="10">
        <v>8.66</v>
      </c>
    </row>
    <row r="65" spans="1:9">
      <c r="A65" s="12" t="s">
        <v>262</v>
      </c>
      <c r="B65" s="10" t="s">
        <v>263</v>
      </c>
      <c r="C65" s="11">
        <v>1.75</v>
      </c>
      <c r="D65" s="11"/>
      <c r="E65" s="18"/>
      <c r="F65" s="18"/>
      <c r="G65" s="18"/>
      <c r="H65" s="18"/>
      <c r="I65" s="10">
        <v>8.75</v>
      </c>
    </row>
    <row r="66" spans="1:9">
      <c r="A66" s="12" t="s">
        <v>52</v>
      </c>
      <c r="B66" s="10" t="s">
        <v>134</v>
      </c>
      <c r="C66" s="11">
        <v>1.5</v>
      </c>
      <c r="D66" s="11"/>
      <c r="E66" s="18"/>
      <c r="F66" s="18"/>
      <c r="G66" s="18"/>
      <c r="H66" s="18"/>
      <c r="I66" s="10">
        <v>9.1199999999999992</v>
      </c>
    </row>
    <row r="67" spans="1:9">
      <c r="A67" s="12" t="s">
        <v>61</v>
      </c>
      <c r="B67" s="10" t="s">
        <v>133</v>
      </c>
      <c r="C67" s="11">
        <v>1.75</v>
      </c>
      <c r="D67" s="11"/>
      <c r="E67" s="18"/>
      <c r="F67" s="18"/>
      <c r="G67" s="18"/>
      <c r="H67" s="18"/>
      <c r="I67" s="10">
        <v>9.17</v>
      </c>
    </row>
    <row r="68" spans="1:9">
      <c r="A68" s="12" t="s">
        <v>273</v>
      </c>
      <c r="B68" s="10" t="s">
        <v>274</v>
      </c>
      <c r="C68" s="11">
        <v>1.125</v>
      </c>
      <c r="D68" s="11"/>
      <c r="E68" s="18"/>
      <c r="F68" s="18"/>
      <c r="G68" s="18"/>
      <c r="H68" s="18"/>
      <c r="I68" s="10">
        <v>9.31</v>
      </c>
    </row>
    <row r="69" spans="1:9">
      <c r="A69" s="12" t="s">
        <v>275</v>
      </c>
      <c r="B69" s="10" t="s">
        <v>276</v>
      </c>
      <c r="C69" s="11">
        <v>1.25</v>
      </c>
      <c r="D69" s="11"/>
      <c r="E69" s="18"/>
      <c r="F69" s="18"/>
      <c r="G69" s="18"/>
      <c r="H69" s="18"/>
      <c r="I69" s="10">
        <v>9.16</v>
      </c>
    </row>
    <row r="70" spans="1:9">
      <c r="A70" s="12" t="s">
        <v>21</v>
      </c>
      <c r="B70" s="10" t="s">
        <v>132</v>
      </c>
      <c r="C70" s="11">
        <v>3.875</v>
      </c>
      <c r="D70" s="11"/>
      <c r="E70" s="18"/>
      <c r="F70" s="18"/>
      <c r="G70" s="18"/>
      <c r="H70" s="18"/>
      <c r="I70" s="10">
        <v>9.1999999999999993</v>
      </c>
    </row>
    <row r="71" spans="1:9">
      <c r="A71" s="12" t="s">
        <v>30</v>
      </c>
      <c r="B71" s="10" t="s">
        <v>135</v>
      </c>
      <c r="C71" s="11">
        <v>2</v>
      </c>
      <c r="D71" s="11"/>
      <c r="E71" s="18"/>
      <c r="F71" s="18"/>
      <c r="G71" s="18"/>
      <c r="H71" s="18"/>
      <c r="I71" s="10">
        <v>9.27</v>
      </c>
    </row>
    <row r="72" spans="1:9">
      <c r="A72" s="12" t="s">
        <v>62</v>
      </c>
      <c r="B72" s="10" t="s">
        <v>136</v>
      </c>
      <c r="C72" s="11">
        <v>2</v>
      </c>
      <c r="D72" s="11"/>
      <c r="E72" s="18"/>
      <c r="F72" s="18"/>
      <c r="G72" s="18"/>
      <c r="H72" s="18"/>
      <c r="I72" s="10">
        <v>9.77</v>
      </c>
    </row>
    <row r="73" spans="1:9">
      <c r="A73" s="12" t="s">
        <v>43</v>
      </c>
      <c r="B73" s="10" t="s">
        <v>137</v>
      </c>
      <c r="C73" s="11">
        <v>1.875</v>
      </c>
      <c r="D73" s="11"/>
      <c r="E73" s="18"/>
      <c r="F73" s="18"/>
      <c r="G73" s="18"/>
      <c r="H73" s="18"/>
      <c r="I73" s="10">
        <v>9.8800000000000008</v>
      </c>
    </row>
    <row r="74" spans="1:9">
      <c r="A74" s="12" t="s">
        <v>64</v>
      </c>
      <c r="B74" s="10" t="s">
        <v>138</v>
      </c>
      <c r="C74" s="11">
        <v>2.125</v>
      </c>
      <c r="D74" s="11"/>
      <c r="E74" s="18"/>
      <c r="F74" s="18"/>
      <c r="G74" s="18"/>
      <c r="H74" s="18"/>
      <c r="I74" s="10">
        <v>10.029999999999999</v>
      </c>
    </row>
    <row r="75" spans="1:9">
      <c r="A75" s="12" t="s">
        <v>63</v>
      </c>
      <c r="B75" s="10" t="s">
        <v>139</v>
      </c>
      <c r="C75" s="11">
        <v>2.25</v>
      </c>
      <c r="D75" s="11"/>
      <c r="E75" s="18"/>
      <c r="F75" s="18"/>
      <c r="G75" s="18"/>
      <c r="H75" s="18"/>
      <c r="I75" s="10">
        <v>10.14</v>
      </c>
    </row>
    <row r="76" spans="1:9">
      <c r="A76" s="12" t="s">
        <v>26</v>
      </c>
      <c r="B76" s="10" t="s">
        <v>140</v>
      </c>
      <c r="C76" s="11">
        <v>2</v>
      </c>
      <c r="D76" s="11"/>
      <c r="E76" s="18"/>
      <c r="F76" s="18"/>
      <c r="G76" s="18"/>
      <c r="H76" s="18"/>
      <c r="I76" s="10">
        <v>10.56</v>
      </c>
    </row>
    <row r="77" spans="1:9">
      <c r="A77" s="12" t="s">
        <v>48</v>
      </c>
      <c r="B77" s="10" t="s">
        <v>141</v>
      </c>
      <c r="C77" s="11">
        <v>2.125</v>
      </c>
      <c r="D77" s="11"/>
      <c r="E77" s="18"/>
      <c r="F77" s="18"/>
      <c r="G77" s="18"/>
      <c r="H77" s="18"/>
      <c r="I77" s="10">
        <v>10.52</v>
      </c>
    </row>
    <row r="78" spans="1:9">
      <c r="A78" s="12" t="s">
        <v>53</v>
      </c>
      <c r="B78" s="10" t="s">
        <v>142</v>
      </c>
      <c r="C78" s="11">
        <v>1.75</v>
      </c>
      <c r="D78" s="11"/>
      <c r="E78" s="18"/>
      <c r="F78" s="18"/>
      <c r="G78" s="18"/>
      <c r="H78" s="18"/>
      <c r="I78" s="10">
        <v>11.24</v>
      </c>
    </row>
    <row r="79" spans="1:9">
      <c r="A79" s="12" t="s">
        <v>38</v>
      </c>
      <c r="B79" s="10" t="s">
        <v>143</v>
      </c>
      <c r="C79" s="11">
        <v>1.375</v>
      </c>
      <c r="D79" s="11"/>
      <c r="E79" s="18"/>
      <c r="F79" s="18"/>
      <c r="G79" s="18"/>
      <c r="H79" s="18"/>
      <c r="I79" s="10">
        <v>11.69</v>
      </c>
    </row>
    <row r="80" spans="1:9">
      <c r="A80" s="12" t="s">
        <v>33</v>
      </c>
      <c r="B80" s="10" t="s">
        <v>144</v>
      </c>
      <c r="C80" s="11">
        <v>1.25</v>
      </c>
      <c r="D80" s="11"/>
      <c r="E80" s="18"/>
      <c r="F80" s="18"/>
      <c r="G80" s="18"/>
      <c r="H80" s="18"/>
      <c r="I80" s="10">
        <v>11.83</v>
      </c>
    </row>
    <row r="81" spans="1:9">
      <c r="A81" s="12" t="s">
        <v>35</v>
      </c>
      <c r="B81" s="10" t="s">
        <v>145</v>
      </c>
      <c r="C81" s="11">
        <v>1.75</v>
      </c>
      <c r="D81" s="11"/>
      <c r="E81" s="18"/>
      <c r="F81" s="18"/>
      <c r="G81" s="18"/>
      <c r="H81" s="18"/>
      <c r="I81" s="10">
        <v>12.35</v>
      </c>
    </row>
    <row r="82" spans="1:9">
      <c r="A82" s="12" t="s">
        <v>44</v>
      </c>
      <c r="B82" s="10" t="s">
        <v>146</v>
      </c>
      <c r="C82" s="11">
        <v>1.125</v>
      </c>
      <c r="D82" s="11"/>
      <c r="E82" s="18"/>
      <c r="F82" s="18"/>
      <c r="G82" s="18"/>
      <c r="H82" s="18"/>
      <c r="I82" s="10">
        <v>12.19</v>
      </c>
    </row>
    <row r="83" spans="1:9">
      <c r="A83" s="12" t="s">
        <v>65</v>
      </c>
      <c r="B83" s="10" t="s">
        <v>147</v>
      </c>
      <c r="C83" s="11">
        <v>1.5</v>
      </c>
      <c r="D83" s="11"/>
      <c r="E83" s="18"/>
      <c r="F83" s="18"/>
      <c r="G83" s="18"/>
      <c r="H83" s="18"/>
      <c r="I83" s="10">
        <v>12.81</v>
      </c>
    </row>
    <row r="84" spans="1:9">
      <c r="A84" s="12" t="s">
        <v>66</v>
      </c>
      <c r="B84" s="10" t="s">
        <v>148</v>
      </c>
      <c r="C84" s="11">
        <v>1.375</v>
      </c>
      <c r="D84" s="11"/>
      <c r="E84" s="18"/>
      <c r="F84" s="18"/>
      <c r="G84" s="18"/>
      <c r="H84" s="18"/>
      <c r="I84" s="10">
        <v>13.47</v>
      </c>
    </row>
    <row r="85" spans="1:9">
      <c r="A85" s="12" t="s">
        <v>22</v>
      </c>
      <c r="B85" s="10" t="s">
        <v>149</v>
      </c>
      <c r="C85" s="11">
        <v>2.25</v>
      </c>
      <c r="D85" s="11"/>
      <c r="E85" s="18"/>
      <c r="F85" s="18"/>
      <c r="G85" s="18"/>
      <c r="H85" s="18"/>
      <c r="I85" s="10">
        <v>14.18</v>
      </c>
    </row>
    <row r="86" spans="1:9">
      <c r="A86" s="12" t="s">
        <v>67</v>
      </c>
      <c r="B86" s="10" t="s">
        <v>150</v>
      </c>
      <c r="C86" s="11">
        <v>1.125</v>
      </c>
      <c r="D86" s="11"/>
      <c r="E86" s="18"/>
      <c r="F86" s="18"/>
      <c r="G86" s="18"/>
      <c r="H86" s="18"/>
      <c r="I86" s="10">
        <v>14.03</v>
      </c>
    </row>
    <row r="87" spans="1:9">
      <c r="A87" s="12" t="s">
        <v>243</v>
      </c>
      <c r="B87" s="10" t="s">
        <v>151</v>
      </c>
      <c r="C87" s="11">
        <v>1.125</v>
      </c>
      <c r="D87" s="11"/>
      <c r="E87" s="18"/>
      <c r="F87" s="18"/>
      <c r="G87" s="18"/>
      <c r="H87" s="18"/>
      <c r="I87" s="10">
        <v>14.37</v>
      </c>
    </row>
    <row r="88" spans="1:9">
      <c r="A88" s="12" t="s">
        <v>244</v>
      </c>
      <c r="B88" s="10" t="s">
        <v>152</v>
      </c>
      <c r="C88" s="11">
        <v>1.125</v>
      </c>
      <c r="D88" s="11"/>
      <c r="E88" s="18"/>
      <c r="F88" s="18"/>
      <c r="G88" s="18"/>
      <c r="H88" s="18"/>
      <c r="I88" s="10">
        <v>14.47</v>
      </c>
    </row>
    <row r="89" spans="1:9">
      <c r="A89" s="12" t="s">
        <v>23</v>
      </c>
      <c r="B89" s="10" t="s">
        <v>154</v>
      </c>
      <c r="C89" s="11">
        <v>2</v>
      </c>
      <c r="D89" s="11"/>
      <c r="E89" s="18"/>
      <c r="F89" s="18"/>
      <c r="G89" s="18"/>
      <c r="H89" s="18"/>
      <c r="I89" s="10">
        <v>15.16</v>
      </c>
    </row>
    <row r="90" spans="1:9">
      <c r="A90" s="12" t="s">
        <v>45</v>
      </c>
      <c r="B90" s="10" t="s">
        <v>153</v>
      </c>
      <c r="C90" s="11">
        <v>2.125</v>
      </c>
      <c r="D90" s="11"/>
      <c r="E90" s="18"/>
      <c r="F90" s="18"/>
      <c r="G90" s="18"/>
      <c r="H90" s="18"/>
      <c r="I90" s="10">
        <v>14.9</v>
      </c>
    </row>
    <row r="91" spans="1:9">
      <c r="A91" s="12" t="s">
        <v>39</v>
      </c>
      <c r="B91" s="10" t="s">
        <v>155</v>
      </c>
      <c r="C91" s="11">
        <v>0.75</v>
      </c>
      <c r="D91" s="11"/>
      <c r="E91" s="18"/>
      <c r="F91" s="18"/>
      <c r="G91" s="18"/>
      <c r="H91" s="18"/>
      <c r="I91" s="10">
        <v>15.22</v>
      </c>
    </row>
    <row r="92" spans="1:9">
      <c r="A92" s="12" t="s">
        <v>245</v>
      </c>
      <c r="B92" s="10" t="s">
        <v>157</v>
      </c>
      <c r="C92" s="11">
        <v>0.75</v>
      </c>
      <c r="D92" s="11"/>
      <c r="E92" s="18"/>
      <c r="F92" s="18"/>
      <c r="G92" s="18"/>
      <c r="H92" s="18"/>
      <c r="I92" s="10">
        <v>15.58</v>
      </c>
    </row>
    <row r="93" spans="1:9">
      <c r="A93" s="12" t="s">
        <v>46</v>
      </c>
      <c r="B93" s="10" t="s">
        <v>156</v>
      </c>
      <c r="C93" s="11">
        <v>1.875</v>
      </c>
      <c r="D93" s="11"/>
      <c r="E93" s="18"/>
      <c r="F93" s="18"/>
      <c r="G93" s="18"/>
      <c r="H93" s="18"/>
      <c r="I93" s="10">
        <v>15.5</v>
      </c>
    </row>
    <row r="94" spans="1:9">
      <c r="A94" s="12" t="s">
        <v>24</v>
      </c>
      <c r="B94" s="10" t="s">
        <v>158</v>
      </c>
      <c r="C94" s="11">
        <v>1.75</v>
      </c>
      <c r="D94" s="11"/>
      <c r="E94" s="18"/>
      <c r="F94" s="18"/>
      <c r="G94" s="18"/>
      <c r="H94" s="18"/>
      <c r="I94" s="10">
        <v>16.100000000000001</v>
      </c>
    </row>
    <row r="95" spans="1:9">
      <c r="A95" s="12" t="s">
        <v>246</v>
      </c>
      <c r="B95" s="10" t="s">
        <v>159</v>
      </c>
      <c r="C95" s="11">
        <v>0.5</v>
      </c>
      <c r="D95" s="11"/>
      <c r="E95" s="18"/>
      <c r="F95" s="18"/>
      <c r="G95" s="18"/>
      <c r="H95" s="18"/>
      <c r="I95" s="10">
        <v>16.03</v>
      </c>
    </row>
    <row r="96" spans="1:9">
      <c r="A96" s="12" t="s">
        <v>68</v>
      </c>
      <c r="B96" s="10" t="s">
        <v>160</v>
      </c>
      <c r="C96" s="11">
        <v>2.5</v>
      </c>
      <c r="D96" s="11"/>
      <c r="E96" s="18"/>
      <c r="F96" s="18"/>
      <c r="G96" s="18"/>
      <c r="H96" s="18"/>
      <c r="I96" s="10">
        <v>16.170000000000002</v>
      </c>
    </row>
    <row r="97" spans="1:9">
      <c r="A97" s="12" t="s">
        <v>261</v>
      </c>
      <c r="B97" s="10" t="s">
        <v>258</v>
      </c>
      <c r="C97" s="11">
        <v>1.875</v>
      </c>
      <c r="D97" s="11"/>
      <c r="E97" s="18"/>
      <c r="F97" s="18"/>
      <c r="G97" s="18"/>
      <c r="H97" s="18"/>
      <c r="I97" s="10">
        <v>16.309999999999999</v>
      </c>
    </row>
    <row r="98" spans="1:9">
      <c r="A98" s="12" t="s">
        <v>247</v>
      </c>
      <c r="B98" s="10" t="s">
        <v>162</v>
      </c>
      <c r="C98" s="11">
        <v>0.5</v>
      </c>
      <c r="D98" s="11"/>
      <c r="E98" s="18"/>
      <c r="F98" s="18"/>
      <c r="G98" s="18"/>
      <c r="H98" s="18"/>
      <c r="I98" s="10">
        <v>16.45</v>
      </c>
    </row>
    <row r="99" spans="1:9">
      <c r="A99" s="12" t="s">
        <v>69</v>
      </c>
      <c r="B99" s="10" t="s">
        <v>161</v>
      </c>
      <c r="C99" s="11">
        <v>1.625</v>
      </c>
      <c r="D99" s="11"/>
      <c r="E99" s="18"/>
      <c r="F99" s="18"/>
      <c r="G99" s="18"/>
      <c r="H99" s="18"/>
      <c r="I99" s="10">
        <v>16.5</v>
      </c>
    </row>
    <row r="100" spans="1:9">
      <c r="A100" s="12" t="s">
        <v>40</v>
      </c>
      <c r="B100" s="10" t="s">
        <v>163</v>
      </c>
      <c r="C100" s="11">
        <v>1.75</v>
      </c>
      <c r="D100" s="11"/>
      <c r="E100" s="18"/>
      <c r="F100" s="18"/>
      <c r="G100" s="18"/>
      <c r="H100" s="18"/>
      <c r="I100" s="10">
        <v>16.850000000000001</v>
      </c>
    </row>
    <row r="101" spans="1:9">
      <c r="A101" s="12" t="s">
        <v>249</v>
      </c>
      <c r="B101" s="10" t="s">
        <v>168</v>
      </c>
      <c r="C101" s="11">
        <v>0.5</v>
      </c>
      <c r="D101" s="11"/>
      <c r="E101" s="18"/>
      <c r="F101" s="18"/>
      <c r="G101" s="18"/>
      <c r="H101" s="18"/>
      <c r="I101" s="10">
        <v>16.809999999999999</v>
      </c>
    </row>
    <row r="102" spans="1:9">
      <c r="A102" s="12" t="s">
        <v>213</v>
      </c>
      <c r="B102" s="10" t="s">
        <v>209</v>
      </c>
      <c r="C102" s="11">
        <v>1</v>
      </c>
      <c r="D102" s="11"/>
      <c r="E102" s="18"/>
      <c r="F102" s="18"/>
      <c r="G102" s="18"/>
      <c r="H102" s="18"/>
      <c r="I102" s="10">
        <v>16.920000000000002</v>
      </c>
    </row>
    <row r="103" spans="1:9">
      <c r="A103" s="12" t="s">
        <v>47</v>
      </c>
      <c r="B103" s="10" t="s">
        <v>164</v>
      </c>
      <c r="C103" s="11">
        <v>2.125</v>
      </c>
      <c r="D103" s="11"/>
      <c r="E103" s="18"/>
      <c r="F103" s="18"/>
      <c r="G103" s="18"/>
      <c r="H103" s="18"/>
      <c r="I103" s="10">
        <v>17.12</v>
      </c>
    </row>
    <row r="104" spans="1:9">
      <c r="A104" s="12" t="s">
        <v>248</v>
      </c>
      <c r="B104" s="10" t="s">
        <v>187</v>
      </c>
      <c r="C104" s="11">
        <v>0.625</v>
      </c>
      <c r="D104" s="11"/>
      <c r="E104" s="18"/>
      <c r="F104" s="18"/>
      <c r="G104" s="18"/>
      <c r="H104" s="18"/>
      <c r="I104" s="10">
        <v>16.82</v>
      </c>
    </row>
    <row r="105" spans="1:9">
      <c r="A105" s="12" t="s">
        <v>216</v>
      </c>
      <c r="B105" s="10" t="s">
        <v>167</v>
      </c>
      <c r="C105" s="11">
        <v>0.375</v>
      </c>
      <c r="D105" s="11"/>
      <c r="E105" s="18"/>
      <c r="F105" s="18"/>
      <c r="G105" s="18"/>
      <c r="H105" s="18"/>
      <c r="I105" s="10">
        <v>16.91</v>
      </c>
    </row>
    <row r="106" spans="1:9">
      <c r="A106" s="12" t="s">
        <v>215</v>
      </c>
      <c r="B106" s="10" t="s">
        <v>210</v>
      </c>
      <c r="C106" s="11">
        <v>0.875</v>
      </c>
      <c r="D106" s="11"/>
      <c r="E106" s="18"/>
      <c r="F106" s="18"/>
      <c r="G106" s="18"/>
      <c r="H106" s="18"/>
      <c r="I106" s="10">
        <v>17.22</v>
      </c>
    </row>
    <row r="107" spans="1:9">
      <c r="A107" s="12" t="s">
        <v>71</v>
      </c>
      <c r="B107" s="10" t="s">
        <v>165</v>
      </c>
      <c r="C107" s="11">
        <v>2.25</v>
      </c>
      <c r="D107" s="11"/>
      <c r="E107" s="18"/>
      <c r="F107" s="18"/>
      <c r="G107" s="18"/>
      <c r="H107" s="18"/>
      <c r="I107" s="10">
        <v>17.079999999999998</v>
      </c>
    </row>
    <row r="108" spans="1:9">
      <c r="A108" s="12" t="s">
        <v>54</v>
      </c>
      <c r="B108" s="10" t="s">
        <v>166</v>
      </c>
      <c r="C108" s="11">
        <v>2.375</v>
      </c>
      <c r="D108" s="11"/>
      <c r="E108" s="18"/>
      <c r="F108" s="18"/>
      <c r="G108" s="18"/>
      <c r="H108" s="18"/>
      <c r="I108" s="10">
        <v>17.46</v>
      </c>
    </row>
    <row r="109" spans="1:9">
      <c r="A109" s="12" t="s">
        <v>277</v>
      </c>
      <c r="B109" s="10" t="s">
        <v>278</v>
      </c>
      <c r="C109" s="11">
        <v>1.375</v>
      </c>
      <c r="D109" s="11"/>
      <c r="E109" s="18"/>
      <c r="F109" s="18"/>
      <c r="G109" s="18"/>
      <c r="H109" s="18"/>
      <c r="I109" s="10">
        <v>17.32</v>
      </c>
    </row>
    <row r="110" spans="1:9">
      <c r="A110" s="12" t="s">
        <v>72</v>
      </c>
      <c r="B110" s="10" t="s">
        <v>169</v>
      </c>
      <c r="C110" s="11">
        <v>2</v>
      </c>
      <c r="D110" s="11"/>
      <c r="E110" s="18"/>
      <c r="F110" s="18"/>
      <c r="G110" s="18"/>
      <c r="H110" s="18"/>
      <c r="I110" s="10">
        <v>17.190000000000001</v>
      </c>
    </row>
    <row r="111" spans="1:9">
      <c r="A111" s="12" t="s">
        <v>250</v>
      </c>
      <c r="B111" s="10" t="s">
        <v>199</v>
      </c>
      <c r="C111" s="11">
        <v>0.625</v>
      </c>
      <c r="D111" s="11"/>
      <c r="E111" s="18"/>
      <c r="F111" s="18"/>
      <c r="G111" s="18"/>
      <c r="H111" s="18"/>
      <c r="I111" s="10">
        <v>17.29</v>
      </c>
    </row>
    <row r="112" spans="1:9">
      <c r="A112" s="12" t="s">
        <v>73</v>
      </c>
      <c r="B112" s="10" t="s">
        <v>171</v>
      </c>
      <c r="C112" s="11">
        <v>2.375</v>
      </c>
      <c r="D112" s="11"/>
      <c r="E112" s="18"/>
      <c r="F112" s="18"/>
      <c r="G112" s="18"/>
      <c r="H112" s="18"/>
      <c r="I112" s="10">
        <v>17.350000000000001</v>
      </c>
    </row>
    <row r="113" spans="1:9">
      <c r="A113" s="12" t="s">
        <v>70</v>
      </c>
      <c r="B113" s="10" t="s">
        <v>170</v>
      </c>
      <c r="C113" s="11">
        <v>2.25</v>
      </c>
      <c r="D113" s="11"/>
      <c r="E113" s="18"/>
      <c r="F113" s="18"/>
      <c r="G113" s="18"/>
      <c r="H113" s="18"/>
      <c r="I113" s="10">
        <v>17.38</v>
      </c>
    </row>
    <row r="114" spans="1:9">
      <c r="A114" s="12" t="s">
        <v>251</v>
      </c>
      <c r="B114" s="10" t="s">
        <v>194</v>
      </c>
      <c r="C114" s="11">
        <v>0.5</v>
      </c>
      <c r="D114" s="11"/>
      <c r="E114" s="18"/>
      <c r="F114" s="18"/>
      <c r="G114" s="18"/>
      <c r="H114" s="18"/>
      <c r="I114" s="10">
        <v>17.37</v>
      </c>
    </row>
    <row r="115" spans="1:9">
      <c r="A115" s="12" t="s">
        <v>74</v>
      </c>
      <c r="B115" s="10" t="s">
        <v>172</v>
      </c>
      <c r="C115" s="11">
        <v>2.25</v>
      </c>
      <c r="D115" s="11"/>
      <c r="E115" s="18"/>
      <c r="F115" s="18"/>
      <c r="G115" s="18"/>
      <c r="H115" s="18"/>
      <c r="I115" s="10">
        <v>17.73</v>
      </c>
    </row>
    <row r="116" spans="1:9">
      <c r="A116" s="12" t="s">
        <v>75</v>
      </c>
      <c r="B116" s="10" t="s">
        <v>173</v>
      </c>
      <c r="C116" s="11">
        <v>2</v>
      </c>
      <c r="D116" s="11"/>
      <c r="E116" s="18"/>
      <c r="F116" s="18"/>
      <c r="G116" s="18"/>
      <c r="H116" s="18"/>
      <c r="I116" s="10">
        <v>18.97</v>
      </c>
    </row>
    <row r="117" spans="1:9">
      <c r="A117" s="12" t="s">
        <v>76</v>
      </c>
      <c r="B117" s="10" t="s">
        <v>174</v>
      </c>
      <c r="C117" s="11">
        <v>1.625</v>
      </c>
      <c r="D117" s="11"/>
      <c r="E117" s="18"/>
      <c r="F117" s="18"/>
      <c r="G117" s="18"/>
      <c r="H117" s="18"/>
      <c r="I117" s="10">
        <v>19.02</v>
      </c>
    </row>
    <row r="118" spans="1:9">
      <c r="A118" s="12" t="s">
        <v>77</v>
      </c>
      <c r="B118" s="10" t="s">
        <v>175</v>
      </c>
      <c r="C118" s="11">
        <v>1.875</v>
      </c>
      <c r="D118" s="11"/>
      <c r="E118" s="18"/>
      <c r="F118" s="18"/>
      <c r="G118" s="18"/>
      <c r="H118" s="18"/>
      <c r="I118" s="10">
        <v>19.3</v>
      </c>
    </row>
    <row r="119" spans="1:9">
      <c r="A119" s="12" t="s">
        <v>78</v>
      </c>
      <c r="B119" s="10" t="s">
        <v>176</v>
      </c>
      <c r="C119" s="11">
        <v>1.375</v>
      </c>
      <c r="D119" s="11"/>
      <c r="E119" s="18"/>
      <c r="F119" s="18"/>
      <c r="G119" s="18"/>
      <c r="H119" s="18"/>
      <c r="I119" s="10">
        <v>19.64</v>
      </c>
    </row>
    <row r="120" spans="1:9">
      <c r="A120" s="12" t="s">
        <v>79</v>
      </c>
      <c r="B120" s="10" t="s">
        <v>177</v>
      </c>
      <c r="C120" s="11">
        <v>1.625</v>
      </c>
      <c r="D120" s="11"/>
      <c r="E120" s="18"/>
      <c r="F120" s="18"/>
      <c r="G120" s="18"/>
      <c r="H120" s="18"/>
      <c r="I120" s="10">
        <v>20.18</v>
      </c>
    </row>
    <row r="121" spans="1:9">
      <c r="A121" s="12" t="s">
        <v>80</v>
      </c>
      <c r="B121" s="10" t="s">
        <v>178</v>
      </c>
      <c r="C121" s="11">
        <v>1.5</v>
      </c>
      <c r="D121" s="11"/>
      <c r="E121" s="18"/>
      <c r="F121" s="18"/>
      <c r="G121" s="18"/>
      <c r="H121" s="18"/>
      <c r="I121" s="10">
        <v>20.56</v>
      </c>
    </row>
    <row r="122" spans="1:9">
      <c r="A122" s="12" t="s">
        <v>56</v>
      </c>
      <c r="B122" s="10" t="s">
        <v>179</v>
      </c>
      <c r="C122" s="11">
        <v>1.375</v>
      </c>
      <c r="D122" s="11"/>
      <c r="E122" s="18"/>
      <c r="F122" s="18"/>
      <c r="G122" s="18"/>
      <c r="H122" s="18"/>
      <c r="I122" s="10">
        <v>21.27</v>
      </c>
    </row>
    <row r="123" spans="1:9">
      <c r="A123" s="12" t="s">
        <v>267</v>
      </c>
      <c r="B123" s="10" t="s">
        <v>264</v>
      </c>
      <c r="C123" s="11">
        <v>2.375</v>
      </c>
      <c r="D123" s="11"/>
      <c r="E123" s="18"/>
      <c r="F123" s="18"/>
      <c r="G123" s="18"/>
      <c r="H123" s="18"/>
      <c r="I123" s="10">
        <v>21.85</v>
      </c>
    </row>
    <row r="124" spans="1:9">
      <c r="A124" s="12" t="s">
        <v>81</v>
      </c>
      <c r="B124" s="10" t="s">
        <v>180</v>
      </c>
      <c r="C124" s="11">
        <v>1.125</v>
      </c>
      <c r="D124" s="11"/>
      <c r="E124" s="18"/>
      <c r="F124" s="18"/>
      <c r="G124" s="18"/>
      <c r="H124" s="18"/>
      <c r="I124" s="10">
        <v>22.03</v>
      </c>
    </row>
    <row r="125" spans="1:9">
      <c r="A125" s="12" t="s">
        <v>223</v>
      </c>
      <c r="B125" s="10" t="s">
        <v>222</v>
      </c>
      <c r="C125" s="11">
        <v>2</v>
      </c>
      <c r="D125" s="11"/>
      <c r="E125" s="18"/>
      <c r="F125" s="18"/>
      <c r="G125" s="18"/>
      <c r="H125" s="18"/>
      <c r="I125" s="10">
        <v>22.04</v>
      </c>
    </row>
    <row r="126" spans="1:9">
      <c r="A126" s="12" t="s">
        <v>50</v>
      </c>
      <c r="B126" s="10" t="s">
        <v>181</v>
      </c>
      <c r="C126" s="11">
        <v>1</v>
      </c>
      <c r="D126" s="11"/>
      <c r="E126" s="18"/>
      <c r="F126" s="18"/>
      <c r="G126" s="18"/>
      <c r="H126" s="18"/>
      <c r="I126" s="10">
        <v>22.8</v>
      </c>
    </row>
    <row r="127" spans="1:9">
      <c r="A127" s="12" t="s">
        <v>252</v>
      </c>
      <c r="B127" s="10" t="s">
        <v>182</v>
      </c>
      <c r="C127" s="11">
        <v>0.75</v>
      </c>
      <c r="D127" s="11"/>
      <c r="E127" s="18"/>
      <c r="F127" s="18"/>
      <c r="G127" s="18"/>
      <c r="H127" s="18"/>
      <c r="I127" s="10">
        <v>23.76</v>
      </c>
    </row>
    <row r="128" spans="1:9">
      <c r="A128" s="12" t="s">
        <v>253</v>
      </c>
      <c r="B128" s="10" t="s">
        <v>202</v>
      </c>
      <c r="C128" s="11">
        <v>1.125</v>
      </c>
      <c r="D128" s="11"/>
      <c r="E128" s="18"/>
      <c r="F128" s="18"/>
      <c r="G128" s="18"/>
      <c r="H128" s="18"/>
      <c r="I128" s="10">
        <v>23.97</v>
      </c>
    </row>
    <row r="129" spans="1:9">
      <c r="A129" s="12" t="s">
        <v>254</v>
      </c>
      <c r="B129" s="10" t="s">
        <v>184</v>
      </c>
      <c r="C129" s="11">
        <v>0.625</v>
      </c>
      <c r="D129" s="11"/>
      <c r="E129" s="18"/>
      <c r="F129" s="18"/>
      <c r="G129" s="18"/>
      <c r="H129" s="18"/>
      <c r="I129" s="10">
        <v>24.93</v>
      </c>
    </row>
    <row r="130" spans="1:9">
      <c r="A130" s="13" t="s">
        <v>255</v>
      </c>
      <c r="B130" s="10" t="s">
        <v>183</v>
      </c>
      <c r="C130" s="11">
        <v>0.375</v>
      </c>
      <c r="D130" s="11"/>
      <c r="E130" s="18"/>
      <c r="F130" s="18"/>
      <c r="G130" s="18"/>
      <c r="H130" s="18"/>
      <c r="I130" s="10">
        <v>25.59</v>
      </c>
    </row>
    <row r="131" spans="1:9">
      <c r="A131" s="12" t="s">
        <v>286</v>
      </c>
      <c r="B131" s="14" t="s">
        <v>287</v>
      </c>
      <c r="C131" s="12" t="s">
        <v>268</v>
      </c>
      <c r="D131" s="12"/>
      <c r="E131" s="18"/>
      <c r="F131" s="18"/>
      <c r="G131" s="18"/>
      <c r="H131" s="18"/>
      <c r="I131" s="15">
        <v>4.8</v>
      </c>
    </row>
    <row r="132" spans="1:9">
      <c r="A132" s="12" t="s">
        <v>288</v>
      </c>
      <c r="B132" s="14" t="s">
        <v>289</v>
      </c>
      <c r="C132" s="12" t="s">
        <v>268</v>
      </c>
      <c r="D132" s="12"/>
      <c r="E132" s="18"/>
      <c r="F132" s="18"/>
      <c r="G132" s="18"/>
      <c r="H132" s="18"/>
      <c r="I132" s="15">
        <v>3.03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已命名的範圍</vt:lpstr>
      </vt:variant>
      <vt:variant>
        <vt:i4>4</vt:i4>
      </vt:variant>
    </vt:vector>
  </HeadingPairs>
  <TitlesOfParts>
    <vt:vector size="16" baseType="lpstr">
      <vt:lpstr>1002</vt:lpstr>
      <vt:lpstr>1003</vt:lpstr>
      <vt:lpstr>1004</vt:lpstr>
      <vt:lpstr>1005</vt:lpstr>
      <vt:lpstr>1006</vt:lpstr>
      <vt:lpstr>1011</vt:lpstr>
      <vt:lpstr>1012</vt:lpstr>
      <vt:lpstr>1013</vt:lpstr>
      <vt:lpstr>冷券表</vt:lpstr>
      <vt:lpstr>OTC報價</vt:lpstr>
      <vt:lpstr>理論價</vt:lpstr>
      <vt:lpstr>短券到期天數</vt:lpstr>
      <vt:lpstr>'1006'!Print_Area</vt:lpstr>
      <vt:lpstr>理論價!Print_Area</vt:lpstr>
      <vt:lpstr>'1006'!Print_Titles</vt:lpstr>
      <vt:lpstr>理論價!Print_Titles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2023-10-16T00:15:53Z</dcterms:modified>
</cp:coreProperties>
</file>